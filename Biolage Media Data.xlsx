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oneomnicom.sharepoint.com/sites/LORALUSATRANSITIONOMG/Shared Documents/1. CDMO/ANALYTICS/ADVANCED ANALYTICS/2025/Franchise Model/Franchise Models/PPD/Biolage Franchise Model/1. Raw Data/Media/"/>
    </mc:Choice>
  </mc:AlternateContent>
  <xr:revisionPtr revIDLastSave="121" documentId="13_ncr:1_{4D107DA9-0973-47CC-A3BE-81A2609E58F3}" xr6:coauthVersionLast="47" xr6:coauthVersionMax="47" xr10:uidLastSave="{C1F6E34F-36F5-4E9F-8A93-344D63540D3D}"/>
  <bookViews>
    <workbookView xWindow="-51720" yWindow="-18030" windowWidth="51840" windowHeight="21120" firstSheet="2" activeTab="3" xr2:uid="{00000000-000D-0000-FFFF-FFFF00000000}"/>
  </bookViews>
  <sheets>
    <sheet name="Sheet3" sheetId="4" state="hidden" r:id="rId1"/>
    <sheet name="sheet1" sheetId="1" state="hidden" r:id="rId2"/>
    <sheet name="Sheet4" sheetId="10" r:id="rId3"/>
    <sheet name="Consolidated Media Data" sheetId="3" r:id="rId4"/>
    <sheet name="Spend Pivots" sheetId="9" r:id="rId5"/>
    <sheet name="Week Mapping" sheetId="8" r:id="rId6"/>
    <sheet name="Spend by Tactic" sheetId="5" r:id="rId7"/>
    <sheet name="Sheet5" sheetId="7" state="hidden" r:id="rId8"/>
    <sheet name="Sheet2" sheetId="6" state="hidden" r:id="rId9"/>
    <sheet name="FranchiseMapping" sheetId="2" state="hidden" r:id="rId10"/>
  </sheets>
  <definedNames>
    <definedName name="_xlnm._FilterDatabase" localSheetId="3" hidden="1">'Consolidated Media Data'!$A$1:$L$2417</definedName>
    <definedName name="_xlnm._FilterDatabase" localSheetId="5" hidden="1">'Week Mapping'!$A$1:$A$107</definedName>
  </definedNames>
  <calcPr calcId="191028"/>
  <pivotCaches>
    <pivotCache cacheId="2" r:id="rId11"/>
    <pivotCache cacheId="3" r:id="rId12"/>
    <pivotCache cacheId="4" r:id="rId13"/>
    <pivotCache cacheId="5" r:id="rId14"/>
    <pivotCache cacheId="11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" i="6"/>
  <c r="C22" i="5"/>
  <c r="D22" i="5"/>
  <c r="E22" i="5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2" i="1"/>
  <c r="D3" i="1" a="1"/>
  <c r="D3" i="1"/>
  <c r="D4" i="1" a="1"/>
  <c r="D4" i="1" s="1"/>
  <c r="D5" i="1" a="1"/>
  <c r="D5" i="1" s="1"/>
  <c r="D6" i="1" a="1"/>
  <c r="D6" i="1"/>
  <c r="D7" i="1" a="1"/>
  <c r="D7" i="1"/>
  <c r="D8" i="1" a="1"/>
  <c r="D8" i="1"/>
  <c r="D9" i="1" a="1"/>
  <c r="D9" i="1" s="1"/>
  <c r="D10" i="1" a="1"/>
  <c r="D10" i="1" s="1"/>
  <c r="D11" i="1" a="1"/>
  <c r="D11" i="1"/>
  <c r="D12" i="1" a="1"/>
  <c r="D12" i="1" s="1"/>
  <c r="D13" i="1" a="1"/>
  <c r="D13" i="1"/>
  <c r="D14" i="1" a="1"/>
  <c r="D14" i="1"/>
  <c r="D15" i="1" a="1"/>
  <c r="D15" i="1"/>
  <c r="D16" i="1" a="1"/>
  <c r="D16" i="1" s="1"/>
  <c r="D17" i="1" a="1"/>
  <c r="D17" i="1"/>
  <c r="D18" i="1" a="1"/>
  <c r="D18" i="1"/>
  <c r="D19" i="1" a="1"/>
  <c r="D19" i="1"/>
  <c r="D20" i="1" a="1"/>
  <c r="D20" i="1"/>
  <c r="D21" i="1" a="1"/>
  <c r="D21" i="1"/>
  <c r="D22" i="1" a="1"/>
  <c r="D22" i="1" s="1"/>
  <c r="D23" i="1" a="1"/>
  <c r="D23" i="1"/>
  <c r="D24" i="1" a="1"/>
  <c r="D24" i="1"/>
  <c r="D25" i="1" a="1"/>
  <c r="D25" i="1" s="1"/>
  <c r="D26" i="1" a="1"/>
  <c r="D26" i="1"/>
  <c r="D27" i="1" a="1"/>
  <c r="D27" i="1"/>
  <c r="D28" i="1" a="1"/>
  <c r="D28" i="1" s="1"/>
  <c r="D29" i="1" a="1"/>
  <c r="D29" i="1" s="1"/>
  <c r="D30" i="1" a="1"/>
  <c r="D30" i="1"/>
  <c r="D31" i="1" a="1"/>
  <c r="D31" i="1"/>
  <c r="D32" i="1" a="1"/>
  <c r="D32" i="1" s="1"/>
  <c r="D33" i="1" a="1"/>
  <c r="D33" i="1"/>
  <c r="D34" i="1" a="1"/>
  <c r="D34" i="1" s="1"/>
  <c r="D35" i="1" a="1"/>
  <c r="D35" i="1"/>
  <c r="D36" i="1" a="1"/>
  <c r="D36" i="1"/>
  <c r="D37" i="1" a="1"/>
  <c r="D37" i="1" s="1"/>
  <c r="D38" i="1" a="1"/>
  <c r="D38" i="1"/>
  <c r="D39" i="1" a="1"/>
  <c r="D39" i="1" s="1"/>
  <c r="D40" i="1" a="1"/>
  <c r="D40" i="1" s="1"/>
  <c r="D41" i="1" a="1"/>
  <c r="D41" i="1"/>
  <c r="D42" i="1" a="1"/>
  <c r="D42" i="1" s="1"/>
  <c r="D43" i="1" a="1"/>
  <c r="D43" i="1"/>
  <c r="D44" i="1" a="1"/>
  <c r="D44" i="1" s="1"/>
  <c r="D45" i="1" a="1"/>
  <c r="D45" i="1"/>
  <c r="D46" i="1" a="1"/>
  <c r="D46" i="1" s="1"/>
  <c r="D47" i="1" a="1"/>
  <c r="D47" i="1" s="1"/>
  <c r="D48" i="1" a="1"/>
  <c r="D48" i="1"/>
  <c r="D49" i="1" a="1"/>
  <c r="D49" i="1"/>
  <c r="D50" i="1" a="1"/>
  <c r="D50" i="1" s="1"/>
  <c r="D51" i="1" a="1"/>
  <c r="D51" i="1"/>
  <c r="D52" i="1" a="1"/>
  <c r="D52" i="1" s="1"/>
  <c r="D53" i="1" a="1"/>
  <c r="D53" i="1"/>
  <c r="D54" i="1" a="1"/>
  <c r="D54" i="1" s="1"/>
  <c r="D55" i="1" a="1"/>
  <c r="D55" i="1" s="1"/>
  <c r="D56" i="1" a="1"/>
  <c r="D56" i="1"/>
  <c r="D57" i="1" a="1"/>
  <c r="D57" i="1" s="1"/>
  <c r="D58" i="1" a="1"/>
  <c r="D58" i="1" s="1"/>
  <c r="D59" i="1" a="1"/>
  <c r="D59" i="1"/>
  <c r="D60" i="1" a="1"/>
  <c r="D60" i="1" s="1"/>
  <c r="D61" i="1" a="1"/>
  <c r="D61" i="1"/>
  <c r="D62" i="1" a="1"/>
  <c r="D62" i="1"/>
  <c r="D63" i="1" a="1"/>
  <c r="D63" i="1"/>
  <c r="D64" i="1" a="1"/>
  <c r="D64" i="1" s="1"/>
  <c r="D65" i="1" a="1"/>
  <c r="D65" i="1"/>
  <c r="D66" i="1" a="1"/>
  <c r="D66" i="1" s="1"/>
  <c r="D67" i="1" a="1"/>
  <c r="D67" i="1"/>
  <c r="D68" i="1" a="1"/>
  <c r="D68" i="1" s="1"/>
  <c r="D69" i="1" a="1"/>
  <c r="D69" i="1"/>
  <c r="D70" i="1" a="1"/>
  <c r="D70" i="1" s="1"/>
  <c r="D71" i="1" a="1"/>
  <c r="D71" i="1" s="1"/>
  <c r="D72" i="1" a="1"/>
  <c r="D72" i="1"/>
  <c r="D73" i="1" a="1"/>
  <c r="D73" i="1"/>
  <c r="D74" i="1" a="1"/>
  <c r="D74" i="1" s="1"/>
  <c r="D75" i="1" a="1"/>
  <c r="D75" i="1"/>
  <c r="D76" i="1" a="1"/>
  <c r="D76" i="1" s="1"/>
  <c r="D77" i="1" a="1"/>
  <c r="D77" i="1"/>
  <c r="D78" i="1" a="1"/>
  <c r="D78" i="1" s="1"/>
  <c r="D79" i="1" a="1"/>
  <c r="D79" i="1"/>
  <c r="D80" i="1" a="1"/>
  <c r="D80" i="1"/>
  <c r="D81" i="1" a="1"/>
  <c r="D81" i="1" s="1"/>
  <c r="D82" i="1" a="1"/>
  <c r="D82" i="1" s="1"/>
  <c r="D83" i="1" a="1"/>
  <c r="D83" i="1"/>
  <c r="D84" i="1" a="1"/>
  <c r="D84" i="1"/>
  <c r="D85" i="1" a="1"/>
  <c r="D85" i="1" s="1"/>
  <c r="D86" i="1" a="1"/>
  <c r="D86" i="1"/>
  <c r="D87" i="1" a="1"/>
  <c r="D87" i="1"/>
  <c r="D88" i="1" a="1"/>
  <c r="D88" i="1" s="1"/>
  <c r="D89" i="1" a="1"/>
  <c r="D89" i="1"/>
  <c r="D90" i="1" a="1"/>
  <c r="D90" i="1"/>
  <c r="D91" i="1" a="1"/>
  <c r="D91" i="1" s="1"/>
  <c r="D92" i="1" a="1"/>
  <c r="D92" i="1"/>
  <c r="D93" i="1" a="1"/>
  <c r="D93" i="1"/>
  <c r="D94" i="1" a="1"/>
  <c r="D94" i="1" s="1"/>
  <c r="D95" i="1" a="1"/>
  <c r="D95" i="1"/>
  <c r="D96" i="1" a="1"/>
  <c r="D96" i="1" s="1"/>
  <c r="D97" i="1" a="1"/>
  <c r="D97" i="1"/>
  <c r="D98" i="1" a="1"/>
  <c r="D98" i="1" s="1"/>
  <c r="D99" i="1" a="1"/>
  <c r="D99" i="1"/>
  <c r="D100" i="1" a="1"/>
  <c r="D100" i="1" s="1"/>
  <c r="D101" i="1" a="1"/>
  <c r="D101" i="1" s="1"/>
  <c r="D102" i="1" a="1"/>
  <c r="D102" i="1"/>
  <c r="D103" i="1" a="1"/>
  <c r="D103" i="1" s="1"/>
  <c r="D104" i="1" a="1"/>
  <c r="D104" i="1"/>
  <c r="D105" i="1" a="1"/>
  <c r="D105" i="1" s="1"/>
  <c r="D106" i="1" a="1"/>
  <c r="D106" i="1" s="1"/>
  <c r="D107" i="1" a="1"/>
  <c r="D107" i="1"/>
  <c r="D108" i="1" a="1"/>
  <c r="D108" i="1"/>
  <c r="D109" i="1" a="1"/>
  <c r="D109" i="1"/>
  <c r="D110" i="1" a="1"/>
  <c r="D110" i="1" s="1"/>
  <c r="D111" i="1" a="1"/>
  <c r="D111" i="1" s="1"/>
  <c r="D112" i="1" a="1"/>
  <c r="D112" i="1" s="1"/>
  <c r="D113" i="1" a="1"/>
  <c r="D113" i="1"/>
  <c r="D114" i="1" a="1"/>
  <c r="D114" i="1" s="1"/>
  <c r="D115" i="1" a="1"/>
  <c r="D115" i="1"/>
  <c r="D116" i="1" a="1"/>
  <c r="D116" i="1"/>
  <c r="D117" i="1" a="1"/>
  <c r="D117" i="1"/>
  <c r="D118" i="1" a="1"/>
  <c r="D118" i="1" s="1"/>
  <c r="D119" i="1" a="1"/>
  <c r="D119" i="1" s="1"/>
  <c r="D120" i="1" a="1"/>
  <c r="D120" i="1"/>
  <c r="D121" i="1" a="1"/>
  <c r="D121" i="1"/>
  <c r="D122" i="1" a="1"/>
  <c r="D122" i="1"/>
  <c r="D123" i="1" a="1"/>
  <c r="D123" i="1"/>
  <c r="D124" i="1" a="1"/>
  <c r="D124" i="1" s="1"/>
  <c r="D125" i="1" a="1"/>
  <c r="D125" i="1" s="1"/>
  <c r="D126" i="1" a="1"/>
  <c r="D126" i="1"/>
  <c r="D127" i="1" a="1"/>
  <c r="D127" i="1" s="1"/>
  <c r="D128" i="1" a="1"/>
  <c r="D128" i="1"/>
  <c r="D129" i="1" a="1"/>
  <c r="D129" i="1"/>
  <c r="D130" i="1" a="1"/>
  <c r="D130" i="1" s="1"/>
  <c r="D131" i="1" a="1"/>
  <c r="D131" i="1"/>
  <c r="D132" i="1" a="1"/>
  <c r="D132" i="1" s="1"/>
  <c r="D133" i="1" a="1"/>
  <c r="D133" i="1"/>
  <c r="D134" i="1" a="1"/>
  <c r="D134" i="1"/>
  <c r="D135" i="1" a="1"/>
  <c r="D135" i="1" s="1"/>
  <c r="D136" i="1" a="1"/>
  <c r="D136" i="1" s="1"/>
  <c r="D137" i="1" a="1"/>
  <c r="D137" i="1"/>
  <c r="D138" i="1" a="1"/>
  <c r="D138" i="1"/>
  <c r="D139" i="1" a="1"/>
  <c r="D139" i="1" s="1"/>
  <c r="D140" i="1" a="1"/>
  <c r="D140" i="1" s="1"/>
  <c r="D141" i="1" a="1"/>
  <c r="D141" i="1"/>
  <c r="D142" i="1" a="1"/>
  <c r="D142" i="1" s="1"/>
  <c r="D143" i="1" a="1"/>
  <c r="D143" i="1" s="1"/>
  <c r="D144" i="1" a="1"/>
  <c r="D144" i="1"/>
  <c r="D145" i="1" a="1"/>
  <c r="D145" i="1"/>
  <c r="D146" i="1" a="1"/>
  <c r="D146" i="1" s="1"/>
  <c r="D147" i="1" a="1"/>
  <c r="D147" i="1"/>
  <c r="D148" i="1" a="1"/>
  <c r="D148" i="1" s="1"/>
  <c r="D149" i="1" a="1"/>
  <c r="D149" i="1"/>
  <c r="D150" i="1" a="1"/>
  <c r="D150" i="1" s="1"/>
  <c r="D151" i="1" a="1"/>
  <c r="D151" i="1"/>
  <c r="D152" i="1" a="1"/>
  <c r="D152" i="1" s="1"/>
  <c r="D153" i="1" a="1"/>
  <c r="D153" i="1" s="1"/>
  <c r="D154" i="1" a="1"/>
  <c r="D154" i="1" s="1"/>
  <c r="D155" i="1" a="1"/>
  <c r="D155" i="1"/>
  <c r="D156" i="1" a="1"/>
  <c r="D156" i="1" s="1"/>
  <c r="D157" i="1" a="1"/>
  <c r="D157" i="1"/>
  <c r="D158" i="1" a="1"/>
  <c r="D158" i="1"/>
  <c r="D159" i="1" a="1"/>
  <c r="D159" i="1" s="1"/>
  <c r="D160" i="1" a="1"/>
  <c r="D160" i="1" s="1"/>
  <c r="D161" i="1" a="1"/>
  <c r="D161" i="1"/>
  <c r="D162" i="1" a="1"/>
  <c r="D162" i="1"/>
  <c r="D163" i="1" a="1"/>
  <c r="D163" i="1" s="1"/>
  <c r="D164" i="1" a="1"/>
  <c r="D164" i="1"/>
  <c r="D165" i="1" a="1"/>
  <c r="D165" i="1"/>
  <c r="D166" i="1" a="1"/>
  <c r="D166" i="1" s="1"/>
  <c r="D167" i="1" a="1"/>
  <c r="D167" i="1"/>
  <c r="D168" i="1" a="1"/>
  <c r="D168" i="1"/>
  <c r="D169" i="1" a="1"/>
  <c r="D169" i="1" s="1"/>
  <c r="D170" i="1" a="1"/>
  <c r="D170" i="1"/>
  <c r="D171" i="1" a="1"/>
  <c r="D171" i="1" s="1"/>
  <c r="D172" i="1" a="1"/>
  <c r="D172" i="1" s="1"/>
  <c r="D173" i="1" a="1"/>
  <c r="D173" i="1" s="1"/>
  <c r="D174" i="1" a="1"/>
  <c r="D174" i="1"/>
  <c r="D175" i="1" a="1"/>
  <c r="D175" i="1"/>
  <c r="D176" i="1" a="1"/>
  <c r="D176" i="1" s="1"/>
  <c r="D177" i="1" a="1"/>
  <c r="D177" i="1"/>
  <c r="D178" i="1" a="1"/>
  <c r="D178" i="1" s="1"/>
  <c r="D179" i="1" a="1"/>
  <c r="D179" i="1"/>
  <c r="D180" i="1" a="1"/>
  <c r="D180" i="1"/>
  <c r="D181" i="1" a="1"/>
  <c r="D181" i="1"/>
  <c r="D182" i="1" a="1"/>
  <c r="D182" i="1"/>
  <c r="D183" i="1" a="1"/>
  <c r="D183" i="1"/>
  <c r="D184" i="1" a="1"/>
  <c r="D184" i="1" s="1"/>
  <c r="D185" i="1" a="1"/>
  <c r="D185" i="1" s="1"/>
  <c r="D186" i="1" a="1"/>
  <c r="D186" i="1" s="1"/>
  <c r="D187" i="1" a="1"/>
  <c r="D187" i="1"/>
  <c r="D188" i="1" a="1"/>
  <c r="D188" i="1"/>
  <c r="D189" i="1" a="1"/>
  <c r="D189" i="1"/>
  <c r="D190" i="1" a="1"/>
  <c r="D190" i="1" s="1"/>
  <c r="D191" i="1" a="1"/>
  <c r="D191" i="1"/>
  <c r="D192" i="1" a="1"/>
  <c r="D192" i="1" s="1"/>
  <c r="D193" i="1" a="1"/>
  <c r="D193" i="1"/>
  <c r="D194" i="1" a="1"/>
  <c r="D194" i="1"/>
  <c r="D195" i="1" a="1"/>
  <c r="D195" i="1"/>
  <c r="D196" i="1" a="1"/>
  <c r="D196" i="1" s="1"/>
  <c r="D197" i="1" a="1"/>
  <c r="D197" i="1"/>
  <c r="D198" i="1" a="1"/>
  <c r="D198" i="1"/>
  <c r="D199" i="1" a="1"/>
  <c r="D199" i="1" s="1"/>
  <c r="D200" i="1" a="1"/>
  <c r="D200" i="1"/>
  <c r="D201" i="1" a="1"/>
  <c r="D201" i="1"/>
  <c r="D202" i="1" a="1"/>
  <c r="D202" i="1" s="1"/>
  <c r="D203" i="1" a="1"/>
  <c r="D203" i="1"/>
  <c r="D204" i="1" a="1"/>
  <c r="D204" i="1"/>
  <c r="D205" i="1" a="1"/>
  <c r="D205" i="1"/>
  <c r="D206" i="1" a="1"/>
  <c r="D206" i="1"/>
  <c r="D207" i="1" a="1"/>
  <c r="D207" i="1" s="1"/>
  <c r="D208" i="1" a="1"/>
  <c r="D208" i="1" s="1"/>
  <c r="D209" i="1" a="1"/>
  <c r="D209" i="1"/>
  <c r="D210" i="1" a="1"/>
  <c r="D210" i="1"/>
  <c r="D211" i="1" a="1"/>
  <c r="D211" i="1"/>
  <c r="D212" i="1" a="1"/>
  <c r="D212" i="1" s="1"/>
  <c r="D213" i="1" a="1"/>
  <c r="D213" i="1"/>
  <c r="D214" i="1" a="1"/>
  <c r="D214" i="1" s="1"/>
  <c r="D215" i="1" a="1"/>
  <c r="D215" i="1"/>
  <c r="D216" i="1" a="1"/>
  <c r="D216" i="1"/>
  <c r="D217" i="1" a="1"/>
  <c r="D217" i="1"/>
  <c r="D218" i="1" a="1"/>
  <c r="D218" i="1"/>
  <c r="D219" i="1" a="1"/>
  <c r="D219" i="1"/>
  <c r="D220" i="1" a="1"/>
  <c r="D220" i="1" s="1"/>
  <c r="D221" i="1" a="1"/>
  <c r="D221" i="1" s="1"/>
  <c r="D222" i="1" a="1"/>
  <c r="D222" i="1"/>
  <c r="D223" i="1" a="1"/>
  <c r="D223" i="1"/>
  <c r="D224" i="1" a="1"/>
  <c r="D224" i="1"/>
  <c r="D225" i="1" a="1"/>
  <c r="D225" i="1" s="1"/>
  <c r="D226" i="1" a="1"/>
  <c r="D226" i="1" s="1"/>
  <c r="D227" i="1" a="1"/>
  <c r="D227" i="1"/>
  <c r="D228" i="1" a="1"/>
  <c r="D228" i="1" s="1"/>
  <c r="D229" i="1" a="1"/>
  <c r="D229" i="1"/>
  <c r="D230" i="1" a="1"/>
  <c r="D230" i="1"/>
  <c r="D231" i="1" a="1"/>
  <c r="D231" i="1"/>
  <c r="D232" i="1" a="1"/>
  <c r="D232" i="1" s="1"/>
  <c r="D233" i="1" a="1"/>
  <c r="D233" i="1"/>
  <c r="D234" i="1" a="1"/>
  <c r="D234" i="1" s="1"/>
  <c r="D235" i="1" a="1"/>
  <c r="D235" i="1"/>
  <c r="D236" i="1" a="1"/>
  <c r="D236" i="1"/>
  <c r="D237" i="1" a="1"/>
  <c r="D237" i="1"/>
  <c r="D238" i="1" a="1"/>
  <c r="D238" i="1" s="1"/>
  <c r="D239" i="1" a="1"/>
  <c r="D239" i="1"/>
  <c r="D240" i="1" a="1"/>
  <c r="D240" i="1"/>
  <c r="D241" i="1" a="1"/>
  <c r="D241" i="1" s="1"/>
  <c r="D242" i="1" a="1"/>
  <c r="D242" i="1"/>
  <c r="D243" i="1" a="1"/>
  <c r="D243" i="1"/>
  <c r="D244" i="1" a="1"/>
  <c r="D244" i="1" s="1"/>
  <c r="D245" i="1" a="1"/>
  <c r="D245" i="1" s="1"/>
  <c r="D246" i="1" a="1"/>
  <c r="D246" i="1"/>
  <c r="D247" i="1" a="1"/>
  <c r="D247" i="1" s="1"/>
  <c r="D248" i="1" a="1"/>
  <c r="D248" i="1" s="1"/>
  <c r="D249" i="1" a="1"/>
  <c r="D249" i="1"/>
  <c r="D250" i="1" a="1"/>
  <c r="D250" i="1" s="1"/>
  <c r="D251" i="1" a="1"/>
  <c r="D251" i="1"/>
  <c r="D252" i="1" a="1"/>
  <c r="D252" i="1"/>
  <c r="D253" i="1" a="1"/>
  <c r="D253" i="1"/>
  <c r="D254" i="1" a="1"/>
  <c r="D254" i="1" s="1"/>
  <c r="D255" i="1" a="1"/>
  <c r="D255" i="1"/>
  <c r="D256" i="1" a="1"/>
  <c r="D256" i="1" s="1"/>
  <c r="D257" i="1" a="1"/>
  <c r="D257" i="1" s="1"/>
  <c r="D258" i="1" a="1"/>
  <c r="D258" i="1" s="1"/>
  <c r="D259" i="1" a="1"/>
  <c r="D259" i="1"/>
  <c r="D260" i="1" a="1"/>
  <c r="D260" i="1"/>
  <c r="D261" i="1" a="1"/>
  <c r="D261" i="1" s="1"/>
  <c r="D262" i="1" a="1"/>
  <c r="D262" i="1" s="1"/>
  <c r="D263" i="1" a="1"/>
  <c r="D263" i="1"/>
  <c r="D264" i="1" a="1"/>
  <c r="D264" i="1"/>
  <c r="D265" i="1" a="1"/>
  <c r="D265" i="1"/>
  <c r="D266" i="1" a="1"/>
  <c r="D266" i="1"/>
  <c r="D267" i="1" a="1"/>
  <c r="D267" i="1"/>
  <c r="D268" i="1" a="1"/>
  <c r="D268" i="1" s="1"/>
  <c r="D269" i="1" a="1"/>
  <c r="D269" i="1"/>
  <c r="D270" i="1" a="1"/>
  <c r="D270" i="1"/>
  <c r="D271" i="1" a="1"/>
  <c r="D271" i="1" s="1"/>
  <c r="D272" i="1" a="1"/>
  <c r="D272" i="1"/>
  <c r="D273" i="1" a="1"/>
  <c r="D273" i="1"/>
  <c r="D274" i="1" a="1"/>
  <c r="D274" i="1" s="1"/>
  <c r="D275" i="1" a="1"/>
  <c r="D275" i="1" s="1"/>
  <c r="D276" i="1" a="1"/>
  <c r="D276" i="1"/>
  <c r="D277" i="1" a="1"/>
  <c r="D277" i="1"/>
  <c r="D278" i="1" a="1"/>
  <c r="D278" i="1"/>
  <c r="D279" i="1" a="1"/>
  <c r="D279" i="1"/>
  <c r="D280" i="1" a="1"/>
  <c r="D280" i="1" s="1"/>
  <c r="D281" i="1" a="1"/>
  <c r="D281" i="1"/>
  <c r="D282" i="1" a="1"/>
  <c r="D282" i="1" s="1"/>
  <c r="D283" i="1" a="1"/>
  <c r="D283" i="1"/>
  <c r="D284" i="1" a="1"/>
  <c r="D284" i="1" s="1"/>
  <c r="D285" i="1" a="1"/>
  <c r="D285" i="1"/>
  <c r="D286" i="1" a="1"/>
  <c r="D286" i="1" s="1"/>
  <c r="D287" i="1" a="1"/>
  <c r="D287" i="1"/>
  <c r="D288" i="1" a="1"/>
  <c r="D288" i="1"/>
  <c r="D289" i="1" a="1"/>
  <c r="D289" i="1" s="1"/>
  <c r="D290" i="1" a="1"/>
  <c r="D290" i="1"/>
  <c r="D291" i="1" a="1"/>
  <c r="D291" i="1"/>
  <c r="D292" i="1" a="1"/>
  <c r="D292" i="1" s="1"/>
  <c r="D293" i="1" a="1"/>
  <c r="D293" i="1"/>
  <c r="D294" i="1" a="1"/>
  <c r="D294" i="1"/>
  <c r="D295" i="1" a="1"/>
  <c r="D295" i="1" s="1"/>
  <c r="D296" i="1" a="1"/>
  <c r="D296" i="1"/>
  <c r="D297" i="1" a="1"/>
  <c r="D297" i="1" s="1"/>
  <c r="D298" i="1" a="1"/>
  <c r="D298" i="1" s="1"/>
  <c r="D299" i="1" a="1"/>
  <c r="D299" i="1" s="1"/>
  <c r="D300" i="1" a="1"/>
  <c r="D300" i="1"/>
  <c r="D301" i="1" a="1"/>
  <c r="D301" i="1" s="1"/>
  <c r="D302" i="1" a="1"/>
  <c r="D302" i="1" s="1"/>
  <c r="D303" i="1" a="1"/>
  <c r="D303" i="1"/>
  <c r="D304" i="1" a="1"/>
  <c r="D304" i="1" s="1"/>
  <c r="D305" i="1" a="1"/>
  <c r="D305" i="1"/>
  <c r="D306" i="1" a="1"/>
  <c r="D306" i="1" s="1"/>
  <c r="D307" i="1" a="1"/>
  <c r="D307" i="1"/>
  <c r="D308" i="1" a="1"/>
  <c r="D308" i="1" s="1"/>
  <c r="D309" i="1" a="1"/>
  <c r="D309" i="1" s="1"/>
  <c r="D310" i="1" a="1"/>
  <c r="D310" i="1" s="1"/>
  <c r="D311" i="1" a="1"/>
  <c r="D311" i="1"/>
  <c r="D312" i="1" a="1"/>
  <c r="D312" i="1"/>
  <c r="D313" i="1" a="1"/>
  <c r="D313" i="1" s="1"/>
  <c r="D314" i="1" a="1"/>
  <c r="D314" i="1"/>
  <c r="D315" i="1" a="1"/>
  <c r="D315" i="1" s="1"/>
  <c r="D316" i="1" a="1"/>
  <c r="D316" i="1" s="1"/>
  <c r="D317" i="1" a="1"/>
  <c r="D317" i="1" s="1"/>
  <c r="D318" i="1" a="1"/>
  <c r="D318" i="1"/>
  <c r="D319" i="1" a="1"/>
  <c r="D319" i="1"/>
  <c r="D320" i="1" a="1"/>
  <c r="D320" i="1"/>
  <c r="D321" i="1" a="1"/>
  <c r="D321" i="1" s="1"/>
  <c r="D322" i="1" a="1"/>
  <c r="D322" i="1" s="1"/>
  <c r="D323" i="1" a="1"/>
  <c r="D323" i="1" s="1"/>
  <c r="D324" i="1" a="1"/>
  <c r="D324" i="1"/>
  <c r="D325" i="1" a="1"/>
  <c r="D325" i="1"/>
  <c r="D326" i="1" a="1"/>
  <c r="D326" i="1"/>
  <c r="D327" i="1" a="1"/>
  <c r="D327" i="1"/>
  <c r="D328" i="1" a="1"/>
  <c r="D328" i="1" s="1"/>
  <c r="D329" i="1" a="1"/>
  <c r="D329" i="1" s="1"/>
  <c r="D330" i="1" a="1"/>
  <c r="D330" i="1" s="1"/>
  <c r="D331" i="1" a="1"/>
  <c r="D331" i="1"/>
  <c r="D332" i="1" a="1"/>
  <c r="D332" i="1"/>
  <c r="D333" i="1" a="1"/>
  <c r="D333" i="1"/>
  <c r="D334" i="1" a="1"/>
  <c r="D334" i="1" s="1"/>
  <c r="D335" i="1" a="1"/>
  <c r="D335" i="1"/>
  <c r="D336" i="1" a="1"/>
  <c r="D336" i="1" s="1"/>
  <c r="D337" i="1" a="1"/>
  <c r="D337" i="1"/>
  <c r="D338" i="1" a="1"/>
  <c r="D338" i="1" s="1"/>
  <c r="D339" i="1" a="1"/>
  <c r="D339" i="1"/>
  <c r="D340" i="1" a="1"/>
  <c r="D340" i="1" s="1"/>
  <c r="D341" i="1" a="1"/>
  <c r="D341" i="1"/>
  <c r="D342" i="1" a="1"/>
  <c r="D342" i="1"/>
  <c r="D343" i="1" a="1"/>
  <c r="D343" i="1" s="1"/>
  <c r="D344" i="1" a="1"/>
  <c r="D344" i="1"/>
  <c r="D345" i="1" a="1"/>
  <c r="D345" i="1" s="1"/>
  <c r="D346" i="1" a="1"/>
  <c r="D346" i="1" s="1"/>
  <c r="D347" i="1" a="1"/>
  <c r="D347" i="1"/>
  <c r="D348" i="1" a="1"/>
  <c r="D348" i="1"/>
  <c r="D349" i="1" a="1"/>
  <c r="D349" i="1"/>
  <c r="D350" i="1" a="1"/>
  <c r="D350" i="1"/>
  <c r="D351" i="1" a="1"/>
  <c r="D351" i="1"/>
  <c r="D352" i="1" a="1"/>
  <c r="D352" i="1" s="1"/>
  <c r="D353" i="1" a="1"/>
  <c r="D353" i="1"/>
  <c r="D354" i="1" a="1"/>
  <c r="D354" i="1"/>
  <c r="D355" i="1" a="1"/>
  <c r="D355" i="1"/>
  <c r="D356" i="1" a="1"/>
  <c r="D356" i="1" s="1"/>
  <c r="D357" i="1" a="1"/>
  <c r="D357" i="1" s="1"/>
  <c r="D358" i="1" a="1"/>
  <c r="D358" i="1" s="1"/>
  <c r="D359" i="1" a="1"/>
  <c r="D359" i="1"/>
  <c r="D360" i="1" a="1"/>
  <c r="D360" i="1"/>
  <c r="D361" i="1" a="1"/>
  <c r="D361" i="1"/>
  <c r="D362" i="1" a="1"/>
  <c r="D362" i="1"/>
  <c r="D363" i="1" a="1"/>
  <c r="D363" i="1"/>
  <c r="D364" i="1" a="1"/>
  <c r="D364" i="1" s="1"/>
  <c r="D365" i="1" a="1"/>
  <c r="D365" i="1"/>
  <c r="D366" i="1" a="1"/>
  <c r="D366" i="1" s="1"/>
  <c r="D367" i="1" a="1"/>
  <c r="D367" i="1"/>
  <c r="D368" i="1" a="1"/>
  <c r="D368" i="1"/>
  <c r="D369" i="1" a="1"/>
  <c r="D369" i="1" s="1"/>
  <c r="D370" i="1" a="1"/>
  <c r="D370" i="1" s="1"/>
  <c r="D371" i="1" a="1"/>
  <c r="D371" i="1" s="1"/>
  <c r="D372" i="1" a="1"/>
  <c r="D372" i="1"/>
  <c r="D373" i="1" a="1"/>
  <c r="D373" i="1"/>
  <c r="D374" i="1" a="1"/>
  <c r="D374" i="1"/>
  <c r="D375" i="1" a="1"/>
  <c r="D375" i="1"/>
  <c r="D376" i="1" a="1"/>
  <c r="D376" i="1" s="1"/>
  <c r="D377" i="1" a="1"/>
  <c r="D377" i="1" s="1"/>
  <c r="D378" i="1" a="1"/>
  <c r="D378" i="1"/>
  <c r="D379" i="1" a="1"/>
  <c r="D379" i="1" s="1"/>
  <c r="D380" i="1" a="1"/>
  <c r="D380" i="1"/>
  <c r="D381" i="1" a="1"/>
  <c r="D381" i="1"/>
  <c r="D382" i="1" a="1"/>
  <c r="D382" i="1" s="1"/>
  <c r="D383" i="1" a="1"/>
  <c r="D383" i="1"/>
  <c r="D384" i="1" a="1"/>
  <c r="D384" i="1" s="1"/>
  <c r="D385" i="1" a="1"/>
  <c r="D385" i="1"/>
  <c r="D386" i="1" a="1"/>
  <c r="D386" i="1" s="1"/>
  <c r="D387" i="1" a="1"/>
  <c r="D387" i="1"/>
  <c r="D388" i="1" a="1"/>
  <c r="D388" i="1" s="1"/>
  <c r="D389" i="1" a="1"/>
  <c r="D389" i="1" s="1"/>
  <c r="D390" i="1" a="1"/>
  <c r="D390" i="1"/>
  <c r="D391" i="1" a="1"/>
  <c r="D391" i="1" s="1"/>
  <c r="D392" i="1" a="1"/>
  <c r="D392" i="1"/>
  <c r="D393" i="1" a="1"/>
  <c r="D393" i="1" s="1"/>
  <c r="D394" i="1" a="1"/>
  <c r="D394" i="1" s="1"/>
  <c r="D395" i="1" a="1"/>
  <c r="D395" i="1"/>
  <c r="D396" i="1" a="1"/>
  <c r="D396" i="1"/>
  <c r="D397" i="1" a="1"/>
  <c r="D397" i="1" s="1"/>
  <c r="D398" i="1" a="1"/>
  <c r="D398" i="1"/>
  <c r="D399" i="1" a="1"/>
  <c r="D399" i="1"/>
  <c r="D400" i="1" a="1"/>
  <c r="D400" i="1" s="1"/>
  <c r="D401" i="1" a="1"/>
  <c r="D401" i="1" s="1"/>
  <c r="D402" i="1" a="1"/>
  <c r="D402" i="1" s="1"/>
  <c r="D403" i="1" a="1"/>
  <c r="D403" i="1" s="1"/>
  <c r="D404" i="1" a="1"/>
  <c r="D404" i="1" s="1"/>
  <c r="D405" i="1" a="1"/>
  <c r="D405" i="1"/>
  <c r="D406" i="1" a="1"/>
  <c r="D406" i="1" s="1"/>
  <c r="D407" i="1" a="1"/>
  <c r="D407" i="1"/>
  <c r="D408" i="1" a="1"/>
  <c r="D408" i="1" s="1"/>
  <c r="D409" i="1" a="1"/>
  <c r="D409" i="1"/>
  <c r="D410" i="1" a="1"/>
  <c r="D410" i="1" s="1"/>
  <c r="D411" i="1" a="1"/>
  <c r="D411" i="1" s="1"/>
  <c r="D412" i="1" a="1"/>
  <c r="D412" i="1" s="1"/>
  <c r="D413" i="1" a="1"/>
  <c r="D413" i="1"/>
  <c r="D414" i="1" a="1"/>
  <c r="D414" i="1"/>
  <c r="D415" i="1" a="1"/>
  <c r="D415" i="1" s="1"/>
  <c r="D416" i="1" a="1"/>
  <c r="D416" i="1" s="1"/>
  <c r="D417" i="1" a="1"/>
  <c r="D417" i="1"/>
  <c r="D418" i="1" a="1"/>
  <c r="D418" i="1" s="1"/>
  <c r="D419" i="1" a="1"/>
  <c r="D419" i="1"/>
  <c r="D420" i="1" a="1"/>
  <c r="D420" i="1"/>
  <c r="D421" i="1" a="1"/>
  <c r="D421" i="1"/>
  <c r="D422" i="1" a="1"/>
  <c r="D422" i="1"/>
  <c r="D423" i="1" a="1"/>
  <c r="D423" i="1"/>
  <c r="D424" i="1" a="1"/>
  <c r="D424" i="1" s="1"/>
  <c r="D425" i="1" a="1"/>
  <c r="D425" i="1" s="1"/>
  <c r="D426" i="1" a="1"/>
  <c r="D426" i="1"/>
  <c r="D427" i="1" a="1"/>
  <c r="D427" i="1"/>
  <c r="D428" i="1" a="1"/>
  <c r="D428" i="1" s="1"/>
  <c r="D429" i="1" a="1"/>
  <c r="D429" i="1"/>
  <c r="D430" i="1" a="1"/>
  <c r="D430" i="1" s="1"/>
  <c r="D431" i="1" a="1"/>
  <c r="D431" i="1"/>
  <c r="D432" i="1" a="1"/>
  <c r="D432" i="1" s="1"/>
  <c r="D433" i="1" a="1"/>
  <c r="D433" i="1"/>
  <c r="D434" i="1" a="1"/>
  <c r="D434" i="1"/>
  <c r="D435" i="1" a="1"/>
  <c r="D435" i="1"/>
  <c r="D436" i="1" a="1"/>
  <c r="D436" i="1" s="1"/>
  <c r="D437" i="1" a="1"/>
  <c r="D437" i="1" s="1"/>
  <c r="D438" i="1" a="1"/>
  <c r="D438" i="1" s="1"/>
  <c r="D439" i="1" a="1"/>
  <c r="D439" i="1"/>
  <c r="D440" i="1" a="1"/>
  <c r="D440" i="1"/>
  <c r="D441" i="1" a="1"/>
  <c r="D441" i="1" s="1"/>
  <c r="D442" i="1" a="1"/>
  <c r="D442" i="1" s="1"/>
  <c r="D443" i="1" a="1"/>
  <c r="D443" i="1"/>
  <c r="D444" i="1" a="1"/>
  <c r="D444" i="1"/>
  <c r="D445" i="1" a="1"/>
  <c r="D445" i="1" s="1"/>
  <c r="D446" i="1" a="1"/>
  <c r="D446" i="1"/>
  <c r="D447" i="1" a="1"/>
  <c r="D447" i="1" s="1"/>
  <c r="D448" i="1" a="1"/>
  <c r="D448" i="1" s="1"/>
  <c r="D449" i="1" a="1"/>
  <c r="D449" i="1"/>
  <c r="D450" i="1" a="1"/>
  <c r="D450" i="1"/>
  <c r="D451" i="1" a="1"/>
  <c r="D451" i="1"/>
  <c r="D452" i="1" a="1"/>
  <c r="D452" i="1" s="1"/>
  <c r="D453" i="1" a="1"/>
  <c r="D453" i="1"/>
  <c r="D454" i="1" a="1"/>
  <c r="D454" i="1" s="1"/>
  <c r="D455" i="1" a="1"/>
  <c r="D455" i="1"/>
  <c r="D456" i="1" a="1"/>
  <c r="D456" i="1"/>
  <c r="D457" i="1" a="1"/>
  <c r="D457" i="1"/>
  <c r="D458" i="1" a="1"/>
  <c r="D458" i="1" s="1"/>
  <c r="D459" i="1" a="1"/>
  <c r="D459" i="1"/>
  <c r="D460" i="1" a="1"/>
  <c r="D460" i="1" s="1"/>
  <c r="D461" i="1" a="1"/>
  <c r="D461" i="1" s="1"/>
  <c r="D462" i="1" a="1"/>
  <c r="D462" i="1" s="1"/>
  <c r="D463" i="1" a="1"/>
  <c r="D463" i="1"/>
  <c r="D464" i="1" a="1"/>
  <c r="D464" i="1"/>
  <c r="D465" i="1" a="1"/>
  <c r="D465" i="1" s="1"/>
  <c r="D466" i="1" a="1"/>
  <c r="D466" i="1" s="1"/>
  <c r="D467" i="1" a="1"/>
  <c r="D467" i="1"/>
  <c r="D468" i="1" a="1"/>
  <c r="D468" i="1"/>
  <c r="D469" i="1" a="1"/>
  <c r="D469" i="1" s="1"/>
  <c r="D470" i="1" a="1"/>
  <c r="D470" i="1"/>
  <c r="D471" i="1" a="1"/>
  <c r="D471" i="1"/>
  <c r="D472" i="1" a="1"/>
  <c r="D472" i="1" s="1"/>
  <c r="D473" i="1" a="1"/>
  <c r="D473" i="1"/>
  <c r="D474" i="1" a="1"/>
  <c r="D474" i="1" s="1"/>
  <c r="D475" i="1" a="1"/>
  <c r="D475" i="1"/>
  <c r="D476" i="1" a="1"/>
  <c r="D476" i="1" s="1"/>
  <c r="D477" i="1" a="1"/>
  <c r="D477" i="1"/>
  <c r="D478" i="1" a="1"/>
  <c r="D478" i="1" s="1"/>
  <c r="D479" i="1" a="1"/>
  <c r="D479" i="1" s="1"/>
  <c r="D480" i="1" a="1"/>
  <c r="D480" i="1"/>
  <c r="D481" i="1" a="1"/>
  <c r="D481" i="1"/>
  <c r="D482" i="1" a="1"/>
  <c r="D482" i="1"/>
  <c r="D483" i="1" a="1"/>
  <c r="D483" i="1" s="1"/>
  <c r="D484" i="1" a="1"/>
  <c r="D484" i="1" s="1"/>
  <c r="D485" i="1" a="1"/>
  <c r="D485" i="1"/>
  <c r="D486" i="1" a="1"/>
  <c r="D486" i="1" s="1"/>
  <c r="D487" i="1" a="1"/>
  <c r="D487" i="1" s="1"/>
  <c r="D488" i="1" a="1"/>
  <c r="D488" i="1"/>
  <c r="D489" i="1" a="1"/>
  <c r="D489" i="1" s="1"/>
  <c r="D490" i="1" a="1"/>
  <c r="D490" i="1" s="1"/>
  <c r="D491" i="1" a="1"/>
  <c r="D491" i="1" s="1"/>
  <c r="D492" i="1" a="1"/>
  <c r="D492" i="1"/>
  <c r="D493" i="1" a="1"/>
  <c r="D493" i="1" s="1"/>
  <c r="D494" i="1" a="1"/>
  <c r="D494" i="1"/>
  <c r="D495" i="1" a="1"/>
  <c r="D495" i="1"/>
  <c r="D496" i="1" a="1"/>
  <c r="D496" i="1" s="1"/>
  <c r="D497" i="1" a="1"/>
  <c r="D497" i="1"/>
  <c r="D498" i="1" a="1"/>
  <c r="D498" i="1" s="1"/>
  <c r="D499" i="1" a="1"/>
  <c r="D499" i="1" s="1"/>
  <c r="D500" i="1" a="1"/>
  <c r="D500" i="1" s="1"/>
  <c r="D501" i="1" a="1"/>
  <c r="D501" i="1"/>
  <c r="D502" i="1" a="1"/>
  <c r="D502" i="1" s="1"/>
  <c r="D503" i="1" a="1"/>
  <c r="D503" i="1"/>
  <c r="D504" i="1" a="1"/>
  <c r="D504" i="1" s="1"/>
  <c r="D505" i="1" a="1"/>
  <c r="D505" i="1"/>
  <c r="D506" i="1" a="1"/>
  <c r="D506" i="1" s="1"/>
  <c r="D507" i="1" a="1"/>
  <c r="D507" i="1"/>
  <c r="D508" i="1" a="1"/>
  <c r="D508" i="1" s="1"/>
  <c r="D509" i="1" a="1"/>
  <c r="D509" i="1"/>
  <c r="D510" i="1" a="1"/>
  <c r="D510" i="1"/>
  <c r="D511" i="1" a="1"/>
  <c r="D511" i="1" s="1"/>
  <c r="D512" i="1" a="1"/>
  <c r="D512" i="1"/>
  <c r="D513" i="1" a="1"/>
  <c r="D513" i="1" s="1"/>
  <c r="D514" i="1" a="1"/>
  <c r="D514" i="1"/>
  <c r="D515" i="1" a="1"/>
  <c r="D515" i="1"/>
  <c r="D516" i="1" a="1"/>
  <c r="D516" i="1"/>
  <c r="D517" i="1" a="1"/>
  <c r="D517" i="1" s="1"/>
  <c r="D518" i="1" a="1"/>
  <c r="D518" i="1"/>
  <c r="D519" i="1" a="1"/>
  <c r="D519" i="1" s="1"/>
  <c r="D520" i="1" a="1"/>
  <c r="D520" i="1" s="1"/>
  <c r="D521" i="1" a="1"/>
  <c r="D521" i="1"/>
  <c r="D522" i="1" a="1"/>
  <c r="D522" i="1"/>
  <c r="D523" i="1" a="1"/>
  <c r="D523" i="1"/>
  <c r="D524" i="1" a="1"/>
  <c r="D524" i="1" s="1"/>
  <c r="D525" i="1" a="1"/>
  <c r="D525" i="1" s="1"/>
  <c r="D526" i="1" a="1"/>
  <c r="D526" i="1" s="1"/>
  <c r="D527" i="1" a="1"/>
  <c r="D527" i="1"/>
  <c r="D528" i="1" a="1"/>
  <c r="D528" i="1"/>
  <c r="D529" i="1" a="1"/>
  <c r="D529" i="1"/>
  <c r="D530" i="1" a="1"/>
  <c r="D530" i="1"/>
  <c r="D531" i="1" a="1"/>
  <c r="D531" i="1" s="1"/>
  <c r="D532" i="1" a="1"/>
  <c r="D532" i="1" s="1"/>
  <c r="D533" i="1" a="1"/>
  <c r="D533" i="1" s="1"/>
  <c r="D534" i="1" a="1"/>
  <c r="D534" i="1"/>
  <c r="D535" i="1" a="1"/>
  <c r="D535" i="1"/>
  <c r="D536" i="1" a="1"/>
  <c r="D536" i="1"/>
  <c r="D537" i="1" a="1"/>
  <c r="D537" i="1" s="1"/>
  <c r="D538" i="1" a="1"/>
  <c r="D538" i="1"/>
  <c r="D539" i="1" a="1"/>
  <c r="D539" i="1" s="1"/>
  <c r="D540" i="1" a="1"/>
  <c r="D540" i="1"/>
  <c r="D541" i="1" a="1"/>
  <c r="D541" i="1" s="1"/>
  <c r="D542" i="1" a="1"/>
  <c r="D542" i="1"/>
  <c r="D543" i="1" a="1"/>
  <c r="D543" i="1" s="1"/>
  <c r="D544" i="1" a="1"/>
  <c r="D544" i="1"/>
  <c r="D545" i="1" a="1"/>
  <c r="D545" i="1"/>
  <c r="D546" i="1" a="1"/>
  <c r="D546" i="1" s="1"/>
  <c r="D547" i="1" a="1"/>
  <c r="D547" i="1"/>
  <c r="D548" i="1" a="1"/>
  <c r="D548" i="1" s="1"/>
  <c r="D549" i="1" a="1"/>
  <c r="D549" i="1" s="1"/>
  <c r="D550" i="1" a="1"/>
  <c r="D550" i="1"/>
  <c r="D551" i="1" a="1"/>
  <c r="D551" i="1"/>
  <c r="D552" i="1" a="1"/>
  <c r="D552" i="1" s="1"/>
  <c r="D553" i="1" a="1"/>
  <c r="D553" i="1"/>
  <c r="D554" i="1" a="1"/>
  <c r="D554" i="1"/>
  <c r="D555" i="1" a="1"/>
  <c r="D555" i="1" s="1"/>
  <c r="D556" i="1" a="1"/>
  <c r="D556" i="1"/>
  <c r="D557" i="1" a="1"/>
  <c r="D557" i="1"/>
  <c r="D558" i="1" a="1"/>
  <c r="D558" i="1"/>
  <c r="D559" i="1" a="1"/>
  <c r="D559" i="1" s="1"/>
  <c r="D560" i="1" a="1"/>
  <c r="D560" i="1"/>
  <c r="D561" i="1" a="1"/>
  <c r="D561" i="1" s="1"/>
  <c r="D562" i="1" a="1"/>
  <c r="D562" i="1"/>
  <c r="D563" i="1" a="1"/>
  <c r="D563" i="1"/>
  <c r="D564" i="1" a="1"/>
  <c r="D564" i="1"/>
  <c r="D565" i="1" a="1"/>
  <c r="D565" i="1" s="1"/>
  <c r="D566" i="1" a="1"/>
  <c r="D566" i="1"/>
  <c r="D567" i="1" a="1"/>
  <c r="D567" i="1" s="1"/>
  <c r="D568" i="1" a="1"/>
  <c r="D568" i="1" s="1"/>
  <c r="D569" i="1" a="1"/>
  <c r="D569" i="1"/>
  <c r="D570" i="1" a="1"/>
  <c r="D570" i="1"/>
  <c r="D571" i="1" a="1"/>
  <c r="D571" i="1"/>
  <c r="D572" i="1" a="1"/>
  <c r="D572" i="1" s="1"/>
  <c r="D573" i="1" a="1"/>
  <c r="D573" i="1" s="1"/>
  <c r="D574" i="1" a="1"/>
  <c r="D574" i="1"/>
  <c r="D575" i="1" a="1"/>
  <c r="D575" i="1" s="1"/>
  <c r="D576" i="1" a="1"/>
  <c r="D576" i="1"/>
  <c r="D577" i="1" a="1"/>
  <c r="D577" i="1"/>
  <c r="D578" i="1" a="1"/>
  <c r="D578" i="1" s="1"/>
  <c r="D579" i="1" a="1"/>
  <c r="D579" i="1" s="1"/>
  <c r="D580" i="1" a="1"/>
  <c r="D580" i="1"/>
  <c r="D581" i="1" a="1"/>
  <c r="D581" i="1"/>
  <c r="D582" i="1" a="1"/>
  <c r="D582" i="1" s="1"/>
  <c r="D583" i="1" a="1"/>
  <c r="D583" i="1"/>
  <c r="D584" i="1" a="1"/>
  <c r="D584" i="1"/>
  <c r="D585" i="1" a="1"/>
  <c r="D585" i="1" s="1"/>
  <c r="D586" i="1" a="1"/>
  <c r="D586" i="1"/>
  <c r="D587" i="1" a="1"/>
  <c r="D587" i="1"/>
  <c r="D588" i="1" a="1"/>
  <c r="D588" i="1" s="1"/>
  <c r="D589" i="1" a="1"/>
  <c r="D589" i="1"/>
  <c r="D590" i="1" a="1"/>
  <c r="D590" i="1" s="1"/>
  <c r="D591" i="1" a="1"/>
  <c r="D591" i="1" s="1"/>
  <c r="D592" i="1" a="1"/>
  <c r="D592" i="1" s="1"/>
  <c r="D593" i="1" a="1"/>
  <c r="D593" i="1"/>
  <c r="D594" i="1" a="1"/>
  <c r="D594" i="1"/>
  <c r="D595" i="1" a="1"/>
  <c r="D595" i="1" s="1"/>
  <c r="D596" i="1" a="1"/>
  <c r="D596" i="1"/>
  <c r="D597" i="1" a="1"/>
  <c r="D597" i="1" s="1"/>
  <c r="D598" i="1" a="1"/>
  <c r="D598" i="1" s="1"/>
  <c r="D599" i="1" a="1"/>
  <c r="D599" i="1"/>
  <c r="D600" i="1" a="1"/>
  <c r="D600" i="1"/>
  <c r="D601" i="1" a="1"/>
  <c r="D601" i="1"/>
  <c r="D602" i="1" a="1"/>
  <c r="D602" i="1" s="1"/>
  <c r="D603" i="1" a="1"/>
  <c r="D603" i="1" s="1"/>
  <c r="D604" i="1" a="1"/>
  <c r="D604" i="1"/>
  <c r="D605" i="1" a="1"/>
  <c r="D605" i="1" s="1"/>
  <c r="D606" i="1" a="1"/>
  <c r="D606" i="1"/>
  <c r="D607" i="1" a="1"/>
  <c r="D607" i="1"/>
  <c r="D608" i="1" a="1"/>
  <c r="D608" i="1"/>
  <c r="D609" i="1" a="1"/>
  <c r="D609" i="1" s="1"/>
  <c r="D610" i="1" a="1"/>
  <c r="D610" i="1" s="1"/>
  <c r="D611" i="1" a="1"/>
  <c r="D611" i="1" s="1"/>
  <c r="D612" i="1" a="1"/>
  <c r="D612" i="1"/>
  <c r="D613" i="1" a="1"/>
  <c r="D613" i="1"/>
  <c r="D614" i="1" a="1"/>
  <c r="D614" i="1"/>
  <c r="D615" i="1" a="1"/>
  <c r="D615" i="1" s="1"/>
  <c r="D616" i="1" a="1"/>
  <c r="D616" i="1"/>
  <c r="D617" i="1" a="1"/>
  <c r="D617" i="1" s="1"/>
  <c r="D618" i="1" a="1"/>
  <c r="D618" i="1" s="1"/>
  <c r="D619" i="1" a="1"/>
  <c r="D619" i="1"/>
  <c r="D620" i="1" a="1"/>
  <c r="D620" i="1"/>
  <c r="D621" i="1" a="1"/>
  <c r="D621" i="1" s="1"/>
  <c r="D622" i="1" a="1"/>
  <c r="D622" i="1"/>
  <c r="D623" i="1" a="1"/>
  <c r="D623" i="1"/>
  <c r="D624" i="1" a="1"/>
  <c r="D624" i="1" s="1"/>
  <c r="D625" i="1" a="1"/>
  <c r="D625" i="1"/>
  <c r="D626" i="1" a="1"/>
  <c r="D626" i="1" s="1"/>
  <c r="D627" i="1" a="1"/>
  <c r="D627" i="1" s="1"/>
  <c r="D628" i="1" a="1"/>
  <c r="D628" i="1"/>
  <c r="D629" i="1" a="1"/>
  <c r="D629" i="1"/>
  <c r="D630" i="1" a="1"/>
  <c r="D630" i="1"/>
  <c r="D631" i="1" a="1"/>
  <c r="D631" i="1" s="1"/>
  <c r="D632" i="1" a="1"/>
  <c r="D632" i="1"/>
  <c r="D633" i="1" a="1"/>
  <c r="D633" i="1" s="1"/>
  <c r="D634" i="1" a="1"/>
  <c r="D634" i="1"/>
  <c r="D635" i="1" a="1"/>
  <c r="D635" i="1"/>
  <c r="D636" i="1" a="1"/>
  <c r="D636" i="1"/>
  <c r="D637" i="1" a="1"/>
  <c r="D637" i="1" s="1"/>
  <c r="D638" i="1" a="1"/>
  <c r="D638" i="1"/>
  <c r="D639" i="1" a="1"/>
  <c r="D639" i="1" s="1"/>
  <c r="D640" i="1" a="1"/>
  <c r="D640" i="1"/>
  <c r="D641" i="1" a="1"/>
  <c r="D641" i="1"/>
  <c r="D642" i="1" a="1"/>
  <c r="D642" i="1"/>
  <c r="D643" i="1" a="1"/>
  <c r="D643" i="1"/>
  <c r="D644" i="1" a="1"/>
  <c r="D644" i="1" s="1"/>
  <c r="D645" i="1" a="1"/>
  <c r="D645" i="1" s="1"/>
  <c r="D646" i="1" a="1"/>
  <c r="D646" i="1" s="1"/>
  <c r="D647" i="1" a="1"/>
  <c r="D647" i="1"/>
  <c r="D648" i="1" a="1"/>
  <c r="D648" i="1"/>
  <c r="D649" i="1" a="1"/>
  <c r="D649" i="1"/>
  <c r="D650" i="1" a="1"/>
  <c r="D650" i="1" s="1"/>
  <c r="D651" i="1" a="1"/>
  <c r="D651" i="1" s="1"/>
  <c r="D652" i="1" a="1"/>
  <c r="D652" i="1"/>
  <c r="D653" i="1" a="1"/>
  <c r="D653" i="1" s="1"/>
  <c r="D654" i="1" a="1"/>
  <c r="D654" i="1"/>
  <c r="D655" i="1" a="1"/>
  <c r="D655" i="1"/>
  <c r="D656" i="1" a="1"/>
  <c r="D656" i="1"/>
  <c r="D657" i="1" a="1"/>
  <c r="D657" i="1" s="1"/>
  <c r="D658" i="1" a="1"/>
  <c r="D658" i="1"/>
  <c r="D659" i="1" a="1"/>
  <c r="D659" i="1" s="1"/>
  <c r="D660" i="1" a="1"/>
  <c r="D660" i="1"/>
  <c r="D661" i="1" a="1"/>
  <c r="D661" i="1" s="1"/>
  <c r="D662" i="1" a="1"/>
  <c r="D662" i="1"/>
  <c r="D663" i="1" a="1"/>
  <c r="D663" i="1" s="1"/>
  <c r="D664" i="1" a="1"/>
  <c r="D664" i="1" s="1"/>
  <c r="D665" i="1" a="1"/>
  <c r="D665" i="1"/>
  <c r="D666" i="1" a="1"/>
  <c r="D666" i="1" s="1"/>
  <c r="D667" i="1" a="1"/>
  <c r="D667" i="1"/>
  <c r="D668" i="1" a="1"/>
  <c r="D668" i="1" s="1"/>
  <c r="D669" i="1" a="1"/>
  <c r="D669" i="1" s="1"/>
  <c r="D670" i="1" a="1"/>
  <c r="D670" i="1" s="1"/>
  <c r="D671" i="1" a="1"/>
  <c r="D671" i="1"/>
  <c r="D672" i="1" a="1"/>
  <c r="D672" i="1"/>
  <c r="D673" i="1" a="1"/>
  <c r="D673" i="1" s="1"/>
  <c r="D674" i="1" a="1"/>
  <c r="D674" i="1"/>
  <c r="D675" i="1" a="1"/>
  <c r="D675" i="1" s="1"/>
  <c r="D676" i="1" a="1"/>
  <c r="D676" i="1"/>
  <c r="D677" i="1" a="1"/>
  <c r="D677" i="1" s="1"/>
  <c r="D678" i="1" a="1"/>
  <c r="D678" i="1"/>
  <c r="D679" i="1" a="1"/>
  <c r="D679" i="1"/>
  <c r="D680" i="1" a="1"/>
  <c r="D680" i="1" s="1"/>
  <c r="D681" i="1" a="1"/>
  <c r="D681" i="1" s="1"/>
  <c r="D682" i="1" a="1"/>
  <c r="D682" i="1"/>
  <c r="D683" i="1" a="1"/>
  <c r="D683" i="1" s="1"/>
  <c r="D684" i="1" a="1"/>
  <c r="D684" i="1"/>
  <c r="D685" i="1" a="1"/>
  <c r="D685" i="1"/>
  <c r="D686" i="1" a="1"/>
  <c r="D686" i="1"/>
  <c r="D687" i="1" a="1"/>
  <c r="D687" i="1" s="1"/>
  <c r="D688" i="1" a="1"/>
  <c r="D688" i="1" s="1"/>
  <c r="D689" i="1" a="1"/>
  <c r="D689" i="1"/>
  <c r="D690" i="1" a="1"/>
  <c r="D690" i="1" s="1"/>
  <c r="D691" i="1" a="1"/>
  <c r="D691" i="1"/>
  <c r="D692" i="1" a="1"/>
  <c r="D692" i="1"/>
  <c r="D693" i="1" a="1"/>
  <c r="D693" i="1" s="1"/>
  <c r="D694" i="1" a="1"/>
  <c r="D694" i="1"/>
  <c r="D695" i="1" a="1"/>
  <c r="D695" i="1" s="1"/>
  <c r="D696" i="1" a="1"/>
  <c r="D696" i="1" s="1"/>
  <c r="D697" i="1" a="1"/>
  <c r="D697" i="1"/>
  <c r="D698" i="1" a="1"/>
  <c r="D698" i="1"/>
  <c r="D699" i="1" a="1"/>
  <c r="D699" i="1" s="1"/>
  <c r="D700" i="1" a="1"/>
  <c r="D700" i="1"/>
  <c r="D701" i="1" a="1"/>
  <c r="D701" i="1"/>
  <c r="D702" i="1" a="1"/>
  <c r="D702" i="1" s="1"/>
  <c r="D703" i="1" a="1"/>
  <c r="D703" i="1" s="1"/>
  <c r="D704" i="1" a="1"/>
  <c r="D704" i="1"/>
  <c r="D705" i="1" a="1"/>
  <c r="D705" i="1" s="1"/>
  <c r="D706" i="1" a="1"/>
  <c r="D706" i="1"/>
  <c r="D707" i="1" a="1"/>
  <c r="D707" i="1"/>
  <c r="D708" i="1" a="1"/>
  <c r="D708" i="1"/>
  <c r="D709" i="1" a="1"/>
  <c r="D709" i="1" s="1"/>
  <c r="D710" i="1" a="1"/>
  <c r="D710" i="1"/>
  <c r="D711" i="1" a="1"/>
  <c r="D711" i="1" s="1"/>
  <c r="D712" i="1" a="1"/>
  <c r="D712" i="1"/>
  <c r="D713" i="1" a="1"/>
  <c r="D713" i="1"/>
  <c r="D714" i="1" a="1"/>
  <c r="D714" i="1"/>
  <c r="D715" i="1" a="1"/>
  <c r="D715" i="1"/>
  <c r="D716" i="1" a="1"/>
  <c r="D716" i="1" s="1"/>
  <c r="D717" i="1" a="1"/>
  <c r="D717" i="1" s="1"/>
  <c r="D718" i="1" a="1"/>
  <c r="D718" i="1"/>
  <c r="D719" i="1" a="1"/>
  <c r="D719" i="1"/>
  <c r="D720" i="1" a="1"/>
  <c r="D720" i="1"/>
  <c r="D721" i="1" a="1"/>
  <c r="D721" i="1"/>
  <c r="D722" i="1" a="1"/>
  <c r="D722" i="1" s="1"/>
  <c r="D723" i="1" a="1"/>
  <c r="D723" i="1" s="1"/>
  <c r="D724" i="1" a="1"/>
  <c r="D724" i="1"/>
  <c r="D725" i="1" a="1"/>
  <c r="D725" i="1"/>
  <c r="D726" i="1" a="1"/>
  <c r="D726" i="1"/>
  <c r="D727" i="1" a="1"/>
  <c r="D727" i="1"/>
  <c r="D728" i="1" a="1"/>
  <c r="D728" i="1"/>
  <c r="D729" i="1" a="1"/>
  <c r="D729" i="1" s="1"/>
  <c r="D730" i="1" a="1"/>
  <c r="D730" i="1"/>
  <c r="D731" i="1" a="1"/>
  <c r="D731" i="1"/>
  <c r="D732" i="1" a="1"/>
  <c r="D732" i="1" s="1"/>
  <c r="D733" i="1" a="1"/>
  <c r="D733" i="1"/>
  <c r="D734" i="1" a="1"/>
  <c r="D734" i="1"/>
  <c r="D735" i="1" a="1"/>
  <c r="D735" i="1" s="1"/>
  <c r="D736" i="1" a="1"/>
  <c r="D736" i="1" s="1"/>
  <c r="D737" i="1" a="1"/>
  <c r="D737" i="1"/>
  <c r="D738" i="1" a="1"/>
  <c r="D738" i="1"/>
  <c r="D739" i="1" a="1"/>
  <c r="D739" i="1" s="1"/>
  <c r="D740" i="1" a="1"/>
  <c r="D740" i="1"/>
  <c r="D741" i="1" a="1"/>
  <c r="D741" i="1" s="1"/>
  <c r="D742" i="1" a="1"/>
  <c r="D742" i="1" s="1"/>
  <c r="D743" i="1" a="1"/>
  <c r="D743" i="1"/>
  <c r="D744" i="1" a="1"/>
  <c r="D744" i="1" s="1"/>
  <c r="D745" i="1" a="1"/>
  <c r="D745" i="1"/>
  <c r="D746" i="1" a="1"/>
  <c r="D746" i="1" s="1"/>
  <c r="D747" i="1" a="1"/>
  <c r="D747" i="1" s="1"/>
  <c r="D748" i="1" a="1"/>
  <c r="D748" i="1"/>
  <c r="D749" i="1" a="1"/>
  <c r="D749" i="1" s="1"/>
  <c r="D750" i="1" a="1"/>
  <c r="D750" i="1"/>
  <c r="D751" i="1" a="1"/>
  <c r="D751" i="1" s="1"/>
  <c r="D752" i="1" a="1"/>
  <c r="D752" i="1"/>
  <c r="D753" i="1" a="1"/>
  <c r="D753" i="1" s="1"/>
  <c r="D754" i="1" a="1"/>
  <c r="D754" i="1"/>
  <c r="D755" i="1" a="1"/>
  <c r="D755" i="1" s="1"/>
  <c r="D756" i="1" a="1"/>
  <c r="D756" i="1"/>
  <c r="D757" i="1" a="1"/>
  <c r="D757" i="1"/>
  <c r="D758" i="1" a="1"/>
  <c r="D758" i="1" s="1"/>
  <c r="D759" i="1" a="1"/>
  <c r="D759" i="1" s="1"/>
  <c r="D760" i="1" a="1"/>
  <c r="D760" i="1"/>
  <c r="D761" i="1" a="1"/>
  <c r="D761" i="1"/>
  <c r="D762" i="1" a="1"/>
  <c r="D762" i="1" s="1"/>
  <c r="D763" i="1" a="1"/>
  <c r="D763" i="1"/>
  <c r="D764" i="1" a="1"/>
  <c r="D764" i="1"/>
  <c r="D765" i="1" a="1"/>
  <c r="D765" i="1" s="1"/>
  <c r="D766" i="1" a="1"/>
  <c r="D766" i="1"/>
  <c r="D767" i="1" a="1"/>
  <c r="D767" i="1"/>
  <c r="D768" i="1" a="1"/>
  <c r="D768" i="1" s="1"/>
  <c r="D769" i="1" a="1"/>
  <c r="D769" i="1"/>
  <c r="D770" i="1" a="1"/>
  <c r="D770" i="1"/>
  <c r="D771" i="1" a="1"/>
  <c r="D771" i="1" s="1"/>
  <c r="D772" i="1" a="1"/>
  <c r="D772" i="1"/>
  <c r="D773" i="1" a="1"/>
  <c r="D773" i="1"/>
  <c r="D774" i="1" a="1"/>
  <c r="D774" i="1"/>
  <c r="D775" i="1" a="1"/>
  <c r="D775" i="1" s="1"/>
  <c r="D776" i="1" a="1"/>
  <c r="D776" i="1"/>
  <c r="D777" i="1" a="1"/>
  <c r="D777" i="1" s="1"/>
  <c r="D778" i="1" a="1"/>
  <c r="D778" i="1"/>
  <c r="D779" i="1" a="1"/>
  <c r="D779" i="1"/>
  <c r="D780" i="1" a="1"/>
  <c r="D780" i="1"/>
  <c r="D781" i="1" a="1"/>
  <c r="D781" i="1" s="1"/>
  <c r="D782" i="1" a="1"/>
  <c r="D782" i="1"/>
  <c r="D783" i="1" a="1"/>
  <c r="D783" i="1" s="1"/>
  <c r="D784" i="1" a="1"/>
  <c r="D784" i="1"/>
  <c r="D785" i="1" a="1"/>
  <c r="D785" i="1"/>
  <c r="D786" i="1" a="1"/>
  <c r="D786" i="1"/>
  <c r="D787" i="1" a="1"/>
  <c r="D787" i="1"/>
  <c r="D788" i="1" a="1"/>
  <c r="D788" i="1" s="1"/>
  <c r="D789" i="1" a="1"/>
  <c r="D789" i="1" s="1"/>
  <c r="D790" i="1" a="1"/>
  <c r="D790" i="1"/>
  <c r="D791" i="1" a="1"/>
  <c r="D791" i="1"/>
  <c r="D792" i="1" a="1"/>
  <c r="D792" i="1"/>
  <c r="D793" i="1" a="1"/>
  <c r="D793" i="1"/>
  <c r="D794" i="1" a="1"/>
  <c r="D794" i="1" s="1"/>
  <c r="D795" i="1" a="1"/>
  <c r="D795" i="1" s="1"/>
  <c r="D796" i="1" a="1"/>
  <c r="D796" i="1"/>
  <c r="D797" i="1" a="1"/>
  <c r="D797" i="1"/>
  <c r="D798" i="1" a="1"/>
  <c r="D798" i="1"/>
  <c r="D799" i="1" a="1"/>
  <c r="D799" i="1"/>
  <c r="D800" i="1" a="1"/>
  <c r="D800" i="1"/>
  <c r="D801" i="1" a="1"/>
  <c r="D801" i="1" s="1"/>
  <c r="D802" i="1" a="1"/>
  <c r="D802" i="1"/>
  <c r="D803" i="1" a="1"/>
  <c r="D803" i="1" s="1"/>
  <c r="D804" i="1" a="1"/>
  <c r="D804" i="1"/>
  <c r="D805" i="1" a="1"/>
  <c r="D805" i="1"/>
  <c r="D806" i="1" a="1"/>
  <c r="D806" i="1"/>
  <c r="D807" i="1" a="1"/>
  <c r="D807" i="1" s="1"/>
  <c r="D808" i="1" a="1"/>
  <c r="D808" i="1" s="1"/>
  <c r="D809" i="1" a="1"/>
  <c r="D809" i="1"/>
  <c r="D810" i="1" a="1"/>
  <c r="D810" i="1" s="1"/>
  <c r="D811" i="1" a="1"/>
  <c r="D811" i="1"/>
  <c r="D812" i="1" a="1"/>
  <c r="D812" i="1"/>
  <c r="D813" i="1" a="1"/>
  <c r="D813" i="1"/>
  <c r="D814" i="1" a="1"/>
  <c r="D814" i="1" s="1"/>
  <c r="D815" i="1" a="1"/>
  <c r="D815" i="1"/>
  <c r="D816" i="1" a="1"/>
  <c r="D816" i="1"/>
  <c r="D817" i="1" a="1"/>
  <c r="D817" i="1"/>
  <c r="D818" i="1" a="1"/>
  <c r="D818" i="1"/>
  <c r="D819" i="1" a="1"/>
  <c r="D819" i="1"/>
  <c r="D820" i="1" a="1"/>
  <c r="D820" i="1" s="1"/>
  <c r="D821" i="1" a="1"/>
  <c r="D821" i="1" s="1"/>
  <c r="D822" i="1" a="1"/>
  <c r="D822" i="1"/>
  <c r="D823" i="1" a="1"/>
  <c r="D823" i="1" s="1"/>
  <c r="D824" i="1" a="1"/>
  <c r="D824" i="1"/>
  <c r="D825" i="1" a="1"/>
  <c r="D825" i="1"/>
  <c r="D826" i="1" a="1"/>
  <c r="D826" i="1" s="1"/>
  <c r="D827" i="1" a="1"/>
  <c r="D827" i="1"/>
  <c r="D828" i="1" a="1"/>
  <c r="D828" i="1"/>
  <c r="D829" i="1" a="1"/>
  <c r="D829" i="1"/>
  <c r="D830" i="1" a="1"/>
  <c r="D830" i="1"/>
  <c r="D831" i="1" a="1"/>
  <c r="D831" i="1"/>
  <c r="D832" i="1" a="1"/>
  <c r="D832" i="1" s="1"/>
  <c r="D833" i="1" a="1"/>
  <c r="D833" i="1"/>
  <c r="D834" i="1" a="1"/>
  <c r="D834" i="1" s="1"/>
  <c r="D835" i="1" a="1"/>
  <c r="D835" i="1"/>
  <c r="D836" i="1" a="1"/>
  <c r="D836" i="1" s="1"/>
  <c r="D837" i="1" a="1"/>
  <c r="D837" i="1"/>
  <c r="D838" i="1" a="1"/>
  <c r="D838" i="1" s="1"/>
  <c r="D839" i="1" a="1"/>
  <c r="D839" i="1"/>
  <c r="D840" i="1" a="1"/>
  <c r="D840" i="1"/>
  <c r="D841" i="1" a="1"/>
  <c r="D841" i="1"/>
  <c r="D842" i="1" a="1"/>
  <c r="D842" i="1"/>
  <c r="D843" i="1" a="1"/>
  <c r="D843" i="1"/>
  <c r="D844" i="1" a="1"/>
  <c r="D844" i="1" s="1"/>
  <c r="D845" i="1" a="1"/>
  <c r="D845" i="1"/>
  <c r="D846" i="1" a="1"/>
  <c r="D846" i="1"/>
  <c r="D847" i="1" a="1"/>
  <c r="D847" i="1" s="1"/>
  <c r="D848" i="1" a="1"/>
  <c r="D848" i="1"/>
  <c r="D849" i="1" a="1"/>
  <c r="D849" i="1" s="1"/>
  <c r="D850" i="1" a="1"/>
  <c r="D850" i="1" s="1"/>
  <c r="D851" i="1" a="1"/>
  <c r="D851" i="1"/>
  <c r="D852" i="1" a="1"/>
  <c r="D852" i="1"/>
  <c r="D853" i="1" a="1"/>
  <c r="D853" i="1"/>
  <c r="D854" i="1" a="1"/>
  <c r="D854" i="1"/>
  <c r="D855" i="1" a="1"/>
  <c r="D855" i="1"/>
  <c r="D856" i="1" a="1"/>
  <c r="D856" i="1" s="1"/>
  <c r="D857" i="1" a="1"/>
  <c r="D857" i="1"/>
  <c r="D858" i="1" a="1"/>
  <c r="D858" i="1"/>
  <c r="D859" i="1" a="1"/>
  <c r="D859" i="1"/>
  <c r="D860" i="1" a="1"/>
  <c r="D860" i="1" s="1"/>
  <c r="D861" i="1" a="1"/>
  <c r="D861" i="1"/>
  <c r="D862" i="1" a="1"/>
  <c r="D862" i="1" s="1"/>
  <c r="D863" i="1" a="1"/>
  <c r="D863" i="1"/>
  <c r="D864" i="1" a="1"/>
  <c r="D864" i="1"/>
  <c r="D865" i="1" a="1"/>
  <c r="D865" i="1"/>
  <c r="D866" i="1" a="1"/>
  <c r="D866" i="1"/>
  <c r="D867" i="1" a="1"/>
  <c r="D867" i="1"/>
  <c r="D868" i="1" a="1"/>
  <c r="D868" i="1" s="1"/>
  <c r="D869" i="1" a="1"/>
  <c r="D869" i="1" s="1"/>
  <c r="D870" i="1" a="1"/>
  <c r="D870" i="1"/>
  <c r="D871" i="1" a="1"/>
  <c r="D871" i="1"/>
  <c r="D872" i="1" a="1"/>
  <c r="D872" i="1"/>
  <c r="D873" i="1" a="1"/>
  <c r="D873" i="1" s="1"/>
  <c r="D874" i="1" a="1"/>
  <c r="D874" i="1" s="1"/>
  <c r="D875" i="1" a="1"/>
  <c r="D875" i="1"/>
  <c r="D876" i="1" a="1"/>
  <c r="D876" i="1"/>
  <c r="D877" i="1" a="1"/>
  <c r="D877" i="1"/>
  <c r="D878" i="1" a="1"/>
  <c r="D878" i="1"/>
  <c r="D879" i="1" a="1"/>
  <c r="D879" i="1"/>
  <c r="D880" i="1" a="1"/>
  <c r="D880" i="1" s="1"/>
  <c r="D881" i="1" a="1"/>
  <c r="D881" i="1"/>
  <c r="D882" i="1" a="1"/>
  <c r="D882" i="1" s="1"/>
  <c r="D883" i="1" a="1"/>
  <c r="D883" i="1"/>
  <c r="D884" i="1" a="1"/>
  <c r="D884" i="1"/>
  <c r="D885" i="1" a="1"/>
  <c r="D885" i="1"/>
  <c r="D886" i="1" a="1"/>
  <c r="D886" i="1" s="1"/>
  <c r="D887" i="1" a="1"/>
  <c r="D887" i="1"/>
  <c r="D888" i="1" a="1"/>
  <c r="D888" i="1"/>
  <c r="D889" i="1" a="1"/>
  <c r="D889" i="1"/>
  <c r="D890" i="1" a="1"/>
  <c r="D890" i="1"/>
  <c r="D891" i="1" a="1"/>
  <c r="D891" i="1"/>
  <c r="D892" i="1" a="1"/>
  <c r="D892" i="1" s="1"/>
  <c r="D893" i="1" a="1"/>
  <c r="D893" i="1" s="1"/>
  <c r="D894" i="1" a="1"/>
  <c r="D894" i="1"/>
  <c r="D895" i="1" a="1"/>
  <c r="D895" i="1" s="1"/>
  <c r="D896" i="1" a="1"/>
  <c r="D896" i="1"/>
  <c r="D897" i="1" a="1"/>
  <c r="D897" i="1"/>
  <c r="D898" i="1" a="1"/>
  <c r="D898" i="1" s="1"/>
  <c r="D899" i="1" a="1"/>
  <c r="D899" i="1"/>
  <c r="D900" i="1" a="1"/>
  <c r="D900" i="1"/>
  <c r="D901" i="1" a="1"/>
  <c r="D901" i="1"/>
  <c r="D902" i="1" a="1"/>
  <c r="D902" i="1"/>
  <c r="D903" i="1" a="1"/>
  <c r="D903" i="1"/>
  <c r="D904" i="1" a="1"/>
  <c r="D904" i="1" s="1"/>
  <c r="D905" i="1" a="1"/>
  <c r="D905" i="1"/>
  <c r="D906" i="1" a="1"/>
  <c r="D906" i="1" s="1"/>
  <c r="D907" i="1" a="1"/>
  <c r="D907" i="1"/>
  <c r="D908" i="1" a="1"/>
  <c r="D908" i="1" s="1"/>
  <c r="D909" i="1" a="1"/>
  <c r="D909" i="1"/>
  <c r="D910" i="1" a="1"/>
  <c r="D910" i="1" s="1"/>
  <c r="D911" i="1" a="1"/>
  <c r="D911" i="1"/>
  <c r="D912" i="1" a="1"/>
  <c r="D912" i="1"/>
  <c r="D913" i="1" a="1"/>
  <c r="D913" i="1"/>
  <c r="D914" i="1" a="1"/>
  <c r="D914" i="1"/>
  <c r="D915" i="1" a="1"/>
  <c r="D915" i="1"/>
  <c r="D916" i="1" a="1"/>
  <c r="D916" i="1" s="1"/>
  <c r="D917" i="1" a="1"/>
  <c r="D917" i="1"/>
  <c r="D918" i="1" a="1"/>
  <c r="D918" i="1"/>
  <c r="D919" i="1" a="1"/>
  <c r="D919" i="1" s="1"/>
  <c r="D920" i="1" a="1"/>
  <c r="D920" i="1"/>
  <c r="D921" i="1" a="1"/>
  <c r="D921" i="1" s="1"/>
  <c r="D922" i="1" a="1"/>
  <c r="D922" i="1" s="1"/>
  <c r="D923" i="1" a="1"/>
  <c r="D923" i="1"/>
  <c r="D924" i="1" a="1"/>
  <c r="D924" i="1"/>
  <c r="D925" i="1" a="1"/>
  <c r="D925" i="1"/>
  <c r="D926" i="1" a="1"/>
  <c r="D926" i="1"/>
  <c r="D927" i="1" a="1"/>
  <c r="D927" i="1"/>
  <c r="D928" i="1" a="1"/>
  <c r="D928" i="1" s="1"/>
  <c r="D929" i="1" a="1"/>
  <c r="D929" i="1"/>
  <c r="D930" i="1" a="1"/>
  <c r="D930" i="1"/>
  <c r="D931" i="1" a="1"/>
  <c r="D931" i="1"/>
  <c r="D932" i="1" a="1"/>
  <c r="D932" i="1" s="1"/>
  <c r="D933" i="1" a="1"/>
  <c r="D933" i="1"/>
  <c r="D934" i="1" a="1"/>
  <c r="D934" i="1" s="1"/>
  <c r="D935" i="1" a="1"/>
  <c r="D935" i="1"/>
  <c r="D936" i="1" a="1"/>
  <c r="D936" i="1"/>
  <c r="D937" i="1" a="1"/>
  <c r="D937" i="1"/>
  <c r="D938" i="1" a="1"/>
  <c r="D938" i="1"/>
  <c r="D939" i="1" a="1"/>
  <c r="D939" i="1"/>
  <c r="D940" i="1" a="1"/>
  <c r="D940" i="1" s="1"/>
  <c r="D941" i="1" a="1"/>
  <c r="D941" i="1" s="1"/>
  <c r="D942" i="1" a="1"/>
  <c r="D942" i="1"/>
  <c r="D943" i="1" a="1"/>
  <c r="D943" i="1"/>
  <c r="D944" i="1" a="1"/>
  <c r="D944" i="1"/>
  <c r="D945" i="1" a="1"/>
  <c r="D945" i="1" s="1"/>
  <c r="D946" i="1" a="1"/>
  <c r="D946" i="1" s="1"/>
  <c r="D947" i="1" a="1"/>
  <c r="D947" i="1"/>
  <c r="D948" i="1" a="1"/>
  <c r="D948" i="1"/>
  <c r="D949" i="1" a="1"/>
  <c r="D949" i="1"/>
  <c r="D950" i="1" a="1"/>
  <c r="D950" i="1"/>
  <c r="D951" i="1" a="1"/>
  <c r="D951" i="1"/>
  <c r="D952" i="1" a="1"/>
  <c r="D952" i="1" s="1"/>
  <c r="D953" i="1" a="1"/>
  <c r="D953" i="1"/>
  <c r="D954" i="1" a="1"/>
  <c r="D954" i="1" s="1"/>
  <c r="D955" i="1" a="1"/>
  <c r="D955" i="1"/>
  <c r="D956" i="1" a="1"/>
  <c r="D956" i="1"/>
  <c r="D957" i="1" a="1"/>
  <c r="D957" i="1"/>
  <c r="D958" i="1" a="1"/>
  <c r="D958" i="1" s="1"/>
  <c r="D959" i="1" a="1"/>
  <c r="D959" i="1"/>
  <c r="D960" i="1" a="1"/>
  <c r="D960" i="1"/>
  <c r="D961" i="1" a="1"/>
  <c r="D961" i="1"/>
  <c r="D962" i="1" a="1"/>
  <c r="D962" i="1"/>
  <c r="D963" i="1" a="1"/>
  <c r="D963" i="1"/>
  <c r="D964" i="1" a="1"/>
  <c r="D964" i="1" s="1"/>
  <c r="D965" i="1" a="1"/>
  <c r="D965" i="1" s="1"/>
  <c r="D966" i="1" a="1"/>
  <c r="D966" i="1"/>
  <c r="D967" i="1" a="1"/>
  <c r="D967" i="1" s="1"/>
  <c r="D968" i="1" a="1"/>
  <c r="D968" i="1"/>
  <c r="D969" i="1" a="1"/>
  <c r="D969" i="1"/>
  <c r="D970" i="1" a="1"/>
  <c r="D970" i="1" s="1"/>
  <c r="D971" i="1" a="1"/>
  <c r="D971" i="1"/>
  <c r="D972" i="1" a="1"/>
  <c r="D972" i="1"/>
  <c r="D973" i="1" a="1"/>
  <c r="D973" i="1"/>
  <c r="D974" i="1" a="1"/>
  <c r="D974" i="1"/>
  <c r="D975" i="1" a="1"/>
  <c r="D975" i="1"/>
  <c r="D976" i="1" a="1"/>
  <c r="D976" i="1" s="1"/>
  <c r="D977" i="1" a="1"/>
  <c r="D977" i="1"/>
  <c r="D978" i="1" a="1"/>
  <c r="D978" i="1" s="1"/>
  <c r="D979" i="1" a="1"/>
  <c r="D979" i="1"/>
  <c r="D980" i="1" a="1"/>
  <c r="D980" i="1" s="1"/>
  <c r="D981" i="1" a="1"/>
  <c r="D981" i="1"/>
  <c r="D982" i="1" a="1"/>
  <c r="D982" i="1" s="1"/>
  <c r="D983" i="1" a="1"/>
  <c r="D983" i="1"/>
  <c r="D984" i="1" a="1"/>
  <c r="D984" i="1"/>
  <c r="D985" i="1" a="1"/>
  <c r="D985" i="1"/>
  <c r="D986" i="1" a="1"/>
  <c r="D986" i="1"/>
  <c r="D987" i="1" a="1"/>
  <c r="D987" i="1"/>
  <c r="D988" i="1" a="1"/>
  <c r="D988" i="1" s="1"/>
  <c r="D989" i="1" a="1"/>
  <c r="D989" i="1"/>
  <c r="D990" i="1" a="1"/>
  <c r="D990" i="1"/>
  <c r="D991" i="1" a="1"/>
  <c r="D991" i="1" s="1"/>
  <c r="D992" i="1" a="1"/>
  <c r="D992" i="1"/>
  <c r="D993" i="1" a="1"/>
  <c r="D993" i="1" s="1"/>
  <c r="D994" i="1" a="1"/>
  <c r="D994" i="1" s="1"/>
  <c r="D995" i="1" a="1"/>
  <c r="D995" i="1"/>
  <c r="D996" i="1" a="1"/>
  <c r="D996" i="1"/>
  <c r="D997" i="1" a="1"/>
  <c r="D997" i="1"/>
  <c r="D998" i="1" a="1"/>
  <c r="D998" i="1"/>
  <c r="D999" i="1" a="1"/>
  <c r="D999" i="1"/>
  <c r="D1000" i="1" a="1"/>
  <c r="D1000" i="1" s="1"/>
  <c r="D1001" i="1" a="1"/>
  <c r="D1001" i="1"/>
  <c r="D1002" i="1" a="1"/>
  <c r="D1002" i="1"/>
  <c r="D1003" i="1" a="1"/>
  <c r="D1003" i="1"/>
  <c r="D1004" i="1" a="1"/>
  <c r="D1004" i="1" s="1"/>
  <c r="D1005" i="1" a="1"/>
  <c r="D1005" i="1"/>
  <c r="D1006" i="1" a="1"/>
  <c r="D1006" i="1" s="1"/>
  <c r="D1007" i="1" a="1"/>
  <c r="D1007" i="1"/>
  <c r="D1008" i="1" a="1"/>
  <c r="D1008" i="1"/>
  <c r="D1009" i="1" a="1"/>
  <c r="D1009" i="1"/>
  <c r="D1010" i="1" a="1"/>
  <c r="D1010" i="1"/>
  <c r="D1011" i="1" a="1"/>
  <c r="D1011" i="1"/>
  <c r="D1012" i="1" a="1"/>
  <c r="D1012" i="1" s="1"/>
  <c r="D1013" i="1" a="1"/>
  <c r="D1013" i="1" s="1"/>
  <c r="D1014" i="1" a="1"/>
  <c r="D1014" i="1"/>
  <c r="D1015" i="1" a="1"/>
  <c r="D1015" i="1"/>
  <c r="D1016" i="1" a="1"/>
  <c r="D1016" i="1"/>
  <c r="D1017" i="1" a="1"/>
  <c r="D1017" i="1" s="1"/>
  <c r="D1018" i="1" a="1"/>
  <c r="D1018" i="1" s="1"/>
  <c r="D1019" i="1" a="1"/>
  <c r="D1019" i="1"/>
  <c r="D1020" i="1" a="1"/>
  <c r="D1020" i="1"/>
  <c r="D1021" i="1" a="1"/>
  <c r="D1021" i="1"/>
  <c r="D1022" i="1" a="1"/>
  <c r="D1022" i="1"/>
  <c r="D1023" i="1" a="1"/>
  <c r="D1023" i="1"/>
  <c r="D1024" i="1" a="1"/>
  <c r="D1024" i="1" s="1"/>
  <c r="D1025" i="1" a="1"/>
  <c r="D1025" i="1"/>
  <c r="D1026" i="1" a="1"/>
  <c r="D1026" i="1" s="1"/>
  <c r="D1027" i="1" a="1"/>
  <c r="D1027" i="1"/>
  <c r="D1028" i="1" a="1"/>
  <c r="D1028" i="1"/>
  <c r="D1029" i="1" a="1"/>
  <c r="D1029" i="1"/>
  <c r="D1030" i="1" a="1"/>
  <c r="D1030" i="1" s="1"/>
  <c r="D1031" i="1" a="1"/>
  <c r="D1031" i="1"/>
  <c r="D1032" i="1" a="1"/>
  <c r="D1032" i="1"/>
  <c r="D1033" i="1" a="1"/>
  <c r="D1033" i="1"/>
  <c r="D1034" i="1" a="1"/>
  <c r="D1034" i="1"/>
  <c r="D1035" i="1" a="1"/>
  <c r="D1035" i="1"/>
  <c r="D1036" i="1" a="1"/>
  <c r="D1036" i="1" s="1"/>
  <c r="D1037" i="1" a="1"/>
  <c r="D1037" i="1" s="1"/>
  <c r="D1038" i="1" a="1"/>
  <c r="D1038" i="1"/>
  <c r="D1039" i="1" a="1"/>
  <c r="D1039" i="1" s="1"/>
  <c r="D1040" i="1" a="1"/>
  <c r="D1040" i="1"/>
  <c r="D1041" i="1" a="1"/>
  <c r="D1041" i="1"/>
  <c r="D1042" i="1" a="1"/>
  <c r="D1042" i="1" s="1"/>
  <c r="D1043" i="1" a="1"/>
  <c r="D1043" i="1"/>
  <c r="D1044" i="1" a="1"/>
  <c r="D1044" i="1"/>
  <c r="D1045" i="1" a="1"/>
  <c r="D1045" i="1"/>
  <c r="D1046" i="1" a="1"/>
  <c r="D1046" i="1"/>
  <c r="D1047" i="1" a="1"/>
  <c r="D1047" i="1"/>
  <c r="D1048" i="1" a="1"/>
  <c r="D1048" i="1" s="1"/>
  <c r="D1049" i="1" a="1"/>
  <c r="D1049" i="1"/>
  <c r="D1050" i="1" a="1"/>
  <c r="D1050" i="1" s="1"/>
  <c r="D1051" i="1" a="1"/>
  <c r="D1051" i="1"/>
  <c r="D1052" i="1" a="1"/>
  <c r="D1052" i="1" s="1"/>
  <c r="D1053" i="1" a="1"/>
  <c r="D1053" i="1"/>
  <c r="D1054" i="1" a="1"/>
  <c r="D1054" i="1" s="1"/>
  <c r="D1055" i="1" a="1"/>
  <c r="D1055" i="1"/>
  <c r="D1056" i="1" a="1"/>
  <c r="D1056" i="1"/>
  <c r="D1057" i="1" a="1"/>
  <c r="D1057" i="1"/>
  <c r="D1058" i="1" a="1"/>
  <c r="D1058" i="1"/>
  <c r="D1059" i="1" a="1"/>
  <c r="D1059" i="1"/>
  <c r="D1060" i="1" a="1"/>
  <c r="D1060" i="1" s="1"/>
  <c r="D1061" i="1" a="1"/>
  <c r="D1061" i="1"/>
  <c r="D1062" i="1" a="1"/>
  <c r="D1062" i="1"/>
  <c r="D1063" i="1" a="1"/>
  <c r="D1063" i="1" s="1"/>
  <c r="D1064" i="1" a="1"/>
  <c r="D1064" i="1"/>
  <c r="D1065" i="1" a="1"/>
  <c r="D1065" i="1" s="1"/>
  <c r="D1066" i="1" a="1"/>
  <c r="D1066" i="1" s="1"/>
  <c r="D1067" i="1" a="1"/>
  <c r="D1067" i="1"/>
  <c r="D1068" i="1" a="1"/>
  <c r="D1068" i="1"/>
  <c r="D1069" i="1" a="1"/>
  <c r="D1069" i="1"/>
  <c r="D1070" i="1" a="1"/>
  <c r="D1070" i="1"/>
  <c r="D1071" i="1" a="1"/>
  <c r="D1071" i="1"/>
  <c r="D1072" i="1" a="1"/>
  <c r="D1072" i="1" s="1"/>
  <c r="D1073" i="1" a="1"/>
  <c r="D1073" i="1"/>
  <c r="D1074" i="1" a="1"/>
  <c r="D1074" i="1"/>
  <c r="D1075" i="1" a="1"/>
  <c r="D1075" i="1"/>
  <c r="D1076" i="1" a="1"/>
  <c r="D1076" i="1" s="1"/>
  <c r="D1077" i="1" a="1"/>
  <c r="D1077" i="1"/>
  <c r="D1078" i="1" a="1"/>
  <c r="D1078" i="1" s="1"/>
  <c r="D1079" i="1" a="1"/>
  <c r="D1079" i="1"/>
  <c r="D1080" i="1" a="1"/>
  <c r="D1080" i="1"/>
  <c r="D1081" i="1" a="1"/>
  <c r="D1081" i="1"/>
  <c r="D1082" i="1" a="1"/>
  <c r="D1082" i="1"/>
  <c r="D1083" i="1" a="1"/>
  <c r="D1083" i="1"/>
  <c r="D1084" i="1" a="1"/>
  <c r="D1084" i="1" s="1"/>
  <c r="D1085" i="1" a="1"/>
  <c r="D1085" i="1" s="1"/>
  <c r="D1086" i="1" a="1"/>
  <c r="D1086" i="1"/>
  <c r="D1087" i="1" a="1"/>
  <c r="D1087" i="1"/>
  <c r="D1088" i="1" a="1"/>
  <c r="D1088" i="1"/>
  <c r="D1089" i="1" a="1"/>
  <c r="D1089" i="1" s="1"/>
  <c r="D1090" i="1" a="1"/>
  <c r="D1090" i="1" s="1"/>
  <c r="D1091" i="1" a="1"/>
  <c r="D1091" i="1"/>
  <c r="D1092" i="1" a="1"/>
  <c r="D1092" i="1"/>
  <c r="D1093" i="1" a="1"/>
  <c r="D1093" i="1"/>
  <c r="D1094" i="1" a="1"/>
  <c r="D1094" i="1"/>
  <c r="D1095" i="1" a="1"/>
  <c r="D1095" i="1"/>
  <c r="D1096" i="1" a="1"/>
  <c r="D1096" i="1" s="1"/>
  <c r="D1097" i="1" a="1"/>
  <c r="D1097" i="1"/>
  <c r="D1098" i="1" a="1"/>
  <c r="D1098" i="1" s="1"/>
  <c r="D1099" i="1" a="1"/>
  <c r="D1099" i="1"/>
  <c r="D1100" i="1" a="1"/>
  <c r="D1100" i="1"/>
  <c r="D1101" i="1" a="1"/>
  <c r="D1101" i="1"/>
  <c r="D1102" i="1" a="1"/>
  <c r="D1102" i="1" s="1"/>
  <c r="D1103" i="1" a="1"/>
  <c r="D1103" i="1"/>
  <c r="D1104" i="1" a="1"/>
  <c r="D1104" i="1"/>
  <c r="D1105" i="1" a="1"/>
  <c r="D1105" i="1"/>
  <c r="D1106" i="1" a="1"/>
  <c r="D1106" i="1"/>
  <c r="D1107" i="1" a="1"/>
  <c r="D1107" i="1"/>
  <c r="D1108" i="1" a="1"/>
  <c r="D1108" i="1" s="1"/>
  <c r="D1109" i="1" a="1"/>
  <c r="D1109" i="1" s="1"/>
  <c r="D1110" i="1" a="1"/>
  <c r="D1110" i="1"/>
  <c r="D1111" i="1" a="1"/>
  <c r="D1111" i="1" s="1"/>
  <c r="D1112" i="1" a="1"/>
  <c r="D1112" i="1"/>
  <c r="D1113" i="1" a="1"/>
  <c r="D1113" i="1"/>
  <c r="D1114" i="1" a="1"/>
  <c r="D1114" i="1" s="1"/>
  <c r="D1115" i="1" a="1"/>
  <c r="D1115" i="1"/>
  <c r="D1116" i="1" a="1"/>
  <c r="D1116" i="1"/>
  <c r="D1117" i="1" a="1"/>
  <c r="D1117" i="1"/>
  <c r="D1118" i="1" a="1"/>
  <c r="D1118" i="1"/>
  <c r="D1119" i="1" a="1"/>
  <c r="D1119" i="1"/>
  <c r="D1120" i="1" a="1"/>
  <c r="D1120" i="1" s="1"/>
  <c r="D1121" i="1" a="1"/>
  <c r="D1121" i="1"/>
  <c r="D1122" i="1" a="1"/>
  <c r="D1122" i="1" s="1"/>
  <c r="D1123" i="1" a="1"/>
  <c r="D1123" i="1"/>
  <c r="D1124" i="1" a="1"/>
  <c r="D1124" i="1" s="1"/>
  <c r="D1125" i="1" a="1"/>
  <c r="D1125" i="1"/>
  <c r="D1126" i="1" a="1"/>
  <c r="D1126" i="1" s="1"/>
  <c r="D1127" i="1" a="1"/>
  <c r="D1127" i="1"/>
  <c r="D1128" i="1" a="1"/>
  <c r="D1128" i="1"/>
  <c r="D1129" i="1" a="1"/>
  <c r="D1129" i="1"/>
  <c r="D1130" i="1" a="1"/>
  <c r="D1130" i="1"/>
  <c r="D1131" i="1" a="1"/>
  <c r="D1131" i="1"/>
  <c r="D1132" i="1" a="1"/>
  <c r="D1132" i="1" s="1"/>
  <c r="D1133" i="1" a="1"/>
  <c r="D1133" i="1"/>
  <c r="D1134" i="1" a="1"/>
  <c r="D1134" i="1"/>
  <c r="D1135" i="1" a="1"/>
  <c r="D1135" i="1" s="1"/>
  <c r="D1136" i="1" a="1"/>
  <c r="D1136" i="1"/>
  <c r="D1137" i="1" a="1"/>
  <c r="D1137" i="1" s="1"/>
  <c r="D1138" i="1" a="1"/>
  <c r="D1138" i="1" s="1"/>
  <c r="D1139" i="1" a="1"/>
  <c r="D1139" i="1"/>
  <c r="D1140" i="1" a="1"/>
  <c r="D1140" i="1"/>
  <c r="D1141" i="1" a="1"/>
  <c r="D1141" i="1"/>
  <c r="D1142" i="1" a="1"/>
  <c r="D1142" i="1"/>
  <c r="D1143" i="1" a="1"/>
  <c r="D1143" i="1"/>
  <c r="D1144" i="1" a="1"/>
  <c r="D1144" i="1" s="1"/>
  <c r="D1145" i="1" a="1"/>
  <c r="D1145" i="1"/>
  <c r="D1146" i="1" a="1"/>
  <c r="D1146" i="1"/>
  <c r="D1147" i="1" a="1"/>
  <c r="D1147" i="1"/>
  <c r="D1148" i="1" a="1"/>
  <c r="D1148" i="1" s="1"/>
  <c r="D1149" i="1" a="1"/>
  <c r="D1149" i="1"/>
  <c r="D1150" i="1" a="1"/>
  <c r="D1150" i="1" s="1"/>
  <c r="D1151" i="1" a="1"/>
  <c r="D1151" i="1"/>
  <c r="D1152" i="1" a="1"/>
  <c r="D1152" i="1"/>
  <c r="D1153" i="1" a="1"/>
  <c r="D1153" i="1"/>
  <c r="D1154" i="1" a="1"/>
  <c r="D1154" i="1"/>
  <c r="D1155" i="1" a="1"/>
  <c r="D1155" i="1"/>
  <c r="D1156" i="1" a="1"/>
  <c r="D1156" i="1" s="1"/>
  <c r="D1157" i="1" a="1"/>
  <c r="D1157" i="1" s="1"/>
  <c r="D1158" i="1" a="1"/>
  <c r="D1158" i="1"/>
  <c r="D1159" i="1" a="1"/>
  <c r="D1159" i="1"/>
  <c r="D1160" i="1" a="1"/>
  <c r="D1160" i="1"/>
  <c r="D1161" i="1" a="1"/>
  <c r="D1161" i="1" s="1"/>
  <c r="D1162" i="1" a="1"/>
  <c r="D1162" i="1" s="1"/>
  <c r="D1163" i="1" a="1"/>
  <c r="D1163" i="1"/>
  <c r="D1164" i="1" a="1"/>
  <c r="D1164" i="1"/>
  <c r="D1165" i="1" a="1"/>
  <c r="D1165" i="1"/>
  <c r="D1166" i="1" a="1"/>
  <c r="D1166" i="1"/>
  <c r="D1167" i="1" a="1"/>
  <c r="D1167" i="1"/>
  <c r="D1168" i="1" a="1"/>
  <c r="D1168" i="1" s="1"/>
  <c r="D1169" i="1" a="1"/>
  <c r="D1169" i="1"/>
  <c r="D1170" i="1" a="1"/>
  <c r="D1170" i="1" s="1"/>
  <c r="D1171" i="1" a="1"/>
  <c r="D1171" i="1"/>
  <c r="D1172" i="1" a="1"/>
  <c r="D1172" i="1"/>
  <c r="D1173" i="1" a="1"/>
  <c r="D1173" i="1"/>
  <c r="D1174" i="1" a="1"/>
  <c r="D1174" i="1" s="1"/>
  <c r="D1175" i="1" a="1"/>
  <c r="D1175" i="1"/>
  <c r="D1176" i="1" a="1"/>
  <c r="D1176" i="1"/>
  <c r="D1177" i="1" a="1"/>
  <c r="D1177" i="1"/>
  <c r="D1178" i="1" a="1"/>
  <c r="D1178" i="1"/>
  <c r="D1179" i="1" a="1"/>
  <c r="D1179" i="1"/>
  <c r="D1180" i="1" a="1"/>
  <c r="D1180" i="1" s="1"/>
  <c r="D1181" i="1" a="1"/>
  <c r="D1181" i="1" s="1"/>
  <c r="D1182" i="1" a="1"/>
  <c r="D1182" i="1"/>
  <c r="D1183" i="1" a="1"/>
  <c r="D1183" i="1" s="1"/>
  <c r="D1184" i="1" a="1"/>
  <c r="D1184" i="1"/>
  <c r="D1185" i="1" a="1"/>
  <c r="D1185" i="1"/>
  <c r="D1186" i="1" a="1"/>
  <c r="D1186" i="1" s="1"/>
  <c r="D1187" i="1" a="1"/>
  <c r="D1187" i="1"/>
  <c r="D1188" i="1" a="1"/>
  <c r="D1188" i="1"/>
  <c r="D1189" i="1" a="1"/>
  <c r="D1189" i="1"/>
  <c r="D1190" i="1" a="1"/>
  <c r="D1190" i="1"/>
  <c r="D1191" i="1" a="1"/>
  <c r="D1191" i="1"/>
  <c r="D1192" i="1" a="1"/>
  <c r="D1192" i="1" s="1"/>
  <c r="D1193" i="1" a="1"/>
  <c r="D1193" i="1"/>
  <c r="D1194" i="1" a="1"/>
  <c r="D1194" i="1" s="1"/>
  <c r="D1195" i="1" a="1"/>
  <c r="D1195" i="1"/>
  <c r="D1196" i="1" a="1"/>
  <c r="D1196" i="1" s="1"/>
  <c r="D1197" i="1" a="1"/>
  <c r="D1197" i="1"/>
  <c r="D1198" i="1" a="1"/>
  <c r="D1198" i="1" s="1"/>
  <c r="D1199" i="1" a="1"/>
  <c r="D1199" i="1"/>
  <c r="D1200" i="1" a="1"/>
  <c r="D1200" i="1"/>
  <c r="D1201" i="1" a="1"/>
  <c r="D1201" i="1"/>
  <c r="D1202" i="1" a="1"/>
  <c r="D1202" i="1"/>
  <c r="D1203" i="1" a="1"/>
  <c r="D1203" i="1"/>
  <c r="D1204" i="1" a="1"/>
  <c r="D1204" i="1" s="1"/>
  <c r="D1205" i="1" a="1"/>
  <c r="D1205" i="1"/>
  <c r="D1206" i="1" a="1"/>
  <c r="D1206" i="1"/>
  <c r="D1207" i="1" a="1"/>
  <c r="D1207" i="1" s="1"/>
  <c r="D1208" i="1" a="1"/>
  <c r="D1208" i="1"/>
  <c r="D1209" i="1" a="1"/>
  <c r="D1209" i="1" s="1"/>
  <c r="D1210" i="1" a="1"/>
  <c r="D1210" i="1" s="1"/>
  <c r="D1211" i="1" a="1"/>
  <c r="D1211" i="1"/>
  <c r="D1212" i="1" a="1"/>
  <c r="D1212" i="1"/>
  <c r="D1213" i="1" a="1"/>
  <c r="D1213" i="1"/>
  <c r="D1214" i="1" a="1"/>
  <c r="D1214" i="1"/>
  <c r="D1215" i="1" a="1"/>
  <c r="D1215" i="1"/>
  <c r="D1216" i="1" a="1"/>
  <c r="D1216" i="1" s="1"/>
  <c r="D1217" i="1" a="1"/>
  <c r="D1217" i="1"/>
  <c r="D1218" i="1" a="1"/>
  <c r="D1218" i="1"/>
  <c r="D1219" i="1" a="1"/>
  <c r="D1219" i="1"/>
  <c r="D1220" i="1" a="1"/>
  <c r="D1220" i="1" s="1"/>
  <c r="D1221" i="1" a="1"/>
  <c r="D1221" i="1"/>
  <c r="D1222" i="1" a="1"/>
  <c r="D1222" i="1" s="1"/>
  <c r="D1223" i="1" a="1"/>
  <c r="D1223" i="1"/>
  <c r="D1224" i="1" a="1"/>
  <c r="D1224" i="1"/>
  <c r="D1225" i="1" a="1"/>
  <c r="D1225" i="1"/>
  <c r="D1226" i="1" a="1"/>
  <c r="D1226" i="1"/>
  <c r="D1227" i="1" a="1"/>
  <c r="D1227" i="1"/>
  <c r="D1228" i="1" a="1"/>
  <c r="D1228" i="1" s="1"/>
  <c r="D1229" i="1" a="1"/>
  <c r="D1229" i="1" s="1"/>
  <c r="D1230" i="1" a="1"/>
  <c r="D1230" i="1"/>
  <c r="D1231" i="1" a="1"/>
  <c r="D1231" i="1"/>
  <c r="D1232" i="1" a="1"/>
  <c r="D1232" i="1"/>
  <c r="D1233" i="1" a="1"/>
  <c r="D1233" i="1" s="1"/>
  <c r="D1234" i="1" a="1"/>
  <c r="D1234" i="1" s="1"/>
  <c r="D1235" i="1" a="1"/>
  <c r="D1235" i="1"/>
  <c r="D1236" i="1" a="1"/>
  <c r="D1236" i="1"/>
  <c r="D1237" i="1" a="1"/>
  <c r="D1237" i="1"/>
  <c r="D1238" i="1" a="1"/>
  <c r="D1238" i="1"/>
  <c r="D1239" i="1" a="1"/>
  <c r="D1239" i="1"/>
  <c r="D1240" i="1" a="1"/>
  <c r="D1240" i="1" s="1"/>
  <c r="D1241" i="1" a="1"/>
  <c r="D1241" i="1"/>
  <c r="D1242" i="1" a="1"/>
  <c r="D1242" i="1" s="1"/>
  <c r="D1243" i="1" a="1"/>
  <c r="D1243" i="1"/>
  <c r="D1244" i="1" a="1"/>
  <c r="D1244" i="1"/>
  <c r="D1245" i="1" a="1"/>
  <c r="D1245" i="1"/>
  <c r="D1246" i="1" a="1"/>
  <c r="D1246" i="1" s="1"/>
  <c r="D1247" i="1" a="1"/>
  <c r="D1247" i="1"/>
  <c r="D1248" i="1" a="1"/>
  <c r="D1248" i="1"/>
  <c r="D1249" i="1" a="1"/>
  <c r="D1249" i="1"/>
  <c r="D1250" i="1" a="1"/>
  <c r="D1250" i="1"/>
  <c r="D1251" i="1" a="1"/>
  <c r="D1251" i="1"/>
  <c r="D1252" i="1" a="1"/>
  <c r="D1252" i="1" s="1"/>
  <c r="D1253" i="1" a="1"/>
  <c r="D1253" i="1" s="1"/>
  <c r="D1254" i="1" a="1"/>
  <c r="D1254" i="1"/>
  <c r="D1255" i="1" a="1"/>
  <c r="D1255" i="1" s="1"/>
  <c r="D1256" i="1" a="1"/>
  <c r="D1256" i="1"/>
  <c r="D1257" i="1" a="1"/>
  <c r="D1257" i="1"/>
  <c r="D1258" i="1" a="1"/>
  <c r="D1258" i="1" s="1"/>
  <c r="D1259" i="1" a="1"/>
  <c r="D1259" i="1"/>
  <c r="D1260" i="1" a="1"/>
  <c r="D1260" i="1"/>
  <c r="D1261" i="1" a="1"/>
  <c r="D1261" i="1"/>
  <c r="D1262" i="1" a="1"/>
  <c r="D1262" i="1"/>
  <c r="D1263" i="1" a="1"/>
  <c r="D1263" i="1"/>
  <c r="D1264" i="1" a="1"/>
  <c r="D1264" i="1" s="1"/>
  <c r="D1265" i="1" a="1"/>
  <c r="D1265" i="1"/>
  <c r="D1266" i="1" a="1"/>
  <c r="D1266" i="1" s="1"/>
  <c r="D1267" i="1" a="1"/>
  <c r="D1267" i="1"/>
  <c r="D1268" i="1" a="1"/>
  <c r="D1268" i="1" s="1"/>
  <c r="D1269" i="1" a="1"/>
  <c r="D1269" i="1"/>
  <c r="D1270" i="1" a="1"/>
  <c r="D1270" i="1" s="1"/>
  <c r="D1271" i="1" a="1"/>
  <c r="D1271" i="1"/>
  <c r="D1272" i="1" a="1"/>
  <c r="D1272" i="1"/>
  <c r="D1273" i="1" a="1"/>
  <c r="D1273" i="1"/>
  <c r="D1274" i="1" a="1"/>
  <c r="D1274" i="1"/>
  <c r="D1275" i="1" a="1"/>
  <c r="D1275" i="1"/>
  <c r="D1276" i="1" a="1"/>
  <c r="D1276" i="1" s="1"/>
  <c r="D1277" i="1" a="1"/>
  <c r="D1277" i="1"/>
  <c r="D1278" i="1" a="1"/>
  <c r="D1278" i="1"/>
  <c r="D1279" i="1" a="1"/>
  <c r="D1279" i="1" s="1"/>
  <c r="D1280" i="1" a="1"/>
  <c r="D1280" i="1"/>
  <c r="D1281" i="1" a="1"/>
  <c r="D1281" i="1" s="1"/>
  <c r="D1282" i="1" a="1"/>
  <c r="D1282" i="1" s="1"/>
  <c r="D1283" i="1" a="1"/>
  <c r="D1283" i="1"/>
  <c r="D1284" i="1" a="1"/>
  <c r="D1284" i="1"/>
  <c r="D1285" i="1" a="1"/>
  <c r="D1285" i="1"/>
  <c r="D1286" i="1" a="1"/>
  <c r="D1286" i="1"/>
  <c r="D1287" i="1" a="1"/>
  <c r="D1287" i="1"/>
  <c r="D1288" i="1" a="1"/>
  <c r="D1288" i="1" s="1"/>
  <c r="D1289" i="1" a="1"/>
  <c r="D1289" i="1"/>
  <c r="D1290" i="1" a="1"/>
  <c r="D1290" i="1"/>
  <c r="D1291" i="1" a="1"/>
  <c r="D1291" i="1"/>
  <c r="D1292" i="1" a="1"/>
  <c r="D1292" i="1" s="1"/>
  <c r="D1293" i="1" a="1"/>
  <c r="D1293" i="1"/>
  <c r="D1294" i="1" a="1"/>
  <c r="D1294" i="1" s="1"/>
  <c r="D1295" i="1" a="1"/>
  <c r="D1295" i="1"/>
  <c r="D1296" i="1" a="1"/>
  <c r="D1296" i="1"/>
  <c r="D1297" i="1" a="1"/>
  <c r="D1297" i="1"/>
  <c r="D1298" i="1" a="1"/>
  <c r="D1298" i="1"/>
  <c r="D1299" i="1" a="1"/>
  <c r="D1299" i="1"/>
  <c r="D1300" i="1" a="1"/>
  <c r="D1300" i="1" s="1"/>
  <c r="D1301" i="1" a="1"/>
  <c r="D1301" i="1" s="1"/>
  <c r="D1302" i="1" a="1"/>
  <c r="D1302" i="1"/>
  <c r="D1303" i="1" a="1"/>
  <c r="D1303" i="1"/>
  <c r="D1304" i="1" a="1"/>
  <c r="D1304" i="1"/>
  <c r="D1305" i="1" a="1"/>
  <c r="D1305" i="1" s="1"/>
  <c r="D1306" i="1" a="1"/>
  <c r="D1306" i="1" s="1"/>
  <c r="D1307" i="1" a="1"/>
  <c r="D1307" i="1"/>
  <c r="D1308" i="1" a="1"/>
  <c r="D1308" i="1"/>
  <c r="D1309" i="1" a="1"/>
  <c r="D1309" i="1"/>
  <c r="D1310" i="1" a="1"/>
  <c r="D1310" i="1"/>
  <c r="D1311" i="1" a="1"/>
  <c r="D1311" i="1"/>
  <c r="D1312" i="1" a="1"/>
  <c r="D1312" i="1" s="1"/>
  <c r="D1313" i="1" a="1"/>
  <c r="D1313" i="1"/>
  <c r="D1314" i="1" a="1"/>
  <c r="D1314" i="1" s="1"/>
  <c r="D1315" i="1" a="1"/>
  <c r="D1315" i="1"/>
  <c r="D1316" i="1" a="1"/>
  <c r="D1316" i="1"/>
  <c r="D1317" i="1" a="1"/>
  <c r="D1317" i="1"/>
  <c r="D1318" i="1" a="1"/>
  <c r="D1318" i="1" s="1"/>
  <c r="D1319" i="1" a="1"/>
  <c r="D1319" i="1"/>
  <c r="D1320" i="1" a="1"/>
  <c r="D1320" i="1"/>
  <c r="D1321" i="1" a="1"/>
  <c r="D1321" i="1"/>
  <c r="D1322" i="1" a="1"/>
  <c r="D1322" i="1"/>
  <c r="D1323" i="1" a="1"/>
  <c r="D1323" i="1"/>
  <c r="D1324" i="1" a="1"/>
  <c r="D1324" i="1" s="1"/>
  <c r="D1325" i="1" a="1"/>
  <c r="D1325" i="1" s="1"/>
  <c r="D1326" i="1" a="1"/>
  <c r="D1326" i="1"/>
  <c r="D1327" i="1" a="1"/>
  <c r="D1327" i="1" s="1"/>
  <c r="D1328" i="1" a="1"/>
  <c r="D1328" i="1"/>
  <c r="D1329" i="1" a="1"/>
  <c r="D1329" i="1"/>
  <c r="D1330" i="1" a="1"/>
  <c r="D1330" i="1" s="1"/>
  <c r="D1331" i="1" a="1"/>
  <c r="D1331" i="1"/>
  <c r="D1332" i="1" a="1"/>
  <c r="D1332" i="1"/>
  <c r="D1333" i="1" a="1"/>
  <c r="D1333" i="1"/>
  <c r="D1334" i="1" a="1"/>
  <c r="D1334" i="1"/>
  <c r="D1335" i="1" a="1"/>
  <c r="D1335" i="1"/>
  <c r="D1336" i="1" a="1"/>
  <c r="D1336" i="1" s="1"/>
  <c r="D1337" i="1" a="1"/>
  <c r="D1337" i="1"/>
  <c r="D1338" i="1" a="1"/>
  <c r="D1338" i="1" s="1"/>
  <c r="D1339" i="1" a="1"/>
  <c r="D1339" i="1"/>
  <c r="D1340" i="1" a="1"/>
  <c r="D1340" i="1" s="1"/>
  <c r="D1341" i="1" a="1"/>
  <c r="D1341" i="1"/>
  <c r="D1342" i="1" a="1"/>
  <c r="D1342" i="1" s="1"/>
  <c r="D1343" i="1" a="1"/>
  <c r="D1343" i="1"/>
  <c r="D1344" i="1" a="1"/>
  <c r="D1344" i="1"/>
  <c r="D1345" i="1" a="1"/>
  <c r="D1345" i="1"/>
  <c r="D1346" i="1" a="1"/>
  <c r="D1346" i="1"/>
  <c r="D1347" i="1" a="1"/>
  <c r="D1347" i="1"/>
  <c r="D1348" i="1" a="1"/>
  <c r="D1348" i="1" s="1"/>
  <c r="D1349" i="1" a="1"/>
  <c r="D1349" i="1"/>
  <c r="D1350" i="1" a="1"/>
  <c r="D1350" i="1"/>
  <c r="D1351" i="1" a="1"/>
  <c r="D1351" i="1" s="1"/>
  <c r="D1352" i="1" a="1"/>
  <c r="D1352" i="1"/>
  <c r="D1353" i="1" a="1"/>
  <c r="D1353" i="1" s="1"/>
  <c r="D1354" i="1" a="1"/>
  <c r="D1354" i="1" s="1"/>
  <c r="D1355" i="1" a="1"/>
  <c r="D1355" i="1"/>
  <c r="D1356" i="1" a="1"/>
  <c r="D1356" i="1"/>
  <c r="D1357" i="1" a="1"/>
  <c r="D1357" i="1"/>
  <c r="D1358" i="1" a="1"/>
  <c r="D1358" i="1"/>
  <c r="D1359" i="1" a="1"/>
  <c r="D1359" i="1"/>
  <c r="D1360" i="1" a="1"/>
  <c r="D1360" i="1" s="1"/>
  <c r="D1361" i="1" a="1"/>
  <c r="D1361" i="1"/>
  <c r="D1362" i="1" a="1"/>
  <c r="D1362" i="1"/>
  <c r="D1363" i="1" a="1"/>
  <c r="D1363" i="1"/>
  <c r="D1364" i="1" a="1"/>
  <c r="D1364" i="1" s="1"/>
  <c r="D1365" i="1" a="1"/>
  <c r="D1365" i="1"/>
  <c r="D1366" i="1" a="1"/>
  <c r="D1366" i="1" s="1"/>
  <c r="D1367" i="1" a="1"/>
  <c r="D1367" i="1"/>
  <c r="D1368" i="1" a="1"/>
  <c r="D1368" i="1"/>
  <c r="D1369" i="1" a="1"/>
  <c r="D1369" i="1"/>
  <c r="D1370" i="1" a="1"/>
  <c r="D1370" i="1"/>
  <c r="D1371" i="1" a="1"/>
  <c r="D1371" i="1"/>
  <c r="D1372" i="1" a="1"/>
  <c r="D1372" i="1" s="1"/>
  <c r="D1373" i="1" a="1"/>
  <c r="D1373" i="1" s="1"/>
  <c r="D1374" i="1" a="1"/>
  <c r="D1374" i="1"/>
  <c r="D1375" i="1" a="1"/>
  <c r="D1375" i="1"/>
  <c r="D1376" i="1" a="1"/>
  <c r="D1376" i="1"/>
  <c r="D1377" i="1" a="1"/>
  <c r="D1377" i="1" s="1"/>
  <c r="D1378" i="1" a="1"/>
  <c r="D1378" i="1" s="1"/>
  <c r="D1379" i="1" a="1"/>
  <c r="D1379" i="1"/>
  <c r="D1380" i="1" a="1"/>
  <c r="D1380" i="1"/>
  <c r="D1381" i="1" a="1"/>
  <c r="D1381" i="1"/>
  <c r="D1382" i="1" a="1"/>
  <c r="D1382" i="1"/>
  <c r="D1383" i="1" a="1"/>
  <c r="D1383" i="1"/>
  <c r="D1384" i="1" a="1"/>
  <c r="D1384" i="1" s="1"/>
  <c r="D1385" i="1" a="1"/>
  <c r="D1385" i="1"/>
  <c r="D1386" i="1" a="1"/>
  <c r="D1386" i="1" s="1"/>
  <c r="D1387" i="1" a="1"/>
  <c r="D1387" i="1"/>
  <c r="D1388" i="1" a="1"/>
  <c r="D1388" i="1"/>
  <c r="D1389" i="1" a="1"/>
  <c r="D1389" i="1"/>
  <c r="D1390" i="1" a="1"/>
  <c r="D1390" i="1" s="1"/>
  <c r="D1391" i="1" a="1"/>
  <c r="D1391" i="1"/>
  <c r="D1392" i="1" a="1"/>
  <c r="D1392" i="1"/>
  <c r="D1393" i="1" a="1"/>
  <c r="D1393" i="1"/>
  <c r="D1394" i="1" a="1"/>
  <c r="D1394" i="1"/>
  <c r="D1395" i="1" a="1"/>
  <c r="D1395" i="1"/>
  <c r="D1396" i="1" a="1"/>
  <c r="D1396" i="1" s="1"/>
  <c r="D1397" i="1" a="1"/>
  <c r="D1397" i="1" s="1"/>
  <c r="D1398" i="1" a="1"/>
  <c r="D1398" i="1"/>
  <c r="D1399" i="1" a="1"/>
  <c r="D1399" i="1" s="1"/>
  <c r="D1400" i="1" a="1"/>
  <c r="D1400" i="1"/>
  <c r="D1401" i="1" a="1"/>
  <c r="D1401" i="1"/>
  <c r="D1402" i="1" a="1"/>
  <c r="D1402" i="1" s="1"/>
  <c r="D1403" i="1" a="1"/>
  <c r="D1403" i="1"/>
  <c r="D1404" i="1" a="1"/>
  <c r="D1404" i="1"/>
  <c r="D1405" i="1" a="1"/>
  <c r="D1405" i="1"/>
  <c r="D1406" i="1" a="1"/>
  <c r="D1406" i="1"/>
  <c r="D1407" i="1" a="1"/>
  <c r="D1407" i="1"/>
  <c r="D1408" i="1" a="1"/>
  <c r="D1408" i="1" s="1"/>
  <c r="D1409" i="1" a="1"/>
  <c r="D1409" i="1"/>
  <c r="D1410" i="1" a="1"/>
  <c r="D1410" i="1" s="1"/>
  <c r="D1411" i="1" a="1"/>
  <c r="D1411" i="1"/>
  <c r="D1412" i="1" a="1"/>
  <c r="D1412" i="1" s="1"/>
  <c r="D1413" i="1" a="1"/>
  <c r="D1413" i="1"/>
  <c r="D1414" i="1" a="1"/>
  <c r="D1414" i="1" s="1"/>
  <c r="D1415" i="1" a="1"/>
  <c r="D1415" i="1"/>
  <c r="D1416" i="1" a="1"/>
  <c r="D1416" i="1"/>
  <c r="D1417" i="1" a="1"/>
  <c r="D1417" i="1"/>
  <c r="D1418" i="1" a="1"/>
  <c r="D1418" i="1"/>
  <c r="D1419" i="1" a="1"/>
  <c r="D1419" i="1"/>
  <c r="D1420" i="1" a="1"/>
  <c r="D1420" i="1" s="1"/>
  <c r="D1421" i="1" a="1"/>
  <c r="D1421" i="1"/>
  <c r="D1422" i="1" a="1"/>
  <c r="D1422" i="1"/>
  <c r="D1423" i="1" a="1"/>
  <c r="D1423" i="1" s="1"/>
  <c r="D1424" i="1" a="1"/>
  <c r="D1424" i="1"/>
  <c r="D1425" i="1" a="1"/>
  <c r="D1425" i="1" s="1"/>
  <c r="D1426" i="1" a="1"/>
  <c r="D1426" i="1" s="1"/>
  <c r="D1427" i="1" a="1"/>
  <c r="D1427" i="1"/>
  <c r="D1428" i="1" a="1"/>
  <c r="D1428" i="1"/>
  <c r="D1429" i="1" a="1"/>
  <c r="D1429" i="1"/>
  <c r="D1430" i="1" a="1"/>
  <c r="D1430" i="1"/>
  <c r="D1431" i="1" a="1"/>
  <c r="D1431" i="1"/>
  <c r="D1432" i="1" a="1"/>
  <c r="D1432" i="1" s="1"/>
  <c r="D1433" i="1" a="1"/>
  <c r="D1433" i="1"/>
  <c r="D1434" i="1" a="1"/>
  <c r="D1434" i="1"/>
  <c r="D1435" i="1" a="1"/>
  <c r="D1435" i="1"/>
  <c r="D1436" i="1" a="1"/>
  <c r="D1436" i="1" s="1"/>
  <c r="D1437" i="1" a="1"/>
  <c r="D1437" i="1"/>
  <c r="D1438" i="1" a="1"/>
  <c r="D1438" i="1" s="1"/>
  <c r="D1439" i="1" a="1"/>
  <c r="D1439" i="1"/>
  <c r="D1440" i="1" a="1"/>
  <c r="D1440" i="1"/>
  <c r="D1441" i="1" a="1"/>
  <c r="D1441" i="1"/>
  <c r="D1442" i="1" a="1"/>
  <c r="D1442" i="1"/>
  <c r="D1443" i="1" a="1"/>
  <c r="D1443" i="1"/>
  <c r="D1444" i="1" a="1"/>
  <c r="D1444" i="1" s="1"/>
  <c r="D1445" i="1" a="1"/>
  <c r="D1445" i="1" s="1"/>
  <c r="D1446" i="1" a="1"/>
  <c r="D1446" i="1"/>
  <c r="D1447" i="1" a="1"/>
  <c r="D1447" i="1"/>
  <c r="D1448" i="1" a="1"/>
  <c r="D1448" i="1"/>
  <c r="D1449" i="1" a="1"/>
  <c r="D1449" i="1" s="1"/>
  <c r="D1450" i="1" a="1"/>
  <c r="D1450" i="1" s="1"/>
  <c r="D1451" i="1" a="1"/>
  <c r="D1451" i="1"/>
  <c r="D1452" i="1" a="1"/>
  <c r="D1452" i="1"/>
  <c r="D1453" i="1" a="1"/>
  <c r="D1453" i="1"/>
  <c r="D1454" i="1" a="1"/>
  <c r="D1454" i="1"/>
  <c r="D1455" i="1" a="1"/>
  <c r="D1455" i="1"/>
  <c r="D1456" i="1" a="1"/>
  <c r="D1456" i="1" s="1"/>
  <c r="D1457" i="1" a="1"/>
  <c r="D1457" i="1"/>
  <c r="D1458" i="1" a="1"/>
  <c r="D1458" i="1" s="1"/>
  <c r="D1459" i="1" a="1"/>
  <c r="D1459" i="1"/>
  <c r="D1460" i="1" a="1"/>
  <c r="D1460" i="1"/>
  <c r="D1461" i="1" a="1"/>
  <c r="D1461" i="1"/>
  <c r="D1462" i="1" a="1"/>
  <c r="D1462" i="1" s="1"/>
  <c r="D1463" i="1" a="1"/>
  <c r="D1463" i="1"/>
  <c r="D1464" i="1" a="1"/>
  <c r="D1464" i="1"/>
  <c r="D1465" i="1" a="1"/>
  <c r="D1465" i="1"/>
  <c r="D1466" i="1" a="1"/>
  <c r="D1466" i="1"/>
  <c r="D1467" i="1" a="1"/>
  <c r="D1467" i="1"/>
  <c r="D1468" i="1" a="1"/>
  <c r="D1468" i="1" s="1"/>
  <c r="D1469" i="1" a="1"/>
  <c r="D1469" i="1" s="1"/>
  <c r="D1470" i="1" a="1"/>
  <c r="D1470" i="1"/>
  <c r="D1471" i="1" a="1"/>
  <c r="D1471" i="1" s="1"/>
  <c r="D1472" i="1" a="1"/>
  <c r="D1472" i="1"/>
  <c r="D1473" i="1" a="1"/>
  <c r="D1473" i="1"/>
  <c r="D1474" i="1" a="1"/>
  <c r="D1474" i="1" s="1"/>
  <c r="D1475" i="1" a="1"/>
  <c r="D1475" i="1"/>
  <c r="D1476" i="1" a="1"/>
  <c r="D1476" i="1"/>
  <c r="D1477" i="1" a="1"/>
  <c r="D1477" i="1"/>
  <c r="D1478" i="1" a="1"/>
  <c r="D1478" i="1"/>
  <c r="D1479" i="1" a="1"/>
  <c r="D1479" i="1"/>
  <c r="D1480" i="1" a="1"/>
  <c r="D1480" i="1" s="1"/>
  <c r="D1481" i="1" a="1"/>
  <c r="D1481" i="1"/>
  <c r="D1482" i="1" a="1"/>
  <c r="D1482" i="1" s="1"/>
  <c r="D1483" i="1" a="1"/>
  <c r="D1483" i="1"/>
  <c r="D1484" i="1" a="1"/>
  <c r="D1484" i="1" s="1"/>
  <c r="D1485" i="1" a="1"/>
  <c r="D1485" i="1"/>
  <c r="D1486" i="1" a="1"/>
  <c r="D1486" i="1" s="1"/>
  <c r="D1487" i="1" a="1"/>
  <c r="D1487" i="1"/>
  <c r="D1488" i="1" a="1"/>
  <c r="D1488" i="1"/>
  <c r="D1489" i="1" a="1"/>
  <c r="D1489" i="1"/>
  <c r="D1490" i="1" a="1"/>
  <c r="D1490" i="1"/>
  <c r="D1491" i="1" a="1"/>
  <c r="D1491" i="1"/>
  <c r="D1492" i="1" a="1"/>
  <c r="D1492" i="1" s="1"/>
  <c r="D1493" i="1" a="1"/>
  <c r="D1493" i="1"/>
  <c r="D1494" i="1" a="1"/>
  <c r="D1494" i="1"/>
  <c r="D1495" i="1" a="1"/>
  <c r="D1495" i="1" s="1"/>
  <c r="D1496" i="1" a="1"/>
  <c r="D1496" i="1"/>
  <c r="D1497" i="1" a="1"/>
  <c r="D1497" i="1" s="1"/>
  <c r="D1498" i="1" a="1"/>
  <c r="D1498" i="1" s="1"/>
  <c r="D1499" i="1" a="1"/>
  <c r="D1499" i="1"/>
  <c r="D1500" i="1" a="1"/>
  <c r="D1500" i="1"/>
  <c r="D1501" i="1" a="1"/>
  <c r="D1501" i="1"/>
  <c r="D1502" i="1" a="1"/>
  <c r="D1502" i="1"/>
  <c r="D1503" i="1" a="1"/>
  <c r="D1503" i="1"/>
  <c r="D1504" i="1" a="1"/>
  <c r="D1504" i="1" s="1"/>
  <c r="D1505" i="1" a="1"/>
  <c r="D1505" i="1"/>
  <c r="D1506" i="1" a="1"/>
  <c r="D1506" i="1"/>
  <c r="D1507" i="1" a="1"/>
  <c r="D1507" i="1"/>
  <c r="D1508" i="1" a="1"/>
  <c r="D1508" i="1" s="1"/>
  <c r="D1509" i="1" a="1"/>
  <c r="D1509" i="1"/>
  <c r="D1510" i="1" a="1"/>
  <c r="D1510" i="1" s="1"/>
  <c r="D1511" i="1" a="1"/>
  <c r="D1511" i="1"/>
  <c r="D1512" i="1" a="1"/>
  <c r="D1512" i="1"/>
  <c r="D1513" i="1" a="1"/>
  <c r="D1513" i="1"/>
  <c r="D1514" i="1" a="1"/>
  <c r="D1514" i="1"/>
  <c r="D1515" i="1" a="1"/>
  <c r="D1515" i="1"/>
  <c r="D1516" i="1" a="1"/>
  <c r="D1516" i="1" s="1"/>
  <c r="D1517" i="1" a="1"/>
  <c r="D1517" i="1" s="1"/>
  <c r="D1518" i="1" a="1"/>
  <c r="D1518" i="1"/>
  <c r="D1519" i="1" a="1"/>
  <c r="D1519" i="1"/>
  <c r="D1520" i="1" a="1"/>
  <c r="D1520" i="1"/>
  <c r="D1521" i="1" a="1"/>
  <c r="D1521" i="1" s="1"/>
  <c r="D1522" i="1" a="1"/>
  <c r="D1522" i="1" s="1"/>
  <c r="D1523" i="1" a="1"/>
  <c r="D1523" i="1"/>
  <c r="D1524" i="1" a="1"/>
  <c r="D1524" i="1"/>
  <c r="D1525" i="1" a="1"/>
  <c r="D1525" i="1"/>
  <c r="D1526" i="1" a="1"/>
  <c r="D1526" i="1"/>
  <c r="D1527" i="1" a="1"/>
  <c r="D1527" i="1"/>
  <c r="D1528" i="1" a="1"/>
  <c r="D1528" i="1" s="1"/>
  <c r="D1529" i="1" a="1"/>
  <c r="D1529" i="1"/>
  <c r="D1530" i="1" a="1"/>
  <c r="D1530" i="1" s="1"/>
  <c r="D1531" i="1" a="1"/>
  <c r="D1531" i="1"/>
  <c r="D1532" i="1" a="1"/>
  <c r="D1532" i="1"/>
  <c r="D1533" i="1" a="1"/>
  <c r="D1533" i="1"/>
  <c r="D1534" i="1" a="1"/>
  <c r="D1534" i="1" s="1"/>
  <c r="D1535" i="1" a="1"/>
  <c r="D1535" i="1"/>
  <c r="D1536" i="1" a="1"/>
  <c r="D1536" i="1"/>
  <c r="D1537" i="1" a="1"/>
  <c r="D1537" i="1"/>
  <c r="D1538" i="1" a="1"/>
  <c r="D1538" i="1"/>
  <c r="D1539" i="1" a="1"/>
  <c r="D1539" i="1"/>
  <c r="D1540" i="1" a="1"/>
  <c r="D1540" i="1"/>
  <c r="D1541" i="1" a="1"/>
  <c r="D1541" i="1"/>
  <c r="D1542" i="1" a="1"/>
  <c r="D1542" i="1"/>
  <c r="D1543" i="1" a="1"/>
  <c r="D1543" i="1"/>
  <c r="D1544" i="1" a="1"/>
  <c r="D1544" i="1"/>
  <c r="D1545" i="1" a="1"/>
  <c r="D1545" i="1"/>
  <c r="D1546" i="1" a="1"/>
  <c r="D1546" i="1"/>
  <c r="D1547" i="1" a="1"/>
  <c r="D1547" i="1"/>
  <c r="D1548" i="1" a="1"/>
  <c r="D1548" i="1"/>
  <c r="D1549" i="1" a="1"/>
  <c r="D1549" i="1"/>
  <c r="D1550" i="1" a="1"/>
  <c r="D1550" i="1"/>
  <c r="D1551" i="1" a="1"/>
  <c r="D1551" i="1"/>
  <c r="D1552" i="1" a="1"/>
  <c r="D1552" i="1"/>
  <c r="D1553" i="1" a="1"/>
  <c r="D1553" i="1"/>
  <c r="D1554" i="1" a="1"/>
  <c r="D1554" i="1"/>
  <c r="D1555" i="1" a="1"/>
  <c r="D1555" i="1"/>
  <c r="D1556" i="1" a="1"/>
  <c r="D1556" i="1"/>
  <c r="D1557" i="1" a="1"/>
  <c r="D1557" i="1"/>
  <c r="D1558" i="1" a="1"/>
  <c r="D1558" i="1"/>
  <c r="D1559" i="1" a="1"/>
  <c r="D1559" i="1"/>
  <c r="D1560" i="1" a="1"/>
  <c r="D1560" i="1"/>
  <c r="D1561" i="1" a="1"/>
  <c r="D1561" i="1"/>
  <c r="D1562" i="1" a="1"/>
  <c r="D1562" i="1"/>
  <c r="D1563" i="1" a="1"/>
  <c r="D1563" i="1"/>
  <c r="D1564" i="1" a="1"/>
  <c r="D1564" i="1"/>
  <c r="D1565" i="1" a="1"/>
  <c r="D1565" i="1"/>
  <c r="D1566" i="1" a="1"/>
  <c r="D1566" i="1"/>
  <c r="D1567" i="1" a="1"/>
  <c r="D1567" i="1"/>
  <c r="D1568" i="1" a="1"/>
  <c r="D1568" i="1"/>
  <c r="D1569" i="1" a="1"/>
  <c r="D1569" i="1"/>
  <c r="D1570" i="1" a="1"/>
  <c r="D1570" i="1"/>
  <c r="D1571" i="1" a="1"/>
  <c r="D1571" i="1"/>
  <c r="D1572" i="1" a="1"/>
  <c r="D1572" i="1"/>
  <c r="D1573" i="1" a="1"/>
  <c r="D1573" i="1"/>
  <c r="D1574" i="1" a="1"/>
  <c r="D1574" i="1"/>
  <c r="D1575" i="1" a="1"/>
  <c r="D1575" i="1"/>
  <c r="D1576" i="1" a="1"/>
  <c r="D1576" i="1"/>
  <c r="D1577" i="1" a="1"/>
  <c r="D1577" i="1"/>
  <c r="D1578" i="1" a="1"/>
  <c r="D1578" i="1"/>
  <c r="D1579" i="1" a="1"/>
  <c r="D1579" i="1"/>
  <c r="D1580" i="1" a="1"/>
  <c r="D1580" i="1"/>
  <c r="D1581" i="1" a="1"/>
  <c r="D1581" i="1"/>
  <c r="D1582" i="1" a="1"/>
  <c r="D1582" i="1"/>
  <c r="D1583" i="1" a="1"/>
  <c r="D1583" i="1"/>
  <c r="D1584" i="1" a="1"/>
  <c r="D1584" i="1"/>
  <c r="D1585" i="1" a="1"/>
  <c r="D1585" i="1"/>
  <c r="D1586" i="1" a="1"/>
  <c r="D1586" i="1"/>
  <c r="D1587" i="1" a="1"/>
  <c r="D1587" i="1"/>
  <c r="D1588" i="1" a="1"/>
  <c r="D1588" i="1"/>
  <c r="D1589" i="1" a="1"/>
  <c r="D1589" i="1"/>
  <c r="D1590" i="1" a="1"/>
  <c r="D1590" i="1"/>
  <c r="D1591" i="1" a="1"/>
  <c r="D1591" i="1"/>
  <c r="D1592" i="1" a="1"/>
  <c r="D1592" i="1"/>
  <c r="D1593" i="1" a="1"/>
  <c r="D1593" i="1"/>
  <c r="D1594" i="1" a="1"/>
  <c r="D1594" i="1"/>
  <c r="D1595" i="1" a="1"/>
  <c r="D1595" i="1"/>
  <c r="D1596" i="1" a="1"/>
  <c r="D1596" i="1"/>
  <c r="D1597" i="1" a="1"/>
  <c r="D1597" i="1"/>
  <c r="D1598" i="1" a="1"/>
  <c r="D1598" i="1"/>
  <c r="D1599" i="1" a="1"/>
  <c r="D1599" i="1"/>
  <c r="D1600" i="1" a="1"/>
  <c r="D1600" i="1"/>
  <c r="D1601" i="1" a="1"/>
  <c r="D1601" i="1"/>
  <c r="D1602" i="1" a="1"/>
  <c r="D1602" i="1"/>
  <c r="D1603" i="1" a="1"/>
  <c r="D1603" i="1"/>
  <c r="D1604" i="1" a="1"/>
  <c r="D1604" i="1"/>
  <c r="D1605" i="1" a="1"/>
  <c r="D1605" i="1"/>
  <c r="D1606" i="1" a="1"/>
  <c r="D1606" i="1"/>
  <c r="D1607" i="1" a="1"/>
  <c r="D1607" i="1"/>
  <c r="D1608" i="1" a="1"/>
  <c r="D1608" i="1"/>
  <c r="D1609" i="1" a="1"/>
  <c r="D1609" i="1"/>
  <c r="D1610" i="1" a="1"/>
  <c r="D1610" i="1"/>
  <c r="D1611" i="1" a="1"/>
  <c r="D1611" i="1"/>
  <c r="D1612" i="1" a="1"/>
  <c r="D1612" i="1"/>
  <c r="D1613" i="1" a="1"/>
  <c r="D1613" i="1"/>
  <c r="D1614" i="1" a="1"/>
  <c r="D1614" i="1"/>
  <c r="D1615" i="1" a="1"/>
  <c r="D1615" i="1"/>
  <c r="D1616" i="1" a="1"/>
  <c r="D1616" i="1"/>
  <c r="D1617" i="1" a="1"/>
  <c r="D1617" i="1"/>
  <c r="D1618" i="1" a="1"/>
  <c r="D1618" i="1"/>
  <c r="D1619" i="1" a="1"/>
  <c r="D1619" i="1"/>
  <c r="D1620" i="1" a="1"/>
  <c r="D1620" i="1"/>
  <c r="D1621" i="1" a="1"/>
  <c r="D1621" i="1"/>
  <c r="D1622" i="1" a="1"/>
  <c r="D1622" i="1"/>
  <c r="D1623" i="1" a="1"/>
  <c r="D1623" i="1"/>
  <c r="D1624" i="1" a="1"/>
  <c r="D1624" i="1"/>
  <c r="D1625" i="1" a="1"/>
  <c r="D1625" i="1"/>
  <c r="D1626" i="1" a="1"/>
  <c r="D1626" i="1"/>
  <c r="D1627" i="1" a="1"/>
  <c r="D1627" i="1"/>
  <c r="D1628" i="1" a="1"/>
  <c r="D1628" i="1"/>
  <c r="D1629" i="1" a="1"/>
  <c r="D1629" i="1"/>
  <c r="D1630" i="1" a="1"/>
  <c r="D1630" i="1"/>
  <c r="D1631" i="1" a="1"/>
  <c r="D1631" i="1"/>
  <c r="D1632" i="1" a="1"/>
  <c r="D1632" i="1"/>
  <c r="D1633" i="1" a="1"/>
  <c r="D1633" i="1"/>
  <c r="D1634" i="1" a="1"/>
  <c r="D1634" i="1"/>
  <c r="D1635" i="1" a="1"/>
  <c r="D1635" i="1"/>
  <c r="D1636" i="1" a="1"/>
  <c r="D1636" i="1"/>
  <c r="D1637" i="1" a="1"/>
  <c r="D1637" i="1"/>
  <c r="D1638" i="1" a="1"/>
  <c r="D1638" i="1"/>
  <c r="D1639" i="1" a="1"/>
  <c r="D1639" i="1"/>
  <c r="D1640" i="1" a="1"/>
  <c r="D1640" i="1"/>
  <c r="D1641" i="1" a="1"/>
  <c r="D1641" i="1"/>
  <c r="D1642" i="1" a="1"/>
  <c r="D1642" i="1"/>
  <c r="D1643" i="1" a="1"/>
  <c r="D1643" i="1" s="1"/>
  <c r="D1644" i="1" a="1"/>
  <c r="D1644" i="1"/>
  <c r="D1645" i="1" a="1"/>
  <c r="D1645" i="1"/>
  <c r="D1646" i="1" a="1"/>
  <c r="D1646" i="1"/>
  <c r="D1647" i="1" a="1"/>
  <c r="D1647" i="1"/>
  <c r="D1648" i="1" a="1"/>
  <c r="D1648" i="1"/>
  <c r="D1649" i="1" a="1"/>
  <c r="D1649" i="1" s="1"/>
  <c r="D1650" i="1" a="1"/>
  <c r="D1650" i="1"/>
  <c r="D1651" i="1" a="1"/>
  <c r="D1651" i="1"/>
  <c r="D1652" i="1" a="1"/>
  <c r="D1652" i="1"/>
  <c r="D1653" i="1" a="1"/>
  <c r="D1653" i="1"/>
  <c r="D1654" i="1" a="1"/>
  <c r="D1654" i="1"/>
  <c r="D1655" i="1" a="1"/>
  <c r="D1655" i="1" s="1"/>
  <c r="D1656" i="1" a="1"/>
  <c r="D1656" i="1"/>
  <c r="D1657" i="1" a="1"/>
  <c r="D1657" i="1"/>
  <c r="D1658" i="1" a="1"/>
  <c r="D1658" i="1"/>
  <c r="D1659" i="1" a="1"/>
  <c r="D1659" i="1"/>
  <c r="D1660" i="1" a="1"/>
  <c r="D1660" i="1"/>
  <c r="D1661" i="1" a="1"/>
  <c r="D1661" i="1" s="1"/>
  <c r="D1662" i="1" a="1"/>
  <c r="D1662" i="1"/>
  <c r="D1663" i="1" a="1"/>
  <c r="D1663" i="1"/>
  <c r="D1664" i="1" a="1"/>
  <c r="D1664" i="1"/>
  <c r="D1665" i="1" a="1"/>
  <c r="D1665" i="1"/>
  <c r="D1666" i="1" a="1"/>
  <c r="D1666" i="1"/>
  <c r="D1667" i="1" a="1"/>
  <c r="D1667" i="1" s="1"/>
  <c r="D1668" i="1" a="1"/>
  <c r="D1668" i="1"/>
  <c r="D1669" i="1" a="1"/>
  <c r="D1669" i="1"/>
  <c r="D1670" i="1" a="1"/>
  <c r="D1670" i="1"/>
  <c r="D1671" i="1" a="1"/>
  <c r="D1671" i="1"/>
  <c r="D1672" i="1" a="1"/>
  <c r="D1672" i="1"/>
  <c r="D1673" i="1" a="1"/>
  <c r="D1673" i="1" s="1"/>
  <c r="D1674" i="1" a="1"/>
  <c r="D1674" i="1"/>
  <c r="D1675" i="1" a="1"/>
  <c r="D1675" i="1"/>
  <c r="D1676" i="1" a="1"/>
  <c r="D1676" i="1"/>
  <c r="D1677" i="1" a="1"/>
  <c r="D1677" i="1"/>
  <c r="D1678" i="1" a="1"/>
  <c r="D1678" i="1"/>
  <c r="D1679" i="1" a="1"/>
  <c r="D1679" i="1" s="1"/>
  <c r="D1680" i="1" a="1"/>
  <c r="D1680" i="1"/>
  <c r="D1681" i="1" a="1"/>
  <c r="D1681" i="1"/>
  <c r="D1682" i="1" a="1"/>
  <c r="D1682" i="1"/>
  <c r="D1683" i="1" a="1"/>
  <c r="D1683" i="1"/>
  <c r="D1684" i="1" a="1"/>
  <c r="D1684" i="1"/>
  <c r="D1685" i="1" a="1"/>
  <c r="D1685" i="1" s="1"/>
  <c r="D1686" i="1" a="1"/>
  <c r="D1686" i="1"/>
  <c r="D1687" i="1" a="1"/>
  <c r="D1687" i="1"/>
  <c r="D1688" i="1" a="1"/>
  <c r="D1688" i="1"/>
  <c r="D1689" i="1" a="1"/>
  <c r="D1689" i="1"/>
  <c r="D1690" i="1" a="1"/>
  <c r="D1690" i="1"/>
  <c r="D1691" i="1" a="1"/>
  <c r="D1691" i="1" s="1"/>
  <c r="D1692" i="1" a="1"/>
  <c r="D1692" i="1"/>
  <c r="D1693" i="1" a="1"/>
  <c r="D1693" i="1"/>
  <c r="D1694" i="1" a="1"/>
  <c r="D1694" i="1"/>
  <c r="D1695" i="1" a="1"/>
  <c r="D1695" i="1"/>
  <c r="D1696" i="1" a="1"/>
  <c r="D1696" i="1"/>
  <c r="D1697" i="1" a="1"/>
  <c r="D1697" i="1" s="1"/>
  <c r="D1698" i="1" a="1"/>
  <c r="D1698" i="1"/>
  <c r="D1699" i="1" a="1"/>
  <c r="D1699" i="1"/>
  <c r="D1700" i="1" a="1"/>
  <c r="D1700" i="1"/>
  <c r="D1701" i="1" a="1"/>
  <c r="D1701" i="1"/>
  <c r="D1702" i="1" a="1"/>
  <c r="D1702" i="1"/>
  <c r="D1703" i="1" a="1"/>
  <c r="D1703" i="1" s="1"/>
  <c r="D1704" i="1" a="1"/>
  <c r="D1704" i="1"/>
  <c r="D1705" i="1" a="1"/>
  <c r="D1705" i="1"/>
  <c r="D1706" i="1" a="1"/>
  <c r="D1706" i="1"/>
  <c r="D1707" i="1" a="1"/>
  <c r="D1707" i="1"/>
  <c r="D1708" i="1" a="1"/>
  <c r="D1708" i="1"/>
  <c r="D1709" i="1" a="1"/>
  <c r="D1709" i="1" s="1"/>
  <c r="D1710" i="1" a="1"/>
  <c r="D1710" i="1"/>
  <c r="D1711" i="1" a="1"/>
  <c r="D1711" i="1"/>
  <c r="D1712" i="1" a="1"/>
  <c r="D1712" i="1"/>
  <c r="D1713" i="1" a="1"/>
  <c r="D1713" i="1"/>
  <c r="D1714" i="1" a="1"/>
  <c r="D1714" i="1"/>
  <c r="D1715" i="1" a="1"/>
  <c r="D1715" i="1" s="1"/>
  <c r="D1716" i="1" a="1"/>
  <c r="D1716" i="1"/>
  <c r="D1717" i="1" a="1"/>
  <c r="D1717" i="1"/>
  <c r="D1718" i="1" a="1"/>
  <c r="D1718" i="1"/>
  <c r="D1719" i="1" a="1"/>
  <c r="D1719" i="1"/>
  <c r="D1720" i="1" a="1"/>
  <c r="D1720" i="1"/>
  <c r="D1721" i="1" a="1"/>
  <c r="D1721" i="1" s="1"/>
  <c r="D1722" i="1" a="1"/>
  <c r="D1722" i="1"/>
  <c r="D1723" i="1" a="1"/>
  <c r="D1723" i="1"/>
  <c r="D1724" i="1" a="1"/>
  <c r="D1724" i="1"/>
  <c r="D1725" i="1" a="1"/>
  <c r="D1725" i="1"/>
  <c r="D1726" i="1" a="1"/>
  <c r="D1726" i="1"/>
  <c r="D1727" i="1" a="1"/>
  <c r="D1727" i="1" s="1"/>
  <c r="D1728" i="1" a="1"/>
  <c r="D1728" i="1"/>
  <c r="D1729" i="1" a="1"/>
  <c r="D1729" i="1"/>
  <c r="D1730" i="1" a="1"/>
  <c r="D1730" i="1"/>
  <c r="D1731" i="1" a="1"/>
  <c r="D1731" i="1"/>
  <c r="D1732" i="1" a="1"/>
  <c r="D1732" i="1"/>
  <c r="D1733" i="1" a="1"/>
  <c r="D1733" i="1" s="1"/>
  <c r="D1734" i="1" a="1"/>
  <c r="D1734" i="1"/>
  <c r="D1735" i="1" a="1"/>
  <c r="D1735" i="1"/>
  <c r="D1736" i="1" a="1"/>
  <c r="D1736" i="1"/>
  <c r="D1737" i="1" a="1"/>
  <c r="D1737" i="1"/>
  <c r="D1738" i="1" a="1"/>
  <c r="D1738" i="1"/>
  <c r="D1739" i="1" a="1"/>
  <c r="D1739" i="1" s="1"/>
  <c r="D1740" i="1" a="1"/>
  <c r="D1740" i="1"/>
  <c r="D1741" i="1" a="1"/>
  <c r="D1741" i="1"/>
  <c r="D1742" i="1" a="1"/>
  <c r="D1742" i="1"/>
  <c r="D1743" i="1" a="1"/>
  <c r="D1743" i="1"/>
  <c r="D1744" i="1" a="1"/>
  <c r="D1744" i="1"/>
  <c r="D1745" i="1" a="1"/>
  <c r="D1745" i="1" s="1"/>
  <c r="D1746" i="1" a="1"/>
  <c r="D1746" i="1"/>
  <c r="D1747" i="1" a="1"/>
  <c r="D1747" i="1"/>
  <c r="D1748" i="1" a="1"/>
  <c r="D1748" i="1"/>
  <c r="D1749" i="1" a="1"/>
  <c r="D1749" i="1"/>
  <c r="D1750" i="1" a="1"/>
  <c r="D1750" i="1"/>
  <c r="D1751" i="1" a="1"/>
  <c r="D1751" i="1" s="1"/>
  <c r="D1752" i="1" a="1"/>
  <c r="D1752" i="1"/>
  <c r="D1753" i="1" a="1"/>
  <c r="D1753" i="1"/>
  <c r="D1754" i="1" a="1"/>
  <c r="D1754" i="1"/>
  <c r="D1755" i="1" a="1"/>
  <c r="D1755" i="1"/>
  <c r="D1756" i="1" a="1"/>
  <c r="D1756" i="1"/>
  <c r="D1757" i="1" a="1"/>
  <c r="D1757" i="1" s="1"/>
  <c r="D1758" i="1" a="1"/>
  <c r="D1758" i="1"/>
  <c r="D1759" i="1" a="1"/>
  <c r="D1759" i="1"/>
  <c r="D1760" i="1" a="1"/>
  <c r="D1760" i="1"/>
  <c r="D1761" i="1" a="1"/>
  <c r="D1761" i="1"/>
  <c r="D1762" i="1" a="1"/>
  <c r="D1762" i="1"/>
  <c r="D1763" i="1" a="1"/>
  <c r="D1763" i="1" s="1"/>
  <c r="D1764" i="1" a="1"/>
  <c r="D1764" i="1"/>
  <c r="D1765" i="1" a="1"/>
  <c r="D1765" i="1"/>
  <c r="D1766" i="1" a="1"/>
  <c r="D1766" i="1"/>
  <c r="D1767" i="1" a="1"/>
  <c r="D1767" i="1"/>
  <c r="D1768" i="1" a="1"/>
  <c r="D1768" i="1"/>
  <c r="D1769" i="1" a="1"/>
  <c r="D1769" i="1" s="1"/>
  <c r="D1770" i="1" a="1"/>
  <c r="D1770" i="1"/>
  <c r="D1771" i="1" a="1"/>
  <c r="D1771" i="1"/>
  <c r="D1772" i="1" a="1"/>
  <c r="D1772" i="1"/>
  <c r="D1773" i="1" a="1"/>
  <c r="D1773" i="1"/>
  <c r="D1774" i="1" a="1"/>
  <c r="D1774" i="1"/>
  <c r="D1775" i="1" a="1"/>
  <c r="D1775" i="1" s="1"/>
  <c r="D1776" i="1" a="1"/>
  <c r="D1776" i="1"/>
  <c r="D1777" i="1" a="1"/>
  <c r="D1777" i="1"/>
  <c r="D1778" i="1" a="1"/>
  <c r="D1778" i="1"/>
  <c r="D1779" i="1" a="1"/>
  <c r="D1779" i="1"/>
  <c r="D1780" i="1" a="1"/>
  <c r="D1780" i="1"/>
  <c r="D1781" i="1" a="1"/>
  <c r="D1781" i="1" s="1"/>
  <c r="D1782" i="1" a="1"/>
  <c r="D1782" i="1"/>
  <c r="D1783" i="1" a="1"/>
  <c r="D1783" i="1"/>
  <c r="D1784" i="1" a="1"/>
  <c r="D1784" i="1"/>
  <c r="D1785" i="1" a="1"/>
  <c r="D1785" i="1"/>
  <c r="D1786" i="1" a="1"/>
  <c r="D1786" i="1"/>
  <c r="D1787" i="1" a="1"/>
  <c r="D1787" i="1" s="1"/>
  <c r="D1788" i="1" a="1"/>
  <c r="D1788" i="1"/>
  <c r="D1789" i="1" a="1"/>
  <c r="D1789" i="1"/>
  <c r="D1790" i="1" a="1"/>
  <c r="D1790" i="1"/>
  <c r="D1791" i="1" a="1"/>
  <c r="D1791" i="1"/>
  <c r="D1792" i="1" a="1"/>
  <c r="D1792" i="1"/>
  <c r="D1793" i="1" a="1"/>
  <c r="D1793" i="1" s="1"/>
  <c r="D1794" i="1" a="1"/>
  <c r="D1794" i="1"/>
  <c r="D1795" i="1" a="1"/>
  <c r="D1795" i="1"/>
  <c r="D1796" i="1" a="1"/>
  <c r="D1796" i="1"/>
  <c r="D1797" i="1" a="1"/>
  <c r="D1797" i="1"/>
  <c r="D1798" i="1" a="1"/>
  <c r="D1798" i="1"/>
  <c r="D1799" i="1" a="1"/>
  <c r="D1799" i="1" s="1"/>
  <c r="D1800" i="1" a="1"/>
  <c r="D1800" i="1"/>
  <c r="D1801" i="1" a="1"/>
  <c r="D1801" i="1"/>
  <c r="D1802" i="1" a="1"/>
  <c r="D1802" i="1"/>
  <c r="D1803" i="1" a="1"/>
  <c r="D1803" i="1"/>
  <c r="D1804" i="1" a="1"/>
  <c r="D1804" i="1"/>
  <c r="D1805" i="1" a="1"/>
  <c r="D1805" i="1" s="1"/>
  <c r="D1806" i="1" a="1"/>
  <c r="D1806" i="1"/>
  <c r="D1807" i="1" a="1"/>
  <c r="D1807" i="1"/>
  <c r="D1808" i="1" a="1"/>
  <c r="D1808" i="1"/>
  <c r="D1809" i="1" a="1"/>
  <c r="D1809" i="1"/>
  <c r="D1810" i="1" a="1"/>
  <c r="D1810" i="1"/>
  <c r="D1811" i="1" a="1"/>
  <c r="D1811" i="1" s="1"/>
  <c r="D1812" i="1" a="1"/>
  <c r="D1812" i="1"/>
  <c r="D1813" i="1" a="1"/>
  <c r="D1813" i="1"/>
  <c r="D1814" i="1" a="1"/>
  <c r="D1814" i="1"/>
  <c r="D1815" i="1" a="1"/>
  <c r="D1815" i="1"/>
  <c r="D1816" i="1" a="1"/>
  <c r="D1816" i="1"/>
  <c r="D1817" i="1" a="1"/>
  <c r="D1817" i="1" s="1"/>
  <c r="D1818" i="1" a="1"/>
  <c r="D1818" i="1"/>
  <c r="D1819" i="1" a="1"/>
  <c r="D1819" i="1"/>
  <c r="D1820" i="1" a="1"/>
  <c r="D1820" i="1"/>
  <c r="D1821" i="1" a="1"/>
  <c r="D1821" i="1"/>
  <c r="D1822" i="1" a="1"/>
  <c r="D1822" i="1"/>
  <c r="D1823" i="1" a="1"/>
  <c r="D1823" i="1" s="1"/>
  <c r="D1824" i="1" a="1"/>
  <c r="D1824" i="1"/>
  <c r="D1825" i="1" a="1"/>
  <c r="D1825" i="1"/>
  <c r="D1826" i="1" a="1"/>
  <c r="D1826" i="1"/>
  <c r="D1827" i="1" a="1"/>
  <c r="D1827" i="1"/>
  <c r="D1828" i="1" a="1"/>
  <c r="D1828" i="1"/>
  <c r="D1829" i="1" a="1"/>
  <c r="D1829" i="1" s="1"/>
  <c r="D1830" i="1" a="1"/>
  <c r="D1830" i="1"/>
  <c r="D1831" i="1" a="1"/>
  <c r="D1831" i="1"/>
  <c r="D1832" i="1" a="1"/>
  <c r="D1832" i="1"/>
  <c r="D1833" i="1" a="1"/>
  <c r="D1833" i="1"/>
  <c r="D1834" i="1" a="1"/>
  <c r="D1834" i="1"/>
  <c r="D1835" i="1" a="1"/>
  <c r="D1835" i="1" s="1"/>
  <c r="D1836" i="1" a="1"/>
  <c r="D1836" i="1"/>
  <c r="D1837" i="1" a="1"/>
  <c r="D1837" i="1"/>
  <c r="D1838" i="1" a="1"/>
  <c r="D1838" i="1"/>
  <c r="D1839" i="1" a="1"/>
  <c r="D1839" i="1"/>
  <c r="D1840" i="1" a="1"/>
  <c r="D1840" i="1"/>
  <c r="D1841" i="1" a="1"/>
  <c r="D1841" i="1" s="1"/>
  <c r="D1842" i="1" a="1"/>
  <c r="D1842" i="1"/>
  <c r="D1843" i="1" a="1"/>
  <c r="D1843" i="1"/>
  <c r="D1844" i="1" a="1"/>
  <c r="D1844" i="1"/>
  <c r="D1845" i="1" a="1"/>
  <c r="D1845" i="1"/>
  <c r="D1846" i="1" a="1"/>
  <c r="D1846" i="1"/>
  <c r="D1847" i="1" a="1"/>
  <c r="D1847" i="1" s="1"/>
  <c r="D1848" i="1" a="1"/>
  <c r="D1848" i="1"/>
  <c r="D1849" i="1" a="1"/>
  <c r="D1849" i="1"/>
  <c r="D1850" i="1" a="1"/>
  <c r="D1850" i="1"/>
  <c r="D1851" i="1" a="1"/>
  <c r="D1851" i="1"/>
  <c r="D1852" i="1" a="1"/>
  <c r="D1852" i="1"/>
  <c r="D1853" i="1" a="1"/>
  <c r="D1853" i="1" s="1"/>
  <c r="D1854" i="1" a="1"/>
  <c r="D1854" i="1"/>
  <c r="D1855" i="1" a="1"/>
  <c r="D1855" i="1"/>
  <c r="D1856" i="1" a="1"/>
  <c r="D1856" i="1"/>
  <c r="D1857" i="1" a="1"/>
  <c r="D1857" i="1"/>
  <c r="D1858" i="1" a="1"/>
  <c r="D1858" i="1"/>
  <c r="D1859" i="1" a="1"/>
  <c r="D1859" i="1" s="1"/>
  <c r="D1860" i="1" a="1"/>
  <c r="D1860" i="1"/>
  <c r="D1861" i="1" a="1"/>
  <c r="D1861" i="1"/>
  <c r="D1862" i="1" a="1"/>
  <c r="D1862" i="1"/>
  <c r="D1863" i="1" a="1"/>
  <c r="D1863" i="1"/>
  <c r="D1864" i="1" a="1"/>
  <c r="D1864" i="1"/>
  <c r="D1865" i="1" a="1"/>
  <c r="D1865" i="1" s="1"/>
  <c r="D1866" i="1" a="1"/>
  <c r="D1866" i="1"/>
  <c r="D1867" i="1" a="1"/>
  <c r="D1867" i="1"/>
  <c r="D1868" i="1" a="1"/>
  <c r="D1868" i="1"/>
  <c r="D1869" i="1" a="1"/>
  <c r="D1869" i="1"/>
  <c r="D1870" i="1" a="1"/>
  <c r="D1870" i="1"/>
  <c r="D1871" i="1" a="1"/>
  <c r="D1871" i="1" s="1"/>
  <c r="D1872" i="1" a="1"/>
  <c r="D1872" i="1"/>
  <c r="D1873" i="1" a="1"/>
  <c r="D1873" i="1"/>
  <c r="D1874" i="1" a="1"/>
  <c r="D1874" i="1"/>
  <c r="D1875" i="1" a="1"/>
  <c r="D1875" i="1"/>
  <c r="D1876" i="1" a="1"/>
  <c r="D1876" i="1"/>
  <c r="D1877" i="1" a="1"/>
  <c r="D1877" i="1" s="1"/>
  <c r="D1878" i="1" a="1"/>
  <c r="D1878" i="1"/>
  <c r="D1879" i="1" a="1"/>
  <c r="D1879" i="1"/>
  <c r="D1880" i="1" a="1"/>
  <c r="D1880" i="1"/>
  <c r="D1881" i="1" a="1"/>
  <c r="D1881" i="1"/>
  <c r="D1882" i="1" a="1"/>
  <c r="D1882" i="1"/>
  <c r="D1883" i="1" a="1"/>
  <c r="D1883" i="1" s="1"/>
  <c r="D1884" i="1" a="1"/>
  <c r="D1884" i="1"/>
  <c r="D1885" i="1" a="1"/>
  <c r="D1885" i="1"/>
  <c r="D1886" i="1" a="1"/>
  <c r="D1886" i="1"/>
  <c r="D1887" i="1" a="1"/>
  <c r="D1887" i="1"/>
  <c r="D1888" i="1" a="1"/>
  <c r="D1888" i="1"/>
  <c r="D1889" i="1" a="1"/>
  <c r="D1889" i="1" s="1"/>
  <c r="D1890" i="1" a="1"/>
  <c r="D1890" i="1"/>
  <c r="D1891" i="1" a="1"/>
  <c r="D1891" i="1"/>
  <c r="D1892" i="1" a="1"/>
  <c r="D1892" i="1"/>
  <c r="D1893" i="1" a="1"/>
  <c r="D1893" i="1"/>
  <c r="D1894" i="1" a="1"/>
  <c r="D1894" i="1"/>
  <c r="D1895" i="1" a="1"/>
  <c r="D1895" i="1" s="1"/>
  <c r="D2" i="1" a="1"/>
  <c r="D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2" i="1"/>
  <c r="A1" i="2" l="1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<sst xmlns="http://schemas.openxmlformats.org/spreadsheetml/2006/main" count="30121" uniqueCount="134">
  <si>
    <t>Brand</t>
  </si>
  <si>
    <t>Franchise</t>
  </si>
  <si>
    <t>Partner</t>
  </si>
  <si>
    <t>Landing Page</t>
  </si>
  <si>
    <t>Week End</t>
  </si>
  <si>
    <t>Year</t>
  </si>
  <si>
    <t>Sum of Spend</t>
  </si>
  <si>
    <t>Sum of Impressions</t>
  </si>
  <si>
    <t>Biolage</t>
  </si>
  <si>
    <t>Meta</t>
  </si>
  <si>
    <t>Amazon</t>
  </si>
  <si>
    <t>Other</t>
  </si>
  <si>
    <t>Ulta</t>
  </si>
  <si>
    <t>Pinterest</t>
  </si>
  <si>
    <t>TikTok</t>
  </si>
  <si>
    <t>Blowdry Cream</t>
  </si>
  <si>
    <t>Bond Therapy</t>
  </si>
  <si>
    <t>Color Last</t>
  </si>
  <si>
    <t>Full Rescue</t>
  </si>
  <si>
    <t>Hydrasource</t>
  </si>
  <si>
    <t>Prime Day</t>
  </si>
  <si>
    <t>Scalp Sync</t>
  </si>
  <si>
    <t>Campaign</t>
  </si>
  <si>
    <t>FranchiseExtract</t>
  </si>
  <si>
    <t>Month</t>
  </si>
  <si>
    <t>Date</t>
  </si>
  <si>
    <t>Spend</t>
  </si>
  <si>
    <t>Impressions</t>
  </si>
  <si>
    <t>blg_othr_na_na_84570334_2023_q2_conversion-non-promo_other_amazon+ulta+conversion_v2</t>
  </si>
  <si>
    <t>blg_haca_bfr_full-rescue_auc_aw-video-views_x_x_YM00458406_q2_2025_bfr_001_x</t>
  </si>
  <si>
    <t>blg_othr_q3-haca-colorlast_traffic-lctr_cons-tra-linkcli_none-customother_na_na_ym87093420_bcl_2023_bcl_x_x</t>
  </si>
  <si>
    <t>blg_haca_scalp_na_cons-tra-linkcli_none-none_na_na_ym00356549_q1-q2-lctr_2024_bcp_002_x</t>
  </si>
  <si>
    <t>blg_othr_na_na_84570334_2023_q2_traffic_other_volumebloom-fulldensity+traffic_JBP</t>
  </si>
  <si>
    <t>blg_haca_hydrasource_bau_aw-aw-thruplay_none-none_na_na_ym00339376_q1-vvr_2024_bhs_001_x</t>
  </si>
  <si>
    <t>blg_haca_hydrasource_reelsonly_aw-aw-thruplay_none-none_na_na_ym00339376_q1-vvr_2024_bhs_001_x</t>
  </si>
  <si>
    <t>blg_haca_bfr_fullrescue_cons-tra-linkcli_website-none_x_x_ym00458406_q2-q3_2025_bfr_001_x</t>
  </si>
  <si>
    <t>blg_haca_bfr_fullrescue_aw-aw-thruplay_none-none_x_x_ym00458406_q2-q3_2025_bfr_001_x</t>
  </si>
  <si>
    <t>blg_haca_mult_ao-boosting_auc_aw-video-views_x_x_ym00437375_x_2025_blg_002_x</t>
  </si>
  <si>
    <t>blg_haca_hys_hydrasource_aw-aw-thruplay_none-none_x_x_ym00427700_q2_2025_bhs_006_x</t>
  </si>
  <si>
    <t>blg_haca_scalp-sync_traffic_cons-consideration_ym00356548_all_2024_bcp_004_x</t>
  </si>
  <si>
    <t>blg_haca_hydrasource_na_cons-tra-linkcli_none-none_na_na_ym00339376_q1-lctr_2024_bhs_001_x</t>
  </si>
  <si>
    <t>blg_haca_hys_hydrasource_cons-tra-linkcli_website-none_x_x_ym00427700_q2_2025_bhs_006_x</t>
  </si>
  <si>
    <t>blg_haca_bfr_fullrescue-bonus_aw-awareness_x_bonus-q2_2025_x_x_x</t>
  </si>
  <si>
    <t>blg_haca_bfr_full-rescue_auc_cons-traffic_x_x_YM00458406_q2_2025_bfr_001_x</t>
  </si>
  <si>
    <t>blg_othr_na_na_84570334_2023_q2_traffic_other_volumebloom-fulldensity+traffic</t>
  </si>
  <si>
    <t>blg_haca_hydrasource_x_cons-tra-linkcli_none-none_x_x_ym00339376_q4-lctr_2024_bhs_001_x</t>
  </si>
  <si>
    <t>blg_haca_mult_agile-boosting_cons-eng-thruplay_none-none_x_x_ym00437375_x_2025_blg_002_x</t>
  </si>
  <si>
    <t>blg_haca_hys_hydrasource_auc_aw-video-views_x_x_ym00427700_q2_2025_bhs_006_x</t>
  </si>
  <si>
    <t>blg_haca_scalp_reels-only_aw-aw-thruplay_website-viewcontent_na_na_ym00356549_q1-q2-vvr_2024_bcp_002_x</t>
  </si>
  <si>
    <t>blg_haca_hys_hydrasource_auc_cons-traffic_x_x_ym00427700_q2_2025_bhs_006_x</t>
  </si>
  <si>
    <t>blg_haca_bond-therapy_na_cons-tra-linkcli_website-customother_na_na_ym87093418_lctr-q4_2023_x_x_x</t>
  </si>
  <si>
    <t>blg_othr_na_na_84570334_2023_q2_traffic_other_volumebloom-fulldensity+traffic_v2</t>
  </si>
  <si>
    <t>blg_haca_bond-therapy_na_aw-aw-thruplay_none-viewcontent_na_na_ym87093418_vvr-q4_2023_x_x_x</t>
  </si>
  <si>
    <t>blg_haca_bond-therapy_reelsonly_aw-aw-thruplay_none-viewcontent_na_na_ym87093418_vvr-q4_2023_x_x_</t>
  </si>
  <si>
    <t>blg_haca_scalp_bau_aw-aw-thruplay_website-viewcontent_na_na_ym00356549_q1-q2-vvr_2024_bcp_002_x</t>
  </si>
  <si>
    <t>blg_haca_hydrasource_x_aw-aw-thruplay_none-none_x_x_ym00339376_q4_2024_bhs_001_x</t>
  </si>
  <si>
    <t>blg_othr_haca-colorlast-q3_vvr-awareness_aw-aw-thruplay_none-customother_na_na_ym87093420_bcl_2023_bcl_x_x</t>
  </si>
  <si>
    <t>blg_haca_bfr_full-rescue-pulse_res_aw-reach_x_x_ym00458406_q2_2025_bfr_001_x</t>
  </si>
  <si>
    <t>blg_haca_oct-prime-day_x_cons-tra-linkcli_website-none_x_x_ym00384930_x_2024_blg_001_x</t>
  </si>
  <si>
    <t>blg_haca_scalp-sync_awareness_aw-awareness_ym00356548_all_2024_bcp_004_x</t>
  </si>
  <si>
    <t>blg_othr_blowdrycream_leadgen-cpl-q3_cons-lea-leads_instantforms-customother_other_x_ym93789674_sweeps_2023_x_x_x</t>
  </si>
  <si>
    <t>blg_haca_prime-day_lead-up-cell-1_cons-tra-linkcli_none-viewcontent_x_lla_ym00384930_x_2024_blg_001_x</t>
  </si>
  <si>
    <t>blg_othr_na_na_84570334_2023_q2_conversion-non-promo_other_amazon+ulta+conversion</t>
  </si>
  <si>
    <t>blg_haca_prime-day_primeday-dayofsale-cell-1_cons-tra-linkcli_none-viewcontent_x_lla_ym00384930_x_2024_blg_001_x</t>
  </si>
  <si>
    <t>blg_haca_mult_bf-cyber-leadup_cons-tra-linkcli_website-none_promotion_x_ym00384930_q4_2024_blg_001_x</t>
  </si>
  <si>
    <t>blg_haca_prime-day_lead-up-cell-1_aw-aw-thruplay_none-viewcontent_x_lla_ym00384930_x_2024_blg_001_x</t>
  </si>
  <si>
    <t>blg_haca_mult_bf-cyber-reminder_cons-eng-posteng_onad-none_promotion_x_ym00384930_q4_2024_blg_001_x</t>
  </si>
  <si>
    <t>blg_haca_prime-day_lead-up-cell-2_aw-aw-thruplay_none-viewcontent_x_lla_ym00384930_x_2024_blg_001_x</t>
  </si>
  <si>
    <t>blg_multi_na_elevate-me_cons-tra-linkcli_none-none_other_na_ym00329346_x_2023_x_x_</t>
  </si>
  <si>
    <t>blg_haca_prime-day_lead-up-cell-2_cons-tra-linkcli_none-viewcontent_x_lla_ym00384930_x_2024_blg_001_x</t>
  </si>
  <si>
    <t>blg_haca_mult_bf-cyber-dayofsale-bf_cons-tra-linkcli_website-none_promotion_x_ym00384930_q4_2024_blg_001_x</t>
  </si>
  <si>
    <t>blg_othr_bondtherapy_leadgen-cpl-q4_cons-lea-leads_instantforms-customother_other_na_ym93789674_sweeps_2023_x_x_x</t>
  </si>
  <si>
    <t>blg_haca_mult_agile-boosting_aw-aw-thruplay_none-none_x_x_ym00437375_x_2025_blg_002_x</t>
  </si>
  <si>
    <t>blg_haca_prime-day_reminderads-cell-2_cons-eng-posteng_none-none_x_x_ym00384930_x_2024_blg_001_x</t>
  </si>
  <si>
    <t>blg_haca_mult_ulta-liter_cons-tra-linkcli_website-none_promotion_x_ym00437375_q1_2025_blg_002_x</t>
  </si>
  <si>
    <t>blg_othr_q3-haca-colorlast_prime-traffic-lctr_cons-tra-linkcli_none-customother_promotion_na_ym87093420_2023_2023_bcl_x_x</t>
  </si>
  <si>
    <t>blg_haca_mult_bf-cyber-dayofsale-cm_cons-tra-linkcli_website-none_promotion_x_ym00384930_q4_2024_blg_001_x</t>
  </si>
  <si>
    <t>blg_haca_prime-day_primeday-dayofsale-cell-2_cons-tra-linkcli_none-viewcontent_x_lla_ym00384930_x_2024_blg_001_x</t>
  </si>
  <si>
    <t>blg_haca_hys_hydrasource-pulse_res_aw-reach_x_x_ym00427700_q3_2025_bhs_006_x</t>
  </si>
  <si>
    <t>Channel</t>
  </si>
  <si>
    <t>Platform</t>
  </si>
  <si>
    <t>Week End (Sat)</t>
  </si>
  <si>
    <t>WeekMapping</t>
  </si>
  <si>
    <t>Concat</t>
  </si>
  <si>
    <t>Biolage - Brand</t>
  </si>
  <si>
    <t>Social</t>
  </si>
  <si>
    <t>TTM</t>
  </si>
  <si>
    <t>Social-Meta</t>
  </si>
  <si>
    <t>LY</t>
  </si>
  <si>
    <t>PY</t>
  </si>
  <si>
    <t>Social-Pinterest</t>
  </si>
  <si>
    <t>Social-TikTok</t>
  </si>
  <si>
    <t>Hydra Source</t>
  </si>
  <si>
    <t>Display</t>
  </si>
  <si>
    <t>Display-Amazon</t>
  </si>
  <si>
    <t>Search</t>
  </si>
  <si>
    <t>Search-Amazon</t>
  </si>
  <si>
    <t>OTT</t>
  </si>
  <si>
    <t>OTT-Amazon</t>
  </si>
  <si>
    <t>Strength Recovery</t>
  </si>
  <si>
    <t>Volume Bloom</t>
  </si>
  <si>
    <t>Smooth Proof</t>
  </si>
  <si>
    <t>Styling</t>
  </si>
  <si>
    <t>All in One</t>
  </si>
  <si>
    <t>Google</t>
  </si>
  <si>
    <t>Search-Google</t>
  </si>
  <si>
    <t>Full Density</t>
  </si>
  <si>
    <t>CPP</t>
  </si>
  <si>
    <t xml:space="preserve">DDM </t>
  </si>
  <si>
    <t xml:space="preserve">CPP-DDM </t>
  </si>
  <si>
    <t>Column Labels</t>
  </si>
  <si>
    <t>Row Labels</t>
  </si>
  <si>
    <t>Grand Total</t>
  </si>
  <si>
    <t>Week</t>
  </si>
  <si>
    <t>Campaign Name 
(based on LUSA taxonomy name on the IO)</t>
  </si>
  <si>
    <t>Package Name (based on LUSA taxonomy name on the IO)</t>
  </si>
  <si>
    <t>Placement Name
 (based on the LUSA taxonomy name on the IO)</t>
  </si>
  <si>
    <t>Creative Name (based on LUSA taxonomy)</t>
  </si>
  <si>
    <t>blg_haca_bfr_2025-direct_00469647_pmc_direct_2025_bfr_001_x</t>
  </si>
  <si>
    <t>blg_haca_bfr_2025-direct_dis-aw-flf_00469647_direct-people-summer-hair-editorial-content-package-plus-4x-articles-package-plus-related-content_ddmer_ros_x</t>
  </si>
  <si>
    <t>dotdash-meredith_dis_3p-audiences_x_ct_m-w_2-+_en_cr_dir_all_flf_p34xlw8_summer-hair-editorial-medium-rectangle_x_arch_300x250_tbd_x_x_x</t>
  </si>
  <si>
    <t>full-rescue_local_300x250_x_shop-now_e-amazon_bfr_x</t>
  </si>
  <si>
    <t>dotdash-meredith_dis_3p-audiences_x_ct_m-w_2-+_en_dsk_dir_all_flf_p34xlw2_summer-hair-editorial-desktop-leaderboard_x_arch_728x90_tbd_x_x_x</t>
  </si>
  <si>
    <t>full-rescue_local_728x90_x_shop-now_e-amazon_bfr_x</t>
  </si>
  <si>
    <t>dotdash-meredith_dis_3p-audiences_x_ct_m-w_2-+_en_mt_dir_all_flf_p34xlwj_summer-hair-editorial-static-smartphone-ad_x_arch_320x50_tbd_x_x_x</t>
  </si>
  <si>
    <t>full-rescue_local_320x50_x_shop-now_e-amazon_bfr_x</t>
  </si>
  <si>
    <t>blg_haca_bfr_2025-direct_dis-aw-vad_00469647_direct-ddm-portfolio-added-value-run-of-network-media-package_ddmer_ron_x</t>
  </si>
  <si>
    <t>dotdash-meredith_dis_3p-audiences_x_x_m-w_2-+_en_cr_dir_all_vad_p34xlxh_added-value-run-of-network-medium-rectangle_x_arch_300x250_tbd_x_x_x</t>
  </si>
  <si>
    <t>dotdash-meredith_dis_3p-audiences_x_x_m-w_2-+_en_dsk_dir_all_vad_p34xlxd_added-value-network-media-desktop-leaderboard_x_arch_728x90_tbd_x_x_x</t>
  </si>
  <si>
    <t>dotdash-meredith_soc_3p-audiences_x_bh_m-w_2-+_en_cr_dir_all_cpe_p34xltq_people-edit-credit-amplify-social-dark-post-driving-to-brand-spokes-announcement-article_x_arch_1x1_tbd_x_x_x</t>
  </si>
  <si>
    <t>Biolage_PEO_FB Feed_biolage-exclusive-interview_v1</t>
  </si>
  <si>
    <t>Biolage_PEO_IG Feed_biolage-exclusive-interview_v1</t>
  </si>
  <si>
    <t>Final Grouping</t>
  </si>
  <si>
    <t>Programmatic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</si>
</sst>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"/>
    <numFmt numFmtId="165" formatCode="yyyy\-mm"/>
    <numFmt numFmtId="166" formatCode="yyyy\-mm\-dd"/>
    <numFmt numFmtId="167" formatCode="#,##0.0000"/>
    <numFmt numFmtId="168" formatCode="&quot;$&quot;#,##0.00"/>
    <numFmt numFmtId="169" formatCode="_(* #,##0_);_(* \(#,##0\);_(* &quot;-&quot;??_);_(@_)"/>
  </numFmts>
  <fonts count="2" x14ac:knownFonts="1">
    <font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</cellStyleXfs>
  <cellXfs count="1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4" fontId="0" fillId="0" borderId="0" xfId="0" applyNumberFormat="1" applyAlignment="1">
      <alignment horizontal="left" indent="1"/>
    </xf>
    <xf numFmtId="168" fontId="0" fillId="0" borderId="0" xfId="0" applyNumberFormat="1"/>
    <xf numFmtId="44" fontId="0" fillId="0" borderId="0" xfId="1" applyFont="1"/>
    <xf numFmtId="44" fontId="0" fillId="0" borderId="0" xfId="0" applyNumberFormat="1"/>
    <xf numFmtId="9" fontId="0" fillId="0" borderId="0" xfId="2" applyFont="1"/>
    <xf numFmtId="1" fontId="0" fillId="0" borderId="0" xfId="0" applyNumberFormat="1"/>
    <xf numFmtId="0" fontId="0" fillId="0" borderId="0" xfId="3" applyNumberFormat="1" applyFont="1"/>
    <xf numFmtId="169" fontId="0" fillId="0" borderId="0" xfId="0" applyNumberFormat="1"/>
    <xf numFmtId="0" fontId="0" fillId="2" borderId="1" xfId="4" applyFont="1"/>
    <xf numFmtId="14" fontId="0" fillId="0" borderId="0" xfId="0" applyNumberFormat="1" applyAlignment="1">
      <alignment horizontal="left"/>
    </xf>
    <xf numFmtId="0" fontId="0" fillId="0" borderId="0" xfId="0" applyNumberFormat="1"/>
  </cellXfs>
  <cellStyles count="5">
    <cellStyle name="Comma" xfId="3" builtinId="3"/>
    <cellStyle name="Currency" xfId="1" builtinId="4"/>
    <cellStyle name="Normal" xfId="0" builtinId="0"/>
    <cellStyle name="Note" xfId="4" builtinId="10"/>
    <cellStyle name="Percent" xfId="2" builtinId="5"/>
  </cellStyles>
  <dxfs count="2">
    <dxf>
      <numFmt numFmtId="169" formatCode="_(* #,##0_);_(* \(#,##0\);_(* &quot;-&quot;??_);_(@_)"/>
    </dxf>
    <dxf>
      <numFmt numFmtId="169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Mencel (BCL)" refreshedDate="45841.411357291669" createdVersion="8" refreshedVersion="8" minRefreshableVersion="3" recordCount="1894" xr:uid="{AF39ACC6-2755-4493-9876-A215164337D7}">
  <cacheSource type="worksheet">
    <worksheetSource ref="A1:L1895" sheet="sheet1"/>
  </cacheSource>
  <cacheFields count="18">
    <cacheField name="Brand" numFmtId="0">
      <sharedItems count="1">
        <s v="Biolage"/>
      </sharedItems>
    </cacheField>
    <cacheField name="Partner" numFmtId="0">
      <sharedItems count="3">
        <s v="Pinterest"/>
        <s v="TikTok"/>
        <s v="Meta"/>
      </sharedItems>
    </cacheField>
    <cacheField name="Campaign" numFmtId="0">
      <sharedItems/>
    </cacheField>
    <cacheField name="FranchiseExtract" numFmtId="0">
      <sharedItems/>
    </cacheField>
    <cacheField name="Franchise" numFmtId="0">
      <sharedItems count="8">
        <s v="Biolage"/>
        <s v="Full Rescue"/>
        <s v="Color Last"/>
        <s v="Scalp Sync"/>
        <s v="Hydrasource"/>
        <s v="Bond Therapy"/>
        <s v="Prime Day"/>
        <s v="Blowdry Cream"/>
      </sharedItems>
    </cacheField>
    <cacheField name="Year" numFmtId="164">
      <sharedItems containsSemiMixedTypes="0" containsNonDate="0" containsDate="1" containsString="0" minDate="2023-01-01T00:00:00" maxDate="2025-01-02T00:00:00" count="3">
        <d v="2023-01-01T00:00:00"/>
        <d v="2025-01-01T00:00:00"/>
        <d v="2024-01-01T00:00:00"/>
      </sharedItems>
      <fieldGroup par="17"/>
    </cacheField>
    <cacheField name="Landing Page" numFmtId="0">
      <sharedItems count="3">
        <s v="Ulta"/>
        <s v="Amazon"/>
        <s v="Other"/>
      </sharedItems>
    </cacheField>
    <cacheField name="Month" numFmtId="165">
      <sharedItems containsSemiMixedTypes="0" containsNonDate="0" containsDate="1" containsString="0" minDate="2023-07-01T00:00:00" maxDate="2025-07-02T00:00:00"/>
    </cacheField>
    <cacheField name="Date" numFmtId="166">
      <sharedItems containsSemiMixedTypes="0" containsNonDate="0" containsDate="1" containsString="0" minDate="2023-07-01T00:00:00" maxDate="2025-07-02T00:00:00"/>
    </cacheField>
    <cacheField name="Week End" numFmtId="166">
      <sharedItems containsSemiMixedTypes="0" containsNonDate="0" containsDate="1" containsString="0" minDate="2023-07-01T00:00:00" maxDate="2025-07-06T00:00:00" count="77">
        <d v="2023-08-26T00:00:00"/>
        <d v="2025-07-05T00:00:00"/>
        <d v="2023-08-05T00:00:00"/>
        <d v="2024-03-30T00:00:00"/>
        <d v="2023-08-12T00:00:00"/>
        <d v="2024-02-03T00:00:00"/>
        <d v="2024-03-09T00:00:00"/>
        <d v="2025-06-28T00:00:00"/>
        <d v="2025-05-31T00:00:00"/>
        <d v="2025-03-29T00:00:00"/>
        <d v="2025-06-07T00:00:00"/>
        <d v="2025-04-26T00:00:00"/>
        <d v="2025-05-10T00:00:00"/>
        <d v="2025-03-22T00:00:00"/>
        <d v="2024-05-25T00:00:00"/>
        <d v="2024-01-27T00:00:00"/>
        <d v="2025-06-21T00:00:00"/>
        <d v="2025-05-17T00:00:00"/>
        <d v="2025-06-14T00:00:00"/>
        <d v="2025-05-03T00:00:00"/>
        <d v="2024-02-17T00:00:00"/>
        <d v="2023-07-08T00:00:00"/>
        <d v="2024-11-02T00:00:00"/>
        <d v="2025-04-12T00:00:00"/>
        <d v="2024-04-20T00:00:00"/>
        <d v="2024-03-16T00:00:00"/>
        <d v="2025-04-05T00:00:00"/>
        <d v="2024-10-12T00:00:00"/>
        <d v="2023-12-23T00:00:00"/>
        <d v="2024-03-02T00:00:00"/>
        <d v="2023-08-19T00:00:00"/>
        <d v="2024-10-05T00:00:00"/>
        <d v="2024-10-19T00:00:00"/>
        <d v="2023-12-16T00:00:00"/>
        <d v="2024-04-13T00:00:00"/>
        <d v="2023-11-25T00:00:00"/>
        <d v="2025-04-19T00:00:00"/>
        <d v="2023-07-15T00:00:00"/>
        <d v="2023-12-09T00:00:00"/>
        <d v="2023-07-29T00:00:00"/>
        <d v="2023-12-02T00:00:00"/>
        <d v="2024-02-10T00:00:00"/>
        <d v="2023-07-22T00:00:00"/>
        <d v="2023-12-30T00:00:00"/>
        <d v="2024-05-04T00:00:00"/>
        <d v="2023-09-23T00:00:00"/>
        <d v="2024-07-20T00:00:00"/>
        <d v="2025-05-24T00:00:00"/>
        <d v="2023-07-01T00:00:00"/>
        <d v="2024-05-11T00:00:00"/>
        <d v="2024-04-27T00:00:00"/>
        <d v="2024-11-30T00:00:00"/>
        <d v="2023-09-02T00:00:00"/>
        <d v="2024-04-06T00:00:00"/>
        <d v="2024-07-13T00:00:00"/>
        <d v="2023-11-18T00:00:00"/>
        <d v="2024-05-18T00:00:00"/>
        <d v="2024-01-20T00:00:00"/>
        <d v="2024-11-23T00:00:00"/>
        <d v="2024-02-24T00:00:00"/>
        <d v="2024-09-28T00:00:00"/>
        <d v="2024-07-06T00:00:00"/>
        <d v="2023-09-16T00:00:00"/>
        <d v="2023-11-11T00:00:00"/>
        <d v="2024-03-23T00:00:00"/>
        <d v="2024-06-01T00:00:00"/>
        <d v="2023-11-04T00:00:00"/>
        <d v="2025-02-22T00:00:00"/>
        <d v="2024-10-26T00:00:00"/>
        <d v="2023-09-30T00:00:00"/>
        <d v="2025-01-25T00:00:00"/>
        <d v="2025-03-01T00:00:00"/>
        <d v="2023-10-28T00:00:00"/>
        <d v="2023-09-09T00:00:00"/>
        <d v="2024-12-07T00:00:00"/>
        <d v="2025-03-15T00:00:00"/>
        <d v="2025-01-18T00:00:00"/>
      </sharedItems>
      <fieldGroup par="14"/>
    </cacheField>
    <cacheField name="Spend" numFmtId="167">
      <sharedItems containsSemiMixedTypes="0" containsString="0" containsNumber="1" minValue="0.02" maxValue="21288.829995999997"/>
    </cacheField>
    <cacheField name="Impressions" numFmtId="0">
      <sharedItems containsSemiMixedTypes="0" containsString="0" containsNumber="1" containsInteger="1" minValue="2" maxValue="3872901"/>
    </cacheField>
    <cacheField name="Months (Week End)" numFmtId="0" databaseField="0">
      <fieldGroup base="9">
        <rangePr groupBy="months" startDate="2023-07-01T00:00:00" endDate="2025-07-06T00:00:00"/>
        <groupItems count="14">
          <s v="&lt;7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6/2025"/>
        </groupItems>
      </fieldGroup>
    </cacheField>
    <cacheField name="Quarters (Week End)" numFmtId="0" databaseField="0">
      <fieldGroup base="9">
        <rangePr groupBy="quarters" startDate="2023-07-01T00:00:00" endDate="2025-07-06T00:00:00"/>
        <groupItems count="6">
          <s v="&lt;7/1/2023"/>
          <s v="Qtr1"/>
          <s v="Qtr2"/>
          <s v="Qtr3"/>
          <s v="Qtr4"/>
          <s v="&gt;7/6/2025"/>
        </groupItems>
      </fieldGroup>
    </cacheField>
    <cacheField name="Years (Week End)" numFmtId="0" databaseField="0">
      <fieldGroup base="9">
        <rangePr groupBy="years" startDate="2023-07-01T00:00:00" endDate="2025-07-06T00:00:00"/>
        <groupItems count="5">
          <s v="&lt;7/1/2023"/>
          <s v="2023"/>
          <s v="2024"/>
          <s v="2025"/>
          <s v="&gt;7/6/2025"/>
        </groupItems>
      </fieldGroup>
    </cacheField>
    <cacheField name="Months (Year)" numFmtId="0" databaseField="0">
      <fieldGroup base="5">
        <rangePr groupBy="months" startDate="2023-01-01T00:00:00" endDate="2025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5"/>
        </groupItems>
      </fieldGroup>
    </cacheField>
    <cacheField name="Quarters (Year)" numFmtId="0" databaseField="0">
      <fieldGroup base="5">
        <rangePr groupBy="quarters" startDate="2023-01-01T00:00:00" endDate="2025-01-02T00:00:00"/>
        <groupItems count="6">
          <s v="&lt;1/1/2023"/>
          <s v="Qtr1"/>
          <s v="Qtr2"/>
          <s v="Qtr3"/>
          <s v="Qtr4"/>
          <s v="&gt;1/2/2025"/>
        </groupItems>
      </fieldGroup>
    </cacheField>
    <cacheField name="Years (Year)" numFmtId="0" databaseField="0">
      <fieldGroup base="5">
        <rangePr groupBy="years" startDate="2023-01-01T00:00:00" endDate="2025-01-02T00:00:00"/>
        <groupItems count="5">
          <s v="&lt;1/1/2023"/>
          <s v="2023"/>
          <s v="2024"/>
          <s v="2025"/>
          <s v="&gt;1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Mencel (BCL)" refreshedDate="45848.478065162039" createdVersion="8" refreshedVersion="8" minRefreshableVersion="3" recordCount="229" xr:uid="{12B82FEB-576A-410A-93D4-39AC0FBB1263}">
  <cacheSource type="worksheet">
    <worksheetSource ref="A1:N230" sheet="Sheet2"/>
  </cacheSource>
  <cacheFields count="16">
    <cacheField name="Channel" numFmtId="0">
      <sharedItems count="1">
        <s v="CPP"/>
      </sharedItems>
    </cacheField>
    <cacheField name="Platform" numFmtId="0">
      <sharedItems count="1">
        <s v="DDM "/>
      </sharedItems>
    </cacheField>
    <cacheField name="Brand" numFmtId="0">
      <sharedItems count="1">
        <s v="Biolage"/>
      </sharedItems>
    </cacheField>
    <cacheField name="Franchise" numFmtId="0">
      <sharedItems count="1">
        <s v="Full Rescue"/>
      </sharedItems>
    </cacheField>
    <cacheField name="Date" numFmtId="14">
      <sharedItems containsSemiMixedTypes="0" containsNonDate="0" containsDate="1" containsString="0" minDate="2025-06-02T00:00:00" maxDate="2025-07-01T00:00:00"/>
    </cacheField>
    <cacheField name="Week End" numFmtId="14">
      <sharedItems containsSemiMixedTypes="0" containsNonDate="0" containsDate="1" containsString="0" minDate="2025-06-07T00:00:00" maxDate="2025-07-06T00:00:00" count="5">
        <d v="2025-06-07T00:00:00"/>
        <d v="2025-06-14T00:00:00"/>
        <d v="2025-06-21T00:00:00"/>
        <d v="2025-06-28T00:00:00"/>
        <d v="2025-07-05T00:00:00"/>
      </sharedItems>
      <fieldGroup par="15"/>
    </cacheField>
    <cacheField name="Year" numFmtId="1">
      <sharedItems containsSemiMixedTypes="0" containsString="0" containsNumber="1" containsInteger="1" minValue="2025" maxValue="2025" count="1">
        <n v="2025"/>
      </sharedItems>
    </cacheField>
    <cacheField name="Landing Page" numFmtId="1">
      <sharedItems count="1">
        <s v="Amazon"/>
      </sharedItems>
    </cacheField>
    <cacheField name="Campaign Name _x000a_(based on LUSA taxonomy name on the IO)" numFmtId="0">
      <sharedItems/>
    </cacheField>
    <cacheField name="Package Name (based on LUSA taxonomy name on the IO)" numFmtId="0">
      <sharedItems/>
    </cacheField>
    <cacheField name="Placement Name_x000a_ (based on the LUSA taxonomy name on the IO)" numFmtId="0">
      <sharedItems/>
    </cacheField>
    <cacheField name="Creative Name (based on LUSA taxonomy)" numFmtId="0">
      <sharedItems/>
    </cacheField>
    <cacheField name="Spend" numFmtId="0">
      <sharedItems containsSemiMixedTypes="0" containsString="0" containsNumber="1" minValue="0" maxValue="7215.6"/>
    </cacheField>
    <cacheField name="Impressions" numFmtId="0">
      <sharedItems containsSemiMixedTypes="0" containsString="0" containsNumber="1" containsInteger="1" minValue="8" maxValue="395793"/>
    </cacheField>
    <cacheField name="Days (Week End)" numFmtId="0" databaseField="0">
      <fieldGroup base="5">
        <rangePr groupBy="days" startDate="2025-06-07T00:00:00" endDate="2025-07-06T00:00:00"/>
        <groupItems count="368">
          <s v="&lt;6/7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7/6/2025"/>
        </groupItems>
      </fieldGroup>
    </cacheField>
    <cacheField name="Months (Week End)" numFmtId="0" databaseField="0">
      <fieldGroup base="5">
        <rangePr groupBy="months" startDate="2025-06-07T00:00:00" endDate="2025-07-06T00:00:00"/>
        <groupItems count="14">
          <s v="&lt;6/7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8.56270185185" createdVersion="8" refreshedVersion="8" minRefreshableVersion="3" recordCount="2411" xr:uid="{F150B704-0B29-4DA9-A08F-1A479E6ACB93}">
  <cacheSource type="worksheet">
    <worksheetSource ref="A1:I2412" sheet="Consolidated Media Data"/>
  </cacheSource>
  <cacheFields count="12">
    <cacheField name="Brand" numFmtId="0">
      <sharedItems/>
    </cacheField>
    <cacheField name="Franchise" numFmtId="0">
      <sharedItems/>
    </cacheField>
    <cacheField name="Channel" numFmtId="0">
      <sharedItems/>
    </cacheField>
    <cacheField name="Platform" numFmtId="0">
      <sharedItems count="5">
        <s v="Meta"/>
        <s v="Pinterest"/>
        <s v="TikTok"/>
        <s v="Amazon"/>
        <s v="Google"/>
      </sharedItems>
    </cacheField>
    <cacheField name="Landing Page" numFmtId="0">
      <sharedItems/>
    </cacheField>
    <cacheField name="Week End (Sat)" numFmtId="14">
      <sharedItems containsSemiMixedTypes="0" containsNonDate="0" containsDate="1" containsString="0" minDate="2023-07-01T00:00:00" maxDate="2025-07-06T00:00:00"/>
    </cacheField>
    <cacheField name="Year" numFmtId="164">
      <sharedItems containsSemiMixedTypes="0" containsNonDate="0" containsDate="1" containsString="0" minDate="2023-01-01T00:00:00" maxDate="2025-01-02T00:00:00" count="3">
        <d v="2025-01-01T00:00:00"/>
        <d v="2023-01-01T00:00:00"/>
        <d v="2024-01-01T00:00:00"/>
      </sharedItems>
      <fieldGroup par="11"/>
    </cacheField>
    <cacheField name="Spend" numFmtId="0">
      <sharedItems containsSemiMixedTypes="0" containsString="0" containsNumber="1" minValue="0.01" maxValue="145455.050013"/>
    </cacheField>
    <cacheField name="Impressions" numFmtId="0">
      <sharedItems containsSemiMixedTypes="0" containsString="0" containsNumber="1" containsInteger="1" minValue="1" maxValue="18016432"/>
    </cacheField>
    <cacheField name="Months (Year)" numFmtId="0" databaseField="0">
      <fieldGroup base="6">
        <rangePr groupBy="months" startDate="2023-01-01T00:00:00" endDate="2025-01-02T00:00:00"/>
        <groupItems count="14">
          <s v="&lt;1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/2025"/>
        </groupItems>
      </fieldGroup>
    </cacheField>
    <cacheField name="Quarters (Year)" numFmtId="0" databaseField="0">
      <fieldGroup base="6">
        <rangePr groupBy="quarters" startDate="2023-01-01T00:00:00" endDate="2025-01-02T00:00:00"/>
        <groupItems count="6">
          <s v="&lt;1/1/2023"/>
          <s v="Qtr1"/>
          <s v="Qtr2"/>
          <s v="Qtr3"/>
          <s v="Qtr4"/>
          <s v="&gt;1/2/2025"/>
        </groupItems>
      </fieldGroup>
    </cacheField>
    <cacheField name="Years (Year)" numFmtId="0" databaseField="0">
      <fieldGroup base="6">
        <rangePr groupBy="years" startDate="2023-01-01T00:00:00" endDate="2025-01-02T00:00:00"/>
        <groupItems count="5">
          <s v="&lt;1/1/2023"/>
          <s v="2023"/>
          <s v="2024"/>
          <s v="2025"/>
          <s v="&gt;1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8.563036574073" createdVersion="8" refreshedVersion="8" minRefreshableVersion="3" recordCount="2416" xr:uid="{FACA9AD1-3AFE-4C45-897C-B88C219E9697}">
  <cacheSource type="worksheet">
    <worksheetSource ref="A1:K2417" sheet="Consolidated Media Data"/>
  </cacheSource>
  <cacheFields count="11">
    <cacheField name="Brand" numFmtId="0">
      <sharedItems/>
    </cacheField>
    <cacheField name="Franchise" numFmtId="0">
      <sharedItems count="17">
        <s v="Biolage - Brand"/>
        <s v="Blowdry Cream"/>
        <s v="Bond Therapy"/>
        <s v="Color Last"/>
        <s v="Full Rescue"/>
        <s v="Hydra Source"/>
        <s v="Prime Day"/>
        <s v="Scalp Sync"/>
        <s v="Strength Recovery"/>
        <s v="Volume Bloom"/>
        <s v="Smooth Proof"/>
        <s v="Styling"/>
        <s v="All in One"/>
        <s v="Full Density"/>
        <s v="Biolage" u="1"/>
        <s v="Brand" u="1"/>
        <s v="Hydrasource" u="1"/>
      </sharedItems>
    </cacheField>
    <cacheField name="Channel" numFmtId="0">
      <sharedItems/>
    </cacheField>
    <cacheField name="Platform" numFmtId="0">
      <sharedItems/>
    </cacheField>
    <cacheField name="Landing Page" numFmtId="0">
      <sharedItems/>
    </cacheField>
    <cacheField name="Week End (Sat)" numFmtId="14">
      <sharedItems containsSemiMixedTypes="0" containsNonDate="0" containsDate="1" containsString="0" minDate="2023-07-01T00:00:00" maxDate="2025-07-06T00:00:00"/>
    </cacheField>
    <cacheField name="Year" numFmtId="164">
      <sharedItems containsSemiMixedTypes="0" containsNonDate="0" containsDate="1" containsString="0" minDate="2023-01-01T00:00:00" maxDate="2025-01-02T00:00:00"/>
    </cacheField>
    <cacheField name="Spend" numFmtId="0">
      <sharedItems containsSemiMixedTypes="0" containsString="0" containsNumber="1" minValue="0.01" maxValue="145455.050013"/>
    </cacheField>
    <cacheField name="Impressions" numFmtId="0">
      <sharedItems containsSemiMixedTypes="0" containsString="0" containsNumber="1" containsInteger="1" minValue="1" maxValue="18016432"/>
    </cacheField>
    <cacheField name="WeekMapping" numFmtId="0">
      <sharedItems/>
    </cacheField>
    <cacheField name="Concat" numFmtId="0">
      <sharedItems count="8">
        <s v="Social-Meta"/>
        <s v="Social-Pinterest"/>
        <s v="Social-TikTok"/>
        <s v="Display-Amazon"/>
        <s v="Search-Amazon"/>
        <s v="OTT-Amazon"/>
        <s v="Search-Google"/>
        <s v="CPP-DDM 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mes Mencel (BCL)" refreshedDate="45925.411306134258" createdVersion="8" refreshedVersion="8" minRefreshableVersion="3" recordCount="2416" xr:uid="{D91A828A-D7D7-4E7A-88B0-0E1B28E4D633}">
  <cacheSource type="worksheet">
    <worksheetSource ref="A1:L2417" sheet="Consolidated Media Data"/>
  </cacheSource>
  <cacheFields count="15">
    <cacheField name="Brand" numFmtId="0">
      <sharedItems/>
    </cacheField>
    <cacheField name="Franchise" numFmtId="0">
      <sharedItems count="14">
        <s v="Biolage - Brand"/>
        <s v="Hydra Source"/>
        <s v="Color Last"/>
        <s v="Strength Recovery"/>
        <s v="Volume Bloom"/>
        <s v="Scalp Sync"/>
        <s v="Styling"/>
        <s v="Blowdry Cream"/>
        <s v="Smooth Proof"/>
        <s v="Bond Therapy"/>
        <s v="All in One"/>
        <s v="Full Density"/>
        <s v="Prime Day"/>
        <s v="Full Rescue"/>
      </sharedItems>
    </cacheField>
    <cacheField name="Channel" numFmtId="0">
      <sharedItems count="5">
        <s v="Social"/>
        <s v="Display"/>
        <s v="Search"/>
        <s v="OTT"/>
        <s v="CPP"/>
      </sharedItems>
    </cacheField>
    <cacheField name="Platform" numFmtId="0">
      <sharedItems/>
    </cacheField>
    <cacheField name="Landing Page" numFmtId="0">
      <sharedItems/>
    </cacheField>
    <cacheField name="Week End (Sat)" numFmtId="14">
      <sharedItems containsSemiMixedTypes="0" containsNonDate="0" containsDate="1" containsString="0" minDate="2023-07-01T00:00:00" maxDate="2025-07-06T00:00:00" count="106">
        <d v="2023-07-01T00:00:00"/>
        <d v="2023-07-08T00:00:00"/>
        <d v="2023-07-15T00:00:00"/>
        <d v="2023-07-22T00:00:00"/>
        <d v="2023-07-29T00:00:00"/>
        <d v="2023-08-05T00:00:00"/>
        <d v="2023-08-12T00:00:00"/>
        <d v="2023-08-19T00:00:00"/>
        <d v="2023-08-26T00:00:00"/>
        <d v="2023-09-02T00:00:00"/>
        <d v="2023-09-09T00:00:00"/>
        <d v="2023-09-16T00:00:00"/>
        <d v="2023-09-23T00:00:00"/>
        <d v="2023-09-30T00:00:00"/>
        <d v="2023-10-07T00:00:00"/>
        <d v="2023-10-14T00:00:00"/>
        <d v="2023-10-21T00:00:00"/>
        <d v="2023-10-28T00:00:00"/>
        <d v="2023-11-04T00:00:00"/>
        <d v="2023-11-11T00:00:00"/>
        <d v="2023-11-18T00:00:00"/>
        <d v="2023-11-25T00:00:00"/>
        <d v="2023-12-02T00:00:00"/>
        <d v="2023-12-09T00:00:00"/>
        <d v="2023-12-16T00:00:00"/>
        <d v="2023-12-23T00:00:00"/>
        <d v="2023-12-30T00:00:00"/>
        <d v="2024-01-06T00:00:00"/>
        <d v="2024-01-13T00:00:00"/>
        <d v="2024-01-20T00:00:00"/>
        <d v="2024-01-27T00:00:00"/>
        <d v="2024-02-03T00:00:00"/>
        <d v="2024-02-10T00:00:00"/>
        <d v="2024-02-17T00:00:00"/>
        <d v="2024-02-24T00:00:00"/>
        <d v="2024-03-02T00:00:00"/>
        <d v="2024-03-09T00:00:00"/>
        <d v="2024-03-16T00:00:00"/>
        <d v="2024-03-23T00:00:00"/>
        <d v="2024-03-30T00:00:00"/>
        <d v="2024-04-06T00:00:00"/>
        <d v="2024-04-13T00:00:00"/>
        <d v="2024-04-20T00:00:00"/>
        <d v="2024-04-27T00:00:00"/>
        <d v="2024-05-04T00:00:00"/>
        <d v="2024-05-11T00:00:00"/>
        <d v="2024-05-18T00:00:00"/>
        <d v="2024-05-25T00:00:00"/>
        <d v="2024-06-01T00:00:00"/>
        <d v="2024-06-08T00:00:00"/>
        <d v="2024-06-15T00:00:00"/>
        <d v="2024-06-22T00:00:00"/>
        <d v="2024-06-29T00:00:00"/>
        <d v="2024-07-06T00:00:00"/>
        <d v="2024-07-13T00:00:00"/>
        <d v="2024-07-20T00:00:00"/>
        <d v="2024-07-27T00:00:00"/>
        <d v="2024-08-03T00:00:00"/>
        <d v="2024-08-10T00:00:00"/>
        <d v="2024-08-17T00:00:00"/>
        <d v="2024-08-24T00:00:00"/>
        <d v="2024-08-31T00:00:00"/>
        <d v="2024-09-07T00:00:00"/>
        <d v="2024-09-14T00:00:00"/>
        <d v="2024-09-21T00:00:00"/>
        <d v="2024-09-28T00:00:00"/>
        <d v="2024-10-05T00:00:00"/>
        <d v="2024-10-12T00:00:00"/>
        <d v="2024-10-19T00:00:00"/>
        <d v="2024-10-26T00:00:00"/>
        <d v="2024-11-02T00:00:00"/>
        <d v="2024-11-09T00:00:00"/>
        <d v="2024-11-16T00:00:00"/>
        <d v="2024-11-23T00:00:00"/>
        <d v="2024-11-30T00:00:00"/>
        <d v="2024-12-07T00:00:00"/>
        <d v="2024-12-14T00:00:00"/>
        <d v="2024-12-21T00:00:00"/>
        <d v="2024-12-28T00:00:00"/>
        <d v="2025-01-04T00:00:00"/>
        <d v="2025-01-11T00:00:00"/>
        <d v="2025-01-18T00:00:00"/>
        <d v="2025-01-25T00:00:00"/>
        <d v="2025-02-01T00:00:00"/>
        <d v="2025-02-08T00:00:00"/>
        <d v="2025-02-15T00:00:00"/>
        <d v="2025-02-22T00:00:00"/>
        <d v="2025-03-01T00:00:00"/>
        <d v="2025-03-08T00:00:00"/>
        <d v="2025-03-15T00:00:00"/>
        <d v="2025-03-22T00:00:00"/>
        <d v="2025-03-29T00:00:00"/>
        <d v="2025-04-05T00:00:00"/>
        <d v="2025-04-12T00:00:00"/>
        <d v="2025-04-19T00:00:00"/>
        <d v="2025-04-26T00:00:00"/>
        <d v="2025-05-03T00:00:00"/>
        <d v="2025-05-10T00:00:00"/>
        <d v="2025-05-17T00:00:00"/>
        <d v="2025-05-24T00:00:00"/>
        <d v="2025-05-31T00:00:00"/>
        <d v="2025-06-07T00:00:00"/>
        <d v="2025-06-14T00:00:00"/>
        <d v="2025-06-21T00:00:00"/>
        <d v="2025-06-28T00:00:00"/>
        <d v="2025-07-05T00:00:00"/>
      </sharedItems>
      <fieldGroup par="14"/>
    </cacheField>
    <cacheField name="Year" numFmtId="164">
      <sharedItems containsSemiMixedTypes="0" containsNonDate="0" containsDate="1" containsString="0" minDate="2023-01-01T00:00:00" maxDate="2025-01-02T00:00:00"/>
    </cacheField>
    <cacheField name="Spend" numFmtId="0">
      <sharedItems containsSemiMixedTypes="0" containsString="0" containsNumber="1" minValue="0.01" maxValue="145455.050013"/>
    </cacheField>
    <cacheField name="Impressions" numFmtId="0">
      <sharedItems containsSemiMixedTypes="0" containsString="0" containsNumber="1" containsInteger="1" minValue="1" maxValue="18016432"/>
    </cacheField>
    <cacheField name="WeekMapping" numFmtId="0">
      <sharedItems/>
    </cacheField>
    <cacheField name="Concat" numFmtId="0">
      <sharedItems/>
    </cacheField>
    <cacheField name="Final Grouping" numFmtId="0">
      <sharedItems/>
    </cacheField>
    <cacheField name="Months (Week End (Sat))" numFmtId="0" databaseField="0">
      <fieldGroup base="5">
        <rangePr groupBy="months" startDate="2023-07-01T00:00:00" endDate="2025-07-06T00:00:00"/>
        <groupItems count="14">
          <s v="&lt;7/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6/2025"/>
        </groupItems>
      </fieldGroup>
    </cacheField>
    <cacheField name="Quarters (Week End (Sat))" numFmtId="0" databaseField="0">
      <fieldGroup base="5">
        <rangePr groupBy="quarters" startDate="2023-07-01T00:00:00" endDate="2025-07-06T00:00:00"/>
        <groupItems count="6">
          <s v="&lt;7/1/2023"/>
          <s v="Qtr1"/>
          <s v="Qtr2"/>
          <s v="Qtr3"/>
          <s v="Qtr4"/>
          <s v="&gt;7/6/2025"/>
        </groupItems>
      </fieldGroup>
    </cacheField>
    <cacheField name="Years (Week End (Sat))" numFmtId="0" databaseField="0">
      <fieldGroup base="5">
        <rangePr groupBy="years" startDate="2023-07-01T00:00:00" endDate="2025-07-06T00:00:00"/>
        <groupItems count="5">
          <s v="&lt;7/1/2023"/>
          <s v="2023"/>
          <s v="2024"/>
          <s v="2025"/>
          <s v="&gt;7/6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4">
  <r>
    <x v="0"/>
    <x v="0"/>
    <s v="blg_othr_na_na_84570334_2023_q2_conversion-non-promo_other_amazon+ulta+conversion_v2"/>
    <s v="na"/>
    <x v="0"/>
    <x v="0"/>
    <x v="0"/>
    <d v="2023-08-01T00:00:00"/>
    <d v="2023-08-20T00:00:00"/>
    <x v="0"/>
    <n v="304.294445"/>
    <n v="70891"/>
  </r>
  <r>
    <x v="0"/>
    <x v="1"/>
    <s v="blg_haca_bfr_full-rescue_auc_aw-video-views_x_x_YM00458406_q2_2025_bfr_001_x"/>
    <s v="bfr"/>
    <x v="1"/>
    <x v="1"/>
    <x v="0"/>
    <d v="2025-06-01T00:00:00"/>
    <d v="2025-06-30T00:00:00"/>
    <x v="1"/>
    <n v="111.02"/>
    <n v="21455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1T00:00:00"/>
    <x v="2"/>
    <n v="2578.5499960000002"/>
    <n v="429368"/>
  </r>
  <r>
    <x v="0"/>
    <x v="2"/>
    <s v="blg_haca_scalp_na_cons-tra-linkcli_none-none_na_na_ym00356549_q1-q2-lctr_2024_bcp_002_x"/>
    <s v="scalp"/>
    <x v="3"/>
    <x v="2"/>
    <x v="1"/>
    <d v="2024-03-01T00:00:00"/>
    <d v="2024-03-29T00:00:00"/>
    <x v="3"/>
    <n v="47.449999999999989"/>
    <n v="8530"/>
  </r>
  <r>
    <x v="0"/>
    <x v="0"/>
    <s v="blg_othr_na_na_84570334_2023_q2_traffic_other_volumebloom-fulldensity+traffic_JBP"/>
    <s v="na"/>
    <x v="0"/>
    <x v="0"/>
    <x v="2"/>
    <d v="2023-08-01T00:00:00"/>
    <d v="2023-08-26T00:00:00"/>
    <x v="0"/>
    <n v="1771.948586"/>
    <n v="576979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0T00:00:00"/>
    <x v="4"/>
    <n v="3811.8899999999994"/>
    <n v="545970"/>
  </r>
  <r>
    <x v="0"/>
    <x v="2"/>
    <s v="blg_haca_hydrasource_bau_aw-aw-thruplay_none-none_na_na_ym00339376_q1-vvr_2024_bhs_001_x"/>
    <s v="hydrasource"/>
    <x v="4"/>
    <x v="2"/>
    <x v="2"/>
    <d v="2024-01-01T00:00:00"/>
    <d v="2024-01-31T00:00:00"/>
    <x v="5"/>
    <n v="1518.8000009999996"/>
    <n v="298589"/>
  </r>
  <r>
    <x v="0"/>
    <x v="2"/>
    <s v="blg_haca_hydrasource_reelsonly_aw-aw-thruplay_none-none_na_na_ym00339376_q1-vvr_2024_bhs_001_x"/>
    <s v="hydrasource"/>
    <x v="4"/>
    <x v="2"/>
    <x v="0"/>
    <d v="2024-03-01T00:00:00"/>
    <d v="2024-03-04T00:00:00"/>
    <x v="6"/>
    <n v="905.08000099999992"/>
    <n v="185712"/>
  </r>
  <r>
    <x v="0"/>
    <x v="2"/>
    <s v="blg_haca_bfr_fullrescue_cons-tra-linkcli_website-none_x_x_ym00458406_q2-q3_2025_bfr_001_x"/>
    <s v="bfr"/>
    <x v="1"/>
    <x v="1"/>
    <x v="0"/>
    <d v="2025-06-01T00:00:00"/>
    <d v="2025-06-22T00:00:00"/>
    <x v="7"/>
    <n v="1746.3700029999998"/>
    <n v="166220"/>
  </r>
  <r>
    <x v="0"/>
    <x v="2"/>
    <s v="blg_haca_bfr_fullrescue_aw-aw-thruplay_none-none_x_x_ym00458406_q2-q3_2025_bfr_001_x"/>
    <s v="bfr"/>
    <x v="1"/>
    <x v="1"/>
    <x v="0"/>
    <d v="2025-05-01T00:00:00"/>
    <d v="2025-05-27T00:00:00"/>
    <x v="8"/>
    <n v="2470.4300009999997"/>
    <n v="405349"/>
  </r>
  <r>
    <x v="0"/>
    <x v="1"/>
    <s v="blg_haca_mult_ao-boosting_auc_aw-video-views_x_x_ym00437375_x_2025_blg_002_x"/>
    <s v="mult"/>
    <x v="0"/>
    <x v="1"/>
    <x v="0"/>
    <d v="2025-03-01T00:00:00"/>
    <d v="2025-03-25T00:00:00"/>
    <x v="9"/>
    <n v="2013.24"/>
    <n v="498201"/>
  </r>
  <r>
    <x v="0"/>
    <x v="1"/>
    <s v="blg_haca_mult_ao-boosting_auc_aw-video-views_x_x_ym00437375_x_2025_blg_002_x"/>
    <s v="mult"/>
    <x v="0"/>
    <x v="1"/>
    <x v="1"/>
    <d v="2025-06-01T00:00:00"/>
    <d v="2025-06-02T00:00:00"/>
    <x v="10"/>
    <n v="937.66"/>
    <n v="274420"/>
  </r>
  <r>
    <x v="0"/>
    <x v="2"/>
    <s v="blg_haca_hydrasource_bau_aw-aw-thruplay_none-none_na_na_ym00339376_q1-vvr_2024_bhs_001_x"/>
    <s v="hydrasource"/>
    <x v="4"/>
    <x v="2"/>
    <x v="2"/>
    <d v="2024-03-01T00:00:00"/>
    <d v="2024-03-03T00:00:00"/>
    <x v="6"/>
    <n v="1330.1400019999999"/>
    <n v="185967"/>
  </r>
  <r>
    <x v="0"/>
    <x v="2"/>
    <s v="blg_haca_hys_hydrasource_aw-aw-thruplay_none-none_x_x_ym00427700_q2_2025_bhs_006_x"/>
    <s v="hys"/>
    <x v="4"/>
    <x v="1"/>
    <x v="0"/>
    <d v="2025-04-01T00:00:00"/>
    <d v="2025-04-21T00:00:00"/>
    <x v="11"/>
    <n v="2141.9699999999998"/>
    <n v="339280"/>
  </r>
  <r>
    <x v="0"/>
    <x v="2"/>
    <s v="blg_haca_bfr_fullrescue_aw-aw-thruplay_none-none_x_x_ym00458406_q2-q3_2025_bfr_001_x"/>
    <s v="bfr"/>
    <x v="1"/>
    <x v="1"/>
    <x v="0"/>
    <d v="2025-05-01T00:00:00"/>
    <d v="2025-05-04T00:00:00"/>
    <x v="12"/>
    <n v="1663.6799999999998"/>
    <n v="342663"/>
  </r>
  <r>
    <x v="0"/>
    <x v="1"/>
    <s v="blg_haca_mult_ao-boosting_auc_aw-video-views_x_x_ym00437375_x_2025_blg_002_x"/>
    <s v="mult"/>
    <x v="0"/>
    <x v="1"/>
    <x v="0"/>
    <d v="2025-03-01T00:00:00"/>
    <d v="2025-03-22T00:00:00"/>
    <x v="13"/>
    <n v="2056.89"/>
    <n v="534760"/>
  </r>
  <r>
    <x v="0"/>
    <x v="0"/>
    <s v="blg_haca_scalp-sync_traffic_cons-consideration_ym00356548_all_2024_bcp_004_x"/>
    <s v="scalp-sync"/>
    <x v="3"/>
    <x v="2"/>
    <x v="0"/>
    <d v="2024-05-01T00:00:00"/>
    <d v="2024-05-22T00:00:00"/>
    <x v="14"/>
    <n v="1654.9704059999997"/>
    <n v="427015"/>
  </r>
  <r>
    <x v="0"/>
    <x v="2"/>
    <s v="blg_haca_hydrasource_na_cons-tra-linkcli_none-none_na_na_ym00339376_q1-lctr_2024_bhs_001_x"/>
    <s v="hydrasource"/>
    <x v="4"/>
    <x v="2"/>
    <x v="0"/>
    <d v="2024-01-01T00:00:00"/>
    <d v="2024-01-25T00:00:00"/>
    <x v="15"/>
    <n v="3000.779998"/>
    <n v="501284"/>
  </r>
  <r>
    <x v="0"/>
    <x v="2"/>
    <s v="blg_haca_bfr_fullrescue_aw-aw-thruplay_none-none_x_x_ym00458406_q2-q3_2025_bfr_001_x"/>
    <s v="bfr"/>
    <x v="1"/>
    <x v="1"/>
    <x v="0"/>
    <d v="2025-06-01T00:00:00"/>
    <d v="2025-06-20T00:00:00"/>
    <x v="16"/>
    <n v="1057.17"/>
    <n v="167895"/>
  </r>
  <r>
    <x v="0"/>
    <x v="2"/>
    <s v="blg_haca_bfr_fullrescue_cons-tra-linkcli_website-none_x_x_ym00458406_q2-q3_2025_bfr_001_x"/>
    <s v="bfr"/>
    <x v="1"/>
    <x v="1"/>
    <x v="1"/>
    <d v="2025-05-01T00:00:00"/>
    <d v="2025-05-16T00:00:00"/>
    <x v="17"/>
    <n v="6.3000000000000007"/>
    <n v="729"/>
  </r>
  <r>
    <x v="0"/>
    <x v="2"/>
    <s v="blg_haca_bfr_fullrescue_cons-tra-linkcli_website-none_x_x_ym00458406_q2-q3_2025_bfr_001_x"/>
    <s v="bfr"/>
    <x v="1"/>
    <x v="1"/>
    <x v="0"/>
    <d v="2025-06-01T00:00:00"/>
    <d v="2025-06-10T00:00:00"/>
    <x v="18"/>
    <n v="1619.1400020000003"/>
    <n v="119319"/>
  </r>
  <r>
    <x v="0"/>
    <x v="2"/>
    <s v="blg_haca_hys_hydrasource_cons-tra-linkcli_website-none_x_x_ym00427700_q2_2025_bhs_006_x"/>
    <s v="hys"/>
    <x v="4"/>
    <x v="1"/>
    <x v="0"/>
    <d v="2025-04-01T00:00:00"/>
    <d v="2025-04-27T00:00:00"/>
    <x v="19"/>
    <n v="3980.4500000000003"/>
    <n v="453366"/>
  </r>
  <r>
    <x v="0"/>
    <x v="0"/>
    <s v="blg_haca_bfr_fullrescue-bonus_aw-awareness_x_bonus-q2_2025_x_x_x"/>
    <s v="bfr"/>
    <x v="1"/>
    <x v="1"/>
    <x v="1"/>
    <d v="2025-06-01T00:00:00"/>
    <d v="2025-06-17T00:00:00"/>
    <x v="16"/>
    <n v="289.79104799999993"/>
    <n v="139151"/>
  </r>
  <r>
    <x v="0"/>
    <x v="1"/>
    <s v="blg_haca_mult_ao-boosting_auc_aw-video-views_x_x_ym00437375_x_2025_blg_002_x"/>
    <s v="mult"/>
    <x v="0"/>
    <x v="1"/>
    <x v="0"/>
    <d v="2025-06-01T00:00:00"/>
    <d v="2025-06-17T00:00:00"/>
    <x v="16"/>
    <n v="1719.9099999999999"/>
    <n v="276128"/>
  </r>
  <r>
    <x v="0"/>
    <x v="2"/>
    <s v="blg_haca_hydrasource_reelsonly_aw-aw-thruplay_none-none_na_na_ym00339376_q1-vvr_2024_bhs_001_x"/>
    <s v="hydrasource"/>
    <x v="4"/>
    <x v="2"/>
    <x v="0"/>
    <d v="2024-02-01T00:00:00"/>
    <d v="2024-02-13T00:00:00"/>
    <x v="20"/>
    <n v="882.31000099999983"/>
    <n v="190072"/>
  </r>
  <r>
    <x v="0"/>
    <x v="1"/>
    <s v="blg_haca_bfr_full-rescue_auc_cons-traffic_x_x_YM00458406_q2_2025_bfr_001_x"/>
    <s v="bfr"/>
    <x v="1"/>
    <x v="1"/>
    <x v="1"/>
    <d v="2025-06-01T00:00:00"/>
    <d v="2025-06-12T00:00:00"/>
    <x v="18"/>
    <n v="317.76"/>
    <n v="62366"/>
  </r>
  <r>
    <x v="0"/>
    <x v="2"/>
    <s v="blg_haca_bfr_fullrescue_cons-tra-linkcli_website-none_x_x_ym00458406_q2-q3_2025_bfr_001_x"/>
    <s v="bfr"/>
    <x v="1"/>
    <x v="1"/>
    <x v="1"/>
    <d v="2025-06-01T00:00:00"/>
    <d v="2025-06-26T00:00:00"/>
    <x v="7"/>
    <n v="408.32999800000005"/>
    <n v="42860"/>
  </r>
  <r>
    <x v="0"/>
    <x v="0"/>
    <s v="blg_othr_na_na_84570334_2023_q2_traffic_other_volumebloom-fulldensity+traffic"/>
    <s v="na"/>
    <x v="0"/>
    <x v="0"/>
    <x v="2"/>
    <d v="2023-07-01T00:00:00"/>
    <d v="2023-07-05T00:00:00"/>
    <x v="21"/>
    <n v="677.75426499999992"/>
    <n v="342483"/>
  </r>
  <r>
    <x v="0"/>
    <x v="2"/>
    <s v="blg_haca_hydrasource_x_cons-tra-linkcli_none-none_x_x_ym00339376_q4-lctr_2024_bhs_001_x"/>
    <s v="hydrasource"/>
    <x v="4"/>
    <x v="2"/>
    <x v="0"/>
    <d v="2024-10-01T00:00:00"/>
    <d v="2024-10-27T00:00:00"/>
    <x v="22"/>
    <n v="2764.839993"/>
    <n v="307617"/>
  </r>
  <r>
    <x v="0"/>
    <x v="2"/>
    <s v="blg_haca_bfr_fullrescue_aw-aw-thruplay_none-none_x_x_ym00458406_q2-q3_2025_bfr_001_x"/>
    <s v="bfr"/>
    <x v="1"/>
    <x v="1"/>
    <x v="1"/>
    <d v="2025-05-01T00:00:00"/>
    <d v="2025-05-06T00:00:00"/>
    <x v="12"/>
    <n v="1191.6100000000001"/>
    <n v="328918"/>
  </r>
  <r>
    <x v="0"/>
    <x v="2"/>
    <s v="blg_haca_mult_agile-boosting_cons-eng-thruplay_none-none_x_x_ym00437375_x_2025_blg_002_x"/>
    <s v="mult"/>
    <x v="0"/>
    <x v="1"/>
    <x v="0"/>
    <d v="2025-05-01T00:00:00"/>
    <d v="2025-05-12T00:00:00"/>
    <x v="17"/>
    <n v="266.80999999999989"/>
    <n v="50297"/>
  </r>
  <r>
    <x v="0"/>
    <x v="1"/>
    <s v="blg_haca_hys_hydrasource_auc_aw-video-views_x_x_ym00427700_q2_2025_bhs_006_x"/>
    <s v="hys"/>
    <x v="4"/>
    <x v="1"/>
    <x v="0"/>
    <d v="2025-04-01T00:00:00"/>
    <d v="2025-04-06T00:00:00"/>
    <x v="23"/>
    <n v="1516.74"/>
    <n v="359158"/>
  </r>
  <r>
    <x v="0"/>
    <x v="2"/>
    <s v="blg_haca_scalp_reels-only_aw-aw-thruplay_website-viewcontent_na_na_ym00356549_q1-q2-vvr_2024_bcp_002_x"/>
    <s v="scalp"/>
    <x v="3"/>
    <x v="2"/>
    <x v="0"/>
    <d v="2024-04-01T00:00:00"/>
    <d v="2024-04-17T00:00:00"/>
    <x v="24"/>
    <n v="664.77000099999998"/>
    <n v="160717"/>
  </r>
  <r>
    <x v="0"/>
    <x v="2"/>
    <s v="blg_haca_scalp_na_cons-tra-linkcli_none-none_na_na_ym00356549_q1-q2-lctr_2024_bcp_002_x"/>
    <s v="scalp"/>
    <x v="3"/>
    <x v="2"/>
    <x v="1"/>
    <d v="2024-03-01T00:00:00"/>
    <d v="2024-03-11T00:00:00"/>
    <x v="25"/>
    <n v="1764.3200019999999"/>
    <n v="248058"/>
  </r>
  <r>
    <x v="0"/>
    <x v="1"/>
    <s v="blg_haca_hys_hydrasource_auc_cons-traffic_x_x_ym00427700_q2_2025_bhs_006_x"/>
    <s v="hys"/>
    <x v="4"/>
    <x v="1"/>
    <x v="1"/>
    <d v="2025-04-01T00:00:00"/>
    <d v="2025-04-01T00:00:00"/>
    <x v="26"/>
    <n v="427.90999999999997"/>
    <n v="118401"/>
  </r>
  <r>
    <x v="0"/>
    <x v="2"/>
    <s v="blg_haca_bfr_fullrescue_aw-aw-thruplay_none-none_x_x_ym00458406_q2-q3_2025_bfr_001_x"/>
    <s v="bfr"/>
    <x v="1"/>
    <x v="1"/>
    <x v="0"/>
    <d v="2025-06-01T00:00:00"/>
    <d v="2025-06-22T00:00:00"/>
    <x v="7"/>
    <n v="1218.3499989999996"/>
    <n v="199729"/>
  </r>
  <r>
    <x v="0"/>
    <x v="1"/>
    <s v="blg_haca_mult_ao-boosting_auc_aw-video-views_x_x_ym00437375_x_2025_blg_002_x"/>
    <s v="mult"/>
    <x v="0"/>
    <x v="1"/>
    <x v="0"/>
    <d v="2025-06-01T00:00:00"/>
    <d v="2025-06-13T00:00:00"/>
    <x v="18"/>
    <n v="1678.9"/>
    <n v="303590"/>
  </r>
  <r>
    <x v="0"/>
    <x v="2"/>
    <s v="blg_haca_hydrasource_x_cons-tra-linkcli_none-none_x_x_ym00339376_q4-lctr_2024_bhs_001_x"/>
    <s v="hydrasource"/>
    <x v="4"/>
    <x v="2"/>
    <x v="0"/>
    <d v="2024-10-01T00:00:00"/>
    <d v="2024-10-12T00:00:00"/>
    <x v="27"/>
    <n v="2586.1800070000004"/>
    <n v="280414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3T00:00:00"/>
    <x v="28"/>
    <n v="2974.6800079999998"/>
    <n v="267023"/>
  </r>
  <r>
    <x v="0"/>
    <x v="2"/>
    <s v="blg_haca_hydrasource_reelsonly_aw-aw-thruplay_none-none_na_na_ym00339376_q1-vvr_2024_bhs_001_x"/>
    <s v="hydrasource"/>
    <x v="4"/>
    <x v="2"/>
    <x v="0"/>
    <d v="2024-03-01T00:00:00"/>
    <d v="2024-03-01T00:00:00"/>
    <x v="29"/>
    <n v="921.94999799999982"/>
    <n v="189518"/>
  </r>
  <r>
    <x v="0"/>
    <x v="0"/>
    <s v="blg_othr_na_na_84570334_2023_q2_traffic_other_volumebloom-fulldensity+traffic_v2"/>
    <s v="na"/>
    <x v="0"/>
    <x v="0"/>
    <x v="2"/>
    <d v="2023-08-01T00:00:00"/>
    <d v="2023-08-14T00:00:00"/>
    <x v="30"/>
    <n v="767.61550799999998"/>
    <n v="304696"/>
  </r>
  <r>
    <x v="0"/>
    <x v="2"/>
    <s v="blg_haca_hydrasource_x_cons-tra-linkcli_none-none_x_x_ym00339376_q4-lctr_2024_bhs_001_x"/>
    <s v="hydrasource"/>
    <x v="4"/>
    <x v="2"/>
    <x v="0"/>
    <d v="2024-09-01T00:00:00"/>
    <d v="2024-09-29T00:00:00"/>
    <x v="31"/>
    <n v="2742.3500010000002"/>
    <n v="307924"/>
  </r>
  <r>
    <x v="0"/>
    <x v="2"/>
    <s v="blg_haca_hydrasource_x_cons-tra-linkcli_none-none_x_x_ym00339376_q4-lctr_2024_bhs_001_x"/>
    <s v="hydrasource"/>
    <x v="4"/>
    <x v="2"/>
    <x v="0"/>
    <d v="2024-10-01T00:00:00"/>
    <d v="2024-10-15T00:00:00"/>
    <x v="32"/>
    <n v="2329.7700100000002"/>
    <n v="241441"/>
  </r>
  <r>
    <x v="0"/>
    <x v="2"/>
    <s v="blg_haca_bond-therapy_na_aw-aw-thruplay_none-viewcontent_na_na_ym87093418_vvr-q4_2023_x_x_x"/>
    <s v="bond-therapy"/>
    <x v="5"/>
    <x v="0"/>
    <x v="2"/>
    <d v="2023-12-01T00:00:00"/>
    <d v="2023-12-12T00:00:00"/>
    <x v="33"/>
    <n v="2809.3400029999993"/>
    <n v="508720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2T00:00:00"/>
    <x v="33"/>
    <n v="1182.8799999999999"/>
    <n v="193363"/>
  </r>
  <r>
    <x v="0"/>
    <x v="2"/>
    <s v="blg_haca_scalp_bau_aw-aw-thruplay_website-viewcontent_na_na_ym00356549_q1-q2-vvr_2024_bcp_002_x"/>
    <s v="scalp"/>
    <x v="3"/>
    <x v="2"/>
    <x v="1"/>
    <d v="2024-04-01T00:00:00"/>
    <d v="2024-04-12T00:00:00"/>
    <x v="34"/>
    <n v="2286.4599979999998"/>
    <n v="517743"/>
  </r>
  <r>
    <x v="0"/>
    <x v="2"/>
    <s v="blg_haca_bond-therapy_na_aw-aw-thruplay_none-viewcontent_na_na_ym87093418_vvr-q4_2023_x_x_x"/>
    <s v="bond-therapy"/>
    <x v="5"/>
    <x v="0"/>
    <x v="2"/>
    <d v="2023-11-01T00:00:00"/>
    <d v="2023-11-19T00:00:00"/>
    <x v="35"/>
    <n v="3022.400001"/>
    <n v="477284"/>
  </r>
  <r>
    <x v="0"/>
    <x v="2"/>
    <s v="blg_haca_hys_hydrasource_cons-tra-linkcli_website-none_x_x_ym00427700_q2_2025_bhs_006_x"/>
    <s v="hys"/>
    <x v="4"/>
    <x v="1"/>
    <x v="0"/>
    <d v="2025-04-01T00:00:00"/>
    <d v="2025-04-19T00:00:00"/>
    <x v="36"/>
    <n v="3915.9299990000018"/>
    <n v="396606"/>
  </r>
  <r>
    <x v="0"/>
    <x v="1"/>
    <s v="blg_haca_hys_hydrasource_auc_cons-traffic_x_x_ym00427700_q2_2025_bhs_006_x"/>
    <s v="hys"/>
    <x v="4"/>
    <x v="1"/>
    <x v="0"/>
    <d v="2025-04-01T00:00:00"/>
    <d v="2025-04-19T00:00:00"/>
    <x v="36"/>
    <n v="5344.7899999999991"/>
    <n v="1167035"/>
  </r>
  <r>
    <x v="0"/>
    <x v="1"/>
    <s v="blg_haca_bfr_full-rescue_auc_cons-traffic_x_x_YM00458406_q2_2025_bfr_001_x"/>
    <s v="bfr"/>
    <x v="1"/>
    <x v="1"/>
    <x v="1"/>
    <d v="2025-06-01T00:00:00"/>
    <d v="2025-06-10T00:00:00"/>
    <x v="18"/>
    <n v="497.48"/>
    <n v="99289"/>
  </r>
  <r>
    <x v="0"/>
    <x v="0"/>
    <s v="blg_othr_na_na_84570334_2023_q2_conversion-non-promo_other_amazon+ulta+conversion_v2"/>
    <s v="na"/>
    <x v="0"/>
    <x v="0"/>
    <x v="1"/>
    <d v="2023-07-01T00:00:00"/>
    <d v="2023-07-15T00:00:00"/>
    <x v="37"/>
    <n v="883.01509099999998"/>
    <n v="163422"/>
  </r>
  <r>
    <x v="0"/>
    <x v="2"/>
    <s v="blg_haca_bfr_fullrescue_cons-tra-linkcli_website-none_x_x_ym00458406_q2-q3_2025_bfr_001_x"/>
    <s v="bfr"/>
    <x v="1"/>
    <x v="1"/>
    <x v="1"/>
    <d v="2025-06-01T00:00:00"/>
    <d v="2025-06-17T00:00:00"/>
    <x v="16"/>
    <n v="61.97999999999999"/>
    <n v="9206"/>
  </r>
  <r>
    <x v="0"/>
    <x v="2"/>
    <s v="blg_haca_bfr_fullrescue_cons-tra-linkcli_website-none_x_x_ym00458406_q2-q3_2025_bfr_001_x"/>
    <s v="bfr"/>
    <x v="1"/>
    <x v="1"/>
    <x v="1"/>
    <d v="2025-06-01T00:00:00"/>
    <d v="2025-06-05T00:00:00"/>
    <x v="10"/>
    <n v="29.09"/>
    <n v="2992"/>
  </r>
  <r>
    <x v="0"/>
    <x v="2"/>
    <s v="blg_haca_bfr_fullrescue_aw-aw-thruplay_none-none_x_x_ym00458406_q2-q3_2025_bfr_001_x"/>
    <s v="bfr"/>
    <x v="1"/>
    <x v="1"/>
    <x v="0"/>
    <d v="2025-06-01T00:00:00"/>
    <d v="2025-06-30T00:00:00"/>
    <x v="1"/>
    <n v="1764.2541880000001"/>
    <n v="280607"/>
  </r>
  <r>
    <x v="0"/>
    <x v="2"/>
    <s v="blg_haca_bond-therapy_na_aw-aw-thruplay_none-viewcontent_na_na_ym87093418_vvr-q4_2023_x_x_x"/>
    <s v="bond-therapy"/>
    <x v="5"/>
    <x v="0"/>
    <x v="2"/>
    <d v="2023-12-01T00:00:00"/>
    <d v="2023-12-06T00:00:00"/>
    <x v="38"/>
    <n v="2884.5466160000005"/>
    <n v="519236"/>
  </r>
  <r>
    <x v="0"/>
    <x v="0"/>
    <s v="blg_othr_na_na_84570334_2023_q2_traffic_other_volumebloom-fulldensity+traffic_v2"/>
    <s v="na"/>
    <x v="0"/>
    <x v="0"/>
    <x v="2"/>
    <d v="2023-07-01T00:00:00"/>
    <d v="2023-07-27T00:00:00"/>
    <x v="39"/>
    <n v="637.51506900000004"/>
    <n v="369455"/>
  </r>
  <r>
    <x v="0"/>
    <x v="2"/>
    <s v="blg_haca_hydrasource_x_aw-aw-thruplay_none-none_x_x_ym00339376_q4_2024_bhs_001_x"/>
    <s v="hydrasource"/>
    <x v="4"/>
    <x v="2"/>
    <x v="0"/>
    <d v="2024-10-01T00:00:00"/>
    <d v="2024-10-06T00:00:00"/>
    <x v="27"/>
    <n v="3946.8999989999998"/>
    <n v="784180"/>
  </r>
  <r>
    <x v="0"/>
    <x v="2"/>
    <s v="blg_haca_scalp_bau_aw-aw-thruplay_website-viewcontent_na_na_ym00356549_q1-q2-vvr_2024_bcp_002_x"/>
    <s v="scalp"/>
    <x v="3"/>
    <x v="2"/>
    <x v="1"/>
    <d v="2024-03-01T00:00:00"/>
    <d v="2024-03-30T00:00:00"/>
    <x v="3"/>
    <n v="2332.1800079999994"/>
    <n v="479293"/>
  </r>
  <r>
    <x v="0"/>
    <x v="2"/>
    <s v="blg_haca_scalp_na_cons-tra-linkcli_none-none_na_na_ym00356549_q1-q2-lctr_2024_bcp_002_x"/>
    <s v="scalp"/>
    <x v="3"/>
    <x v="2"/>
    <x v="0"/>
    <d v="2024-04-01T00:00:00"/>
    <d v="2024-04-18T00:00:00"/>
    <x v="24"/>
    <n v="1400.4199989999997"/>
    <n v="214395"/>
  </r>
  <r>
    <x v="0"/>
    <x v="2"/>
    <s v="blg_haca_bond-therapy_na_aw-aw-thruplay_none-viewcontent_na_na_ym87093418_vvr-q4_2023_x_x_x"/>
    <s v="bond-therapy"/>
    <x v="5"/>
    <x v="0"/>
    <x v="2"/>
    <d v="2023-12-01T00:00:00"/>
    <d v="2023-12-04T00:00:00"/>
    <x v="38"/>
    <n v="2958.1200010000007"/>
    <n v="562616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2T00:00:00"/>
    <x v="40"/>
    <n v="3052.3199969999996"/>
    <n v="320047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9T00:00:00"/>
    <x v="4"/>
    <n v="658.9800029999999"/>
    <n v="111723"/>
  </r>
  <r>
    <x v="0"/>
    <x v="2"/>
    <s v="blg_haca_hydrasource_reelsonly_aw-aw-thruplay_none-none_na_na_ym00339376_q1-vvr_2024_bhs_001_x"/>
    <s v="hydrasource"/>
    <x v="4"/>
    <x v="2"/>
    <x v="0"/>
    <d v="2024-02-01T00:00:00"/>
    <d v="2024-02-07T00:00:00"/>
    <x v="41"/>
    <n v="869.09000100000003"/>
    <n v="193022"/>
  </r>
  <r>
    <x v="0"/>
    <x v="2"/>
    <s v="blg_haca_bfr_fullrescue_aw-aw-thruplay_none-none_x_x_ym00458406_q2-q3_2025_bfr_001_x"/>
    <s v="bfr"/>
    <x v="1"/>
    <x v="1"/>
    <x v="0"/>
    <d v="2025-05-01T00:00:00"/>
    <d v="2025-05-14T00:00:00"/>
    <x v="17"/>
    <n v="328.11000100000001"/>
    <n v="57025"/>
  </r>
  <r>
    <x v="0"/>
    <x v="1"/>
    <s v="blg_haca_mult_ao-boosting_auc_aw-video-views_x_x_ym00437375_x_2025_blg_002_x"/>
    <s v="mult"/>
    <x v="0"/>
    <x v="1"/>
    <x v="0"/>
    <d v="2025-04-01T00:00:00"/>
    <d v="2025-04-28T00:00:00"/>
    <x v="19"/>
    <n v="6.1"/>
    <n v="1832"/>
  </r>
  <r>
    <x v="0"/>
    <x v="0"/>
    <s v="blg_othr_na_na_84570334_2023_q2_traffic_other_volumebloom-fulldensity+traffic_v2"/>
    <s v="na"/>
    <x v="0"/>
    <x v="0"/>
    <x v="2"/>
    <d v="2023-08-01T00:00:00"/>
    <d v="2023-08-07T00:00:00"/>
    <x v="4"/>
    <n v="774.48605800000007"/>
    <n v="407346"/>
  </r>
  <r>
    <x v="0"/>
    <x v="2"/>
    <s v="blg_haca_scalp_reels-only_aw-aw-thruplay_website-viewcontent_na_na_ym00356549_q1-q2-vvr_2024_bcp_002_x"/>
    <s v="scalp"/>
    <x v="3"/>
    <x v="2"/>
    <x v="0"/>
    <d v="2024-04-01T00:00:00"/>
    <d v="2024-04-12T00:00:00"/>
    <x v="34"/>
    <n v="687.42999900000018"/>
    <n v="163609"/>
  </r>
  <r>
    <x v="0"/>
    <x v="2"/>
    <s v="blg_haca_hydrasource_bau_aw-aw-thruplay_none-none_na_na_ym00339376_q1-vvr_2024_bhs_001_x"/>
    <s v="hydrasource"/>
    <x v="4"/>
    <x v="2"/>
    <x v="2"/>
    <d v="2024-01-01T00:00:00"/>
    <d v="2024-01-27T00:00:00"/>
    <x v="15"/>
    <n v="1477.6100080000001"/>
    <n v="313000"/>
  </r>
  <r>
    <x v="0"/>
    <x v="0"/>
    <s v="blg_othr_na_na_84570334_2023_q2_traffic_other_volumebloom-fulldensity+traffic_v2"/>
    <s v="na"/>
    <x v="0"/>
    <x v="0"/>
    <x v="2"/>
    <d v="2023-08-01T00:00:00"/>
    <d v="2023-08-12T00:00:00"/>
    <x v="4"/>
    <n v="769.35809399999994"/>
    <n v="333947"/>
  </r>
  <r>
    <x v="0"/>
    <x v="0"/>
    <s v="blg_othr_na_na_84570334_2023_q2_conversion-non-promo_other_amazon+ulta+conversion_v2"/>
    <s v="na"/>
    <x v="0"/>
    <x v="0"/>
    <x v="1"/>
    <d v="2023-08-01T00:00:00"/>
    <d v="2023-08-20T00:00:00"/>
    <x v="0"/>
    <n v="1106.513954"/>
    <n v="100107"/>
  </r>
  <r>
    <x v="0"/>
    <x v="2"/>
    <s v="blg_haca_hydrasource_x_cons-tra-linkcli_none-none_x_x_ym00339376_q4-lctr_2024_bhs_001_x"/>
    <s v="hydrasource"/>
    <x v="4"/>
    <x v="2"/>
    <x v="0"/>
    <d v="2024-10-01T00:00:00"/>
    <d v="2024-10-10T00:00:00"/>
    <x v="27"/>
    <n v="2610.7099980000003"/>
    <n v="270758"/>
  </r>
  <r>
    <x v="0"/>
    <x v="1"/>
    <s v="blg_haca_bfr_full-rescue-pulse_res_aw-reach_x_x_ym00458406_q2_2025_bfr_001_x"/>
    <s v="bfr"/>
    <x v="1"/>
    <x v="1"/>
    <x v="1"/>
    <d v="2025-06-01T00:00:00"/>
    <d v="2025-06-05T00:00:00"/>
    <x v="10"/>
    <n v="14303.45"/>
    <n v="1036521"/>
  </r>
  <r>
    <x v="0"/>
    <x v="2"/>
    <s v="blg_haca_bfr_fullrescue_cons-tra-linkcli_website-none_x_x_ym00458406_q2-q3_2025_bfr_001_x"/>
    <s v="bfr"/>
    <x v="1"/>
    <x v="1"/>
    <x v="0"/>
    <d v="2025-06-01T00:00:00"/>
    <d v="2025-06-30T00:00:00"/>
    <x v="1"/>
    <n v="1400.369353"/>
    <n v="124061"/>
  </r>
  <r>
    <x v="0"/>
    <x v="1"/>
    <s v="blg_haca_bfr_full-rescue_auc_cons-traffic_x_x_YM00458406_q2_2025_bfr_001_x"/>
    <s v="bfr"/>
    <x v="1"/>
    <x v="1"/>
    <x v="0"/>
    <d v="2025-06-01T00:00:00"/>
    <d v="2025-06-09T00:00:00"/>
    <x v="18"/>
    <n v="5503.0599999999995"/>
    <n v="1186240"/>
  </r>
  <r>
    <x v="0"/>
    <x v="1"/>
    <s v="blg_haca_mult_ao-boosting_auc_aw-video-views_x_x_ym00437375_x_2025_blg_002_x"/>
    <s v="mult"/>
    <x v="0"/>
    <x v="1"/>
    <x v="1"/>
    <d v="2025-06-01T00:00:00"/>
    <d v="2025-06-09T00:00:00"/>
    <x v="18"/>
    <n v="0.04"/>
    <n v="7"/>
  </r>
  <r>
    <x v="0"/>
    <x v="0"/>
    <s v="blg_othr_na_na_84570334_2023_q2_traffic_other_volumebloom-fulldensity+traffic_v2"/>
    <s v="na"/>
    <x v="0"/>
    <x v="0"/>
    <x v="2"/>
    <d v="2023-08-01T00:00:00"/>
    <d v="2023-08-17T00:00:00"/>
    <x v="30"/>
    <n v="766.2992230000001"/>
    <n v="349447"/>
  </r>
  <r>
    <x v="0"/>
    <x v="2"/>
    <s v="blg_haca_hydrasource_x_cons-tra-linkcli_none-none_x_x_ym00339376_q4-lctr_2024_bhs_001_x"/>
    <s v="hydrasource"/>
    <x v="4"/>
    <x v="2"/>
    <x v="0"/>
    <d v="2024-10-01T00:00:00"/>
    <d v="2024-10-07T00:00:00"/>
    <x v="27"/>
    <n v="2524.929999"/>
    <n v="300558"/>
  </r>
  <r>
    <x v="0"/>
    <x v="0"/>
    <s v="blg_othr_na_na_84570334_2023_q2_conversion-non-promo_other_amazon+ulta+conversion_v2"/>
    <s v="na"/>
    <x v="0"/>
    <x v="0"/>
    <x v="1"/>
    <d v="2023-07-01T00:00:00"/>
    <d v="2023-07-18T00:00:00"/>
    <x v="42"/>
    <n v="1198.6503620000001"/>
    <n v="164456"/>
  </r>
  <r>
    <x v="0"/>
    <x v="2"/>
    <s v="blg_haca_hys_hydrasource_aw-aw-thruplay_none-none_x_x_ym00427700_q2_2025_bhs_006_x"/>
    <s v="hys"/>
    <x v="4"/>
    <x v="1"/>
    <x v="1"/>
    <d v="2025-04-01T00:00:00"/>
    <d v="2025-04-29T00:00:00"/>
    <x v="19"/>
    <n v="388.7"/>
    <n v="16821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4T00:00:00"/>
    <x v="43"/>
    <n v="1188.9200019999998"/>
    <n v="234496"/>
  </r>
  <r>
    <x v="0"/>
    <x v="1"/>
    <s v="blg_haca_hys_hydrasource_auc_cons-traffic_x_x_ym00427700_q2_2025_bhs_006_x"/>
    <s v="hys"/>
    <x v="4"/>
    <x v="1"/>
    <x v="0"/>
    <d v="2025-04-01T00:00:00"/>
    <d v="2025-04-07T00:00:00"/>
    <x v="23"/>
    <n v="5368.0599999999995"/>
    <n v="1280246"/>
  </r>
  <r>
    <x v="0"/>
    <x v="2"/>
    <s v="blg_haca_bfr_fullrescue_cons-tra-linkcli_website-none_x_x_ym00458406_q2-q3_2025_bfr_001_x"/>
    <s v="bfr"/>
    <x v="1"/>
    <x v="1"/>
    <x v="1"/>
    <d v="2025-05-01T00:00:00"/>
    <d v="2025-05-28T00:00:00"/>
    <x v="8"/>
    <n v="17.2"/>
    <n v="1974"/>
  </r>
  <r>
    <x v="0"/>
    <x v="1"/>
    <s v="blg_haca_mult_ao-boosting_auc_aw-video-views_x_x_ym00437375_x_2025_blg_002_x"/>
    <s v="mult"/>
    <x v="0"/>
    <x v="1"/>
    <x v="1"/>
    <d v="2025-06-01T00:00:00"/>
    <d v="2025-06-13T00:00:00"/>
    <x v="18"/>
    <n v="0.03"/>
    <n v="2"/>
  </r>
  <r>
    <x v="0"/>
    <x v="2"/>
    <s v="blg_haca_mult_agile-boosting_cons-eng-thruplay_none-none_x_x_ym00437375_x_2025_blg_002_x"/>
    <s v="mult"/>
    <x v="0"/>
    <x v="1"/>
    <x v="1"/>
    <d v="2025-05-01T00:00:00"/>
    <d v="2025-05-05T00:00:00"/>
    <x v="12"/>
    <n v="1267.9699989999997"/>
    <n v="253750"/>
  </r>
  <r>
    <x v="0"/>
    <x v="2"/>
    <s v="blg_haca_bfr_fullrescue_aw-aw-thruplay_none-none_x_x_ym00458406_q2-q3_2025_bfr_001_x"/>
    <s v="bfr"/>
    <x v="1"/>
    <x v="1"/>
    <x v="1"/>
    <d v="2025-05-01T00:00:00"/>
    <d v="2025-05-08T00:00:00"/>
    <x v="12"/>
    <n v="1381.9099999999999"/>
    <n v="373061"/>
  </r>
  <r>
    <x v="0"/>
    <x v="2"/>
    <s v="blg_haca_bfr_fullrescue_cons-tra-linkcli_website-none_x_x_ym00458406_q2-q3_2025_bfr_001_x"/>
    <s v="bfr"/>
    <x v="1"/>
    <x v="1"/>
    <x v="1"/>
    <d v="2025-05-01T00:00:00"/>
    <d v="2025-05-08T00:00:00"/>
    <x v="12"/>
    <n v="11.729999999999999"/>
    <n v="1326"/>
  </r>
  <r>
    <x v="0"/>
    <x v="2"/>
    <s v="blg_haca_oct-prime-day_x_cons-tra-linkcli_website-none_x_x_ym00384930_x_2024_blg_001_x"/>
    <s v="oct-prime-day"/>
    <x v="6"/>
    <x v="2"/>
    <x v="1"/>
    <d v="2024-10-01T00:00:00"/>
    <d v="2024-10-08T00:00:00"/>
    <x v="27"/>
    <n v="19931.370013000003"/>
    <n v="3872901"/>
  </r>
  <r>
    <x v="0"/>
    <x v="0"/>
    <s v="blg_haca_scalp-sync_awareness_aw-awareness_ym00356548_all_2024_bcp_004_x"/>
    <s v="scalp-sync"/>
    <x v="3"/>
    <x v="2"/>
    <x v="2"/>
    <d v="2024-05-01T00:00:00"/>
    <d v="2024-05-01T00:00:00"/>
    <x v="44"/>
    <n v="3361.1560619999996"/>
    <n v="1613062"/>
  </r>
  <r>
    <x v="0"/>
    <x v="1"/>
    <s v="blg_haca_bfr_full-rescue-pulse_res_aw-reach_x_x_ym00458406_q2_2025_bfr_001_x"/>
    <s v="bfr"/>
    <x v="1"/>
    <x v="1"/>
    <x v="1"/>
    <d v="2025-06-01T00:00:00"/>
    <d v="2025-06-06T00:00:00"/>
    <x v="10"/>
    <n v="14358.279999999999"/>
    <n v="1040475"/>
  </r>
  <r>
    <x v="0"/>
    <x v="2"/>
    <s v="blg_haca_mult_agile-boosting_cons-eng-thruplay_none-none_x_x_ym00437375_x_2025_blg_002_x"/>
    <s v="mult"/>
    <x v="0"/>
    <x v="1"/>
    <x v="0"/>
    <d v="2025-03-01T00:00:00"/>
    <d v="2025-03-28T00:00:00"/>
    <x v="9"/>
    <n v="2746.1700009999995"/>
    <n v="286052"/>
  </r>
  <r>
    <x v="0"/>
    <x v="0"/>
    <s v="blg_haca_scalp-sync_traffic_cons-consideration_ym00356548_all_2024_bcp_004_x"/>
    <s v="scalp-sync"/>
    <x v="3"/>
    <x v="2"/>
    <x v="0"/>
    <d v="2024-05-01T00:00:00"/>
    <d v="2024-05-24T00:00:00"/>
    <x v="14"/>
    <n v="1639.142846"/>
    <n v="406652"/>
  </r>
  <r>
    <x v="0"/>
    <x v="2"/>
    <s v="blg_haca_bfr_fullrescue_cons-tra-linkcli_website-none_x_x_ym00458406_q2-q3_2025_bfr_001_x"/>
    <s v="bfr"/>
    <x v="1"/>
    <x v="1"/>
    <x v="0"/>
    <d v="2025-07-01T00:00:00"/>
    <d v="2025-07-01T00:00:00"/>
    <x v="1"/>
    <n v="355.13323700000007"/>
    <n v="41045"/>
  </r>
  <r>
    <x v="0"/>
    <x v="2"/>
    <s v="blg_haca_hydrasource_reelsonly_aw-aw-thruplay_none-none_na_na_ym00339376_q1-vvr_2024_bhs_001_x"/>
    <s v="hydrasource"/>
    <x v="4"/>
    <x v="2"/>
    <x v="0"/>
    <d v="2024-03-01T00:00:00"/>
    <d v="2024-03-02T00:00:00"/>
    <x v="29"/>
    <n v="956.81999900000005"/>
    <n v="206733"/>
  </r>
  <r>
    <x v="0"/>
    <x v="1"/>
    <s v="blg_haca_mult_ao-boosting_auc_aw-video-views_x_x_ym00437375_x_2025_blg_002_x"/>
    <s v="mult"/>
    <x v="0"/>
    <x v="1"/>
    <x v="1"/>
    <d v="2025-04-01T00:00:00"/>
    <d v="2025-04-16T00:00:00"/>
    <x v="36"/>
    <n v="1291.6000000000001"/>
    <n v="341649"/>
  </r>
  <r>
    <x v="0"/>
    <x v="2"/>
    <s v="blg_haca_scalp_reels-only_aw-aw-thruplay_website-viewcontent_na_na_ym00356549_q1-q2-vvr_2024_bcp_002_x"/>
    <s v="scalp"/>
    <x v="3"/>
    <x v="2"/>
    <x v="1"/>
    <d v="2024-03-01T00:00:00"/>
    <d v="2024-03-09T00:00:00"/>
    <x v="6"/>
    <n v="1010.6499969999999"/>
    <n v="234316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19T00:00:00"/>
    <x v="45"/>
    <n v="2101.2100050000004"/>
    <n v="124729"/>
  </r>
  <r>
    <x v="0"/>
    <x v="1"/>
    <s v="blg_haca_hys_hydrasource_auc_aw-video-views_x_x_ym00427700_q2_2025_bhs_006_x"/>
    <s v="hys"/>
    <x v="4"/>
    <x v="1"/>
    <x v="1"/>
    <d v="2025-04-01T00:00:00"/>
    <d v="2025-04-14T00:00:00"/>
    <x v="36"/>
    <n v="1816.85"/>
    <n v="450696"/>
  </r>
  <r>
    <x v="0"/>
    <x v="1"/>
    <s v="blg_haca_bfr_full-rescue_auc_aw-video-views_x_x_YM00458406_q2_2025_bfr_001_x"/>
    <s v="bfr"/>
    <x v="1"/>
    <x v="1"/>
    <x v="1"/>
    <d v="2025-06-01T00:00:00"/>
    <d v="2025-06-23T00:00:00"/>
    <x v="7"/>
    <n v="1194.06"/>
    <n v="204664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14T00:00:00"/>
    <x v="46"/>
    <n v="3508.959989"/>
    <n v="623037"/>
  </r>
  <r>
    <x v="0"/>
    <x v="2"/>
    <s v="blg_haca_mult_agile-boosting_cons-eng-thruplay_none-none_x_x_ym00437375_x_2025_blg_002_x"/>
    <s v="mult"/>
    <x v="0"/>
    <x v="1"/>
    <x v="0"/>
    <d v="2025-05-01T00:00:00"/>
    <d v="2025-05-18T00:00:00"/>
    <x v="47"/>
    <n v="218.07999999999993"/>
    <n v="36425"/>
  </r>
  <r>
    <x v="0"/>
    <x v="1"/>
    <s v="blg_haca_mult_ao-boosting_auc_aw-video-views_x_x_ym00437375_x_2025_blg_002_x"/>
    <s v="mult"/>
    <x v="0"/>
    <x v="1"/>
    <x v="1"/>
    <d v="2025-06-01T00:00:00"/>
    <d v="2025-06-17T00:00:00"/>
    <x v="16"/>
    <n v="0.09"/>
    <n v="5"/>
  </r>
  <r>
    <x v="0"/>
    <x v="0"/>
    <s v="blg_othr_na_na_84570334_2023_q2_conversion-non-promo_other_amazon+ulta+conversion"/>
    <s v="na"/>
    <x v="0"/>
    <x v="0"/>
    <x v="0"/>
    <d v="2023-07-01T00:00:00"/>
    <d v="2023-07-01T00:00:00"/>
    <x v="48"/>
    <n v="1431.8508470000002"/>
    <n v="145797"/>
  </r>
  <r>
    <x v="0"/>
    <x v="2"/>
    <s v="blg_haca_bfr_fullrescue_aw-aw-thruplay_none-none_x_x_ym00458406_q2-q3_2025_bfr_001_x"/>
    <s v="bfr"/>
    <x v="1"/>
    <x v="1"/>
    <x v="1"/>
    <d v="2025-06-01T00:00:00"/>
    <d v="2025-06-26T00:00:00"/>
    <x v="7"/>
    <n v="1313.75"/>
    <n v="225031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0T00:00:00"/>
    <x v="37"/>
    <n v="1995.73"/>
    <n v="237064"/>
  </r>
  <r>
    <x v="0"/>
    <x v="2"/>
    <s v="blg_haca_bfr_fullrescue_aw-aw-thruplay_none-none_x_x_ym00458406_q2-q3_2025_bfr_001_x"/>
    <s v="bfr"/>
    <x v="1"/>
    <x v="1"/>
    <x v="1"/>
    <d v="2025-05-01T00:00:00"/>
    <d v="2025-05-07T00:00:00"/>
    <x v="12"/>
    <n v="1245.409999"/>
    <n v="345013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3T00:00:00"/>
    <x v="2"/>
    <n v="2068.2600039999998"/>
    <n v="330767"/>
  </r>
  <r>
    <x v="0"/>
    <x v="0"/>
    <s v="blg_haca_scalp-sync_awareness_aw-awareness_ym00356548_all_2024_bcp_004_x"/>
    <s v="scalp-sync"/>
    <x v="3"/>
    <x v="2"/>
    <x v="2"/>
    <d v="2024-05-01T00:00:00"/>
    <d v="2024-05-08T00:00:00"/>
    <x v="49"/>
    <n v="3361.5704619999997"/>
    <n v="1511267"/>
  </r>
  <r>
    <x v="0"/>
    <x v="0"/>
    <s v="blg_haca_scalp-sync_awareness_aw-awareness_ym00356548_all_2024_bcp_004_x"/>
    <s v="scalp-sync"/>
    <x v="3"/>
    <x v="2"/>
    <x v="2"/>
    <d v="2024-04-01T00:00:00"/>
    <d v="2024-04-21T00:00:00"/>
    <x v="50"/>
    <n v="3367.439429999999"/>
    <n v="1560167"/>
  </r>
  <r>
    <x v="0"/>
    <x v="0"/>
    <s v="blg_othr_na_na_84570334_2023_q2_conversion-non-promo_other_amazon+ulta+conversion_v2"/>
    <s v="na"/>
    <x v="0"/>
    <x v="0"/>
    <x v="0"/>
    <d v="2023-08-01T00:00:00"/>
    <d v="2023-08-10T00:00:00"/>
    <x v="4"/>
    <n v="364.20618999999999"/>
    <n v="106965"/>
  </r>
  <r>
    <x v="0"/>
    <x v="1"/>
    <s v="blg_haca_bfr_full-rescue_auc_aw-video-views_x_x_YM00458406_q2_2025_bfr_001_x"/>
    <s v="bfr"/>
    <x v="1"/>
    <x v="1"/>
    <x v="1"/>
    <d v="2025-06-01T00:00:00"/>
    <d v="2025-06-29T00:00:00"/>
    <x v="1"/>
    <n v="1683.69"/>
    <n v="300587"/>
  </r>
  <r>
    <x v="0"/>
    <x v="2"/>
    <s v="blg_haca_bfr_fullrescue_aw-aw-thruplay_none-none_x_x_ym00458406_q2-q3_2025_bfr_001_x"/>
    <s v="bfr"/>
    <x v="1"/>
    <x v="1"/>
    <x v="0"/>
    <d v="2025-06-01T00:00:00"/>
    <d v="2025-06-29T00:00:00"/>
    <x v="1"/>
    <n v="1747.000004"/>
    <n v="277879"/>
  </r>
  <r>
    <x v="0"/>
    <x v="1"/>
    <s v="blg_haca_bfr_full-rescue-pulse_res_aw-reach_x_x_ym00458406_q2_2025_bfr_001_x"/>
    <s v="bfr"/>
    <x v="1"/>
    <x v="1"/>
    <x v="0"/>
    <d v="2025-06-01T00:00:00"/>
    <d v="2025-06-03T00:00:00"/>
    <x v="10"/>
    <n v="7229.94"/>
    <n v="523960"/>
  </r>
  <r>
    <x v="0"/>
    <x v="2"/>
    <s v="blg_haca_bfr_fullrescue_cons-tra-linkcli_website-none_x_x_ym00458406_q2-q3_2025_bfr_001_x"/>
    <s v="bfr"/>
    <x v="1"/>
    <x v="1"/>
    <x v="0"/>
    <d v="2025-05-01T00:00:00"/>
    <d v="2025-05-25T00:00:00"/>
    <x v="8"/>
    <n v="1803.95"/>
    <n v="141575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1T00:00:00"/>
    <x v="40"/>
    <n v="1240.349997"/>
    <n v="199869"/>
  </r>
  <r>
    <x v="0"/>
    <x v="2"/>
    <s v="blg_haca_hydrasource_bau_aw-aw-thruplay_none-none_na_na_ym00339376_q1-vvr_2024_bhs_001_x"/>
    <s v="hydrasource"/>
    <x v="4"/>
    <x v="2"/>
    <x v="2"/>
    <d v="2024-02-01T00:00:00"/>
    <d v="2024-02-03T00:00:00"/>
    <x v="5"/>
    <n v="1523.5800020000001"/>
    <n v="287174"/>
  </r>
  <r>
    <x v="0"/>
    <x v="0"/>
    <s v="blg_othr_na_na_84570334_2023_q2_conversion-non-promo_other_amazon+ulta+conversion_v2"/>
    <s v="na"/>
    <x v="0"/>
    <x v="0"/>
    <x v="1"/>
    <d v="2023-08-01T00:00:00"/>
    <d v="2023-08-14T00:00:00"/>
    <x v="30"/>
    <n v="1087.3368399999999"/>
    <n v="143780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6T00:00:00"/>
    <x v="39"/>
    <n v="1935.2200079999998"/>
    <n v="272365"/>
  </r>
  <r>
    <x v="0"/>
    <x v="2"/>
    <s v="blg_haca_prime-day_primeday-dayofsale-cell-1_cons-tra-linkcli_none-viewcontent_x_lla_ym00384930_x_2024_blg_001_x"/>
    <s v="prime-day"/>
    <x v="6"/>
    <x v="2"/>
    <x v="1"/>
    <d v="2024-07-01T00:00:00"/>
    <d v="2024-07-16T00:00:00"/>
    <x v="46"/>
    <n v="6465.8300010000012"/>
    <n v="977112"/>
  </r>
  <r>
    <x v="0"/>
    <x v="2"/>
    <s v="blg_haca_scalp_bau_aw-aw-thruplay_website-viewcontent_na_na_ym00356549_q1-q2-vvr_2024_bcp_002_x"/>
    <s v="scalp"/>
    <x v="3"/>
    <x v="2"/>
    <x v="1"/>
    <d v="2024-03-01T00:00:00"/>
    <d v="2024-03-09T00:00:00"/>
    <x v="6"/>
    <n v="2356.340005"/>
    <n v="555763"/>
  </r>
  <r>
    <x v="0"/>
    <x v="2"/>
    <s v="blg_haca_bfr_fullrescue_cons-tra-linkcli_website-none_x_x_ym00458406_q2-q3_2025_bfr_001_x"/>
    <s v="bfr"/>
    <x v="1"/>
    <x v="1"/>
    <x v="1"/>
    <d v="2025-05-01T00:00:00"/>
    <d v="2025-05-09T00:00:00"/>
    <x v="12"/>
    <n v="12.499999999999998"/>
    <n v="1513"/>
  </r>
  <r>
    <x v="0"/>
    <x v="2"/>
    <s v="blg_haca_hydrasource_reelsonly_aw-aw-thruplay_none-none_na_na_ym00339376_q1-vvr_2024_bhs_001_x"/>
    <s v="hydrasource"/>
    <x v="4"/>
    <x v="2"/>
    <x v="0"/>
    <d v="2024-03-01T00:00:00"/>
    <d v="2024-03-07T00:00:00"/>
    <x v="6"/>
    <n v="863.15"/>
    <n v="153512"/>
  </r>
  <r>
    <x v="0"/>
    <x v="1"/>
    <s v="blg_haca_bfr_full-rescue_auc_cons-traffic_x_x_YM00458406_q2_2025_bfr_001_x"/>
    <s v="bfr"/>
    <x v="1"/>
    <x v="1"/>
    <x v="0"/>
    <d v="2025-06-01T00:00:00"/>
    <d v="2025-06-23T00:00:00"/>
    <x v="7"/>
    <n v="5157.0599999999995"/>
    <n v="938035"/>
  </r>
  <r>
    <x v="0"/>
    <x v="2"/>
    <s v="blg_haca_bond-therapy_na_aw-aw-thruplay_none-viewcontent_na_na_ym87093418_vvr-q4_2023_x_x_x"/>
    <s v="bond-therapy"/>
    <x v="5"/>
    <x v="0"/>
    <x v="2"/>
    <d v="2023-12-01T00:00:00"/>
    <d v="2023-12-18T00:00:00"/>
    <x v="28"/>
    <n v="2772.8900009999998"/>
    <n v="472333"/>
  </r>
  <r>
    <x v="0"/>
    <x v="2"/>
    <s v="blg_haca_mult_bf-cyber-leadup_cons-tra-linkcli_website-none_promotion_x_ym00384930_q4_2024_blg_001_x"/>
    <s v="mult"/>
    <x v="0"/>
    <x v="2"/>
    <x v="0"/>
    <d v="2024-11-01T00:00:00"/>
    <d v="2024-11-27T00:00:00"/>
    <x v="51"/>
    <n v="6250.100003999999"/>
    <n v="459694"/>
  </r>
  <r>
    <x v="0"/>
    <x v="0"/>
    <s v="blg_othr_na_na_84570334_2023_q2_traffic_other_volumebloom-fulldensity+traffic_JBP"/>
    <s v="na"/>
    <x v="0"/>
    <x v="0"/>
    <x v="2"/>
    <d v="2023-08-01T00:00:00"/>
    <d v="2023-08-31T00:00:00"/>
    <x v="52"/>
    <n v="1770.950257"/>
    <n v="507697"/>
  </r>
  <r>
    <x v="0"/>
    <x v="2"/>
    <s v="blg_haca_bfr_fullrescue_aw-aw-thruplay_none-none_x_x_ym00458406_q2-q3_2025_bfr_001_x"/>
    <s v="bfr"/>
    <x v="1"/>
    <x v="1"/>
    <x v="0"/>
    <d v="2025-06-01T00:00:00"/>
    <d v="2025-06-09T00:00:00"/>
    <x v="18"/>
    <n v="1052.0199949999999"/>
    <n v="177032"/>
  </r>
  <r>
    <x v="0"/>
    <x v="2"/>
    <s v="blg_haca_hydrasource_x_aw-aw-thruplay_none-none_x_x_ym00339376_q4_2024_bhs_001_x"/>
    <s v="hydrasource"/>
    <x v="4"/>
    <x v="2"/>
    <x v="0"/>
    <d v="2024-10-01T00:00:00"/>
    <d v="2024-10-05T00:00:00"/>
    <x v="31"/>
    <n v="3572.0899979999999"/>
    <n v="678721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8T00:00:00"/>
    <x v="42"/>
    <n v="2660.2499999999995"/>
    <n v="357031"/>
  </r>
  <r>
    <x v="0"/>
    <x v="2"/>
    <s v="blg_haca_hydrasource_bau_aw-aw-thruplay_none-none_na_na_ym00339376_q1-vvr_2024_bhs_001_x"/>
    <s v="hydrasource"/>
    <x v="4"/>
    <x v="2"/>
    <x v="2"/>
    <d v="2024-02-01T00:00:00"/>
    <d v="2024-02-14T00:00:00"/>
    <x v="20"/>
    <n v="1217.72"/>
    <n v="175021"/>
  </r>
  <r>
    <x v="0"/>
    <x v="2"/>
    <s v="blg_haca_scalp_reels-only_aw-aw-thruplay_website-viewcontent_na_na_ym00356549_q1-q2-vvr_2024_bcp_002_x"/>
    <s v="scalp"/>
    <x v="3"/>
    <x v="2"/>
    <x v="0"/>
    <d v="2024-04-01T00:00:00"/>
    <d v="2024-04-18T00:00:00"/>
    <x v="24"/>
    <n v="675.72999800000002"/>
    <n v="178509"/>
  </r>
  <r>
    <x v="0"/>
    <x v="2"/>
    <s v="blg_haca_mult_agile-boosting_cons-eng-thruplay_none-none_x_x_ym00437375_x_2025_blg_002_x"/>
    <s v="mult"/>
    <x v="0"/>
    <x v="1"/>
    <x v="1"/>
    <d v="2025-06-01T00:00:00"/>
    <d v="2025-06-01T00:00:00"/>
    <x v="10"/>
    <n v="944.01999899999998"/>
    <n v="180037"/>
  </r>
  <r>
    <x v="0"/>
    <x v="2"/>
    <s v="blg_haca_hydrasource_bau_aw-aw-thruplay_none-none_na_na_ym00339376_q1-vvr_2024_bhs_001_x"/>
    <s v="hydrasource"/>
    <x v="4"/>
    <x v="2"/>
    <x v="2"/>
    <d v="2024-02-01T00:00:00"/>
    <d v="2024-02-07T00:00:00"/>
    <x v="41"/>
    <n v="1140.8000050000001"/>
    <n v="203921"/>
  </r>
  <r>
    <x v="0"/>
    <x v="0"/>
    <s v="blg_haca_bfr_fullrescue-bonus_aw-awareness_x_bonus-q2_2025_x_x_x"/>
    <s v="bfr"/>
    <x v="1"/>
    <x v="1"/>
    <x v="1"/>
    <d v="2025-06-01T00:00:00"/>
    <d v="2025-06-13T00:00:00"/>
    <x v="18"/>
    <n v="414.44606200000004"/>
    <n v="194733"/>
  </r>
  <r>
    <x v="0"/>
    <x v="1"/>
    <s v="blg_haca_hys_hydrasource_auc_aw-video-views_x_x_ym00427700_q2_2025_bhs_006_x"/>
    <s v="hys"/>
    <x v="4"/>
    <x v="1"/>
    <x v="1"/>
    <d v="2025-04-01T00:00:00"/>
    <d v="2025-04-15T00:00:00"/>
    <x v="36"/>
    <n v="883.44999999999993"/>
    <n v="194111"/>
  </r>
  <r>
    <x v="0"/>
    <x v="2"/>
    <s v="blg_haca_scalp_bau_aw-aw-thruplay_website-viewcontent_na_na_ym00356549_q1-q2-vvr_2024_bcp_002_x"/>
    <s v="scalp"/>
    <x v="3"/>
    <x v="2"/>
    <x v="1"/>
    <d v="2024-04-01T00:00:00"/>
    <d v="2024-04-14T00:00:00"/>
    <x v="24"/>
    <n v="2464.3199980000004"/>
    <n v="617090"/>
  </r>
  <r>
    <x v="0"/>
    <x v="2"/>
    <s v="blg_haca_mult_agile-boosting_cons-eng-thruplay_none-none_x_x_ym00437375_x_2025_blg_002_x"/>
    <s v="mult"/>
    <x v="0"/>
    <x v="1"/>
    <x v="0"/>
    <d v="2025-03-01T00:00:00"/>
    <d v="2025-03-24T00:00:00"/>
    <x v="9"/>
    <n v="2755.8299990000005"/>
    <n v="491909"/>
  </r>
  <r>
    <x v="0"/>
    <x v="2"/>
    <s v="blg_haca_mult_agile-boosting_cons-eng-thruplay_none-none_x_x_ym00437375_x_2025_blg_002_x"/>
    <s v="mult"/>
    <x v="0"/>
    <x v="1"/>
    <x v="0"/>
    <d v="2025-03-01T00:00:00"/>
    <d v="2025-03-25T00:00:00"/>
    <x v="9"/>
    <n v="2386.0599989999996"/>
    <n v="412444"/>
  </r>
  <r>
    <x v="0"/>
    <x v="2"/>
    <s v="blg_haca_mult_agile-boosting_cons-eng-thruplay_none-none_x_x_ym00437375_x_2025_blg_002_x"/>
    <s v="mult"/>
    <x v="0"/>
    <x v="1"/>
    <x v="0"/>
    <d v="2025-03-01T00:00:00"/>
    <d v="2025-03-29T00:00:00"/>
    <x v="9"/>
    <n v="2781.7700020000007"/>
    <n v="223258"/>
  </r>
  <r>
    <x v="0"/>
    <x v="2"/>
    <s v="blg_haca_mult_agile-boosting_cons-eng-thruplay_none-none_x_x_ym00437375_x_2025_blg_002_x"/>
    <s v="mult"/>
    <x v="0"/>
    <x v="1"/>
    <x v="0"/>
    <d v="2025-05-01T00:00:00"/>
    <d v="2025-05-26T00:00:00"/>
    <x v="8"/>
    <n v="200.64000000000001"/>
    <n v="34481"/>
  </r>
  <r>
    <x v="0"/>
    <x v="2"/>
    <s v="blg_haca_scalp_na_cons-tra-linkcli_none-none_na_na_ym00356549_q1-q2-lctr_2024_bcp_002_x"/>
    <s v="scalp"/>
    <x v="3"/>
    <x v="2"/>
    <x v="0"/>
    <d v="2024-04-01T00:00:00"/>
    <d v="2024-04-02T00:00:00"/>
    <x v="53"/>
    <n v="1419.820001"/>
    <n v="261057"/>
  </r>
  <r>
    <x v="0"/>
    <x v="1"/>
    <s v="blg_haca_mult_ao-boosting_auc_aw-video-views_x_x_ym00437375_x_2025_blg_002_x"/>
    <s v="mult"/>
    <x v="0"/>
    <x v="1"/>
    <x v="1"/>
    <d v="2025-04-01T00:00:00"/>
    <d v="2025-04-23T00:00:00"/>
    <x v="11"/>
    <n v="1490.6699999999998"/>
    <n v="384437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4T00:00:00"/>
    <x v="37"/>
    <n v="2544.7599999999989"/>
    <n v="305220"/>
  </r>
  <r>
    <x v="0"/>
    <x v="2"/>
    <s v="blg_haca_mult_agile-boosting_cons-eng-thruplay_none-none_x_x_ym00437375_x_2025_blg_002_x"/>
    <s v="mult"/>
    <x v="0"/>
    <x v="1"/>
    <x v="0"/>
    <d v="2025-04-01T00:00:00"/>
    <d v="2025-04-18T00:00:00"/>
    <x v="36"/>
    <n v="1057.3499999999999"/>
    <n v="245708"/>
  </r>
  <r>
    <x v="0"/>
    <x v="2"/>
    <s v="blg_haca_prime-day_lead-up-cell-1_aw-aw-thruplay_none-viewcontent_x_lla_ym00384930_x_2024_blg_001_x"/>
    <s v="prime-day"/>
    <x v="6"/>
    <x v="2"/>
    <x v="1"/>
    <d v="2024-07-01T00:00:00"/>
    <d v="2024-07-11T00:00:00"/>
    <x v="54"/>
    <n v="2358.1399959999999"/>
    <n v="198165"/>
  </r>
  <r>
    <x v="0"/>
    <x v="1"/>
    <s v="blg_haca_bfr_full-rescue_auc_aw-video-views_x_x_YM00458406_q2_2025_bfr_001_x"/>
    <s v="bfr"/>
    <x v="1"/>
    <x v="1"/>
    <x v="1"/>
    <d v="2025-06-01T00:00:00"/>
    <d v="2025-06-08T00:00:00"/>
    <x v="18"/>
    <n v="1749.07"/>
    <n v="227806"/>
  </r>
  <r>
    <x v="0"/>
    <x v="2"/>
    <s v="blg_haca_scalp_reels-only_aw-aw-thruplay_website-viewcontent_na_na_ym00356549_q1-q2-vvr_2024_bcp_002_x"/>
    <s v="scalp"/>
    <x v="3"/>
    <x v="2"/>
    <x v="1"/>
    <d v="2024-04-01T00:00:00"/>
    <d v="2024-04-12T00:00:00"/>
    <x v="34"/>
    <n v="268.60000100000002"/>
    <n v="63550"/>
  </r>
  <r>
    <x v="0"/>
    <x v="2"/>
    <s v="blg_haca_hydrasource_reelsonly_aw-aw-thruplay_none-none_na_na_ym00339376_q1-vvr_2024_bhs_001_x"/>
    <s v="hydrasource"/>
    <x v="4"/>
    <x v="2"/>
    <x v="0"/>
    <d v="2024-03-01T00:00:00"/>
    <d v="2024-03-05T00:00:00"/>
    <x v="6"/>
    <n v="848.41999900000008"/>
    <n v="153369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18T00:00:00"/>
    <x v="55"/>
    <n v="3200.8999999999996"/>
    <n v="283151"/>
  </r>
  <r>
    <x v="0"/>
    <x v="0"/>
    <s v="blg_othr_na_na_84570334_2023_q2_conversion-non-promo_other_amazon+ulta+conversion"/>
    <s v="na"/>
    <x v="0"/>
    <x v="0"/>
    <x v="1"/>
    <d v="2023-07-01T00:00:00"/>
    <d v="2023-07-15T00:00:00"/>
    <x v="37"/>
    <n v="0.21890100000000001"/>
    <n v="15"/>
  </r>
  <r>
    <x v="0"/>
    <x v="0"/>
    <s v="blg_haca_scalp-sync_awareness_aw-awareness_ym00356548_all_2024_bcp_004_x"/>
    <s v="scalp-sync"/>
    <x v="3"/>
    <x v="2"/>
    <x v="2"/>
    <d v="2024-05-01T00:00:00"/>
    <d v="2024-05-19T00:00:00"/>
    <x v="14"/>
    <n v="3382.7212080000004"/>
    <n v="1409006"/>
  </r>
  <r>
    <x v="0"/>
    <x v="2"/>
    <s v="blg_haca_hydrasource_na_cons-tra-linkcli_none-none_na_na_ym00339376_q1-lctr_2024_bhs_001_x"/>
    <s v="hydrasource"/>
    <x v="4"/>
    <x v="2"/>
    <x v="0"/>
    <d v="2024-03-01T00:00:00"/>
    <d v="2024-03-07T00:00:00"/>
    <x v="6"/>
    <n v="3199.3100060000002"/>
    <n v="460096"/>
  </r>
  <r>
    <x v="0"/>
    <x v="1"/>
    <s v="blg_haca_mult_ao-boosting_auc_aw-video-views_x_x_ym00437375_x_2025_blg_002_x"/>
    <s v="mult"/>
    <x v="0"/>
    <x v="1"/>
    <x v="0"/>
    <d v="2025-06-01T00:00:00"/>
    <d v="2025-06-12T00:00:00"/>
    <x v="18"/>
    <n v="1715.85"/>
    <n v="337172"/>
  </r>
  <r>
    <x v="0"/>
    <x v="0"/>
    <s v="blg_othr_na_na_84570334_2023_q2_conversion-non-promo_other_amazon+ulta+conversion_v2"/>
    <s v="na"/>
    <x v="0"/>
    <x v="0"/>
    <x v="1"/>
    <d v="2023-08-01T00:00:00"/>
    <d v="2023-08-17T00:00:00"/>
    <x v="30"/>
    <n v="1146.351322"/>
    <n v="132692"/>
  </r>
  <r>
    <x v="0"/>
    <x v="2"/>
    <s v="blg_haca_hys_hydrasource_aw-aw-thruplay_none-none_x_x_ym00427700_q2_2025_bhs_006_x"/>
    <s v="hys"/>
    <x v="4"/>
    <x v="1"/>
    <x v="0"/>
    <d v="2025-04-01T00:00:00"/>
    <d v="2025-04-13T00:00:00"/>
    <x v="36"/>
    <n v="2435.7499989999997"/>
    <n v="308169"/>
  </r>
  <r>
    <x v="0"/>
    <x v="2"/>
    <s v="blg_haca_mult_agile-boosting_cons-eng-thruplay_none-none_x_x_ym00437375_x_2025_blg_002_x"/>
    <s v="mult"/>
    <x v="0"/>
    <x v="1"/>
    <x v="0"/>
    <d v="2025-04-01T00:00:00"/>
    <d v="2025-04-13T00:00:00"/>
    <x v="36"/>
    <n v="985.33000199999958"/>
    <n v="221785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0T00:00:00"/>
    <x v="28"/>
    <n v="2920.9200009999995"/>
    <n v="268063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0T00:00:00"/>
    <x v="28"/>
    <n v="1185.33"/>
    <n v="205662"/>
  </r>
  <r>
    <x v="0"/>
    <x v="2"/>
    <s v="blg_haca_scalp_bau_aw-aw-thruplay_website-viewcontent_na_na_ym00356549_q1-q2-vvr_2024_bcp_002_x"/>
    <s v="scalp"/>
    <x v="3"/>
    <x v="2"/>
    <x v="1"/>
    <d v="2024-03-01T00:00:00"/>
    <d v="2024-03-11T00:00:00"/>
    <x v="25"/>
    <n v="2291.7399979999996"/>
    <n v="515760"/>
  </r>
  <r>
    <x v="0"/>
    <x v="2"/>
    <s v="blg_haca_hys_hydrasource_aw-aw-thruplay_none-none_x_x_ym00427700_q2_2025_bhs_006_x"/>
    <s v="hys"/>
    <x v="4"/>
    <x v="1"/>
    <x v="1"/>
    <d v="2025-04-01T00:00:00"/>
    <d v="2025-04-07T00:00:00"/>
    <x v="23"/>
    <n v="1042.549998"/>
    <n v="47617"/>
  </r>
  <r>
    <x v="0"/>
    <x v="2"/>
    <s v="blg_haca_mult_agile-boosting_cons-eng-thruplay_none-none_x_x_ym00437375_x_2025_blg_002_x"/>
    <s v="mult"/>
    <x v="0"/>
    <x v="1"/>
    <x v="1"/>
    <d v="2025-04-01T00:00:00"/>
    <d v="2025-04-22T00:00:00"/>
    <x v="11"/>
    <n v="835.55"/>
    <n v="184916"/>
  </r>
  <r>
    <x v="0"/>
    <x v="1"/>
    <s v="blg_haca_hys_hydrasource_auc_aw-video-views_x_x_ym00427700_q2_2025_bhs_006_x"/>
    <s v="hys"/>
    <x v="4"/>
    <x v="1"/>
    <x v="0"/>
    <d v="2025-04-01T00:00:00"/>
    <d v="2025-04-22T00:00:00"/>
    <x v="11"/>
    <n v="3827.6000000000004"/>
    <n v="1005095"/>
  </r>
  <r>
    <x v="0"/>
    <x v="0"/>
    <s v="blg_haca_scalp-sync_awareness_aw-awareness_ym00356548_all_2024_bcp_004_x"/>
    <s v="scalp-sync"/>
    <x v="3"/>
    <x v="2"/>
    <x v="2"/>
    <d v="2024-04-01T00:00:00"/>
    <d v="2024-04-18T00:00:00"/>
    <x v="24"/>
    <n v="3392.30222"/>
    <n v="1557146"/>
  </r>
  <r>
    <x v="0"/>
    <x v="2"/>
    <s v="blg_haca_bfr_fullrescue_cons-tra-linkcli_website-none_x_x_ym00458406_q2-q3_2025_bfr_001_x"/>
    <s v="bfr"/>
    <x v="1"/>
    <x v="1"/>
    <x v="0"/>
    <d v="2025-06-01T00:00:00"/>
    <d v="2025-06-11T00:00:00"/>
    <x v="18"/>
    <n v="1636.5199970000003"/>
    <n v="100145"/>
  </r>
  <r>
    <x v="0"/>
    <x v="1"/>
    <s v="blg_haca_mult_ao-boosting_auc_aw-video-views_x_x_ym00437375_x_2025_blg_002_x"/>
    <s v="mult"/>
    <x v="0"/>
    <x v="1"/>
    <x v="0"/>
    <d v="2025-06-01T00:00:00"/>
    <d v="2025-06-11T00:00:00"/>
    <x v="18"/>
    <n v="1777.95"/>
    <n v="334724"/>
  </r>
  <r>
    <x v="0"/>
    <x v="0"/>
    <s v="blg_haca_scalp-sync_traffic_cons-consideration_ym00356548_all_2024_bcp_004_x"/>
    <s v="scalp-sync"/>
    <x v="3"/>
    <x v="2"/>
    <x v="0"/>
    <d v="2024-05-01T00:00:00"/>
    <d v="2024-05-16T00:00:00"/>
    <x v="56"/>
    <n v="1674.5161739999996"/>
    <n v="440214"/>
  </r>
  <r>
    <x v="0"/>
    <x v="2"/>
    <s v="blg_haca_hydrasource_na_cons-tra-linkcli_none-none_na_na_ym00339376_q1-lctr_2024_bhs_001_x"/>
    <s v="hydrasource"/>
    <x v="4"/>
    <x v="2"/>
    <x v="0"/>
    <d v="2024-01-01T00:00:00"/>
    <d v="2024-01-18T00:00:00"/>
    <x v="57"/>
    <n v="3124.9600070000015"/>
    <n v="547320"/>
  </r>
  <r>
    <x v="0"/>
    <x v="2"/>
    <s v="blg_haca_mult_bf-cyber-reminder_cons-eng-posteng_onad-none_promotion_x_ym00384930_q4_2024_blg_001_x"/>
    <s v="mult"/>
    <x v="0"/>
    <x v="2"/>
    <x v="2"/>
    <d v="2024-11-01T00:00:00"/>
    <d v="2024-11-21T00:00:00"/>
    <x v="58"/>
    <n v="9884.9700030000022"/>
    <n v="949010"/>
  </r>
  <r>
    <x v="0"/>
    <x v="1"/>
    <s v="blg_haca_mult_ao-boosting_auc_aw-video-views_x_x_ym00437375_x_2025_blg_002_x"/>
    <s v="mult"/>
    <x v="0"/>
    <x v="1"/>
    <x v="1"/>
    <d v="2025-04-01T00:00:00"/>
    <d v="2025-04-28T00:00:00"/>
    <x v="19"/>
    <n v="1449.61"/>
    <n v="335277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3T00:00:00"/>
    <x v="37"/>
    <n v="2562.7999960000002"/>
    <n v="308176"/>
  </r>
  <r>
    <x v="0"/>
    <x v="2"/>
    <s v="blg_haca_hydrasource_x_cons-tra-linkcli_none-none_x_x_ym00339376_q4-lctr_2024_bhs_001_x"/>
    <s v="hydrasource"/>
    <x v="4"/>
    <x v="2"/>
    <x v="0"/>
    <d v="2024-10-01T00:00:00"/>
    <d v="2024-10-31T00:00:00"/>
    <x v="22"/>
    <n v="2390.8000109999998"/>
    <n v="256711"/>
  </r>
  <r>
    <x v="0"/>
    <x v="2"/>
    <s v="blg_haca_hys_hydrasource_aw-aw-thruplay_none-none_x_x_ym00427700_q2_2025_bhs_006_x"/>
    <s v="hys"/>
    <x v="4"/>
    <x v="1"/>
    <x v="0"/>
    <d v="2025-04-01T00:00:00"/>
    <d v="2025-04-23T00:00:00"/>
    <x v="11"/>
    <n v="2043.0899999999997"/>
    <n v="305740"/>
  </r>
  <r>
    <x v="0"/>
    <x v="2"/>
    <s v="blg_haca_mult_agile-boosting_cons-eng-thruplay_none-none_x_x_ym00437375_x_2025_blg_002_x"/>
    <s v="mult"/>
    <x v="0"/>
    <x v="1"/>
    <x v="0"/>
    <d v="2025-05-01T00:00:00"/>
    <d v="2025-05-25T00:00:00"/>
    <x v="8"/>
    <n v="137.24"/>
    <n v="22929"/>
  </r>
  <r>
    <x v="0"/>
    <x v="1"/>
    <s v="blg_haca_bfr_full-rescue-pulse_res_aw-reach_x_x_ym00458406_q2_2025_bfr_001_x"/>
    <s v="bfr"/>
    <x v="1"/>
    <x v="1"/>
    <x v="0"/>
    <d v="2025-06-01T00:00:00"/>
    <d v="2025-06-06T00:00:00"/>
    <x v="10"/>
    <n v="7180.96"/>
    <n v="520340"/>
  </r>
  <r>
    <x v="0"/>
    <x v="2"/>
    <s v="blg_haca_hydrasource_bau_aw-aw-thruplay_none-none_na_na_ym00339376_q1-vvr_2024_bhs_001_x"/>
    <s v="hydrasource"/>
    <x v="4"/>
    <x v="2"/>
    <x v="2"/>
    <d v="2024-02-01T00:00:00"/>
    <d v="2024-02-18T00:00:00"/>
    <x v="59"/>
    <n v="1253.070003"/>
    <n v="200041"/>
  </r>
  <r>
    <x v="0"/>
    <x v="2"/>
    <s v="blg_haca_hydrasource_x_cons-tra-linkcli_none-none_x_x_ym00339376_q4-lctr_2024_bhs_001_x"/>
    <s v="hydrasource"/>
    <x v="4"/>
    <x v="2"/>
    <x v="0"/>
    <d v="2024-09-01T00:00:00"/>
    <d v="2024-09-23T00:00:00"/>
    <x v="60"/>
    <n v="1901.1600029999997"/>
    <n v="202769"/>
  </r>
  <r>
    <x v="0"/>
    <x v="2"/>
    <s v="blg_haca_scalp_na_cons-tra-linkcli_none-none_na_na_ym00356549_q1-q2-lctr_2024_bcp_002_x"/>
    <s v="scalp"/>
    <x v="3"/>
    <x v="2"/>
    <x v="1"/>
    <d v="2024-03-01T00:00:00"/>
    <d v="2024-03-25T00:00:00"/>
    <x v="3"/>
    <n v="1531.4799950000001"/>
    <n v="226370"/>
  </r>
  <r>
    <x v="0"/>
    <x v="2"/>
    <s v="blg_haca_scalp_reels-only_aw-aw-thruplay_website-viewcontent_na_na_ym00356549_q1-q2-vvr_2024_bcp_002_x"/>
    <s v="scalp"/>
    <x v="3"/>
    <x v="2"/>
    <x v="1"/>
    <d v="2024-04-01T00:00:00"/>
    <d v="2024-04-13T00:00:00"/>
    <x v="34"/>
    <n v="192.73"/>
    <n v="45081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8T00:00:00"/>
    <x v="30"/>
    <n v="3772.4600089999994"/>
    <n v="536280"/>
  </r>
  <r>
    <x v="0"/>
    <x v="2"/>
    <s v="blg_haca_bfr_fullrescue_aw-aw-thruplay_none-none_x_x_ym00458406_q2-q3_2025_bfr_001_x"/>
    <s v="bfr"/>
    <x v="1"/>
    <x v="1"/>
    <x v="1"/>
    <d v="2025-05-01T00:00:00"/>
    <d v="2025-05-20T00:00:00"/>
    <x v="47"/>
    <n v="12.520000000000001"/>
    <n v="660"/>
  </r>
  <r>
    <x v="0"/>
    <x v="1"/>
    <s v="blg_haca_bfr_full-rescue_auc_aw-video-views_x_x_YM00458406_q2_2025_bfr_001_x"/>
    <s v="bfr"/>
    <x v="1"/>
    <x v="1"/>
    <x v="0"/>
    <d v="2025-06-01T00:00:00"/>
    <d v="2025-06-20T00:00:00"/>
    <x v="16"/>
    <n v="57"/>
    <n v="11006"/>
  </r>
  <r>
    <x v="0"/>
    <x v="2"/>
    <s v="blg_haca_mult_agile-boosting_cons-eng-thruplay_none-none_x_x_ym00437375_x_2025_blg_002_x"/>
    <s v="mult"/>
    <x v="0"/>
    <x v="1"/>
    <x v="1"/>
    <d v="2025-06-01T00:00:00"/>
    <d v="2025-06-14T00:00:00"/>
    <x v="18"/>
    <n v="1800.5200000000002"/>
    <n v="214196"/>
  </r>
  <r>
    <x v="0"/>
    <x v="2"/>
    <s v="blg_haca_hydrasource_na_cons-tra-linkcli_none-none_na_na_ym00339376_q1-lctr_2024_bhs_001_x"/>
    <s v="hydrasource"/>
    <x v="4"/>
    <x v="2"/>
    <x v="0"/>
    <d v="2024-02-01T00:00:00"/>
    <d v="2024-02-23T00:00:00"/>
    <x v="59"/>
    <n v="3173.7200010000006"/>
    <n v="475778"/>
  </r>
  <r>
    <x v="0"/>
    <x v="2"/>
    <s v="blg_haca_hydrasource_reelsonly_aw-aw-thruplay_none-none_na_na_ym00339376_q1-vvr_2024_bhs_001_x"/>
    <s v="hydrasource"/>
    <x v="4"/>
    <x v="2"/>
    <x v="0"/>
    <d v="2024-02-01T00:00:00"/>
    <d v="2024-02-23T00:00:00"/>
    <x v="59"/>
    <n v="935.84999700000003"/>
    <n v="185492"/>
  </r>
  <r>
    <x v="0"/>
    <x v="1"/>
    <s v="blg_haca_hys_hydrasource_auc_cons-traffic_x_x_ym00427700_q2_2025_bhs_006_x"/>
    <s v="hys"/>
    <x v="4"/>
    <x v="1"/>
    <x v="1"/>
    <d v="2025-04-01T00:00:00"/>
    <d v="2025-04-19T00:00:00"/>
    <x v="36"/>
    <n v="195.29"/>
    <n v="55257"/>
  </r>
  <r>
    <x v="0"/>
    <x v="2"/>
    <s v="blg_haca_hys_hydrasource_cons-tra-linkcli_website-none_x_x_ym00427700_q2_2025_bhs_006_x"/>
    <s v="hys"/>
    <x v="4"/>
    <x v="1"/>
    <x v="0"/>
    <d v="2025-04-01T00:00:00"/>
    <d v="2025-04-16T00:00:00"/>
    <x v="36"/>
    <n v="3819.5899989999998"/>
    <n v="270664"/>
  </r>
  <r>
    <x v="0"/>
    <x v="2"/>
    <s v="blg_haca_bfr_fullrescue_cons-tra-linkcli_website-none_x_x_ym00458406_q2-q3_2025_bfr_001_x"/>
    <s v="bfr"/>
    <x v="1"/>
    <x v="1"/>
    <x v="1"/>
    <d v="2025-06-01T00:00:00"/>
    <d v="2025-06-10T00:00:00"/>
    <x v="18"/>
    <n v="71.38"/>
    <n v="8624"/>
  </r>
  <r>
    <x v="0"/>
    <x v="2"/>
    <s v="blg_haca_mult_agile-boosting_cons-eng-thruplay_none-none_x_x_ym00437375_x_2025_blg_002_x"/>
    <s v="mult"/>
    <x v="0"/>
    <x v="1"/>
    <x v="1"/>
    <d v="2025-04-01T00:00:00"/>
    <d v="2025-04-14T00:00:00"/>
    <x v="36"/>
    <n v="975.27999999999975"/>
    <n v="208990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5T00:00:00"/>
    <x v="30"/>
    <n v="722.46999999999991"/>
    <n v="105686"/>
  </r>
  <r>
    <x v="0"/>
    <x v="1"/>
    <s v="blg_haca_bfr_full-rescue-pulse_res_aw-reach_x_x_ym00458406_q2_2025_bfr_001_x"/>
    <s v="bfr"/>
    <x v="1"/>
    <x v="1"/>
    <x v="0"/>
    <d v="2025-06-01T00:00:00"/>
    <d v="2025-06-04T00:00:00"/>
    <x v="10"/>
    <n v="7257.93"/>
    <n v="525904"/>
  </r>
  <r>
    <x v="0"/>
    <x v="2"/>
    <s v="blg_haca_scalp_na_cons-tra-linkcli_none-none_na_na_ym00356549_q1-q2-lctr_2024_bcp_002_x"/>
    <s v="scalp"/>
    <x v="3"/>
    <x v="2"/>
    <x v="1"/>
    <d v="2024-04-01T00:00:00"/>
    <d v="2024-04-20T00:00:00"/>
    <x v="24"/>
    <n v="81.799999999999983"/>
    <n v="9967"/>
  </r>
  <r>
    <x v="0"/>
    <x v="2"/>
    <s v="blg_haca_prime-day_lead-up-cell-2_aw-aw-thruplay_none-viewcontent_x_lla_ym00384930_x_2024_blg_001_x"/>
    <s v="prime-day"/>
    <x v="6"/>
    <x v="2"/>
    <x v="1"/>
    <d v="2024-07-01T00:00:00"/>
    <d v="2024-07-06T00:00:00"/>
    <x v="61"/>
    <n v="2646.7599929999997"/>
    <n v="309915"/>
  </r>
  <r>
    <x v="0"/>
    <x v="2"/>
    <s v="blg_haca_hys_hydrasource_aw-aw-thruplay_none-none_x_x_ym00427700_q2_2025_bhs_006_x"/>
    <s v="hys"/>
    <x v="4"/>
    <x v="1"/>
    <x v="1"/>
    <d v="2025-04-01T00:00:00"/>
    <d v="2025-04-01T00:00:00"/>
    <x v="26"/>
    <n v="441.21"/>
    <n v="31530"/>
  </r>
  <r>
    <x v="0"/>
    <x v="2"/>
    <s v="blg_haca_bfr_fullrescue_aw-aw-thruplay_none-none_x_x_ym00458406_q2-q3_2025_bfr_001_x"/>
    <s v="bfr"/>
    <x v="1"/>
    <x v="1"/>
    <x v="0"/>
    <d v="2025-06-01T00:00:00"/>
    <d v="2025-06-01T00:00:00"/>
    <x v="10"/>
    <n v="2586.8299970000003"/>
    <n v="420512"/>
  </r>
  <r>
    <x v="0"/>
    <x v="2"/>
    <s v="blg_haca_mult_agile-boosting_cons-eng-thruplay_none-none_x_x_ym00437375_x_2025_blg_002_x"/>
    <s v="mult"/>
    <x v="0"/>
    <x v="1"/>
    <x v="1"/>
    <d v="2025-05-01T00:00:00"/>
    <d v="2025-05-28T00:00:00"/>
    <x v="8"/>
    <n v="1231.55"/>
    <n v="200374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3T00:00:00"/>
    <x v="28"/>
    <n v="1187.370001"/>
    <n v="223496"/>
  </r>
  <r>
    <x v="0"/>
    <x v="0"/>
    <s v="blg_othr_na_na_84570334_2023_q2_conversion-non-promo_other_amazon+ulta+conversion"/>
    <s v="na"/>
    <x v="0"/>
    <x v="0"/>
    <x v="0"/>
    <d v="2023-07-01T00:00:00"/>
    <d v="2023-07-04T00:00:00"/>
    <x v="21"/>
    <n v="1360.7221030000001"/>
    <n v="301993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6T00:00:00"/>
    <x v="4"/>
    <n v="2244.8299999999995"/>
    <n v="406205"/>
  </r>
  <r>
    <x v="0"/>
    <x v="2"/>
    <s v="blg_haca_hys_hydrasource_aw-aw-thruplay_none-none_x_x_ym00427700_q2_2025_bhs_006_x"/>
    <s v="hys"/>
    <x v="4"/>
    <x v="1"/>
    <x v="1"/>
    <d v="2025-04-01T00:00:00"/>
    <d v="2025-04-25T00:00:00"/>
    <x v="11"/>
    <n v="424.66999999999996"/>
    <n v="19174"/>
  </r>
  <r>
    <x v="0"/>
    <x v="2"/>
    <s v="blg_haca_hydrasource_x_aw-aw-thruplay_none-none_x_x_ym00339376_q4_2024_bhs_001_x"/>
    <s v="hydrasource"/>
    <x v="4"/>
    <x v="2"/>
    <x v="0"/>
    <d v="2024-10-01T00:00:00"/>
    <d v="2024-10-19T00:00:00"/>
    <x v="32"/>
    <n v="3577.0799970000003"/>
    <n v="775037"/>
  </r>
  <r>
    <x v="0"/>
    <x v="2"/>
    <s v="blg_haca_scalp_reels-only_aw-aw-thruplay_website-viewcontent_na_na_ym00356549_q1-q2-vvr_2024_bcp_002_x"/>
    <s v="scalp"/>
    <x v="3"/>
    <x v="2"/>
    <x v="1"/>
    <d v="2024-04-01T00:00:00"/>
    <d v="2024-04-02T00:00:00"/>
    <x v="53"/>
    <n v="190.32999900000002"/>
    <n v="54125"/>
  </r>
  <r>
    <x v="0"/>
    <x v="1"/>
    <s v="blg_haca_bfr_full-rescue_auc_cons-traffic_x_x_YM00458406_q2_2025_bfr_001_x"/>
    <s v="bfr"/>
    <x v="1"/>
    <x v="1"/>
    <x v="0"/>
    <d v="2025-06-01T00:00:00"/>
    <d v="2025-06-29T00:00:00"/>
    <x v="1"/>
    <n v="403.97999999999996"/>
    <n v="76103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1T00:00:00"/>
    <x v="33"/>
    <n v="3096.8099960000004"/>
    <n v="324140"/>
  </r>
  <r>
    <x v="0"/>
    <x v="2"/>
    <s v="blg_haca_bfr_fullrescue_aw-aw-thruplay_none-none_x_x_ym00458406_q2-q3_2025_bfr_001_x"/>
    <s v="bfr"/>
    <x v="1"/>
    <x v="1"/>
    <x v="0"/>
    <d v="2025-05-01T00:00:00"/>
    <d v="2025-05-19T00:00:00"/>
    <x v="47"/>
    <n v="2537.049998"/>
    <n v="422324"/>
  </r>
  <r>
    <x v="0"/>
    <x v="0"/>
    <s v="blg_othr_na_na_84570334_2023_q2_conversion-non-promo_other_amazon+ulta+conversion_v2"/>
    <s v="na"/>
    <x v="0"/>
    <x v="0"/>
    <x v="1"/>
    <d v="2023-07-01T00:00:00"/>
    <d v="2023-07-22T00:00:00"/>
    <x v="42"/>
    <n v="1284.929803"/>
    <n v="135275"/>
  </r>
  <r>
    <x v="0"/>
    <x v="2"/>
    <s v="blg_haca_bfr_fullrescue_cons-tra-linkcli_website-none_x_x_ym00458406_q2-q3_2025_bfr_001_x"/>
    <s v="bfr"/>
    <x v="1"/>
    <x v="1"/>
    <x v="1"/>
    <d v="2025-05-01T00:00:00"/>
    <d v="2025-05-21T00:00:00"/>
    <x v="47"/>
    <n v="10.309999999999997"/>
    <n v="990"/>
  </r>
  <r>
    <x v="0"/>
    <x v="2"/>
    <s v="blg_haca_bfr_fullrescue_aw-aw-thruplay_none-none_x_x_ym00458406_q2-q3_2025_bfr_001_x"/>
    <s v="bfr"/>
    <x v="1"/>
    <x v="1"/>
    <x v="1"/>
    <d v="2025-05-01T00:00:00"/>
    <d v="2025-05-04T00:00:00"/>
    <x v="12"/>
    <n v="1160.93"/>
    <n v="334949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2T00:00:00"/>
    <x v="2"/>
    <n v="2065.2399999999998"/>
    <n v="342166"/>
  </r>
  <r>
    <x v="0"/>
    <x v="2"/>
    <s v="blg_haca_bfr_fullrescue_cons-tra-linkcli_website-none_x_x_ym00458406_q2-q3_2025_bfr_001_x"/>
    <s v="bfr"/>
    <x v="1"/>
    <x v="1"/>
    <x v="1"/>
    <d v="2025-05-01T00:00:00"/>
    <d v="2025-05-20T00:00:00"/>
    <x v="47"/>
    <n v="5.9799999999999995"/>
    <n v="670"/>
  </r>
  <r>
    <x v="0"/>
    <x v="0"/>
    <s v="blg_haca_bfr_fullrescue-bonus_aw-awareness_x_bonus-q2_2025_x_x_x"/>
    <s v="bfr"/>
    <x v="1"/>
    <x v="1"/>
    <x v="0"/>
    <d v="2025-06-01T00:00:00"/>
    <d v="2025-06-18T00:00:00"/>
    <x v="16"/>
    <n v="1430.0406299999995"/>
    <n v="678090"/>
  </r>
  <r>
    <x v="0"/>
    <x v="0"/>
    <s v="blg_haca_bfr_fullrescue-bonus_aw-awareness_x_bonus-q2_2025_x_x_x"/>
    <s v="bfr"/>
    <x v="1"/>
    <x v="1"/>
    <x v="1"/>
    <d v="2025-06-01T00:00:00"/>
    <d v="2025-06-18T00:00:00"/>
    <x v="16"/>
    <n v="300.886323"/>
    <n v="144065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2T00:00:00"/>
    <x v="28"/>
    <n v="2925.7599919999993"/>
    <n v="253054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2T00:00:00"/>
    <x v="28"/>
    <n v="1132.23"/>
    <n v="205116"/>
  </r>
  <r>
    <x v="0"/>
    <x v="0"/>
    <s v="blg_othr_na_na_84570334_2023_q2_conversion-non-promo_other_amazon+ulta+conversion_v2"/>
    <s v="na"/>
    <x v="0"/>
    <x v="0"/>
    <x v="1"/>
    <d v="2023-07-01T00:00:00"/>
    <d v="2023-07-23T00:00:00"/>
    <x v="39"/>
    <n v="1225.151989"/>
    <n v="126461"/>
  </r>
  <r>
    <x v="0"/>
    <x v="2"/>
    <s v="blg_haca_bfr_fullrescue_aw-aw-thruplay_none-none_x_x_ym00458406_q2-q3_2025_bfr_001_x"/>
    <s v="bfr"/>
    <x v="1"/>
    <x v="1"/>
    <x v="0"/>
    <d v="2025-05-01T00:00:00"/>
    <d v="2025-05-23T00:00:00"/>
    <x v="47"/>
    <n v="2658.269996"/>
    <n v="408378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15T00:00:00"/>
    <x v="62"/>
    <n v="1324.2899970000001"/>
    <n v="84225"/>
  </r>
  <r>
    <x v="0"/>
    <x v="1"/>
    <s v="blg_haca_bfr_full-rescue_auc_aw-video-views_x_x_YM00458406_q2_2025_bfr_001_x"/>
    <s v="bfr"/>
    <x v="1"/>
    <x v="1"/>
    <x v="0"/>
    <d v="2025-06-01T00:00:00"/>
    <d v="2025-06-17T00:00:00"/>
    <x v="16"/>
    <n v="13.309999999999999"/>
    <n v="2938"/>
  </r>
  <r>
    <x v="0"/>
    <x v="0"/>
    <s v="blg_othr_na_na_84570334_2023_q2_conversion-non-promo_other_amazon+ulta+conversion_v2"/>
    <s v="na"/>
    <x v="0"/>
    <x v="0"/>
    <x v="1"/>
    <d v="2023-08-01T00:00:00"/>
    <d v="2023-08-15T00:00:00"/>
    <x v="30"/>
    <n v="1165.5439489999999"/>
    <n v="146141"/>
  </r>
  <r>
    <x v="0"/>
    <x v="1"/>
    <s v="blg_haca_bfr_full-rescue_auc_cons-traffic_x_x_YM00458406_q2_2025_bfr_001_x"/>
    <s v="bfr"/>
    <x v="1"/>
    <x v="1"/>
    <x v="1"/>
    <d v="2025-06-01T00:00:00"/>
    <d v="2025-06-04T00:00:00"/>
    <x v="10"/>
    <n v="276.08000000000004"/>
    <n v="66143"/>
  </r>
  <r>
    <x v="0"/>
    <x v="2"/>
    <s v="blg_multi_na_elevate-me_cons-tra-linkcli_none-none_other_na_ym00329346_x_2023_x_x_"/>
    <s v="na"/>
    <x v="0"/>
    <x v="0"/>
    <x v="2"/>
    <d v="2023-11-01T00:00:00"/>
    <d v="2023-11-06T00:00:00"/>
    <x v="63"/>
    <n v="337.00999899999988"/>
    <n v="39966"/>
  </r>
  <r>
    <x v="0"/>
    <x v="2"/>
    <s v="blg_haca_hys_hydrasource_aw-aw-thruplay_none-none_x_x_ym00427700_q2_2025_bhs_006_x"/>
    <s v="hys"/>
    <x v="4"/>
    <x v="1"/>
    <x v="0"/>
    <d v="2025-04-01T00:00:00"/>
    <d v="2025-04-11T00:00:00"/>
    <x v="23"/>
    <n v="2172.7899980000002"/>
    <n v="276141"/>
  </r>
  <r>
    <x v="0"/>
    <x v="1"/>
    <s v="blg_haca_hys_hydrasource_auc_cons-traffic_x_x_ym00427700_q2_2025_bhs_006_x"/>
    <s v="hys"/>
    <x v="4"/>
    <x v="1"/>
    <x v="1"/>
    <d v="2025-04-01T00:00:00"/>
    <d v="2025-04-11T00:00:00"/>
    <x v="23"/>
    <n v="100.17"/>
    <n v="33135"/>
  </r>
  <r>
    <x v="0"/>
    <x v="0"/>
    <s v="blg_haca_scalp-sync_awareness_aw-awareness_ym00356548_all_2024_bcp_004_x"/>
    <s v="scalp-sync"/>
    <x v="3"/>
    <x v="2"/>
    <x v="2"/>
    <d v="2024-04-01T00:00:00"/>
    <d v="2024-04-20T00:00:00"/>
    <x v="24"/>
    <n v="3362.3303779999997"/>
    <n v="1568055"/>
  </r>
  <r>
    <x v="0"/>
    <x v="2"/>
    <s v="blg_haca_scalp_bau_aw-aw-thruplay_website-viewcontent_na_na_ym00356549_q1-q2-vvr_2024_bcp_002_x"/>
    <s v="scalp"/>
    <x v="3"/>
    <x v="2"/>
    <x v="1"/>
    <d v="2024-04-01T00:00:00"/>
    <d v="2024-04-05T00:00:00"/>
    <x v="53"/>
    <n v="2177.329999"/>
    <n v="497655"/>
  </r>
  <r>
    <x v="0"/>
    <x v="2"/>
    <s v="blg_haca_scalp_reels-only_aw-aw-thruplay_website-viewcontent_na_na_ym00356549_q1-q2-vvr_2024_bcp_002_x"/>
    <s v="scalp"/>
    <x v="3"/>
    <x v="2"/>
    <x v="1"/>
    <d v="2024-04-01T00:00:00"/>
    <d v="2024-04-09T00:00:00"/>
    <x v="34"/>
    <n v="197.06999999999996"/>
    <n v="50967"/>
  </r>
  <r>
    <x v="0"/>
    <x v="1"/>
    <s v="blg_haca_bfr_full-rescue_auc_cons-traffic_x_x_YM00458406_q2_2025_bfr_001_x"/>
    <s v="bfr"/>
    <x v="1"/>
    <x v="1"/>
    <x v="0"/>
    <d v="2025-06-01T00:00:00"/>
    <d v="2025-06-13T00:00:00"/>
    <x v="18"/>
    <n v="5371.41"/>
    <n v="1059472"/>
  </r>
  <r>
    <x v="0"/>
    <x v="0"/>
    <s v="blg_othr_na_na_84570334_2023_q2_traffic_other_volumebloom-fulldensity+traffic_JBP"/>
    <s v="na"/>
    <x v="0"/>
    <x v="0"/>
    <x v="2"/>
    <d v="2023-08-01T00:00:00"/>
    <d v="2023-08-21T00:00:00"/>
    <x v="0"/>
    <n v="1477.4153669999998"/>
    <n v="496862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0T00:00:00"/>
    <x v="33"/>
    <n v="3217.8300090000007"/>
    <n v="351114"/>
  </r>
  <r>
    <x v="0"/>
    <x v="2"/>
    <s v="blg_haca_bond-therapy_na_aw-aw-thruplay_none-viewcontent_na_na_ym87093418_vvr-q4_2023_x_x_x"/>
    <s v="bond-therapy"/>
    <x v="5"/>
    <x v="0"/>
    <x v="2"/>
    <d v="2023-11-01T00:00:00"/>
    <d v="2023-11-29T00:00:00"/>
    <x v="40"/>
    <n v="2939.0700020000004"/>
    <n v="444419"/>
  </r>
  <r>
    <x v="0"/>
    <x v="1"/>
    <s v="blg_haca_bfr_full-rescue_auc_cons-traffic_x_x_YM00458406_q2_2025_bfr_001_x"/>
    <s v="bfr"/>
    <x v="1"/>
    <x v="1"/>
    <x v="1"/>
    <d v="2025-06-01T00:00:00"/>
    <d v="2025-06-29T00:00:00"/>
    <x v="1"/>
    <n v="5703.2599999999993"/>
    <n v="851641"/>
  </r>
  <r>
    <x v="0"/>
    <x v="2"/>
    <s v="blg_haca_hys_hydrasource_aw-aw-thruplay_none-none_x_x_ym00427700_q2_2025_bhs_006_x"/>
    <s v="hys"/>
    <x v="4"/>
    <x v="1"/>
    <x v="1"/>
    <d v="2025-04-01T00:00:00"/>
    <d v="2025-04-12T00:00:00"/>
    <x v="23"/>
    <n v="357.91999999999996"/>
    <n v="16579"/>
  </r>
  <r>
    <x v="0"/>
    <x v="2"/>
    <s v="blg_haca_scalp_reels-only_aw-aw-thruplay_website-viewcontent_na_na_ym00356549_q1-q2-vvr_2024_bcp_002_x"/>
    <s v="scalp"/>
    <x v="3"/>
    <x v="2"/>
    <x v="1"/>
    <d v="2024-03-01T00:00:00"/>
    <d v="2024-03-25T00:00:00"/>
    <x v="3"/>
    <n v="876.38999899999999"/>
    <n v="205022"/>
  </r>
  <r>
    <x v="0"/>
    <x v="2"/>
    <s v="blg_haca_bfr_fullrescue_cons-tra-linkcli_website-none_x_x_ym00458406_q2-q3_2025_bfr_001_x"/>
    <s v="bfr"/>
    <x v="1"/>
    <x v="1"/>
    <x v="1"/>
    <d v="2025-06-01T00:00:00"/>
    <d v="2025-06-07T00:00:00"/>
    <x v="10"/>
    <n v="77.2"/>
    <n v="8748"/>
  </r>
  <r>
    <x v="0"/>
    <x v="2"/>
    <s v="blg_haca_scalp_na_cons-tra-linkcli_none-none_na_na_ym00356549_q1-q2-lctr_2024_bcp_002_x"/>
    <s v="scalp"/>
    <x v="3"/>
    <x v="2"/>
    <x v="1"/>
    <d v="2024-03-01T00:00:00"/>
    <d v="2024-03-22T00:00:00"/>
    <x v="64"/>
    <n v="1484.5199999999998"/>
    <n v="228187"/>
  </r>
  <r>
    <x v="0"/>
    <x v="2"/>
    <s v="blg_haca_prime-day_lead-up-cell-2_aw-aw-thruplay_none-viewcontent_x_lla_ym00384930_x_2024_blg_001_x"/>
    <s v="prime-day"/>
    <x v="6"/>
    <x v="2"/>
    <x v="1"/>
    <d v="2024-07-01T00:00:00"/>
    <d v="2024-07-11T00:00:00"/>
    <x v="54"/>
    <n v="2350.8099960000004"/>
    <n v="196301"/>
  </r>
  <r>
    <x v="0"/>
    <x v="0"/>
    <s v="blg_haca_scalp-sync_awareness_aw-awareness_ym00356548_all_2024_bcp_004_x"/>
    <s v="scalp-sync"/>
    <x v="3"/>
    <x v="2"/>
    <x v="2"/>
    <d v="2024-04-01T00:00:00"/>
    <d v="2024-04-26T00:00:00"/>
    <x v="50"/>
    <n v="3360.0641800000003"/>
    <n v="1563743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13T00:00:00"/>
    <x v="54"/>
    <n v="3586.6899990000002"/>
    <n v="576769"/>
  </r>
  <r>
    <x v="0"/>
    <x v="0"/>
    <s v="blg_haca_scalp-sync_awareness_aw-awareness_ym00356548_all_2024_bcp_004_x"/>
    <s v="scalp-sync"/>
    <x v="3"/>
    <x v="2"/>
    <x v="2"/>
    <d v="2024-04-01T00:00:00"/>
    <d v="2024-04-28T00:00:00"/>
    <x v="44"/>
    <n v="3357.526303000001"/>
    <n v="1574159"/>
  </r>
  <r>
    <x v="0"/>
    <x v="1"/>
    <s v="blg_haca_bfr_full-rescue_auc_aw-video-views_x_x_YM00458406_q2_2025_bfr_001_x"/>
    <s v="bfr"/>
    <x v="1"/>
    <x v="1"/>
    <x v="0"/>
    <d v="2025-06-01T00:00:00"/>
    <d v="2025-06-14T00:00:00"/>
    <x v="18"/>
    <n v="64.789999999999992"/>
    <n v="12073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5T00:00:00"/>
    <x v="37"/>
    <n v="2236.17"/>
    <n v="373209"/>
  </r>
  <r>
    <x v="0"/>
    <x v="2"/>
    <s v="blg_haca_scalp_reels-only_aw-aw-thruplay_website-viewcontent_na_na_ym00356549_q1-q2-vvr_2024_bcp_002_x"/>
    <s v="scalp"/>
    <x v="3"/>
    <x v="2"/>
    <x v="1"/>
    <d v="2024-03-01T00:00:00"/>
    <d v="2024-03-10T00:00:00"/>
    <x v="25"/>
    <n v="959.64999900000009"/>
    <n v="226683"/>
  </r>
  <r>
    <x v="0"/>
    <x v="0"/>
    <s v="blg_haca_scalp-sync_traffic_cons-consideration_ym00356548_all_2024_bcp_004_x"/>
    <s v="scalp-sync"/>
    <x v="3"/>
    <x v="2"/>
    <x v="0"/>
    <d v="2024-05-01T00:00:00"/>
    <d v="2024-05-10T00:00:00"/>
    <x v="49"/>
    <n v="1667.4022499999999"/>
    <n v="463446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1T00:00:00"/>
    <x v="35"/>
    <n v="3034.400004000001"/>
    <n v="301964"/>
  </r>
  <r>
    <x v="0"/>
    <x v="0"/>
    <s v="blg_othr_na_na_84570334_2023_q2_conversion-non-promo_other_amazon+ulta+conversion_v2"/>
    <s v="na"/>
    <x v="0"/>
    <x v="0"/>
    <x v="0"/>
    <d v="2023-08-01T00:00:00"/>
    <d v="2023-08-15T00:00:00"/>
    <x v="30"/>
    <n v="318.62152099999997"/>
    <n v="89866"/>
  </r>
  <r>
    <x v="0"/>
    <x v="2"/>
    <s v="blg_haca_scalp_na_cons-tra-linkcli_none-none_na_na_ym00356549_q1-q2-lctr_2024_bcp_002_x"/>
    <s v="scalp"/>
    <x v="3"/>
    <x v="2"/>
    <x v="1"/>
    <d v="2024-03-01T00:00:00"/>
    <d v="2024-03-27T00:00:00"/>
    <x v="3"/>
    <n v="477.12000400000005"/>
    <n v="72713"/>
  </r>
  <r>
    <x v="0"/>
    <x v="1"/>
    <s v="blg_haca_hys_hydrasource_auc_aw-video-views_x_x_ym00427700_q2_2025_bhs_006_x"/>
    <s v="hys"/>
    <x v="4"/>
    <x v="1"/>
    <x v="1"/>
    <d v="2025-04-01T00:00:00"/>
    <d v="2025-04-13T00:00:00"/>
    <x v="36"/>
    <n v="1565.31"/>
    <n v="414061"/>
  </r>
  <r>
    <x v="0"/>
    <x v="1"/>
    <s v="blg_haca_hys_hydrasource_auc_cons-traffic_x_x_ym00427700_q2_2025_bhs_006_x"/>
    <s v="hys"/>
    <x v="4"/>
    <x v="1"/>
    <x v="0"/>
    <d v="2025-04-01T00:00:00"/>
    <d v="2025-04-08T00:00:00"/>
    <x v="23"/>
    <n v="5372.32"/>
    <n v="1197583"/>
  </r>
  <r>
    <x v="0"/>
    <x v="2"/>
    <s v="blg_haca_hydrasource_bau_aw-aw-thruplay_none-none_na_na_ym00339376_q1-vvr_2024_bhs_001_x"/>
    <s v="hydrasource"/>
    <x v="4"/>
    <x v="2"/>
    <x v="2"/>
    <d v="2024-02-01T00:00:00"/>
    <d v="2024-02-09T00:00:00"/>
    <x v="41"/>
    <n v="1185.389999"/>
    <n v="197890"/>
  </r>
  <r>
    <x v="0"/>
    <x v="0"/>
    <s v="blg_othr_na_na_84570334_2023_q2_traffic_other_volumebloom-fulldensity+traffic_JBP"/>
    <s v="na"/>
    <x v="0"/>
    <x v="0"/>
    <x v="2"/>
    <d v="2023-08-01T00:00:00"/>
    <d v="2023-08-22T00:00:00"/>
    <x v="0"/>
    <n v="1779.0210350000002"/>
    <n v="530052"/>
  </r>
  <r>
    <x v="0"/>
    <x v="2"/>
    <s v="blg_haca_bfr_fullrescue_aw-aw-thruplay_none-none_x_x_ym00458406_q2-q3_2025_bfr_001_x"/>
    <s v="bfr"/>
    <x v="1"/>
    <x v="1"/>
    <x v="1"/>
    <d v="2025-06-01T00:00:00"/>
    <d v="2025-06-16T00:00:00"/>
    <x v="16"/>
    <n v="986.99000100000001"/>
    <n v="153044"/>
  </r>
  <r>
    <x v="0"/>
    <x v="2"/>
    <s v="blg_haca_bfr_fullrescue_aw-aw-thruplay_none-none_x_x_ym00458406_q2-q3_2025_bfr_001_x"/>
    <s v="bfr"/>
    <x v="1"/>
    <x v="1"/>
    <x v="0"/>
    <d v="2025-05-01T00:00:00"/>
    <d v="2025-05-29T00:00:00"/>
    <x v="8"/>
    <n v="2388.899997"/>
    <n v="389598"/>
  </r>
  <r>
    <x v="0"/>
    <x v="2"/>
    <s v="blg_haca_bfr_fullrescue_aw-aw-thruplay_none-none_x_x_ym00458406_q2-q3_2025_bfr_001_x"/>
    <s v="bfr"/>
    <x v="1"/>
    <x v="1"/>
    <x v="1"/>
    <d v="2025-05-01T00:00:00"/>
    <d v="2025-05-27T00:00:00"/>
    <x v="8"/>
    <n v="27.319999999999997"/>
    <n v="1169"/>
  </r>
  <r>
    <x v="0"/>
    <x v="2"/>
    <s v="blg_haca_bfr_fullrescue_aw-aw-thruplay_none-none_x_x_ym00458406_q2-q3_2025_bfr_001_x"/>
    <s v="bfr"/>
    <x v="1"/>
    <x v="1"/>
    <x v="1"/>
    <d v="2025-06-01T00:00:00"/>
    <d v="2025-06-28T00:00:00"/>
    <x v="7"/>
    <n v="1121.490004"/>
    <n v="169897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7T00:00:00"/>
    <x v="40"/>
    <n v="3256.9900010000001"/>
    <n v="240398"/>
  </r>
  <r>
    <x v="0"/>
    <x v="2"/>
    <s v="blg_haca_bfr_fullrescue_aw-aw-thruplay_none-none_x_x_ym00458406_q2-q3_2025_bfr_001_x"/>
    <s v="bfr"/>
    <x v="1"/>
    <x v="1"/>
    <x v="0"/>
    <d v="2025-05-01T00:00:00"/>
    <d v="2025-05-21T00:00:00"/>
    <x v="47"/>
    <n v="2491.6399979999997"/>
    <n v="407235"/>
  </r>
  <r>
    <x v="0"/>
    <x v="2"/>
    <s v="blg_haca_mult_agile-boosting_cons-eng-thruplay_none-none_x_x_ym00437375_x_2025_blg_002_x"/>
    <s v="mult"/>
    <x v="0"/>
    <x v="1"/>
    <x v="1"/>
    <d v="2025-05-01T00:00:00"/>
    <d v="2025-05-21T00:00:00"/>
    <x v="47"/>
    <n v="1321.7799999999997"/>
    <n v="209117"/>
  </r>
  <r>
    <x v="0"/>
    <x v="2"/>
    <s v="blg_haca_bfr_fullrescue_aw-aw-thruplay_none-none_x_x_ym00458406_q2-q3_2025_bfr_001_x"/>
    <s v="bfr"/>
    <x v="1"/>
    <x v="1"/>
    <x v="0"/>
    <d v="2025-06-01T00:00:00"/>
    <d v="2025-06-06T00:00:00"/>
    <x v="10"/>
    <n v="424.12"/>
    <n v="71233"/>
  </r>
  <r>
    <x v="0"/>
    <x v="2"/>
    <s v="blg_haca_bfr_fullrescue_aw-aw-thruplay_none-none_x_x_ym00458406_q2-q3_2025_bfr_001_x"/>
    <s v="bfr"/>
    <x v="1"/>
    <x v="1"/>
    <x v="1"/>
    <d v="2025-06-01T00:00:00"/>
    <d v="2025-06-06T00:00:00"/>
    <x v="10"/>
    <n v="1983.5299969999996"/>
    <n v="282182"/>
  </r>
  <r>
    <x v="0"/>
    <x v="1"/>
    <s v="blg_haca_bfr_full-rescue_auc_cons-traffic_x_x_YM00458406_q2_2025_bfr_001_x"/>
    <s v="bfr"/>
    <x v="1"/>
    <x v="1"/>
    <x v="0"/>
    <d v="2025-06-01T00:00:00"/>
    <d v="2025-06-06T00:00:00"/>
    <x v="10"/>
    <n v="5394.9600000000009"/>
    <n v="1116626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4T00:00:00"/>
    <x v="30"/>
    <n v="665.09000099999992"/>
    <n v="107227"/>
  </r>
  <r>
    <x v="0"/>
    <x v="2"/>
    <s v="blg_haca_scalp_na_cons-tra-linkcli_none-none_na_na_ym00356549_q1-q2-lctr_2024_bcp_002_x"/>
    <s v="scalp"/>
    <x v="3"/>
    <x v="2"/>
    <x v="0"/>
    <d v="2024-04-01T00:00:00"/>
    <d v="2024-04-13T00:00:00"/>
    <x v="34"/>
    <n v="1473.349999"/>
    <n v="235824"/>
  </r>
  <r>
    <x v="0"/>
    <x v="2"/>
    <s v="blg_haca_scalp_reels-only_aw-aw-thruplay_website-viewcontent_na_na_ym00356549_q1-q2-vvr_2024_bcp_002_x"/>
    <s v="scalp"/>
    <x v="3"/>
    <x v="2"/>
    <x v="1"/>
    <d v="2024-03-01T00:00:00"/>
    <d v="2024-03-28T00:00:00"/>
    <x v="3"/>
    <n v="57.260000000000005"/>
    <n v="13986"/>
  </r>
  <r>
    <x v="0"/>
    <x v="1"/>
    <s v="blg_haca_bfr_full-rescue-pulse_res_aw-reach_x_x_ym00458406_q2_2025_bfr_001_x"/>
    <s v="bfr"/>
    <x v="1"/>
    <x v="1"/>
    <x v="0"/>
    <d v="2025-06-01T00:00:00"/>
    <d v="2025-06-07T00:00:00"/>
    <x v="10"/>
    <n v="7215.8"/>
    <n v="522890"/>
  </r>
  <r>
    <x v="0"/>
    <x v="0"/>
    <s v="blg_othr_na_na_84570334_2023_q2_conversion-non-promo_other_amazon+ulta+conversion_v2"/>
    <s v="na"/>
    <x v="0"/>
    <x v="0"/>
    <x v="0"/>
    <d v="2023-08-01T00:00:00"/>
    <d v="2023-08-07T00:00:00"/>
    <x v="4"/>
    <n v="2.2749319999999997"/>
    <n v="372"/>
  </r>
  <r>
    <x v="0"/>
    <x v="0"/>
    <s v="blg_haca_scalp-sync_traffic_cons-consideration_ym00356548_all_2024_bcp_004_x"/>
    <s v="scalp-sync"/>
    <x v="3"/>
    <x v="2"/>
    <x v="0"/>
    <d v="2024-05-01T00:00:00"/>
    <d v="2024-05-13T00:00:00"/>
    <x v="56"/>
    <n v="1679.8631829999997"/>
    <n v="455309"/>
  </r>
  <r>
    <x v="0"/>
    <x v="1"/>
    <s v="blg_haca_mult_ao-boosting_auc_aw-video-views_x_x_ym00437375_x_2025_blg_002_x"/>
    <s v="mult"/>
    <x v="0"/>
    <x v="1"/>
    <x v="0"/>
    <d v="2025-04-01T00:00:00"/>
    <d v="2025-04-16T00:00:00"/>
    <x v="36"/>
    <n v="0.11"/>
    <n v="62"/>
  </r>
  <r>
    <x v="0"/>
    <x v="2"/>
    <s v="blg_multi_na_elevate-me_cons-tra-linkcli_none-none_other_na_ym00329346_x_2023_x_x_"/>
    <s v="na"/>
    <x v="0"/>
    <x v="0"/>
    <x v="2"/>
    <d v="2023-11-01T00:00:00"/>
    <d v="2023-11-08T00:00:00"/>
    <x v="63"/>
    <n v="315.40000199999997"/>
    <n v="36551"/>
  </r>
  <r>
    <x v="0"/>
    <x v="2"/>
    <s v="blg_haca_mult_agile-boosting_cons-eng-thruplay_none-none_x_x_ym00437375_x_2025_blg_002_x"/>
    <s v="mult"/>
    <x v="0"/>
    <x v="1"/>
    <x v="1"/>
    <d v="2025-05-01T00:00:00"/>
    <d v="2025-05-11T00:00:00"/>
    <x v="17"/>
    <n v="1460.7899999999995"/>
    <n v="278329"/>
  </r>
  <r>
    <x v="0"/>
    <x v="2"/>
    <s v="blg_haca_hydrasource_bau_aw-aw-thruplay_none-none_na_na_ym00339376_q1-vvr_2024_bhs_001_x"/>
    <s v="hydrasource"/>
    <x v="4"/>
    <x v="2"/>
    <x v="2"/>
    <d v="2024-02-01T00:00:00"/>
    <d v="2024-02-17T00:00:00"/>
    <x v="20"/>
    <n v="1197.9899989999999"/>
    <n v="185623"/>
  </r>
  <r>
    <x v="0"/>
    <x v="2"/>
    <s v="blg_haca_mult_agile-boosting_cons-eng-thruplay_none-none_x_x_ym00437375_x_2025_blg_002_x"/>
    <s v="mult"/>
    <x v="0"/>
    <x v="1"/>
    <x v="1"/>
    <d v="2025-05-01T00:00:00"/>
    <d v="2025-05-31T00:00:00"/>
    <x v="8"/>
    <n v="1011.7800009999999"/>
    <n v="189763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9T00:00:00"/>
    <x v="39"/>
    <n v="2527.1"/>
    <n v="397033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9T00:00:00"/>
    <x v="39"/>
    <n v="2186.08"/>
    <n v="287898"/>
  </r>
  <r>
    <x v="0"/>
    <x v="2"/>
    <s v="blg_haca_bond-therapy_na_aw-aw-thruplay_none-viewcontent_na_na_ym87093418_vvr-q4_2023_x_x_x"/>
    <s v="bond-therapy"/>
    <x v="5"/>
    <x v="0"/>
    <x v="2"/>
    <d v="2023-12-01T00:00:00"/>
    <d v="2023-12-03T00:00:00"/>
    <x v="38"/>
    <n v="2968.3300030000005"/>
    <n v="578082"/>
  </r>
  <r>
    <x v="0"/>
    <x v="2"/>
    <s v="blg_haca_mult_bf-cyber-dayofsale-bf_cons-tra-linkcli_website-none_promotion_x_ym00384930_q4_2024_blg_001_x"/>
    <s v="mult"/>
    <x v="0"/>
    <x v="2"/>
    <x v="0"/>
    <d v="2024-11-01T00:00:00"/>
    <d v="2024-11-26T00:00:00"/>
    <x v="51"/>
    <n v="14422.589995"/>
    <n v="1275689"/>
  </r>
  <r>
    <x v="0"/>
    <x v="1"/>
    <s v="blg_haca_mult_ao-boosting_auc_aw-video-views_x_x_ym00437375_x_2025_blg_002_x"/>
    <s v="mult"/>
    <x v="0"/>
    <x v="1"/>
    <x v="1"/>
    <d v="2025-04-01T00:00:00"/>
    <d v="2025-04-08T00:00:00"/>
    <x v="23"/>
    <n v="1326.12"/>
    <n v="356316"/>
  </r>
  <r>
    <x v="0"/>
    <x v="0"/>
    <s v="blg_othr_na_na_84570334_2023_q2_traffic_other_volumebloom-fulldensity+traffic_v2"/>
    <s v="na"/>
    <x v="0"/>
    <x v="0"/>
    <x v="2"/>
    <d v="2023-08-01T00:00:00"/>
    <d v="2023-08-10T00:00:00"/>
    <x v="4"/>
    <n v="767.60077999999999"/>
    <n v="377313"/>
  </r>
  <r>
    <x v="0"/>
    <x v="2"/>
    <s v="blg_haca_scalp_na_cons-tra-linkcli_none-none_na_na_ym00356549_q1-q2-lctr_2024_bcp_002_x"/>
    <s v="scalp"/>
    <x v="3"/>
    <x v="2"/>
    <x v="1"/>
    <d v="2024-04-01T00:00:00"/>
    <d v="2024-04-09T00:00:00"/>
    <x v="34"/>
    <n v="248.58000399999995"/>
    <n v="38795"/>
  </r>
  <r>
    <x v="0"/>
    <x v="2"/>
    <s v="blg_haca_bfr_fullrescue_aw-aw-thruplay_none-none_x_x_ym00458406_q2-q3_2025_bfr_001_x"/>
    <s v="bfr"/>
    <x v="1"/>
    <x v="1"/>
    <x v="0"/>
    <d v="2025-06-01T00:00:00"/>
    <d v="2025-06-13T00:00:00"/>
    <x v="18"/>
    <n v="1108.7799999999997"/>
    <n v="184493"/>
  </r>
  <r>
    <x v="0"/>
    <x v="2"/>
    <s v="blg_haca_mult_agile-boosting_cons-eng-thruplay_none-none_x_x_ym00437375_x_2025_blg_002_x"/>
    <s v="mult"/>
    <x v="0"/>
    <x v="1"/>
    <x v="0"/>
    <d v="2025-05-01T00:00:00"/>
    <d v="2025-05-05T00:00:00"/>
    <x v="12"/>
    <n v="61.18"/>
    <n v="12476"/>
  </r>
  <r>
    <x v="0"/>
    <x v="2"/>
    <s v="blg_haca_bond-therapy_na_aw-aw-thruplay_none-viewcontent_na_na_ym87093418_vvr-q4_2023_x_x_x"/>
    <s v="bond-therapy"/>
    <x v="5"/>
    <x v="0"/>
    <x v="2"/>
    <d v="2023-11-01T00:00:00"/>
    <d v="2023-11-27T00:00:00"/>
    <x v="40"/>
    <n v="2890.09"/>
    <n v="404593"/>
  </r>
  <r>
    <x v="0"/>
    <x v="2"/>
    <s v="blg_haca_bfr_fullrescue_aw-aw-thruplay_none-none_x_x_ym00458406_q2-q3_2025_bfr_001_x"/>
    <s v="bfr"/>
    <x v="1"/>
    <x v="1"/>
    <x v="1"/>
    <d v="2025-05-01T00:00:00"/>
    <d v="2025-05-10T00:00:00"/>
    <x v="12"/>
    <n v="1597.2299999999996"/>
    <n v="383668"/>
  </r>
  <r>
    <x v="0"/>
    <x v="0"/>
    <s v="blg_othr_na_na_84570334_2023_q2_conversion-non-promo_other_amazon+ulta+conversion_v2"/>
    <s v="na"/>
    <x v="0"/>
    <x v="0"/>
    <x v="0"/>
    <d v="2023-08-01T00:00:00"/>
    <d v="2023-08-14T00:00:00"/>
    <x v="30"/>
    <n v="394.59193199999999"/>
    <n v="122153"/>
  </r>
  <r>
    <x v="0"/>
    <x v="0"/>
    <s v="blg_haca_scalp-sync_traffic_cons-consideration_ym00356548_all_2024_bcp_004_x"/>
    <s v="scalp-sync"/>
    <x v="3"/>
    <x v="2"/>
    <x v="0"/>
    <d v="2024-05-01T00:00:00"/>
    <d v="2024-05-26T00:00:00"/>
    <x v="65"/>
    <n v="1584.6803159999999"/>
    <n v="352363"/>
  </r>
  <r>
    <x v="0"/>
    <x v="2"/>
    <s v="blg_haca_bfr_fullrescue_cons-tra-linkcli_website-none_x_x_ym00458406_q2-q3_2025_bfr_001_x"/>
    <s v="bfr"/>
    <x v="1"/>
    <x v="1"/>
    <x v="0"/>
    <d v="2025-06-01T00:00:00"/>
    <d v="2025-06-07T00:00:00"/>
    <x v="10"/>
    <n v="1752.1800020000001"/>
    <n v="126975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1T00:00:00"/>
    <x v="42"/>
    <n v="2532.3300000000004"/>
    <n v="324071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0T00:00:00"/>
    <x v="42"/>
    <n v="2128.08"/>
    <n v="328113"/>
  </r>
  <r>
    <x v="0"/>
    <x v="0"/>
    <s v="blg_haca_scalp-sync_traffic_cons-consideration_ym00356548_all_2024_bcp_004_x"/>
    <s v="scalp-sync"/>
    <x v="3"/>
    <x v="2"/>
    <x v="0"/>
    <d v="2024-05-01T00:00:00"/>
    <d v="2024-05-19T00:00:00"/>
    <x v="14"/>
    <n v="1644.3446210000006"/>
    <n v="388556"/>
  </r>
  <r>
    <x v="0"/>
    <x v="2"/>
    <s v="blg_haca_hydrasource_x_aw-aw-thruplay_none-none_x_x_ym00339376_q4_2024_bhs_001_x"/>
    <s v="hydrasource"/>
    <x v="4"/>
    <x v="2"/>
    <x v="0"/>
    <d v="2024-10-01T00:00:00"/>
    <d v="2024-10-04T00:00:00"/>
    <x v="31"/>
    <n v="3402.1500030000002"/>
    <n v="657928"/>
  </r>
  <r>
    <x v="0"/>
    <x v="2"/>
    <s v="blg_haca_bfr_fullrescue_aw-aw-thruplay_none-none_x_x_ym00458406_q2-q3_2025_bfr_001_x"/>
    <s v="bfr"/>
    <x v="1"/>
    <x v="1"/>
    <x v="0"/>
    <d v="2025-06-01T00:00:00"/>
    <d v="2025-06-17T00:00:00"/>
    <x v="16"/>
    <n v="1699.8499929999998"/>
    <n v="264231"/>
  </r>
  <r>
    <x v="0"/>
    <x v="1"/>
    <s v="blg_haca_bfr_full-rescue_auc_cons-traffic_x_x_YM00458406_q2_2025_bfr_001_x"/>
    <s v="bfr"/>
    <x v="1"/>
    <x v="1"/>
    <x v="0"/>
    <d v="2025-06-01T00:00:00"/>
    <d v="2025-06-04T00:00:00"/>
    <x v="10"/>
    <n v="5812.6100000000006"/>
    <n v="1304368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6T00:00:00"/>
    <x v="42"/>
    <n v="2720.430002000001"/>
    <n v="371545"/>
  </r>
  <r>
    <x v="0"/>
    <x v="2"/>
    <s v="blg_haca_bfr_fullrescue_cons-tra-linkcli_website-none_x_x_ym00458406_q2-q3_2025_bfr_001_x"/>
    <s v="bfr"/>
    <x v="1"/>
    <x v="1"/>
    <x v="1"/>
    <d v="2025-06-01T00:00:00"/>
    <d v="2025-06-09T00:00:00"/>
    <x v="18"/>
    <n v="85.35"/>
    <n v="10147"/>
  </r>
  <r>
    <x v="0"/>
    <x v="2"/>
    <s v="blg_haca_bfr_fullrescue_cons-tra-linkcli_website-none_x_x_ym00458406_q2-q3_2025_bfr_001_x"/>
    <s v="bfr"/>
    <x v="1"/>
    <x v="1"/>
    <x v="0"/>
    <d v="2025-05-01T00:00:00"/>
    <d v="2025-05-07T00:00:00"/>
    <x v="12"/>
    <n v="1708.2300069999997"/>
    <n v="115454"/>
  </r>
  <r>
    <x v="0"/>
    <x v="0"/>
    <s v="blg_haca_bfr_fullrescue-bonus_aw-awareness_x_bonus-q2_2025_x_x_x"/>
    <s v="bfr"/>
    <x v="1"/>
    <x v="1"/>
    <x v="1"/>
    <d v="2025-06-01T00:00:00"/>
    <d v="2025-06-24T00:00:00"/>
    <x v="7"/>
    <n v="326.139363"/>
    <n v="152694"/>
  </r>
  <r>
    <x v="0"/>
    <x v="2"/>
    <s v="blg_haca_bfr_fullrescue_aw-aw-thruplay_none-none_x_x_ym00458406_q2-q3_2025_bfr_001_x"/>
    <s v="bfr"/>
    <x v="1"/>
    <x v="1"/>
    <x v="1"/>
    <d v="2025-06-01T00:00:00"/>
    <d v="2025-06-24T00:00:00"/>
    <x v="7"/>
    <n v="1287.0999939999999"/>
    <n v="226708"/>
  </r>
  <r>
    <x v="0"/>
    <x v="2"/>
    <s v="blg_haca_mult_agile-boosting_cons-eng-thruplay_none-none_x_x_ym00437375_x_2025_blg_002_x"/>
    <s v="mult"/>
    <x v="0"/>
    <x v="1"/>
    <x v="1"/>
    <d v="2025-04-01T00:00:00"/>
    <d v="2025-04-13T00:00:00"/>
    <x v="36"/>
    <n v="951.25000099999988"/>
    <n v="202087"/>
  </r>
  <r>
    <x v="0"/>
    <x v="1"/>
    <s v="blg_haca_hys_hydrasource_auc_cons-traffic_x_x_ym00427700_q2_2025_bhs_006_x"/>
    <s v="hys"/>
    <x v="4"/>
    <x v="1"/>
    <x v="1"/>
    <d v="2025-04-01T00:00:00"/>
    <d v="2025-04-13T00:00:00"/>
    <x v="36"/>
    <n v="96.09"/>
    <n v="33970"/>
  </r>
  <r>
    <x v="0"/>
    <x v="2"/>
    <s v="blg_haca_bfr_fullrescue_aw-aw-thruplay_none-none_x_x_ym00458406_q2-q3_2025_bfr_001_x"/>
    <s v="bfr"/>
    <x v="1"/>
    <x v="1"/>
    <x v="0"/>
    <d v="2025-05-01T00:00:00"/>
    <d v="2025-05-06T00:00:00"/>
    <x v="12"/>
    <n v="1375.7700000000002"/>
    <n v="265826"/>
  </r>
  <r>
    <x v="0"/>
    <x v="1"/>
    <s v="blg_haca_mult_ao-boosting_auc_aw-video-views_x_x_ym00437375_x_2025_blg_002_x"/>
    <s v="mult"/>
    <x v="0"/>
    <x v="1"/>
    <x v="0"/>
    <d v="2025-05-01T00:00:00"/>
    <d v="2025-05-06T00:00:00"/>
    <x v="12"/>
    <n v="767.38"/>
    <n v="276246"/>
  </r>
  <r>
    <x v="0"/>
    <x v="2"/>
    <s v="blg_haca_scalp_na_cons-tra-linkcli_none-none_na_na_ym00356549_q1-q2-lctr_2024_bcp_002_x"/>
    <s v="scalp"/>
    <x v="3"/>
    <x v="2"/>
    <x v="1"/>
    <d v="2024-03-01T00:00:00"/>
    <d v="2024-03-30T00:00:00"/>
    <x v="3"/>
    <n v="56.51"/>
    <n v="9125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4T00:00:00"/>
    <x v="38"/>
    <n v="1250.4999989999999"/>
    <n v="212259"/>
  </r>
  <r>
    <x v="0"/>
    <x v="1"/>
    <s v="blg_haca_bfr_full-rescue_auc_cons-traffic_x_x_YM00458406_q2_2025_bfr_001_x"/>
    <s v="bfr"/>
    <x v="1"/>
    <x v="1"/>
    <x v="0"/>
    <d v="2025-06-01T00:00:00"/>
    <d v="2025-06-11T00:00:00"/>
    <x v="18"/>
    <n v="5549.7199999999984"/>
    <n v="1186979"/>
  </r>
  <r>
    <x v="0"/>
    <x v="2"/>
    <s v="blg_haca_bfr_fullrescue_aw-aw-thruplay_none-none_x_x_ym00458406_q2-q3_2025_bfr_001_x"/>
    <s v="bfr"/>
    <x v="1"/>
    <x v="1"/>
    <x v="0"/>
    <d v="2025-05-01T00:00:00"/>
    <d v="2025-05-28T00:00:00"/>
    <x v="8"/>
    <n v="2542.9899999999993"/>
    <n v="446261"/>
  </r>
  <r>
    <x v="0"/>
    <x v="2"/>
    <s v="blg_haca_bfr_fullrescue_cons-tra-linkcli_website-none_x_x_ym00458406_q2-q3_2025_bfr_001_x"/>
    <s v="bfr"/>
    <x v="1"/>
    <x v="1"/>
    <x v="1"/>
    <d v="2025-05-01T00:00:00"/>
    <d v="2025-05-26T00:00:00"/>
    <x v="8"/>
    <n v="10.409999999999998"/>
    <n v="1252"/>
  </r>
  <r>
    <x v="0"/>
    <x v="2"/>
    <s v="blg_haca_hydrasource_na_cons-tra-linkcli_none-none_na_na_ym00339376_q1-lctr_2024_bhs_001_x"/>
    <s v="hydrasource"/>
    <x v="4"/>
    <x v="2"/>
    <x v="0"/>
    <d v="2024-03-01T00:00:00"/>
    <d v="2024-03-03T00:00:00"/>
    <x v="6"/>
    <n v="3401.200002"/>
    <n v="558960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4T00:00:00"/>
    <x v="39"/>
    <n v="2156.5899999999997"/>
    <n v="327191"/>
  </r>
  <r>
    <x v="0"/>
    <x v="0"/>
    <s v="blg_othr_na_na_84570334_2023_q2_traffic_other_volumebloom-fulldensity+traffic"/>
    <s v="na"/>
    <x v="0"/>
    <x v="0"/>
    <x v="2"/>
    <d v="2023-07-01T00:00:00"/>
    <d v="2023-07-12T00:00:00"/>
    <x v="37"/>
    <n v="677.56662900000003"/>
    <n v="357077"/>
  </r>
  <r>
    <x v="0"/>
    <x v="0"/>
    <s v="blg_haca_bfr_fullrescue-bonus_aw-awareness_x_bonus-q2_2025_x_x_x"/>
    <s v="bfr"/>
    <x v="1"/>
    <x v="1"/>
    <x v="1"/>
    <d v="2025-06-01T00:00:00"/>
    <d v="2025-06-06T00:00:00"/>
    <x v="10"/>
    <n v="437.891255"/>
    <n v="206318"/>
  </r>
  <r>
    <x v="0"/>
    <x v="0"/>
    <s v="blg_haca_scalp-sync_awareness_aw-awareness_ym00356548_all_2024_bcp_004_x"/>
    <s v="scalp-sync"/>
    <x v="3"/>
    <x v="2"/>
    <x v="2"/>
    <d v="2024-04-01T00:00:00"/>
    <d v="2024-04-15T00:00:00"/>
    <x v="24"/>
    <n v="2653.6721709999997"/>
    <n v="991612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30T00:00:00"/>
    <x v="2"/>
    <n v="2294.2399999999998"/>
    <n v="299763"/>
  </r>
  <r>
    <x v="0"/>
    <x v="0"/>
    <s v="blg_haca_scalp-sync_traffic_cons-consideration_ym00356548_all_2024_bcp_004_x"/>
    <s v="scalp-sync"/>
    <x v="3"/>
    <x v="2"/>
    <x v="0"/>
    <d v="2024-05-01T00:00:00"/>
    <d v="2024-05-04T00:00:00"/>
    <x v="44"/>
    <n v="1744.7380639999999"/>
    <n v="491524"/>
  </r>
  <r>
    <x v="0"/>
    <x v="1"/>
    <s v="blg_haca_bfr_full-rescue_auc_aw-video-views_x_x_YM00458406_q2_2025_bfr_001_x"/>
    <s v="bfr"/>
    <x v="1"/>
    <x v="1"/>
    <x v="0"/>
    <d v="2025-06-01T00:00:00"/>
    <d v="2025-06-15T00:00:00"/>
    <x v="16"/>
    <n v="28.380000000000003"/>
    <n v="5959"/>
  </r>
  <r>
    <x v="0"/>
    <x v="2"/>
    <s v="blg_haca_scalp_bau_aw-aw-thruplay_website-viewcontent_na_na_ym00356549_q1-q2-vvr_2024_bcp_002_x"/>
    <s v="scalp"/>
    <x v="3"/>
    <x v="2"/>
    <x v="1"/>
    <d v="2024-03-01T00:00:00"/>
    <d v="2024-03-15T00:00:00"/>
    <x v="25"/>
    <n v="2298.7200000000003"/>
    <n v="487645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21T00:00:00"/>
    <x v="28"/>
    <n v="1860.450006"/>
    <n v="162301"/>
  </r>
  <r>
    <x v="0"/>
    <x v="2"/>
    <s v="blg_haca_hys_hydrasource_aw-aw-thruplay_none-none_x_x_ym00427700_q2_2025_bhs_006_x"/>
    <s v="hys"/>
    <x v="4"/>
    <x v="1"/>
    <x v="1"/>
    <d v="2025-04-01T00:00:00"/>
    <d v="2025-04-30T00:00:00"/>
    <x v="19"/>
    <n v="404.40999699999986"/>
    <n v="18865"/>
  </r>
  <r>
    <x v="0"/>
    <x v="2"/>
    <s v="blg_haca_mult_agile-boosting_cons-eng-thruplay_none-none_x_x_ym00437375_x_2025_blg_002_x"/>
    <s v="mult"/>
    <x v="0"/>
    <x v="1"/>
    <x v="0"/>
    <d v="2025-03-01T00:00:00"/>
    <d v="2025-03-17T00:00:00"/>
    <x v="13"/>
    <n v="2769.34"/>
    <n v="535818"/>
  </r>
  <r>
    <x v="0"/>
    <x v="1"/>
    <s v="blg_haca_bfr_full-rescue_auc_aw-video-views_x_x_YM00458406_q2_2025_bfr_001_x"/>
    <s v="bfr"/>
    <x v="1"/>
    <x v="1"/>
    <x v="0"/>
    <d v="2025-06-01T00:00:00"/>
    <d v="2025-06-18T00:00:00"/>
    <x v="16"/>
    <n v="23.4"/>
    <n v="4731"/>
  </r>
  <r>
    <x v="0"/>
    <x v="2"/>
    <s v="blg_haca_mult_bf-cyber-dayofsale-bf_cons-tra-linkcli_website-none_promotion_x_ym00384930_q4_2024_blg_001_x"/>
    <s v="mult"/>
    <x v="0"/>
    <x v="2"/>
    <x v="0"/>
    <d v="2024-11-01T00:00:00"/>
    <d v="2024-11-24T00:00:00"/>
    <x v="51"/>
    <n v="15629.050001000001"/>
    <n v="1845823"/>
  </r>
  <r>
    <x v="0"/>
    <x v="1"/>
    <s v="blg_haca_bfr_full-rescue_auc_cons-traffic_x_x_YM00458406_q2_2025_bfr_001_x"/>
    <s v="bfr"/>
    <x v="1"/>
    <x v="1"/>
    <x v="1"/>
    <d v="2025-06-01T00:00:00"/>
    <d v="2025-06-14T00:00:00"/>
    <x v="18"/>
    <n v="762.41"/>
    <n v="160433"/>
  </r>
  <r>
    <x v="0"/>
    <x v="2"/>
    <s v="blg_haca_hydrasource_bau_aw-aw-thruplay_none-none_na_na_ym00339376_q1-vvr_2024_bhs_001_x"/>
    <s v="hydrasource"/>
    <x v="4"/>
    <x v="2"/>
    <x v="2"/>
    <d v="2024-02-01T00:00:00"/>
    <d v="2024-02-12T00:00:00"/>
    <x v="20"/>
    <n v="1163.259998"/>
    <n v="199579"/>
  </r>
  <r>
    <x v="0"/>
    <x v="0"/>
    <s v="blg_othr_na_na_84570334_2023_q2_conversion-non-promo_other_amazon+ulta+conversion_v2"/>
    <s v="na"/>
    <x v="0"/>
    <x v="0"/>
    <x v="0"/>
    <d v="2023-08-01T00:00:00"/>
    <d v="2023-08-05T00:00:00"/>
    <x v="2"/>
    <n v="308.68333100000001"/>
    <n v="129302"/>
  </r>
  <r>
    <x v="0"/>
    <x v="2"/>
    <s v="blg_haca_bfr_fullrescue_aw-aw-thruplay_none-none_x_x_ym00458406_q2-q3_2025_bfr_001_x"/>
    <s v="bfr"/>
    <x v="1"/>
    <x v="1"/>
    <x v="0"/>
    <d v="2025-06-01T00:00:00"/>
    <d v="2025-06-27T00:00:00"/>
    <x v="7"/>
    <n v="1424.0800040000004"/>
    <n v="199386"/>
  </r>
  <r>
    <x v="0"/>
    <x v="2"/>
    <s v="blg_haca_scalp_na_cons-tra-linkcli_none-none_na_na_ym00356549_q1-q2-lctr_2024_bcp_002_x"/>
    <s v="scalp"/>
    <x v="3"/>
    <x v="2"/>
    <x v="1"/>
    <d v="2024-03-01T00:00:00"/>
    <d v="2024-03-17T00:00:00"/>
    <x v="64"/>
    <n v="1654.2500010000001"/>
    <n v="256878"/>
  </r>
  <r>
    <x v="0"/>
    <x v="2"/>
    <s v="blg_haca_mult_agile-boosting_cons-eng-thruplay_none-none_x_x_ym00437375_x_2025_blg_002_x"/>
    <s v="mult"/>
    <x v="0"/>
    <x v="1"/>
    <x v="0"/>
    <d v="2025-05-01T00:00:00"/>
    <d v="2025-05-11T00:00:00"/>
    <x v="17"/>
    <n v="306.74"/>
    <n v="60718"/>
  </r>
  <r>
    <x v="0"/>
    <x v="2"/>
    <s v="blg_haca_scalp_bau_aw-aw-thruplay_website-viewcontent_na_na_ym00356549_q1-q2-vvr_2024_bcp_002_x"/>
    <s v="scalp"/>
    <x v="3"/>
    <x v="2"/>
    <x v="1"/>
    <d v="2024-03-01T00:00:00"/>
    <d v="2024-03-07T00:00:00"/>
    <x v="6"/>
    <n v="2293.7500060000002"/>
    <n v="546463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15T00:00:00"/>
    <x v="46"/>
    <n v="3157.5599959999995"/>
    <n v="551950"/>
  </r>
  <r>
    <x v="0"/>
    <x v="2"/>
    <s v="blg_haca_mult_agile-boosting_cons-eng-thruplay_none-none_x_x_ym00437375_x_2025_blg_002_x"/>
    <s v="mult"/>
    <x v="0"/>
    <x v="1"/>
    <x v="1"/>
    <d v="2025-05-01T00:00:00"/>
    <d v="2025-05-17T00:00:00"/>
    <x v="17"/>
    <n v="1354.8300029999998"/>
    <n v="213155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3T00:00:00"/>
    <x v="35"/>
    <n v="1206.8999999999999"/>
    <n v="193807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3T00:00:00"/>
    <x v="38"/>
    <n v="3266.0600000000004"/>
    <n v="341813"/>
  </r>
  <r>
    <x v="0"/>
    <x v="0"/>
    <s v="blg_othr_na_na_84570334_2023_q2_conversion-non-promo_other_amazon+ulta+conversion"/>
    <s v="na"/>
    <x v="0"/>
    <x v="0"/>
    <x v="0"/>
    <d v="2023-07-01T00:00:00"/>
    <d v="2023-07-05T00:00:00"/>
    <x v="21"/>
    <n v="1386.188956"/>
    <n v="333428"/>
  </r>
  <r>
    <x v="0"/>
    <x v="1"/>
    <s v="blg_haca_hys_hydrasource_auc_cons-traffic_x_x_ym00427700_q2_2025_bhs_006_x"/>
    <s v="hys"/>
    <x v="4"/>
    <x v="1"/>
    <x v="1"/>
    <d v="2025-04-01T00:00:00"/>
    <d v="2025-04-22T00:00:00"/>
    <x v="11"/>
    <n v="199.67999999999998"/>
    <n v="50123"/>
  </r>
  <r>
    <x v="0"/>
    <x v="2"/>
    <s v="blg_haca_hydrasource_bau_aw-aw-thruplay_none-none_na_na_ym00339376_q1-vvr_2024_bhs_001_x"/>
    <s v="hydrasource"/>
    <x v="4"/>
    <x v="2"/>
    <x v="2"/>
    <d v="2024-03-01T00:00:00"/>
    <d v="2024-03-04T00:00:00"/>
    <x v="6"/>
    <n v="1295.2799990000003"/>
    <n v="176951"/>
  </r>
  <r>
    <x v="0"/>
    <x v="0"/>
    <s v="blg_haca_scalp-sync_awareness_aw-awareness_ym00356548_all_2024_bcp_004_x"/>
    <s v="scalp-sync"/>
    <x v="3"/>
    <x v="2"/>
    <x v="2"/>
    <d v="2024-05-01T00:00:00"/>
    <d v="2024-05-16T00:00:00"/>
    <x v="56"/>
    <n v="3367.5097520000004"/>
    <n v="1463266"/>
  </r>
  <r>
    <x v="0"/>
    <x v="2"/>
    <s v="blg_haca_hydrasource_na_cons-tra-linkcli_none-none_na_na_ym00339376_q1-lctr_2024_bhs_001_x"/>
    <s v="hydrasource"/>
    <x v="4"/>
    <x v="2"/>
    <x v="0"/>
    <d v="2024-03-01T00:00:00"/>
    <d v="2024-03-01T00:00:00"/>
    <x v="29"/>
    <n v="3098.5299989999999"/>
    <n v="474696"/>
  </r>
  <r>
    <x v="0"/>
    <x v="2"/>
    <s v="blg_haca_bfr_fullrescue_cons-tra-linkcli_website-none_x_x_ym00458406_q2-q3_2025_bfr_001_x"/>
    <s v="bfr"/>
    <x v="1"/>
    <x v="1"/>
    <x v="0"/>
    <d v="2025-06-01T00:00:00"/>
    <d v="2025-06-29T00:00:00"/>
    <x v="1"/>
    <n v="1557.469998"/>
    <n v="146010"/>
  </r>
  <r>
    <x v="0"/>
    <x v="2"/>
    <s v="blg_haca_hydrasource_na_cons-tra-linkcli_none-none_na_na_ym00339376_q1-lctr_2024_bhs_001_x"/>
    <s v="hydrasource"/>
    <x v="4"/>
    <x v="2"/>
    <x v="0"/>
    <d v="2024-01-01T00:00:00"/>
    <d v="2024-01-30T00:00:00"/>
    <x v="5"/>
    <n v="3288.4099980000001"/>
    <n v="525917"/>
  </r>
  <r>
    <x v="0"/>
    <x v="0"/>
    <s v="blg_othr_na_na_84570334_2023_q2_conversion-non-promo_other_amazon+ulta+conversion_v2"/>
    <s v="na"/>
    <x v="0"/>
    <x v="0"/>
    <x v="1"/>
    <d v="2023-08-01T00:00:00"/>
    <d v="2023-08-16T00:00:00"/>
    <x v="30"/>
    <n v="1171.3754740000002"/>
    <n v="129086"/>
  </r>
  <r>
    <x v="0"/>
    <x v="2"/>
    <s v="blg_haca_mult_agile-boosting_cons-eng-thruplay_none-none_x_x_ym00437375_x_2025_blg_002_x"/>
    <s v="mult"/>
    <x v="0"/>
    <x v="1"/>
    <x v="0"/>
    <d v="2025-04-01T00:00:00"/>
    <d v="2025-04-21T00:00:00"/>
    <x v="11"/>
    <n v="907.39999999999986"/>
    <n v="225281"/>
  </r>
  <r>
    <x v="0"/>
    <x v="1"/>
    <s v="blg_haca_mult_ao-boosting_auc_aw-video-views_x_x_ym00437375_x_2025_blg_002_x"/>
    <s v="mult"/>
    <x v="0"/>
    <x v="1"/>
    <x v="1"/>
    <d v="2025-04-01T00:00:00"/>
    <d v="2025-04-21T00:00:00"/>
    <x v="11"/>
    <n v="1615.14"/>
    <n v="462445"/>
  </r>
  <r>
    <x v="0"/>
    <x v="2"/>
    <s v="blg_haca_bfr_fullrescue_aw-aw-thruplay_none-none_x_x_ym00458406_q2-q3_2025_bfr_001_x"/>
    <s v="bfr"/>
    <x v="1"/>
    <x v="1"/>
    <x v="1"/>
    <d v="2025-05-01T00:00:00"/>
    <d v="2025-05-02T00:00:00"/>
    <x v="19"/>
    <n v="1379.8400000000001"/>
    <n v="356158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5T00:00:00"/>
    <x v="43"/>
    <n v="3039.7399989999999"/>
    <n v="361096"/>
  </r>
  <r>
    <x v="0"/>
    <x v="2"/>
    <s v="blg_haca_hydrasource_na_cons-tra-linkcli_none-none_na_na_ym00339376_q1-lctr_2024_bhs_001_x"/>
    <s v="hydrasource"/>
    <x v="4"/>
    <x v="2"/>
    <x v="0"/>
    <d v="2024-02-01T00:00:00"/>
    <d v="2024-02-01T00:00:00"/>
    <x v="5"/>
    <n v="3057.579999"/>
    <n v="506611"/>
  </r>
  <r>
    <x v="0"/>
    <x v="0"/>
    <s v="blg_othr_na_na_84570334_2023_q2_conversion-non-promo_other_amazon+ulta+conversion"/>
    <s v="na"/>
    <x v="0"/>
    <x v="0"/>
    <x v="1"/>
    <d v="2023-07-01T00:00:00"/>
    <d v="2023-07-08T00:00:00"/>
    <x v="21"/>
    <n v="281.30014599999998"/>
    <n v="161299"/>
  </r>
  <r>
    <x v="0"/>
    <x v="2"/>
    <s v="blg_haca_hys_hydrasource_aw-aw-thruplay_none-none_x_x_ym00427700_q2_2025_bhs_006_x"/>
    <s v="hys"/>
    <x v="4"/>
    <x v="1"/>
    <x v="0"/>
    <d v="2025-04-01T00:00:00"/>
    <d v="2025-04-30T00:00:00"/>
    <x v="19"/>
    <n v="1939.1700009999997"/>
    <n v="281294"/>
  </r>
  <r>
    <x v="0"/>
    <x v="2"/>
    <s v="blg_haca_hydrasource_reelsonly_aw-aw-thruplay_none-none_na_na_ym00339376_q1-vvr_2024_bhs_001_x"/>
    <s v="hydrasource"/>
    <x v="4"/>
    <x v="2"/>
    <x v="0"/>
    <d v="2024-01-01T00:00:00"/>
    <d v="2024-01-25T00:00:00"/>
    <x v="15"/>
    <n v="632.12"/>
    <n v="151351"/>
  </r>
  <r>
    <x v="0"/>
    <x v="0"/>
    <s v="blg_haca_bfr_fullrescue-bonus_aw-awareness_x_bonus-q2_2025_x_x_x"/>
    <s v="bfr"/>
    <x v="1"/>
    <x v="1"/>
    <x v="1"/>
    <d v="2025-06-01T00:00:00"/>
    <d v="2025-06-20T00:00:00"/>
    <x v="16"/>
    <n v="329.95329199999998"/>
    <n v="155056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3T00:00:00"/>
    <x v="39"/>
    <n v="2264.6300020000003"/>
    <n v="330678"/>
  </r>
  <r>
    <x v="0"/>
    <x v="2"/>
    <s v="blg_haca_hydrasource_bau_aw-aw-thruplay_none-none_na_na_ym00339376_q1-vvr_2024_bhs_001_x"/>
    <s v="hydrasource"/>
    <x v="4"/>
    <x v="2"/>
    <x v="2"/>
    <d v="2024-03-01T00:00:00"/>
    <d v="2024-03-02T00:00:00"/>
    <x v="29"/>
    <n v="1267.480002"/>
    <n v="166578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5T00:00:00"/>
    <x v="2"/>
    <n v="2503.1000019999997"/>
    <n v="407662"/>
  </r>
  <r>
    <x v="0"/>
    <x v="2"/>
    <s v="blg_haca_scalp_na_cons-tra-linkcli_none-none_na_na_ym00356549_q1-q2-lctr_2024_bcp_002_x"/>
    <s v="scalp"/>
    <x v="3"/>
    <x v="2"/>
    <x v="1"/>
    <d v="2024-04-01T00:00:00"/>
    <d v="2024-04-08T00:00:00"/>
    <x v="34"/>
    <n v="240.85000000000002"/>
    <n v="38042"/>
  </r>
  <r>
    <x v="0"/>
    <x v="0"/>
    <s v="blg_haca_scalp-sync_awareness_aw-awareness_ym00356548_all_2024_bcp_004_x"/>
    <s v="scalp-sync"/>
    <x v="3"/>
    <x v="2"/>
    <x v="2"/>
    <d v="2024-05-01T00:00:00"/>
    <d v="2024-05-10T00:00:00"/>
    <x v="49"/>
    <n v="3365.7209590000002"/>
    <n v="1481332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0T00:00:00"/>
    <x v="35"/>
    <n v="3292.7299989999992"/>
    <n v="333142"/>
  </r>
  <r>
    <x v="0"/>
    <x v="1"/>
    <s v="blg_haca_mult_ao-boosting_auc_aw-video-views_x_x_ym00437375_x_2025_blg_002_x"/>
    <s v="mult"/>
    <x v="0"/>
    <x v="1"/>
    <x v="1"/>
    <d v="2025-06-01T00:00:00"/>
    <d v="2025-06-04T00:00:00"/>
    <x v="10"/>
    <n v="1403.03"/>
    <n v="395972"/>
  </r>
  <r>
    <x v="0"/>
    <x v="0"/>
    <s v="blg_othr_na_na_84570334_2023_q2_traffic_other_volumebloom-fulldensity+traffic_JBP"/>
    <s v="na"/>
    <x v="0"/>
    <x v="0"/>
    <x v="2"/>
    <d v="2023-09-01T00:00:00"/>
    <d v="2023-09-01T00:00:00"/>
    <x v="52"/>
    <n v="1754.207046"/>
    <n v="532921"/>
  </r>
  <r>
    <x v="0"/>
    <x v="2"/>
    <s v="blg_haca_mult_agile-boosting_cons-eng-thruplay_none-none_x_x_ym00437375_x_2025_blg_002_x"/>
    <s v="mult"/>
    <x v="0"/>
    <x v="1"/>
    <x v="0"/>
    <d v="2025-04-01T00:00:00"/>
    <d v="2025-04-07T00:00:00"/>
    <x v="23"/>
    <n v="709.71999900000014"/>
    <n v="159837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30T00:00:00"/>
    <x v="40"/>
    <n v="1247.8800010000002"/>
    <n v="213402"/>
  </r>
  <r>
    <x v="0"/>
    <x v="2"/>
    <s v="blg_haca_hydrasource_reelsonly_aw-aw-thruplay_none-none_na_na_ym00339376_q1-vvr_2024_bhs_001_x"/>
    <s v="hydrasource"/>
    <x v="4"/>
    <x v="2"/>
    <x v="0"/>
    <d v="2024-02-01T00:00:00"/>
    <d v="2024-02-09T00:00:00"/>
    <x v="41"/>
    <n v="887.11999900000012"/>
    <n v="182869"/>
  </r>
  <r>
    <x v="0"/>
    <x v="2"/>
    <s v="blg_haca_bfr_fullrescue_aw-aw-thruplay_none-none_x_x_ym00458406_q2-q3_2025_bfr_001_x"/>
    <s v="bfr"/>
    <x v="1"/>
    <x v="1"/>
    <x v="1"/>
    <d v="2025-05-01T00:00:00"/>
    <d v="2025-05-28T00:00:00"/>
    <x v="8"/>
    <n v="27.380000000000006"/>
    <n v="1173"/>
  </r>
  <r>
    <x v="0"/>
    <x v="1"/>
    <s v="blg_haca_bfr_full-rescue_auc_cons-traffic_x_x_YM00458406_q2_2025_bfr_001_x"/>
    <s v="bfr"/>
    <x v="1"/>
    <x v="1"/>
    <x v="1"/>
    <d v="2025-06-01T00:00:00"/>
    <d v="2025-06-16T00:00:00"/>
    <x v="16"/>
    <n v="979.55"/>
    <n v="207106"/>
  </r>
  <r>
    <x v="0"/>
    <x v="0"/>
    <s v="blg_othr_na_na_84570334_2023_q2_conversion-non-promo_other_amazon+ulta+conversion"/>
    <s v="na"/>
    <x v="0"/>
    <x v="0"/>
    <x v="0"/>
    <d v="2023-07-01T00:00:00"/>
    <d v="2023-07-06T00:00:00"/>
    <x v="21"/>
    <n v="1320.6341010000001"/>
    <n v="374168"/>
  </r>
  <r>
    <x v="0"/>
    <x v="2"/>
    <s v="blg_haca_scalp_reels-only_aw-aw-thruplay_website-viewcontent_na_na_ym00356549_q1-q2-vvr_2024_bcp_002_x"/>
    <s v="scalp"/>
    <x v="3"/>
    <x v="2"/>
    <x v="1"/>
    <d v="2024-04-01T00:00:00"/>
    <d v="2024-04-07T00:00:00"/>
    <x v="34"/>
    <n v="242.56"/>
    <n v="62038"/>
  </r>
  <r>
    <x v="0"/>
    <x v="2"/>
    <s v="blg_multi_na_elevate-me_cons-tra-linkcli_none-none_other_na_ym00329346_x_2023_x_x_"/>
    <s v="na"/>
    <x v="0"/>
    <x v="0"/>
    <x v="2"/>
    <d v="2023-10-01T00:00:00"/>
    <d v="2023-10-30T00:00:00"/>
    <x v="66"/>
    <n v="342.71999899999992"/>
    <n v="38506"/>
  </r>
  <r>
    <x v="0"/>
    <x v="2"/>
    <s v="blg_haca_scalp_reels-only_aw-aw-thruplay_website-viewcontent_na_na_ym00356549_q1-q2-vvr_2024_bcp_002_x"/>
    <s v="scalp"/>
    <x v="3"/>
    <x v="2"/>
    <x v="0"/>
    <d v="2024-04-01T00:00:00"/>
    <d v="2024-04-03T00:00:00"/>
    <x v="53"/>
    <n v="558.91999999999996"/>
    <n v="144142"/>
  </r>
  <r>
    <x v="0"/>
    <x v="2"/>
    <s v="blg_haca_bond-therapy_na_aw-aw-thruplay_none-viewcontent_na_na_ym87093418_vvr-q4_2023_x_x_x"/>
    <s v="bond-therapy"/>
    <x v="5"/>
    <x v="0"/>
    <x v="2"/>
    <d v="2023-12-01T00:00:00"/>
    <d v="2023-12-25T00:00:00"/>
    <x v="43"/>
    <n v="3029.6300019999999"/>
    <n v="454215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5T00:00:00"/>
    <x v="43"/>
    <n v="1240.6300000000001"/>
    <n v="284441"/>
  </r>
  <r>
    <x v="0"/>
    <x v="2"/>
    <s v="blg_haca_scalp_na_cons-tra-linkcli_none-none_na_na_ym00356549_q1-q2-lctr_2024_bcp_002_x"/>
    <s v="scalp"/>
    <x v="3"/>
    <x v="2"/>
    <x v="1"/>
    <d v="2024-04-01T00:00:00"/>
    <d v="2024-04-15T00:00:00"/>
    <x v="24"/>
    <n v="109.41"/>
    <n v="15273"/>
  </r>
  <r>
    <x v="0"/>
    <x v="1"/>
    <s v="blg_haca_mult_ao-boosting_auc_aw-video-views_x_x_ym00437375_x_2025_blg_002_x"/>
    <s v="mult"/>
    <x v="0"/>
    <x v="1"/>
    <x v="1"/>
    <d v="2025-06-01T00:00:00"/>
    <d v="2025-06-15T00:00:00"/>
    <x v="16"/>
    <n v="0.02"/>
    <n v="9"/>
  </r>
  <r>
    <x v="0"/>
    <x v="2"/>
    <s v="blg_haca_scalp_reels-only_aw-aw-thruplay_website-viewcontent_na_na_ym00356549_q1-q2-vvr_2024_bcp_002_x"/>
    <s v="scalp"/>
    <x v="3"/>
    <x v="2"/>
    <x v="1"/>
    <d v="2024-03-01T00:00:00"/>
    <d v="2024-03-08T00:00:00"/>
    <x v="6"/>
    <n v="972.65000099999986"/>
    <n v="220777"/>
  </r>
  <r>
    <x v="0"/>
    <x v="1"/>
    <s v="blg_haca_hys_hydrasource_auc_cons-traffic_x_x_ym00427700_q2_2025_bhs_006_x"/>
    <s v="hys"/>
    <x v="4"/>
    <x v="1"/>
    <x v="0"/>
    <d v="2025-04-01T00:00:00"/>
    <d v="2025-04-02T00:00:00"/>
    <x v="26"/>
    <n v="5018.0800000000008"/>
    <n v="1072908"/>
  </r>
  <r>
    <x v="0"/>
    <x v="2"/>
    <s v="blg_haca_scalp_na_cons-tra-linkcli_none-none_na_na_ym00356549_q1-q2-lctr_2024_bcp_002_x"/>
    <s v="scalp"/>
    <x v="3"/>
    <x v="2"/>
    <x v="0"/>
    <d v="2024-04-01T00:00:00"/>
    <d v="2024-04-16T00:00:00"/>
    <x v="24"/>
    <n v="1320.0100079999997"/>
    <n v="210229"/>
  </r>
  <r>
    <x v="0"/>
    <x v="2"/>
    <s v="blg_haca_hys_hydrasource_aw-aw-thruplay_none-none_x_x_ym00427700_q2_2025_bhs_006_x"/>
    <s v="hys"/>
    <x v="4"/>
    <x v="1"/>
    <x v="0"/>
    <d v="2025-04-01T00:00:00"/>
    <d v="2025-04-26T00:00:00"/>
    <x v="11"/>
    <n v="2051.1499999999996"/>
    <n v="285394"/>
  </r>
  <r>
    <x v="0"/>
    <x v="2"/>
    <s v="blg_haca_hys_hydrasource_cons-tra-linkcli_website-none_x_x_ym00427700_q2_2025_bhs_006_x"/>
    <s v="hys"/>
    <x v="4"/>
    <x v="1"/>
    <x v="0"/>
    <d v="2025-04-01T00:00:00"/>
    <d v="2025-04-26T00:00:00"/>
    <x v="11"/>
    <n v="3830.4800000000018"/>
    <n v="361384"/>
  </r>
  <r>
    <x v="0"/>
    <x v="2"/>
    <s v="blg_haca_bfr_fullrescue_aw-aw-thruplay_none-none_x_x_ym00458406_q2-q3_2025_bfr_001_x"/>
    <s v="bfr"/>
    <x v="1"/>
    <x v="1"/>
    <x v="0"/>
    <d v="2025-07-01T00:00:00"/>
    <d v="2025-07-01T00:00:00"/>
    <x v="1"/>
    <n v="722.93065100000013"/>
    <n v="95404"/>
  </r>
  <r>
    <x v="0"/>
    <x v="2"/>
    <s v="blg_haca_mult_agile-boosting_cons-eng-thruplay_none-none_x_x_ym00437375_x_2025_blg_002_x"/>
    <s v="mult"/>
    <x v="0"/>
    <x v="1"/>
    <x v="1"/>
    <d v="2025-06-01T00:00:00"/>
    <d v="2025-06-10T00:00:00"/>
    <x v="18"/>
    <n v="1736.9500029999997"/>
    <n v="212361"/>
  </r>
  <r>
    <x v="0"/>
    <x v="0"/>
    <s v="blg_othr_na_na_84570334_2023_q2_conversion-non-promo_other_amazon+ulta+conversion_v2"/>
    <s v="na"/>
    <x v="0"/>
    <x v="0"/>
    <x v="1"/>
    <d v="2023-07-01T00:00:00"/>
    <d v="2023-07-19T00:00:00"/>
    <x v="42"/>
    <n v="1290.5978299999999"/>
    <n v="144735"/>
  </r>
  <r>
    <x v="0"/>
    <x v="0"/>
    <s v="blg_haca_scalp-sync_traffic_cons-consideration_ym00356548_all_2024_bcp_004_x"/>
    <s v="scalp-sync"/>
    <x v="3"/>
    <x v="2"/>
    <x v="0"/>
    <d v="2024-05-01T00:00:00"/>
    <d v="2024-05-29T00:00:00"/>
    <x v="65"/>
    <n v="1605.5295239999998"/>
    <n v="442245"/>
  </r>
  <r>
    <x v="0"/>
    <x v="0"/>
    <s v="blg_haca_bfr_fullrescue-bonus_aw-awareness_x_bonus-q2_2025_x_x_x"/>
    <s v="bfr"/>
    <x v="1"/>
    <x v="1"/>
    <x v="0"/>
    <d v="2025-06-01T00:00:00"/>
    <d v="2025-06-25T00:00:00"/>
    <x v="7"/>
    <n v="1418.3146009999998"/>
    <n v="657274"/>
  </r>
  <r>
    <x v="0"/>
    <x v="1"/>
    <s v="blg_haca_hys_hydrasource_auc_cons-traffic_x_x_ym00427700_q2_2025_bhs_006_x"/>
    <s v="hys"/>
    <x v="4"/>
    <x v="1"/>
    <x v="0"/>
    <d v="2025-04-01T00:00:00"/>
    <d v="2025-04-14T00:00:00"/>
    <x v="36"/>
    <n v="5415.1900000000005"/>
    <n v="1201294"/>
  </r>
  <r>
    <x v="0"/>
    <x v="0"/>
    <s v="blg_othr_na_na_84570334_2023_q2_conversion-non-promo_other_amazon+ulta+conversion_v2"/>
    <s v="na"/>
    <x v="0"/>
    <x v="0"/>
    <x v="0"/>
    <d v="2023-08-01T00:00:00"/>
    <d v="2023-08-12T00:00:00"/>
    <x v="4"/>
    <n v="470.79679299999998"/>
    <n v="128730"/>
  </r>
  <r>
    <x v="0"/>
    <x v="0"/>
    <s v="blg_othr_na_na_84570334_2023_q2_traffic_other_volumebloom-fulldensity+traffic_v2"/>
    <s v="na"/>
    <x v="0"/>
    <x v="0"/>
    <x v="2"/>
    <d v="2023-08-01T00:00:00"/>
    <d v="2023-08-15T00:00:00"/>
    <x v="30"/>
    <n v="766.64939600000002"/>
    <n v="335873"/>
  </r>
  <r>
    <x v="0"/>
    <x v="0"/>
    <s v="blg_othr_na_na_84570334_2023_q2_traffic_other_volumebloom-fulldensity+traffic_JBP"/>
    <s v="na"/>
    <x v="0"/>
    <x v="0"/>
    <x v="2"/>
    <d v="2023-08-01T00:00:00"/>
    <d v="2023-08-27T00:00:00"/>
    <x v="52"/>
    <n v="1774.221487"/>
    <n v="565432"/>
  </r>
  <r>
    <x v="0"/>
    <x v="1"/>
    <s v="blg_haca_mult_ao-boosting_auc_aw-video-views_x_x_ym00437375_x_2025_blg_002_x"/>
    <s v="mult"/>
    <x v="0"/>
    <x v="1"/>
    <x v="0"/>
    <d v="2025-04-01T00:00:00"/>
    <d v="2025-04-07T00:00:00"/>
    <x v="23"/>
    <n v="3.98"/>
    <n v="1698"/>
  </r>
  <r>
    <x v="0"/>
    <x v="1"/>
    <s v="blg_haca_mult_ao-boosting_auc_aw-video-views_x_x_ym00437375_x_2025_blg_002_x"/>
    <s v="mult"/>
    <x v="0"/>
    <x v="1"/>
    <x v="0"/>
    <d v="2025-04-01T00:00:00"/>
    <d v="2025-04-08T00:00:00"/>
    <x v="23"/>
    <n v="1.56"/>
    <n v="581"/>
  </r>
  <r>
    <x v="0"/>
    <x v="2"/>
    <s v="blg_haca_scalp_bau_aw-aw-thruplay_website-viewcontent_na_na_ym00356549_q1-q2-vvr_2024_bcp_002_x"/>
    <s v="scalp"/>
    <x v="3"/>
    <x v="2"/>
    <x v="1"/>
    <d v="2024-04-01T00:00:00"/>
    <d v="2024-04-09T00:00:00"/>
    <x v="34"/>
    <n v="2280.9800039999996"/>
    <n v="506885"/>
  </r>
  <r>
    <x v="0"/>
    <x v="2"/>
    <s v="blg_haca_hydrasource_reelsonly_aw-aw-thruplay_none-none_na_na_ym00339376_q1-vvr_2024_bhs_001_x"/>
    <s v="hydrasource"/>
    <x v="4"/>
    <x v="2"/>
    <x v="0"/>
    <d v="2024-01-01T00:00:00"/>
    <d v="2024-01-15T00:00:00"/>
    <x v="57"/>
    <n v="657.26999799999999"/>
    <n v="168007"/>
  </r>
  <r>
    <x v="0"/>
    <x v="2"/>
    <s v="blg_haca_mult_agile-boosting_cons-eng-thruplay_none-none_x_x_ym00437375_x_2025_blg_002_x"/>
    <s v="mult"/>
    <x v="0"/>
    <x v="1"/>
    <x v="1"/>
    <d v="2025-06-01T00:00:00"/>
    <d v="2025-06-11T00:00:00"/>
    <x v="18"/>
    <n v="1709.519998"/>
    <n v="210940"/>
  </r>
  <r>
    <x v="0"/>
    <x v="2"/>
    <s v="blg_haca_bond-therapy_na_aw-aw-thruplay_none-viewcontent_na_na_ym87093418_vvr-q4_2023_x_x_x"/>
    <s v="bond-therapy"/>
    <x v="5"/>
    <x v="0"/>
    <x v="2"/>
    <d v="2023-12-01T00:00:00"/>
    <d v="2023-12-02T00:00:00"/>
    <x v="40"/>
    <n v="2957.7199999999993"/>
    <n v="517468"/>
  </r>
  <r>
    <x v="0"/>
    <x v="2"/>
    <s v="blg_haca_scalp_reels-only_aw-aw-thruplay_website-viewcontent_na_na_ym00356549_q1-q2-vvr_2024_bcp_002_x"/>
    <s v="scalp"/>
    <x v="3"/>
    <x v="2"/>
    <x v="0"/>
    <d v="2024-04-01T00:00:00"/>
    <d v="2024-04-14T00:00:00"/>
    <x v="24"/>
    <n v="778.7"/>
    <n v="186632"/>
  </r>
  <r>
    <x v="0"/>
    <x v="0"/>
    <s v="blg_othr_na_na_84570334_2023_q2_traffic_other_volumebloom-fulldensity+traffic_v2"/>
    <s v="na"/>
    <x v="0"/>
    <x v="0"/>
    <x v="2"/>
    <d v="2023-08-01T00:00:00"/>
    <d v="2023-08-06T00:00:00"/>
    <x v="4"/>
    <n v="774.45903599999997"/>
    <n v="369930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3T00:00:00"/>
    <x v="33"/>
    <n v="1824.6599949999995"/>
    <n v="117946"/>
  </r>
  <r>
    <x v="0"/>
    <x v="2"/>
    <s v="blg_haca_mult_agile-boosting_aw-aw-thruplay_none-none_x_x_ym00437375_x_2025_blg_002_x"/>
    <s v="mult"/>
    <x v="0"/>
    <x v="1"/>
    <x v="0"/>
    <d v="2025-02-01T00:00:00"/>
    <d v="2025-02-20T00:00:00"/>
    <x v="67"/>
    <n v="7041.5500020000009"/>
    <n v="1024864"/>
  </r>
  <r>
    <x v="0"/>
    <x v="2"/>
    <s v="blg_haca_hys_hydrasource_cons-tra-linkcli_website-none_x_x_ym00427700_q2_2025_bhs_006_x"/>
    <s v="hys"/>
    <x v="4"/>
    <x v="1"/>
    <x v="0"/>
    <d v="2025-04-01T00:00:00"/>
    <d v="2025-04-02T00:00:00"/>
    <x v="26"/>
    <n v="3833.0300000000011"/>
    <n v="474730"/>
  </r>
  <r>
    <x v="0"/>
    <x v="1"/>
    <s v="blg_haca_hys_hydrasource_auc_aw-video-views_x_x_ym00427700_q2_2025_bhs_006_x"/>
    <s v="hys"/>
    <x v="4"/>
    <x v="1"/>
    <x v="1"/>
    <d v="2025-04-01T00:00:00"/>
    <d v="2025-04-02T00:00:00"/>
    <x v="26"/>
    <n v="3575.19"/>
    <n v="801756"/>
  </r>
  <r>
    <x v="0"/>
    <x v="2"/>
    <s v="blg_haca_mult_agile-boosting_cons-eng-thruplay_none-none_x_x_ym00437375_x_2025_blg_002_x"/>
    <s v="mult"/>
    <x v="0"/>
    <x v="1"/>
    <x v="1"/>
    <d v="2025-06-01T00:00:00"/>
    <d v="2025-06-07T00:00:00"/>
    <x v="10"/>
    <n v="1672.8999990000002"/>
    <n v="192931"/>
  </r>
  <r>
    <x v="0"/>
    <x v="2"/>
    <s v="blg_haca_prime-day_reminderads-cell-2_cons-eng-posteng_none-none_x_x_ym00384930_x_2024_blg_001_x"/>
    <s v="prime-day"/>
    <x v="6"/>
    <x v="2"/>
    <x v="2"/>
    <d v="2024-07-01T00:00:00"/>
    <d v="2024-07-13T00:00:00"/>
    <x v="54"/>
    <n v="9964.4899990000013"/>
    <n v="1026076"/>
  </r>
  <r>
    <x v="0"/>
    <x v="2"/>
    <s v="blg_haca_scalp_na_cons-tra-linkcli_none-none_na_na_ym00356549_q1-q2-lctr_2024_bcp_002_x"/>
    <s v="scalp"/>
    <x v="3"/>
    <x v="2"/>
    <x v="0"/>
    <d v="2024-04-01T00:00:00"/>
    <d v="2024-04-12T00:00:00"/>
    <x v="34"/>
    <n v="1404.3500049999998"/>
    <n v="209449"/>
  </r>
  <r>
    <x v="0"/>
    <x v="0"/>
    <s v="blg_haca_scalp-sync_traffic_cons-consideration_ym00356548_all_2024_bcp_004_x"/>
    <s v="scalp-sync"/>
    <x v="3"/>
    <x v="2"/>
    <x v="0"/>
    <d v="2024-04-01T00:00:00"/>
    <d v="2024-04-25T00:00:00"/>
    <x v="50"/>
    <n v="1771.5554269999998"/>
    <n v="453443"/>
  </r>
  <r>
    <x v="0"/>
    <x v="2"/>
    <s v="blg_haca_hydrasource_na_cons-tra-linkcli_none-none_na_na_ym00339376_q1-lctr_2024_bhs_001_x"/>
    <s v="hydrasource"/>
    <x v="4"/>
    <x v="2"/>
    <x v="0"/>
    <d v="2024-03-01T00:00:00"/>
    <d v="2024-03-02T00:00:00"/>
    <x v="29"/>
    <n v="3377.9999999999995"/>
    <n v="526715"/>
  </r>
  <r>
    <x v="0"/>
    <x v="1"/>
    <s v="blg_haca_hys_hydrasource_auc_aw-video-views_x_x_ym00427700_q2_2025_bhs_006_x"/>
    <s v="hys"/>
    <x v="4"/>
    <x v="1"/>
    <x v="0"/>
    <d v="2025-04-01T00:00:00"/>
    <d v="2025-04-19T00:00:00"/>
    <x v="36"/>
    <n v="3715.82"/>
    <n v="940218"/>
  </r>
  <r>
    <x v="0"/>
    <x v="0"/>
    <s v="blg_othr_na_na_84570334_2023_q2_traffic_other_volumebloom-fulldensity+traffic"/>
    <s v="na"/>
    <x v="0"/>
    <x v="0"/>
    <x v="2"/>
    <d v="2023-07-01T00:00:00"/>
    <d v="2023-07-15T00:00:00"/>
    <x v="37"/>
    <n v="0.49795200000000001"/>
    <n v="29"/>
  </r>
  <r>
    <x v="0"/>
    <x v="2"/>
    <s v="blg_haca_bfr_fullrescue_aw-aw-thruplay_none-none_x_x_ym00458406_q2-q3_2025_bfr_001_x"/>
    <s v="bfr"/>
    <x v="1"/>
    <x v="1"/>
    <x v="0"/>
    <d v="2025-05-01T00:00:00"/>
    <d v="2025-05-09T00:00:00"/>
    <x v="12"/>
    <n v="1236.5999999999995"/>
    <n v="231145"/>
  </r>
  <r>
    <x v="0"/>
    <x v="1"/>
    <s v="blg_haca_mult_ao-boosting_auc_aw-video-views_x_x_ym00437375_x_2025_blg_002_x"/>
    <s v="mult"/>
    <x v="0"/>
    <x v="1"/>
    <x v="0"/>
    <d v="2025-04-01T00:00:00"/>
    <d v="2025-04-09T00:00:00"/>
    <x v="23"/>
    <n v="2.6399999999999997"/>
    <n v="1137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6T00:00:00"/>
    <x v="42"/>
    <n v="2359.7600020000004"/>
    <n v="399074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0T00:00:00"/>
    <x v="37"/>
    <n v="1407.9800000000002"/>
    <n v="258510"/>
  </r>
  <r>
    <x v="0"/>
    <x v="2"/>
    <s v="blg_haca_hydrasource_x_cons-tra-linkcli_none-none_x_x_ym00339376_q4-lctr_2024_bhs_001_x"/>
    <s v="hydrasource"/>
    <x v="4"/>
    <x v="2"/>
    <x v="0"/>
    <d v="2024-10-01T00:00:00"/>
    <d v="2024-10-24T00:00:00"/>
    <x v="68"/>
    <n v="2315.8600029999998"/>
    <n v="218493"/>
  </r>
  <r>
    <x v="0"/>
    <x v="2"/>
    <s v="blg_haca_scalp_bau_aw-aw-thruplay_website-viewcontent_na_na_ym00356549_q1-q2-vvr_2024_bcp_002_x"/>
    <s v="scalp"/>
    <x v="3"/>
    <x v="2"/>
    <x v="1"/>
    <d v="2024-04-01T00:00:00"/>
    <d v="2024-04-11T00:00:00"/>
    <x v="34"/>
    <n v="2207.5599949999996"/>
    <n v="473342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24T00:00:00"/>
    <x v="69"/>
    <n v="2089.9499940000001"/>
    <n v="116082"/>
  </r>
  <r>
    <x v="0"/>
    <x v="2"/>
    <s v="blg_haca_mult_ulta-liter_cons-tra-linkcli_website-none_promotion_x_ym00437375_q1_2025_blg_002_x"/>
    <s v="mult"/>
    <x v="0"/>
    <x v="1"/>
    <x v="0"/>
    <d v="2025-01-01T00:00:00"/>
    <d v="2025-01-21T00:00:00"/>
    <x v="70"/>
    <n v="3822.8099980000002"/>
    <n v="692167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9T00:00:00"/>
    <x v="30"/>
    <n v="3854.85"/>
    <n v="560587"/>
  </r>
  <r>
    <x v="0"/>
    <x v="1"/>
    <s v="blg_haca_hys_hydrasource_auc_cons-traffic_x_x_ym00427700_q2_2025_bhs_006_x"/>
    <s v="hys"/>
    <x v="4"/>
    <x v="1"/>
    <x v="1"/>
    <d v="2025-04-01T00:00:00"/>
    <d v="2025-04-15T00:00:00"/>
    <x v="36"/>
    <n v="107.94"/>
    <n v="38357"/>
  </r>
  <r>
    <x v="0"/>
    <x v="2"/>
    <s v="blg_haca_hydrasource_x_cons-tra-linkcli_none-none_x_x_ym00339376_q4-lctr_2024_bhs_001_x"/>
    <s v="hydrasource"/>
    <x v="4"/>
    <x v="2"/>
    <x v="0"/>
    <d v="2024-10-01T00:00:00"/>
    <d v="2024-10-22T00:00:00"/>
    <x v="68"/>
    <n v="2524.690008"/>
    <n v="237071"/>
  </r>
  <r>
    <x v="0"/>
    <x v="2"/>
    <s v="blg_haca_mult_agile-boosting_cons-eng-thruplay_none-none_x_x_ym00437375_x_2025_blg_002_x"/>
    <s v="mult"/>
    <x v="0"/>
    <x v="1"/>
    <x v="0"/>
    <d v="2025-03-01T00:00:00"/>
    <d v="2025-03-27T00:00:00"/>
    <x v="9"/>
    <n v="2070.4100009999997"/>
    <n v="306284"/>
  </r>
  <r>
    <x v="0"/>
    <x v="0"/>
    <s v="blg_othr_na_na_84570334_2023_q2_conversion-non-promo_other_amazon+ulta+conversion_v2"/>
    <s v="na"/>
    <x v="0"/>
    <x v="0"/>
    <x v="0"/>
    <d v="2023-07-01T00:00:00"/>
    <d v="2023-07-17T00:00:00"/>
    <x v="42"/>
    <n v="496.87131600000004"/>
    <n v="155497"/>
  </r>
  <r>
    <x v="0"/>
    <x v="2"/>
    <s v="blg_haca_hydrasource_x_aw-aw-thruplay_none-none_x_x_ym00339376_q4_2024_bhs_001_x"/>
    <s v="hydrasource"/>
    <x v="4"/>
    <x v="2"/>
    <x v="0"/>
    <d v="2024-10-01T00:00:00"/>
    <d v="2024-10-09T00:00:00"/>
    <x v="27"/>
    <n v="3639.2"/>
    <n v="677460"/>
  </r>
  <r>
    <x v="0"/>
    <x v="2"/>
    <s v="blg_haca_hydrasource_x_aw-aw-thruplay_none-none_x_x_ym00339376_q4_2024_bhs_001_x"/>
    <s v="hydrasource"/>
    <x v="4"/>
    <x v="2"/>
    <x v="0"/>
    <d v="2024-10-01T00:00:00"/>
    <d v="2024-10-31T00:00:00"/>
    <x v="22"/>
    <n v="3238.6999980000001"/>
    <n v="668965"/>
  </r>
  <r>
    <x v="0"/>
    <x v="0"/>
    <s v="blg_othr_na_na_84570334_2023_q2_conversion-non-promo_other_amazon+ulta+conversion"/>
    <s v="na"/>
    <x v="0"/>
    <x v="0"/>
    <x v="1"/>
    <d v="2023-07-01T00:00:00"/>
    <d v="2023-07-06T00:00:00"/>
    <x v="21"/>
    <n v="147.09187399999999"/>
    <n v="103098"/>
  </r>
  <r>
    <x v="0"/>
    <x v="2"/>
    <s v="blg_haca_mult_agile-boosting_cons-eng-thruplay_none-none_x_x_ym00437375_x_2025_blg_002_x"/>
    <s v="mult"/>
    <x v="0"/>
    <x v="1"/>
    <x v="0"/>
    <d v="2025-04-01T00:00:00"/>
    <d v="2025-04-24T00:00:00"/>
    <x v="11"/>
    <n v="948.49000199999989"/>
    <n v="219647"/>
  </r>
  <r>
    <x v="0"/>
    <x v="0"/>
    <s v="blg_othr_na_na_84570334_2023_q2_traffic_other_volumebloom-fulldensity+traffic_JBP"/>
    <s v="na"/>
    <x v="0"/>
    <x v="0"/>
    <x v="2"/>
    <d v="2023-08-01T00:00:00"/>
    <d v="2023-08-28T00:00:00"/>
    <x v="52"/>
    <n v="1769.105474"/>
    <n v="497109"/>
  </r>
  <r>
    <x v="0"/>
    <x v="0"/>
    <s v="blg_haca_scalp-sync_traffic_cons-consideration_ym00356548_all_2024_bcp_004_x"/>
    <s v="scalp-sync"/>
    <x v="3"/>
    <x v="2"/>
    <x v="0"/>
    <d v="2024-05-01T00:00:00"/>
    <d v="2024-05-06T00:00:00"/>
    <x v="49"/>
    <n v="1705.8647299999998"/>
    <n v="486252"/>
  </r>
  <r>
    <x v="0"/>
    <x v="2"/>
    <s v="blg_haca_hydrasource_bau_aw-aw-thruplay_none-none_na_na_ym00339376_q1-vvr_2024_bhs_001_x"/>
    <s v="hydrasource"/>
    <x v="4"/>
    <x v="2"/>
    <x v="2"/>
    <d v="2024-01-01T00:00:00"/>
    <d v="2024-01-22T00:00:00"/>
    <x v="15"/>
    <n v="1520.770002"/>
    <n v="471659"/>
  </r>
  <r>
    <x v="0"/>
    <x v="2"/>
    <s v="blg_haca_hydrasource_bau_aw-aw-thruplay_none-none_na_na_ym00339376_q1-vvr_2024_bhs_001_x"/>
    <s v="hydrasource"/>
    <x v="4"/>
    <x v="2"/>
    <x v="2"/>
    <d v="2024-02-01T00:00:00"/>
    <d v="2024-02-06T00:00:00"/>
    <x v="41"/>
    <n v="1317.9699930000002"/>
    <n v="242546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11T00:00:00"/>
    <x v="54"/>
    <n v="3298.4600049999999"/>
    <n v="553516"/>
  </r>
  <r>
    <x v="0"/>
    <x v="2"/>
    <s v="blg_haca_mult_agile-boosting_cons-eng-thruplay_none-none_x_x_ym00437375_x_2025_blg_002_x"/>
    <s v="mult"/>
    <x v="0"/>
    <x v="1"/>
    <x v="1"/>
    <d v="2025-04-01T00:00:00"/>
    <d v="2025-04-19T00:00:00"/>
    <x v="36"/>
    <n v="679.55000000000018"/>
    <n v="144181"/>
  </r>
  <r>
    <x v="0"/>
    <x v="2"/>
    <s v="blg_haca_scalp_bau_aw-aw-thruplay_website-viewcontent_na_na_ym00356549_q1-q2-vvr_2024_bcp_002_x"/>
    <s v="scalp"/>
    <x v="3"/>
    <x v="2"/>
    <x v="1"/>
    <d v="2024-04-01T00:00:00"/>
    <d v="2024-04-10T00:00:00"/>
    <x v="34"/>
    <n v="2271.6899979999998"/>
    <n v="495351"/>
  </r>
  <r>
    <x v="0"/>
    <x v="2"/>
    <s v="blg_haca_mult_agile-boosting_aw-aw-thruplay_none-none_x_x_ym00437375_x_2025_blg_002_x"/>
    <s v="mult"/>
    <x v="0"/>
    <x v="1"/>
    <x v="0"/>
    <d v="2025-02-01T00:00:00"/>
    <d v="2025-02-27T00:00:00"/>
    <x v="71"/>
    <n v="6987.4199989999997"/>
    <n v="849896"/>
  </r>
  <r>
    <x v="0"/>
    <x v="2"/>
    <s v="blg_haca_scalp_bau_aw-aw-thruplay_website-viewcontent_na_na_ym00356549_q1-q2-vvr_2024_bcp_002_x"/>
    <s v="scalp"/>
    <x v="3"/>
    <x v="2"/>
    <x v="1"/>
    <d v="2024-03-01T00:00:00"/>
    <d v="2024-03-21T00:00:00"/>
    <x v="64"/>
    <n v="2265.6899950000002"/>
    <n v="490085"/>
  </r>
  <r>
    <x v="0"/>
    <x v="2"/>
    <s v="blg_haca_scalp_na_cons-tra-linkcli_none-none_na_na_ym00356549_q1-q2-lctr_2024_bcp_002_x"/>
    <s v="scalp"/>
    <x v="3"/>
    <x v="2"/>
    <x v="1"/>
    <d v="2024-03-01T00:00:00"/>
    <d v="2024-03-21T00:00:00"/>
    <x v="64"/>
    <n v="1622.2899980000002"/>
    <n v="240253"/>
  </r>
  <r>
    <x v="0"/>
    <x v="2"/>
    <s v="blg_haca_mult_agile-boosting_cons-eng-thruplay_none-none_x_x_ym00437375_x_2025_blg_002_x"/>
    <s v="mult"/>
    <x v="0"/>
    <x v="1"/>
    <x v="0"/>
    <d v="2025-04-01T00:00:00"/>
    <d v="2025-04-14T00:00:00"/>
    <x v="36"/>
    <n v="890.48000000000013"/>
    <n v="205240"/>
  </r>
  <r>
    <x v="0"/>
    <x v="2"/>
    <s v="blg_haca_bfr_fullrescue_aw-aw-thruplay_none-none_x_x_ym00458406_q2-q3_2025_bfr_001_x"/>
    <s v="bfr"/>
    <x v="1"/>
    <x v="1"/>
    <x v="0"/>
    <d v="2025-05-01T00:00:00"/>
    <d v="2025-05-18T00:00:00"/>
    <x v="47"/>
    <n v="2952.0299999999997"/>
    <n v="487002"/>
  </r>
  <r>
    <x v="0"/>
    <x v="2"/>
    <s v="blg_haca_mult_bf-cyber-reminder_cons-eng-posteng_onad-none_promotion_x_ym00384930_q4_2024_blg_001_x"/>
    <s v="mult"/>
    <x v="0"/>
    <x v="2"/>
    <x v="2"/>
    <d v="2024-11-01T00:00:00"/>
    <d v="2024-11-23T00:00:00"/>
    <x v="58"/>
    <n v="9445.9100019999969"/>
    <n v="776092"/>
  </r>
  <r>
    <x v="0"/>
    <x v="2"/>
    <s v="blg_haca_bfr_fullrescue_cons-tra-linkcli_website-none_x_x_ym00458406_q2-q3_2025_bfr_001_x"/>
    <s v="bfr"/>
    <x v="1"/>
    <x v="1"/>
    <x v="1"/>
    <d v="2025-05-01T00:00:00"/>
    <d v="2025-05-29T00:00:00"/>
    <x v="8"/>
    <n v="8.36"/>
    <n v="937"/>
  </r>
  <r>
    <x v="0"/>
    <x v="2"/>
    <s v="blg_haca_bfr_fullrescue_cons-tra-linkcli_website-none_x_x_ym00458406_q2-q3_2025_bfr_001_x"/>
    <s v="bfr"/>
    <x v="1"/>
    <x v="1"/>
    <x v="0"/>
    <d v="2025-05-01T00:00:00"/>
    <d v="2025-05-08T00:00:00"/>
    <x v="12"/>
    <n v="1817.1699999999998"/>
    <n v="127850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8T00:00:00"/>
    <x v="38"/>
    <n v="2982.4600030000006"/>
    <n v="316846"/>
  </r>
  <r>
    <x v="0"/>
    <x v="2"/>
    <s v="blg_haca_hys_hydrasource_cons-tra-linkcli_website-none_x_x_ym00427700_q2_2025_bhs_006_x"/>
    <s v="hys"/>
    <x v="4"/>
    <x v="1"/>
    <x v="0"/>
    <d v="2025-04-01T00:00:00"/>
    <d v="2025-04-25T00:00:00"/>
    <x v="11"/>
    <n v="3725.650000000001"/>
    <n v="332455"/>
  </r>
  <r>
    <x v="0"/>
    <x v="0"/>
    <s v="blg_othr_na_na_84570334_2023_q2_conversion-non-promo_other_amazon+ulta+conversion"/>
    <s v="na"/>
    <x v="0"/>
    <x v="0"/>
    <x v="1"/>
    <d v="2023-07-01T00:00:00"/>
    <d v="2023-07-13T00:00:00"/>
    <x v="37"/>
    <n v="417.445381"/>
    <n v="65144"/>
  </r>
  <r>
    <x v="0"/>
    <x v="2"/>
    <s v="blg_haca_scalp_na_cons-tra-linkcli_none-none_na_na_ym00356549_q1-q2-lctr_2024_bcp_002_x"/>
    <s v="scalp"/>
    <x v="3"/>
    <x v="2"/>
    <x v="1"/>
    <d v="2024-04-01T00:00:00"/>
    <d v="2024-04-02T00:00:00"/>
    <x v="53"/>
    <n v="104.20000199999998"/>
    <n v="18546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7T00:00:00"/>
    <x v="28"/>
    <n v="2092.1300050000009"/>
    <n v="159101"/>
  </r>
  <r>
    <x v="0"/>
    <x v="2"/>
    <s v="blg_haca_mult_agile-boosting_cons-eng-thruplay_none-none_x_x_ym00437375_x_2025_blg_002_x"/>
    <s v="mult"/>
    <x v="0"/>
    <x v="1"/>
    <x v="0"/>
    <d v="2025-05-01T00:00:00"/>
    <d v="2025-05-15T00:00:00"/>
    <x v="17"/>
    <n v="222.51999999999998"/>
    <n v="36377"/>
  </r>
  <r>
    <x v="0"/>
    <x v="2"/>
    <s v="blg_haca_bfr_fullrescue_aw-aw-thruplay_none-none_x_x_ym00458406_q2-q3_2025_bfr_001_x"/>
    <s v="bfr"/>
    <x v="1"/>
    <x v="1"/>
    <x v="0"/>
    <d v="2025-05-01T00:00:00"/>
    <d v="2025-05-02T00:00:00"/>
    <x v="19"/>
    <n v="693.8499999999998"/>
    <n v="132862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6T00:00:00"/>
    <x v="33"/>
    <n v="1244.4299989999997"/>
    <n v="193723"/>
  </r>
  <r>
    <x v="0"/>
    <x v="2"/>
    <s v="blg_haca_hydrasource_x_cons-tra-linkcli_none-none_x_x_ym00339376_q4-lctr_2024_bhs_001_x"/>
    <s v="hydrasource"/>
    <x v="4"/>
    <x v="2"/>
    <x v="0"/>
    <d v="2024-10-01T00:00:00"/>
    <d v="2024-10-28T00:00:00"/>
    <x v="22"/>
    <n v="2468.5099970000001"/>
    <n v="261754"/>
  </r>
  <r>
    <x v="0"/>
    <x v="2"/>
    <s v="blg_haca_mult_agile-boosting_cons-eng-thruplay_none-none_x_x_ym00437375_x_2025_blg_002_x"/>
    <s v="mult"/>
    <x v="0"/>
    <x v="1"/>
    <x v="0"/>
    <d v="2025-05-01T00:00:00"/>
    <d v="2025-05-20T00:00:00"/>
    <x v="47"/>
    <n v="177.49"/>
    <n v="30115"/>
  </r>
  <r>
    <x v="0"/>
    <x v="2"/>
    <s v="blg_haca_hydrasource_na_cons-tra-linkcli_none-none_na_na_ym00339376_q1-lctr_2024_bhs_001_x"/>
    <s v="hydrasource"/>
    <x v="4"/>
    <x v="2"/>
    <x v="0"/>
    <d v="2024-02-01T00:00:00"/>
    <d v="2024-02-22T00:00:00"/>
    <x v="59"/>
    <n v="3097.5500080000006"/>
    <n v="465216"/>
  </r>
  <r>
    <x v="0"/>
    <x v="2"/>
    <s v="blg_haca_bfr_fullrescue_cons-tra-linkcli_website-none_x_x_ym00458406_q2-q3_2025_bfr_001_x"/>
    <s v="bfr"/>
    <x v="1"/>
    <x v="1"/>
    <x v="0"/>
    <d v="2025-06-01T00:00:00"/>
    <d v="2025-06-08T00:00:00"/>
    <x v="18"/>
    <n v="1789.7300010000013"/>
    <n v="132762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3T00:00:00"/>
    <x v="30"/>
    <n v="717.4"/>
    <n v="105045"/>
  </r>
  <r>
    <x v="0"/>
    <x v="2"/>
    <s v="blg_haca_bfr_fullrescue_aw-aw-thruplay_none-none_x_x_ym00458406_q2-q3_2025_bfr_001_x"/>
    <s v="bfr"/>
    <x v="1"/>
    <x v="1"/>
    <x v="0"/>
    <d v="2025-06-01T00:00:00"/>
    <d v="2025-06-18T00:00:00"/>
    <x v="16"/>
    <n v="1448.7400000000005"/>
    <n v="224038"/>
  </r>
  <r>
    <x v="0"/>
    <x v="2"/>
    <s v="blg_haca_hys_hydrasource_aw-aw-thruplay_none-none_x_x_ym00427700_q2_2025_bhs_006_x"/>
    <s v="hys"/>
    <x v="4"/>
    <x v="1"/>
    <x v="1"/>
    <d v="2025-04-01T00:00:00"/>
    <d v="2025-04-19T00:00:00"/>
    <x v="36"/>
    <n v="346.35"/>
    <n v="14791"/>
  </r>
  <r>
    <x v="0"/>
    <x v="2"/>
    <s v="blg_haca_mult_agile-boosting_cons-eng-thruplay_none-none_x_x_ym00437375_x_2025_blg_002_x"/>
    <s v="mult"/>
    <x v="0"/>
    <x v="1"/>
    <x v="0"/>
    <d v="2025-04-01T00:00:00"/>
    <d v="2025-04-16T00:00:00"/>
    <x v="36"/>
    <n v="1072.1299959999999"/>
    <n v="242873"/>
  </r>
  <r>
    <x v="0"/>
    <x v="1"/>
    <s v="blg_haca_bfr_full-rescue_auc_aw-video-views_x_x_YM00458406_q2_2025_bfr_001_x"/>
    <s v="bfr"/>
    <x v="1"/>
    <x v="1"/>
    <x v="1"/>
    <d v="2025-06-01T00:00:00"/>
    <d v="2025-06-10T00:00:00"/>
    <x v="18"/>
    <n v="1682.03"/>
    <n v="256372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4T00:00:00"/>
    <x v="35"/>
    <n v="3001.8599990000012"/>
    <n v="267819"/>
  </r>
  <r>
    <x v="0"/>
    <x v="2"/>
    <s v="blg_haca_hys_hydrasource_aw-aw-thruplay_none-none_x_x_ym00427700_q2_2025_bhs_006_x"/>
    <s v="hys"/>
    <x v="4"/>
    <x v="1"/>
    <x v="1"/>
    <d v="2025-04-01T00:00:00"/>
    <d v="2025-04-27T00:00:00"/>
    <x v="19"/>
    <n v="394.13999999999982"/>
    <n v="15499"/>
  </r>
  <r>
    <x v="0"/>
    <x v="1"/>
    <s v="blg_haca_mult_ao-boosting_auc_aw-video-views_x_x_ym00437375_x_2025_blg_002_x"/>
    <s v="mult"/>
    <x v="0"/>
    <x v="1"/>
    <x v="0"/>
    <d v="2025-03-01T00:00:00"/>
    <d v="2025-03-18T00:00:00"/>
    <x v="13"/>
    <n v="1946.34"/>
    <n v="450609"/>
  </r>
  <r>
    <x v="0"/>
    <x v="2"/>
    <s v="blg_haca_scalp_bau_aw-aw-thruplay_website-viewcontent_na_na_ym00356549_q1-q2-vvr_2024_bcp_002_x"/>
    <s v="scalp"/>
    <x v="3"/>
    <x v="2"/>
    <x v="1"/>
    <d v="2024-03-01T00:00:00"/>
    <d v="2024-03-27T00:00:00"/>
    <x v="3"/>
    <n v="2258.3300000000004"/>
    <n v="496151"/>
  </r>
  <r>
    <x v="0"/>
    <x v="2"/>
    <s v="blg_haca_hydrasource_x_aw-aw-thruplay_none-none_x_x_ym00339376_q4_2024_bhs_001_x"/>
    <s v="hydrasource"/>
    <x v="4"/>
    <x v="2"/>
    <x v="0"/>
    <d v="2024-10-01T00:00:00"/>
    <d v="2024-10-02T00:00:00"/>
    <x v="31"/>
    <n v="3817.6099990000002"/>
    <n v="725321"/>
  </r>
  <r>
    <x v="0"/>
    <x v="2"/>
    <s v="blg_haca_scalp_bau_aw-aw-thruplay_website-viewcontent_na_na_ym00356549_q1-q2-vvr_2024_bcp_002_x"/>
    <s v="scalp"/>
    <x v="3"/>
    <x v="2"/>
    <x v="1"/>
    <d v="2024-03-01T00:00:00"/>
    <d v="2024-03-24T00:00:00"/>
    <x v="3"/>
    <n v="2401.75"/>
    <n v="529346"/>
  </r>
  <r>
    <x v="0"/>
    <x v="2"/>
    <s v="blg_haca_hys_hydrasource_cons-tra-linkcli_website-none_x_x_ym00427700_q2_2025_bhs_006_x"/>
    <s v="hys"/>
    <x v="4"/>
    <x v="1"/>
    <x v="0"/>
    <d v="2025-04-01T00:00:00"/>
    <d v="2025-04-01T00:00:00"/>
    <x v="26"/>
    <n v="2767.2600000000016"/>
    <n v="378968"/>
  </r>
  <r>
    <x v="0"/>
    <x v="2"/>
    <s v="blg_haca_bfr_fullrescue_cons-tra-linkcli_website-none_x_x_ym00458406_q2-q3_2025_bfr_001_x"/>
    <s v="bfr"/>
    <x v="1"/>
    <x v="1"/>
    <x v="0"/>
    <d v="2025-05-01T00:00:00"/>
    <d v="2025-05-05T00:00:00"/>
    <x v="12"/>
    <n v="1834.570001"/>
    <n v="134293"/>
  </r>
  <r>
    <x v="0"/>
    <x v="2"/>
    <s v="blg_haca_bfr_fullrescue_cons-tra-linkcli_website-none_x_x_ym00458406_q2-q3_2025_bfr_001_x"/>
    <s v="bfr"/>
    <x v="1"/>
    <x v="1"/>
    <x v="1"/>
    <d v="2025-06-01T00:00:00"/>
    <d v="2025-06-16T00:00:00"/>
    <x v="16"/>
    <n v="62.68"/>
    <n v="8809"/>
  </r>
  <r>
    <x v="0"/>
    <x v="2"/>
    <s v="blg_multi_na_elevate-me_cons-tra-linkcli_none-none_other_na_ym00329346_x_2023_x_x_"/>
    <s v="na"/>
    <x v="0"/>
    <x v="0"/>
    <x v="2"/>
    <d v="2023-11-01T00:00:00"/>
    <d v="2023-11-04T00:00:00"/>
    <x v="66"/>
    <n v="350.2"/>
    <n v="37912"/>
  </r>
  <r>
    <x v="0"/>
    <x v="1"/>
    <s v="blg_haca_mult_ao-boosting_auc_aw-video-views_x_x_ym00437375_x_2025_blg_002_x"/>
    <s v="mult"/>
    <x v="0"/>
    <x v="1"/>
    <x v="0"/>
    <d v="2025-03-01T00:00:00"/>
    <d v="2025-03-29T00:00:00"/>
    <x v="9"/>
    <n v="1999.53"/>
    <n v="494556"/>
  </r>
  <r>
    <x v="0"/>
    <x v="0"/>
    <s v="blg_othr_na_na_84570334_2023_q2_traffic_other_volumebloom-fulldensity+traffic"/>
    <s v="na"/>
    <x v="0"/>
    <x v="0"/>
    <x v="2"/>
    <d v="2023-07-01T00:00:00"/>
    <d v="2023-07-13T00:00:00"/>
    <x v="37"/>
    <n v="672.55525299999999"/>
    <n v="375654"/>
  </r>
  <r>
    <x v="0"/>
    <x v="2"/>
    <s v="blg_haca_bfr_fullrescue_aw-aw-thruplay_none-none_x_x_ym00458406_q2-q3_2025_bfr_001_x"/>
    <s v="bfr"/>
    <x v="1"/>
    <x v="1"/>
    <x v="0"/>
    <d v="2025-05-01T00:00:00"/>
    <d v="2025-05-15T00:00:00"/>
    <x v="17"/>
    <n v="1730.6699999999998"/>
    <n v="298216"/>
  </r>
  <r>
    <x v="0"/>
    <x v="2"/>
    <s v="blg_haca_bfr_fullrescue_cons-tra-linkcli_website-none_x_x_ym00458406_q2-q3_2025_bfr_001_x"/>
    <s v="bfr"/>
    <x v="1"/>
    <x v="1"/>
    <x v="1"/>
    <d v="2025-05-01T00:00:00"/>
    <d v="2025-05-25T00:00:00"/>
    <x v="8"/>
    <n v="11.1"/>
    <n v="1223"/>
  </r>
  <r>
    <x v="0"/>
    <x v="2"/>
    <s v="blg_multi_na_elevate-me_cons-tra-linkcli_none-none_other_na_ym00329346_x_2023_x_x_"/>
    <s v="na"/>
    <x v="0"/>
    <x v="0"/>
    <x v="2"/>
    <d v="2023-10-01T00:00:00"/>
    <d v="2023-10-28T00:00:00"/>
    <x v="72"/>
    <n v="358.93"/>
    <n v="32788"/>
  </r>
  <r>
    <x v="0"/>
    <x v="1"/>
    <s v="blg_haca_mult_ao-boosting_auc_aw-video-views_x_x_ym00437375_x_2025_blg_002_x"/>
    <s v="mult"/>
    <x v="0"/>
    <x v="1"/>
    <x v="0"/>
    <d v="2025-06-01T00:00:00"/>
    <d v="2025-06-08T00:00:00"/>
    <x v="18"/>
    <n v="1854.53"/>
    <n v="390405"/>
  </r>
  <r>
    <x v="0"/>
    <x v="2"/>
    <s v="blg_haca_mult_agile-boosting_cons-eng-thruplay_none-none_x_x_ym00437375_x_2025_blg_002_x"/>
    <s v="mult"/>
    <x v="0"/>
    <x v="1"/>
    <x v="0"/>
    <d v="2025-04-01T00:00:00"/>
    <d v="2025-04-19T00:00:00"/>
    <x v="36"/>
    <n v="1149.6899999999998"/>
    <n v="278745"/>
  </r>
  <r>
    <x v="0"/>
    <x v="1"/>
    <s v="blg_haca_mult_ao-boosting_auc_aw-video-views_x_x_ym00437375_x_2025_blg_002_x"/>
    <s v="mult"/>
    <x v="0"/>
    <x v="1"/>
    <x v="0"/>
    <d v="2025-05-01T00:00:00"/>
    <d v="2025-05-09T00:00:00"/>
    <x v="12"/>
    <n v="738.17"/>
    <n v="225914"/>
  </r>
  <r>
    <x v="0"/>
    <x v="2"/>
    <s v="blg_haca_mult_agile-boosting_cons-eng-thruplay_none-none_x_x_ym00437375_x_2025_blg_002_x"/>
    <s v="mult"/>
    <x v="0"/>
    <x v="1"/>
    <x v="0"/>
    <d v="2025-05-01T00:00:00"/>
    <d v="2025-05-23T00:00:00"/>
    <x v="47"/>
    <n v="127.87999999999998"/>
    <n v="20592"/>
  </r>
  <r>
    <x v="0"/>
    <x v="2"/>
    <s v="blg_haca_mult_agile-boosting_aw-aw-thruplay_none-none_x_x_ym00437375_x_2025_blg_002_x"/>
    <s v="mult"/>
    <x v="0"/>
    <x v="1"/>
    <x v="0"/>
    <d v="2025-02-01T00:00:00"/>
    <d v="2025-02-19T00:00:00"/>
    <x v="67"/>
    <n v="4994.849999"/>
    <n v="826170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8T00:00:00"/>
    <x v="28"/>
    <n v="1246.3600000000001"/>
    <n v="215841"/>
  </r>
  <r>
    <x v="0"/>
    <x v="2"/>
    <s v="blg_haca_mult_agile-boosting_cons-eng-thruplay_none-none_x_x_ym00437375_x_2025_blg_002_x"/>
    <s v="mult"/>
    <x v="0"/>
    <x v="1"/>
    <x v="1"/>
    <d v="2025-06-01T00:00:00"/>
    <d v="2025-06-12T00:00:00"/>
    <x v="18"/>
    <n v="1640.2199989999999"/>
    <n v="203032"/>
  </r>
  <r>
    <x v="0"/>
    <x v="2"/>
    <s v="blg_haca_bfr_fullrescue_cons-tra-linkcli_website-none_x_x_ym00458406_q2-q3_2025_bfr_001_x"/>
    <s v="bfr"/>
    <x v="1"/>
    <x v="1"/>
    <x v="0"/>
    <d v="2025-06-01T00:00:00"/>
    <d v="2025-06-04T00:00:00"/>
    <x v="10"/>
    <n v="1646.2999989999998"/>
    <n v="132566"/>
  </r>
  <r>
    <x v="0"/>
    <x v="1"/>
    <s v="blg_haca_hys_hydrasource_auc_aw-video-views_x_x_ym00427700_q2_2025_bhs_006_x"/>
    <s v="hys"/>
    <x v="4"/>
    <x v="1"/>
    <x v="0"/>
    <d v="2025-04-01T00:00:00"/>
    <d v="2025-04-11T00:00:00"/>
    <x v="23"/>
    <n v="2668.3"/>
    <n v="641091"/>
  </r>
  <r>
    <x v="0"/>
    <x v="2"/>
    <s v="blg_haca_scalp_reels-only_aw-aw-thruplay_website-viewcontent_na_na_ym00356549_q1-q2-vvr_2024_bcp_002_x"/>
    <s v="scalp"/>
    <x v="3"/>
    <x v="2"/>
    <x v="1"/>
    <d v="2024-03-01T00:00:00"/>
    <d v="2024-03-12T00:00:00"/>
    <x v="25"/>
    <n v="991.29000099999985"/>
    <n v="217111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7T00:00:00"/>
    <x v="39"/>
    <n v="2562.490002"/>
    <n v="341583"/>
  </r>
  <r>
    <x v="0"/>
    <x v="2"/>
    <s v="blg_haca_scalp_na_cons-tra-linkcli_none-none_na_na_ym00356549_q1-q2-lctr_2024_bcp_002_x"/>
    <s v="scalp"/>
    <x v="3"/>
    <x v="2"/>
    <x v="1"/>
    <d v="2024-04-01T00:00:00"/>
    <d v="2024-04-11T00:00:00"/>
    <x v="34"/>
    <n v="162.74999799999998"/>
    <n v="24181"/>
  </r>
  <r>
    <x v="0"/>
    <x v="0"/>
    <s v="blg_othr_na_na_84570334_2023_q2_traffic_other_volumebloom-fulldensity+traffic_v2"/>
    <s v="na"/>
    <x v="0"/>
    <x v="0"/>
    <x v="2"/>
    <d v="2023-08-01T00:00:00"/>
    <d v="2023-08-03T00:00:00"/>
    <x v="2"/>
    <n v="770.66540699999996"/>
    <n v="434114"/>
  </r>
  <r>
    <x v="0"/>
    <x v="1"/>
    <s v="blg_haca_bfr_full-rescue_auc_aw-video-views_x_x_YM00458406_q2_2025_bfr_001_x"/>
    <s v="bfr"/>
    <x v="1"/>
    <x v="1"/>
    <x v="0"/>
    <d v="2025-06-01T00:00:00"/>
    <d v="2025-06-24T00:00:00"/>
    <x v="7"/>
    <n v="302.16999999999996"/>
    <n v="49971"/>
  </r>
  <r>
    <x v="0"/>
    <x v="2"/>
    <s v="blg_haca_scalp_na_cons-tra-linkcli_none-none_na_na_ym00356549_q1-q2-lctr_2024_bcp_002_x"/>
    <s v="scalp"/>
    <x v="3"/>
    <x v="2"/>
    <x v="1"/>
    <d v="2024-04-01T00:00:00"/>
    <d v="2024-04-06T00:00:00"/>
    <x v="53"/>
    <n v="180.74000000000004"/>
    <n v="29024"/>
  </r>
  <r>
    <x v="0"/>
    <x v="2"/>
    <s v="blg_haca_hydrasource_x_aw-aw-thruplay_none-none_x_x_ym00339376_q4_2024_bhs_001_x"/>
    <s v="hydrasource"/>
    <x v="4"/>
    <x v="2"/>
    <x v="0"/>
    <d v="2024-09-01T00:00:00"/>
    <d v="2024-09-27T00:00:00"/>
    <x v="60"/>
    <n v="3411.7399989999994"/>
    <n v="581057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6T00:00:00"/>
    <x v="30"/>
    <n v="713.20000099999993"/>
    <n v="99553"/>
  </r>
  <r>
    <x v="0"/>
    <x v="2"/>
    <s v="blg_haca_bfr_fullrescue_cons-tra-linkcli_website-none_x_x_ym00458406_q2-q3_2025_bfr_001_x"/>
    <s v="bfr"/>
    <x v="1"/>
    <x v="1"/>
    <x v="1"/>
    <d v="2025-05-01T00:00:00"/>
    <d v="2025-05-13T00:00:00"/>
    <x v="17"/>
    <n v="8.11"/>
    <n v="948"/>
  </r>
  <r>
    <x v="0"/>
    <x v="2"/>
    <s v="blg_haca_mult_agile-boosting_cons-eng-thruplay_none-none_x_x_ym00437375_x_2025_blg_002_x"/>
    <s v="mult"/>
    <x v="0"/>
    <x v="1"/>
    <x v="0"/>
    <d v="2025-03-01T00:00:00"/>
    <d v="2025-03-16T00:00:00"/>
    <x v="13"/>
    <n v="2866.1699999999996"/>
    <n v="540435"/>
  </r>
  <r>
    <x v="0"/>
    <x v="2"/>
    <s v="blg_haca_hydrasource_na_cons-tra-linkcli_none-none_na_na_ym00339376_q1-lctr_2024_bhs_001_x"/>
    <s v="hydrasource"/>
    <x v="4"/>
    <x v="2"/>
    <x v="0"/>
    <d v="2024-02-01T00:00:00"/>
    <d v="2024-02-03T00:00:00"/>
    <x v="5"/>
    <n v="3259.2700039999991"/>
    <n v="525963"/>
  </r>
  <r>
    <x v="0"/>
    <x v="2"/>
    <s v="blg_haca_scalp_reels-only_aw-aw-thruplay_website-viewcontent_na_na_ym00356549_q1-q2-vvr_2024_bcp_002_x"/>
    <s v="scalp"/>
    <x v="3"/>
    <x v="2"/>
    <x v="0"/>
    <d v="2024-04-01T00:00:00"/>
    <d v="2024-04-16T00:00:00"/>
    <x v="24"/>
    <n v="665.70000099999993"/>
    <n v="165522"/>
  </r>
  <r>
    <x v="0"/>
    <x v="1"/>
    <s v="blg_haca_bfr_full-rescue_auc_aw-video-views_x_x_YM00458406_q2_2025_bfr_001_x"/>
    <s v="bfr"/>
    <x v="1"/>
    <x v="1"/>
    <x v="0"/>
    <d v="2025-06-01T00:00:00"/>
    <d v="2025-06-07T00:00:00"/>
    <x v="10"/>
    <n v="3.6599999999999997"/>
    <n v="840"/>
  </r>
  <r>
    <x v="0"/>
    <x v="2"/>
    <s v="blg_haca_hys_hydrasource_cons-tra-linkcli_website-none_x_x_ym00427700_q2_2025_bhs_006_x"/>
    <s v="hys"/>
    <x v="4"/>
    <x v="1"/>
    <x v="0"/>
    <d v="2025-04-01T00:00:00"/>
    <d v="2025-04-17T00:00:00"/>
    <x v="36"/>
    <n v="3822.7300000000023"/>
    <n v="341863"/>
  </r>
  <r>
    <x v="0"/>
    <x v="2"/>
    <s v="blg_haca_mult_agile-boosting_cons-eng-thruplay_none-none_x_x_ym00437375_x_2025_blg_002_x"/>
    <s v="mult"/>
    <x v="0"/>
    <x v="1"/>
    <x v="0"/>
    <d v="2025-03-01T00:00:00"/>
    <d v="2025-03-30T00:00:00"/>
    <x v="26"/>
    <n v="2854.2700000000004"/>
    <n v="191702"/>
  </r>
  <r>
    <x v="0"/>
    <x v="1"/>
    <s v="blg_haca_bfr_full-rescue_auc_aw-video-views_x_x_YM00458406_q2_2025_bfr_001_x"/>
    <s v="bfr"/>
    <x v="1"/>
    <x v="1"/>
    <x v="1"/>
    <d v="2025-06-01T00:00:00"/>
    <d v="2025-06-14T00:00:00"/>
    <x v="18"/>
    <n v="1678.9899999999998"/>
    <n v="217128"/>
  </r>
  <r>
    <x v="0"/>
    <x v="2"/>
    <s v="blg_haca_bfr_fullrescue_cons-tra-linkcli_website-none_x_x_ym00458406_q2-q3_2025_bfr_001_x"/>
    <s v="bfr"/>
    <x v="1"/>
    <x v="1"/>
    <x v="1"/>
    <d v="2025-06-01T00:00:00"/>
    <d v="2025-06-14T00:00:00"/>
    <x v="18"/>
    <n v="52.939999999999991"/>
    <n v="5959"/>
  </r>
  <r>
    <x v="0"/>
    <x v="2"/>
    <s v="blg_haca_mult_agile-boosting_cons-eng-thruplay_none-none_x_x_ym00437375_x_2025_blg_002_x"/>
    <s v="mult"/>
    <x v="0"/>
    <x v="1"/>
    <x v="0"/>
    <d v="2025-05-01T00:00:00"/>
    <d v="2025-05-16T00:00:00"/>
    <x v="17"/>
    <n v="268.10000000000002"/>
    <n v="45713"/>
  </r>
  <r>
    <x v="0"/>
    <x v="1"/>
    <s v="blg_haca_mult_ao-boosting_auc_aw-video-views_x_x_ym00437375_x_2025_blg_002_x"/>
    <s v="mult"/>
    <x v="0"/>
    <x v="1"/>
    <x v="0"/>
    <d v="2025-06-01T00:00:00"/>
    <d v="2025-06-10T00:00:00"/>
    <x v="18"/>
    <n v="1671.97"/>
    <n v="335501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15T00:00:00"/>
    <x v="55"/>
    <n v="506.13000000000005"/>
    <n v="81234"/>
  </r>
  <r>
    <x v="0"/>
    <x v="2"/>
    <s v="blg_haca_scalp_na_cons-tra-linkcli_none-none_na_na_ym00356549_q1-q2-lctr_2024_bcp_002_x"/>
    <s v="scalp"/>
    <x v="3"/>
    <x v="2"/>
    <x v="0"/>
    <d v="2024-03-01T00:00:00"/>
    <d v="2024-03-31T00:00:00"/>
    <x v="53"/>
    <n v="1668.9200040000001"/>
    <n v="277534"/>
  </r>
  <r>
    <x v="0"/>
    <x v="1"/>
    <s v="blg_haca_hys_hydrasource_auc_cons-traffic_x_x_ym00427700_q2_2025_bhs_006_x"/>
    <s v="hys"/>
    <x v="4"/>
    <x v="1"/>
    <x v="0"/>
    <d v="2025-04-01T00:00:00"/>
    <d v="2025-04-03T00:00:00"/>
    <x v="26"/>
    <n v="5110.5"/>
    <n v="1186264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07T00:00:00"/>
    <x v="54"/>
    <n v="3597.9300030000004"/>
    <n v="545598"/>
  </r>
  <r>
    <x v="0"/>
    <x v="0"/>
    <s v="blg_haca_bfr_fullrescue-bonus_aw-awareness_x_bonus-q2_2025_x_x_x"/>
    <s v="bfr"/>
    <x v="1"/>
    <x v="1"/>
    <x v="0"/>
    <d v="2025-06-01T00:00:00"/>
    <d v="2025-06-04T00:00:00"/>
    <x v="10"/>
    <n v="1317.666164"/>
    <n v="643490"/>
  </r>
  <r>
    <x v="0"/>
    <x v="1"/>
    <s v="blg_haca_mult_ao-boosting_auc_aw-video-views_x_x_ym00437375_x_2025_blg_002_x"/>
    <s v="mult"/>
    <x v="0"/>
    <x v="1"/>
    <x v="0"/>
    <d v="2025-06-01T00:00:00"/>
    <d v="2025-06-09T00:00:00"/>
    <x v="18"/>
    <n v="1639.42"/>
    <n v="347354"/>
  </r>
  <r>
    <x v="0"/>
    <x v="0"/>
    <s v="blg_othr_na_na_84570334_2023_q2_conversion-non-promo_other_amazon+ulta+conversion_v2"/>
    <s v="na"/>
    <x v="0"/>
    <x v="0"/>
    <x v="1"/>
    <d v="2023-08-01T00:00:00"/>
    <d v="2023-08-03T00:00:00"/>
    <x v="2"/>
    <n v="1264.3262910000001"/>
    <n v="145051"/>
  </r>
  <r>
    <x v="0"/>
    <x v="0"/>
    <s v="blg_othr_na_na_84570334_2023_q2_conversion-non-promo_other_amazon+ulta+conversion_v2"/>
    <s v="na"/>
    <x v="0"/>
    <x v="0"/>
    <x v="0"/>
    <d v="2023-08-01T00:00:00"/>
    <d v="2023-08-08T00:00:00"/>
    <x v="4"/>
    <n v="344.39223800000002"/>
    <n v="154105"/>
  </r>
  <r>
    <x v="0"/>
    <x v="2"/>
    <s v="blg_haca_bfr_fullrescue_cons-tra-linkcli_website-none_x_x_ym00458406_q2-q3_2025_bfr_001_x"/>
    <s v="bfr"/>
    <x v="1"/>
    <x v="1"/>
    <x v="0"/>
    <d v="2025-06-01T00:00:00"/>
    <d v="2025-06-19T00:00:00"/>
    <x v="16"/>
    <n v="1660.0299999999997"/>
    <n v="131554"/>
  </r>
  <r>
    <x v="0"/>
    <x v="1"/>
    <s v="blg_haca_hys_hydrasource_auc_aw-video-views_x_x_ym00427700_q2_2025_bhs_006_x"/>
    <s v="hys"/>
    <x v="4"/>
    <x v="1"/>
    <x v="0"/>
    <d v="2025-04-01T00:00:00"/>
    <d v="2025-04-07T00:00:00"/>
    <x v="23"/>
    <n v="1471.9299999999998"/>
    <n v="307143"/>
  </r>
  <r>
    <x v="0"/>
    <x v="0"/>
    <s v="blg_othr_na_na_84570334_2023_q2_traffic_other_volumebloom-fulldensity+traffic_v2"/>
    <s v="na"/>
    <x v="0"/>
    <x v="0"/>
    <x v="2"/>
    <d v="2023-08-01T00:00:00"/>
    <d v="2023-08-19T00:00:00"/>
    <x v="30"/>
    <n v="760.06901100000005"/>
    <n v="313658"/>
  </r>
  <r>
    <x v="0"/>
    <x v="2"/>
    <s v="blg_haca_mult_bf-cyber-leadup_cons-tra-linkcli_website-none_promotion_x_ym00384930_q4_2024_blg_001_x"/>
    <s v="mult"/>
    <x v="0"/>
    <x v="2"/>
    <x v="0"/>
    <d v="2024-11-01T00:00:00"/>
    <d v="2024-11-23T00:00:00"/>
    <x v="58"/>
    <n v="6304.5599999999995"/>
    <n v="483471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20T00:00:00"/>
    <x v="45"/>
    <n v="1979.5300030000001"/>
    <n v="131627"/>
  </r>
  <r>
    <x v="0"/>
    <x v="2"/>
    <s v="blg_haca_bfr_fullrescue_aw-aw-thruplay_none-none_x_x_ym00458406_q2-q3_2025_bfr_001_x"/>
    <s v="bfr"/>
    <x v="1"/>
    <x v="1"/>
    <x v="1"/>
    <d v="2025-05-01T00:00:00"/>
    <d v="2025-05-05T00:00:00"/>
    <x v="12"/>
    <n v="1340.3"/>
    <n v="369657"/>
  </r>
  <r>
    <x v="0"/>
    <x v="1"/>
    <s v="blg_haca_bfr_full-rescue_auc_aw-video-views_x_x_YM00458406_q2_2025_bfr_001_x"/>
    <s v="bfr"/>
    <x v="1"/>
    <x v="1"/>
    <x v="1"/>
    <d v="2025-06-01T00:00:00"/>
    <d v="2025-06-02T00:00:00"/>
    <x v="10"/>
    <n v="1132.7000000000003"/>
    <n v="191755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08T00:00:00"/>
    <x v="54"/>
    <n v="3179.4500040000003"/>
    <n v="544002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17T00:00:00"/>
    <x v="45"/>
    <n v="2087.9500000000003"/>
    <n v="146784"/>
  </r>
  <r>
    <x v="0"/>
    <x v="2"/>
    <s v="blg_haca_bond-therapy_na_aw-aw-thruplay_none-viewcontent_na_na_ym87093418_vvr-q4_2023_x_x_x"/>
    <s v="bond-therapy"/>
    <x v="5"/>
    <x v="0"/>
    <x v="2"/>
    <d v="2023-12-01T00:00:00"/>
    <d v="2023-12-17T00:00:00"/>
    <x v="28"/>
    <n v="3070.2800010000005"/>
    <n v="537344"/>
  </r>
  <r>
    <x v="0"/>
    <x v="2"/>
    <s v="blg_multi_na_elevate-me_cons-tra-linkcli_none-none_other_na_ym00329346_x_2023_x_x_"/>
    <s v="na"/>
    <x v="0"/>
    <x v="0"/>
    <x v="2"/>
    <d v="2023-11-01T00:00:00"/>
    <d v="2023-11-05T00:00:00"/>
    <x v="63"/>
    <n v="377.04999400000003"/>
    <n v="42438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2T00:00:00"/>
    <x v="33"/>
    <n v="3054.4700050000006"/>
    <n v="303341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2T00:00:00"/>
    <x v="33"/>
    <n v="1868.9000029999997"/>
    <n v="116718"/>
  </r>
  <r>
    <x v="0"/>
    <x v="2"/>
    <s v="blg_haca_hydrasource_bau_aw-aw-thruplay_none-none_na_na_ym00339376_q1-vvr_2024_bhs_001_x"/>
    <s v="hydrasource"/>
    <x v="4"/>
    <x v="2"/>
    <x v="2"/>
    <d v="2024-02-01T00:00:00"/>
    <d v="2024-02-01T00:00:00"/>
    <x v="5"/>
    <n v="1415.5900039999999"/>
    <n v="278255"/>
  </r>
  <r>
    <x v="0"/>
    <x v="2"/>
    <s v="blg_haca_hydrasource_bau_aw-aw-thruplay_none-none_na_na_ym00339376_q1-vvr_2024_bhs_001_x"/>
    <s v="hydrasource"/>
    <x v="4"/>
    <x v="2"/>
    <x v="2"/>
    <d v="2024-01-01T00:00:00"/>
    <d v="2024-01-16T00:00:00"/>
    <x v="57"/>
    <n v="1445.83"/>
    <n v="482100"/>
  </r>
  <r>
    <x v="0"/>
    <x v="1"/>
    <s v="blg_haca_bfr_full-rescue-pulse_res_aw-reach_x_x_ym00458406_q2_2025_bfr_001_x"/>
    <s v="bfr"/>
    <x v="1"/>
    <x v="1"/>
    <x v="1"/>
    <d v="2025-06-01T00:00:00"/>
    <d v="2025-06-07T00:00:00"/>
    <x v="10"/>
    <n v="14441.68"/>
    <n v="1046493"/>
  </r>
  <r>
    <x v="0"/>
    <x v="0"/>
    <s v="blg_othr_na_na_84570334_2023_q2_traffic_other_volumebloom-fulldensity+traffic_v2"/>
    <s v="na"/>
    <x v="0"/>
    <x v="0"/>
    <x v="2"/>
    <d v="2023-08-01T00:00:00"/>
    <d v="2023-08-13T00:00:00"/>
    <x v="30"/>
    <n v="767.53109900000004"/>
    <n v="300539"/>
  </r>
  <r>
    <x v="0"/>
    <x v="2"/>
    <s v="blg_haca_mult_agile-boosting_cons-eng-thruplay_none-none_x_x_ym00437375_x_2025_blg_002_x"/>
    <s v="mult"/>
    <x v="0"/>
    <x v="1"/>
    <x v="1"/>
    <d v="2025-06-01T00:00:00"/>
    <d v="2025-06-18T00:00:00"/>
    <x v="16"/>
    <n v="1656.4499980000001"/>
    <n v="210849"/>
  </r>
  <r>
    <x v="0"/>
    <x v="0"/>
    <s v="blg_haca_bfr_fullrescue-bonus_aw-awareness_x_bonus-q2_2025_x_x_x"/>
    <s v="bfr"/>
    <x v="1"/>
    <x v="1"/>
    <x v="1"/>
    <d v="2025-06-01T00:00:00"/>
    <d v="2025-06-14T00:00:00"/>
    <x v="18"/>
    <n v="399.18742500000008"/>
    <n v="186457"/>
  </r>
  <r>
    <x v="0"/>
    <x v="2"/>
    <s v="blg_haca_bfr_fullrescue_cons-tra-linkcli_website-none_x_x_ym00458406_q2-q3_2025_bfr_001_x"/>
    <s v="bfr"/>
    <x v="1"/>
    <x v="1"/>
    <x v="0"/>
    <d v="2025-05-01T00:00:00"/>
    <d v="2025-05-16T00:00:00"/>
    <x v="17"/>
    <n v="1741.86"/>
    <n v="145315"/>
  </r>
  <r>
    <x v="0"/>
    <x v="2"/>
    <s v="blg_haca_bond-therapy_na_aw-aw-thruplay_none-viewcontent_na_na_ym87093418_vvr-q4_2023_x_x_x"/>
    <s v="bond-therapy"/>
    <x v="5"/>
    <x v="0"/>
    <x v="2"/>
    <d v="2023-11-01T00:00:00"/>
    <d v="2023-11-22T00:00:00"/>
    <x v="35"/>
    <n v="2782.0300029999994"/>
    <n v="448877"/>
  </r>
  <r>
    <x v="0"/>
    <x v="2"/>
    <s v="blg_haca_bond-therapy_na_aw-aw-thruplay_none-viewcontent_na_na_ym87093418_vvr-q4_2023_x_x_x"/>
    <s v="bond-therapy"/>
    <x v="5"/>
    <x v="0"/>
    <x v="2"/>
    <d v="2023-11-01T00:00:00"/>
    <d v="2023-11-18T00:00:00"/>
    <x v="55"/>
    <n v="2960.6999999999994"/>
    <n v="454258"/>
  </r>
  <r>
    <x v="0"/>
    <x v="0"/>
    <s v="blg_haca_scalp-sync_awareness_aw-awareness_ym00356548_all_2024_bcp_004_x"/>
    <s v="scalp-sync"/>
    <x v="3"/>
    <x v="2"/>
    <x v="2"/>
    <d v="2024-05-01T00:00:00"/>
    <d v="2024-05-31T00:00:00"/>
    <x v="65"/>
    <n v="3285.4748680000007"/>
    <n v="1212365"/>
  </r>
  <r>
    <x v="0"/>
    <x v="2"/>
    <s v="blg_haca_mult_bf-cyber-reminder_cons-eng-posteng_onad-none_promotion_x_ym00384930_q4_2024_blg_001_x"/>
    <s v="mult"/>
    <x v="0"/>
    <x v="2"/>
    <x v="2"/>
    <d v="2024-11-01T00:00:00"/>
    <d v="2024-11-22T00:00:00"/>
    <x v="58"/>
    <n v="9802.7500040000032"/>
    <n v="803901"/>
  </r>
  <r>
    <x v="0"/>
    <x v="1"/>
    <s v="blg_haca_mult_ao-boosting_auc_aw-video-views_x_x_ym00437375_x_2025_blg_002_x"/>
    <s v="mult"/>
    <x v="0"/>
    <x v="1"/>
    <x v="0"/>
    <d v="2025-05-01T00:00:00"/>
    <d v="2025-05-11T00:00:00"/>
    <x v="17"/>
    <n v="746.53"/>
    <n v="252623"/>
  </r>
  <r>
    <x v="0"/>
    <x v="2"/>
    <s v="blg_haca_hydrasource_bau_aw-aw-thruplay_none-none_na_na_ym00339376_q1-vvr_2024_bhs_001_x"/>
    <s v="hydrasource"/>
    <x v="4"/>
    <x v="2"/>
    <x v="2"/>
    <d v="2024-01-01T00:00:00"/>
    <d v="2024-01-20T00:00:00"/>
    <x v="57"/>
    <n v="1537.9499999999996"/>
    <n v="480851"/>
  </r>
  <r>
    <x v="0"/>
    <x v="2"/>
    <s v="blg_haca_hydrasource_bau_aw-aw-thruplay_none-none_na_na_ym00339376_q1-vvr_2024_bhs_001_x"/>
    <s v="hydrasource"/>
    <x v="4"/>
    <x v="2"/>
    <x v="2"/>
    <d v="2024-02-01T00:00:00"/>
    <d v="2024-02-25T00:00:00"/>
    <x v="29"/>
    <n v="1321.530002"/>
    <n v="198355"/>
  </r>
  <r>
    <x v="0"/>
    <x v="2"/>
    <s v="blg_haca_prime-day_lead-up-cell-2_aw-aw-thruplay_none-viewcontent_x_lla_ym00384930_x_2024_blg_001_x"/>
    <s v="prime-day"/>
    <x v="6"/>
    <x v="2"/>
    <x v="1"/>
    <d v="2024-07-01T00:00:00"/>
    <d v="2024-07-07T00:00:00"/>
    <x v="54"/>
    <n v="2640.329999"/>
    <n v="313135"/>
  </r>
  <r>
    <x v="0"/>
    <x v="2"/>
    <s v="blg_haca_scalp_na_cons-tra-linkcli_none-none_na_na_ym00356549_q1-q2-lctr_2024_bcp_002_x"/>
    <s v="scalp"/>
    <x v="3"/>
    <x v="2"/>
    <x v="1"/>
    <d v="2024-03-01T00:00:00"/>
    <d v="2024-03-12T00:00:00"/>
    <x v="25"/>
    <n v="1639.1600120000001"/>
    <n v="227459"/>
  </r>
  <r>
    <x v="0"/>
    <x v="2"/>
    <s v="blg_haca_bond-therapy_na_aw-aw-thruplay_none-viewcontent_na_na_ym87093418_vvr-q4_2023_x_x_x"/>
    <s v="bond-therapy"/>
    <x v="5"/>
    <x v="0"/>
    <x v="2"/>
    <d v="2023-11-01T00:00:00"/>
    <d v="2023-11-23T00:00:00"/>
    <x v="35"/>
    <n v="2889.7100010000004"/>
    <n v="451380"/>
  </r>
  <r>
    <x v="0"/>
    <x v="2"/>
    <s v="blg_haca_hys_hydrasource_cons-tra-linkcli_website-none_x_x_ym00427700_q2_2025_bhs_006_x"/>
    <s v="hys"/>
    <x v="4"/>
    <x v="1"/>
    <x v="0"/>
    <d v="2025-04-01T00:00:00"/>
    <d v="2025-04-08T00:00:00"/>
    <x v="23"/>
    <n v="3705.2500000000014"/>
    <n v="442046"/>
  </r>
  <r>
    <x v="0"/>
    <x v="2"/>
    <s v="blg_haca_bfr_fullrescue_aw-aw-thruplay_none-none_x_x_ym00458406_q2-q3_2025_bfr_001_x"/>
    <s v="bfr"/>
    <x v="1"/>
    <x v="1"/>
    <x v="1"/>
    <d v="2025-06-01T00:00:00"/>
    <d v="2025-06-01T00:00:00"/>
    <x v="10"/>
    <n v="72.310001"/>
    <n v="2695"/>
  </r>
  <r>
    <x v="0"/>
    <x v="2"/>
    <s v="blg_haca_hydrasource_bau_aw-aw-thruplay_none-none_na_na_ym00339376_q1-vvr_2024_bhs_001_x"/>
    <s v="hydrasource"/>
    <x v="4"/>
    <x v="2"/>
    <x v="2"/>
    <d v="2024-01-01T00:00:00"/>
    <d v="2024-01-29T00:00:00"/>
    <x v="5"/>
    <n v="1480.6200019999999"/>
    <n v="319622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7T00:00:00"/>
    <x v="42"/>
    <n v="2592.7299969999999"/>
    <n v="352902"/>
  </r>
  <r>
    <x v="0"/>
    <x v="1"/>
    <s v="blg_haca_mult_ao-boosting_auc_aw-video-views_x_x_ym00437375_x_2025_blg_002_x"/>
    <s v="mult"/>
    <x v="0"/>
    <x v="1"/>
    <x v="0"/>
    <d v="2025-05-01T00:00:00"/>
    <d v="2025-05-15T00:00:00"/>
    <x v="17"/>
    <n v="2158.0899999999997"/>
    <n v="526943"/>
  </r>
  <r>
    <x v="0"/>
    <x v="0"/>
    <s v="blg_othr_na_na_84570334_2023_q2_conversion-non-promo_other_amazon+ulta+conversion_v2"/>
    <s v="na"/>
    <x v="0"/>
    <x v="0"/>
    <x v="0"/>
    <d v="2023-08-01T00:00:00"/>
    <d v="2023-08-16T00:00:00"/>
    <x v="30"/>
    <n v="302.48611599999998"/>
    <n v="89029"/>
  </r>
  <r>
    <x v="0"/>
    <x v="0"/>
    <s v="blg_othr_na_na_84570334_2023_q2_conversion-non-promo_other_amazon+ulta+conversion_v2"/>
    <s v="na"/>
    <x v="0"/>
    <x v="0"/>
    <x v="0"/>
    <d v="2023-07-01T00:00:00"/>
    <d v="2023-07-22T00:00:00"/>
    <x v="42"/>
    <n v="138.785855"/>
    <n v="53739"/>
  </r>
  <r>
    <x v="0"/>
    <x v="2"/>
    <s v="blg_haca_hydrasource_reelsonly_aw-aw-thruplay_none-none_na_na_ym00339376_q1-vvr_2024_bhs_001_x"/>
    <s v="hydrasource"/>
    <x v="4"/>
    <x v="2"/>
    <x v="0"/>
    <d v="2024-02-01T00:00:00"/>
    <d v="2024-02-24T00:00:00"/>
    <x v="59"/>
    <n v="952.68999999999994"/>
    <n v="191205"/>
  </r>
  <r>
    <x v="0"/>
    <x v="2"/>
    <s v="blg_haca_bfr_fullrescue_cons-tra-linkcli_website-none_x_x_ym00458406_q2-q3_2025_bfr_001_x"/>
    <s v="bfr"/>
    <x v="1"/>
    <x v="1"/>
    <x v="0"/>
    <d v="2025-05-01T00:00:00"/>
    <d v="2025-05-10T00:00:00"/>
    <x v="12"/>
    <n v="1853.78"/>
    <n v="137091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4T00:00:00"/>
    <x v="37"/>
    <n v="2067.7399999999998"/>
    <n v="365962"/>
  </r>
  <r>
    <x v="0"/>
    <x v="2"/>
    <s v="blg_haca_mult_bf-cyber-leadup_cons-tra-linkcli_website-none_promotion_x_ym00384930_q4_2024_blg_001_x"/>
    <s v="mult"/>
    <x v="0"/>
    <x v="2"/>
    <x v="0"/>
    <d v="2024-11-01T00:00:00"/>
    <d v="2024-11-30T00:00:00"/>
    <x v="51"/>
    <n v="6436.3500030000005"/>
    <n v="452368"/>
  </r>
  <r>
    <x v="0"/>
    <x v="2"/>
    <s v="blg_haca_bfr_fullrescue_aw-aw-thruplay_none-none_x_x_ym00458406_q2-q3_2025_bfr_001_x"/>
    <s v="bfr"/>
    <x v="1"/>
    <x v="1"/>
    <x v="1"/>
    <d v="2025-06-01T00:00:00"/>
    <d v="2025-06-15T00:00:00"/>
    <x v="16"/>
    <n v="1082.349997"/>
    <n v="159790"/>
  </r>
  <r>
    <x v="0"/>
    <x v="2"/>
    <s v="blg_haca_scalp_reels-only_aw-aw-thruplay_website-viewcontent_na_na_ym00356549_q1-q2-vvr_2024_bcp_002_x"/>
    <s v="scalp"/>
    <x v="3"/>
    <x v="2"/>
    <x v="1"/>
    <d v="2024-04-01T00:00:00"/>
    <d v="2024-04-04T00:00:00"/>
    <x v="53"/>
    <n v="228.93"/>
    <n v="58532"/>
  </r>
  <r>
    <x v="0"/>
    <x v="2"/>
    <s v="blg_haca_hys_hydrasource_aw-aw-thruplay_none-none_x_x_ym00427700_q2_2025_bhs_006_x"/>
    <s v="hys"/>
    <x v="4"/>
    <x v="1"/>
    <x v="1"/>
    <d v="2025-04-01T00:00:00"/>
    <d v="2025-04-26T00:00:00"/>
    <x v="11"/>
    <n v="493.46000000000004"/>
    <n v="21448"/>
  </r>
  <r>
    <x v="0"/>
    <x v="0"/>
    <s v="blg_othr_na_na_84570334_2023_q2_conversion-non-promo_other_amazon+ulta+conversion"/>
    <s v="na"/>
    <x v="0"/>
    <x v="0"/>
    <x v="0"/>
    <d v="2023-07-01T00:00:00"/>
    <d v="2023-07-11T00:00:00"/>
    <x v="37"/>
    <n v="695.97343499999999"/>
    <n v="136995"/>
  </r>
  <r>
    <x v="0"/>
    <x v="2"/>
    <s v="blg_haca_mult_agile-boosting_cons-eng-thruplay_none-none_x_x_ym00437375_x_2025_blg_002_x"/>
    <s v="mult"/>
    <x v="0"/>
    <x v="1"/>
    <x v="0"/>
    <d v="2025-04-01T00:00:00"/>
    <d v="2025-04-17T00:00:00"/>
    <x v="36"/>
    <n v="1029.079999"/>
    <n v="235031"/>
  </r>
  <r>
    <x v="0"/>
    <x v="2"/>
    <s v="blg_haca_scalp_reels-only_aw-aw-thruplay_website-viewcontent_na_na_ym00356549_q1-q2-vvr_2024_bcp_002_x"/>
    <s v="scalp"/>
    <x v="3"/>
    <x v="2"/>
    <x v="1"/>
    <d v="2024-03-01T00:00:00"/>
    <d v="2024-03-22T00:00:00"/>
    <x v="64"/>
    <n v="924.04999999999984"/>
    <n v="203153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3T00:00:00"/>
    <x v="30"/>
    <n v="4030.29"/>
    <n v="653573"/>
  </r>
  <r>
    <x v="0"/>
    <x v="2"/>
    <s v="blg_haca_bfr_fullrescue_aw-aw-thruplay_none-none_x_x_ym00458406_q2-q3_2025_bfr_001_x"/>
    <s v="bfr"/>
    <x v="1"/>
    <x v="1"/>
    <x v="1"/>
    <d v="2025-06-01T00:00:00"/>
    <d v="2025-06-10T00:00:00"/>
    <x v="18"/>
    <n v="1371.9499990000002"/>
    <n v="199634"/>
  </r>
  <r>
    <x v="0"/>
    <x v="0"/>
    <s v="blg_haca_scalp-sync_awareness_aw-awareness_ym00356548_all_2024_bcp_004_x"/>
    <s v="scalp-sync"/>
    <x v="3"/>
    <x v="2"/>
    <x v="2"/>
    <d v="2024-04-01T00:00:00"/>
    <d v="2024-04-24T00:00:00"/>
    <x v="50"/>
    <n v="3354.0008330000001"/>
    <n v="1561980"/>
  </r>
  <r>
    <x v="0"/>
    <x v="2"/>
    <s v="blg_haca_hydrasource_na_cons-tra-linkcli_none-none_na_na_ym00339376_q1-lctr_2024_bhs_001_x"/>
    <s v="hydrasource"/>
    <x v="4"/>
    <x v="2"/>
    <x v="0"/>
    <d v="2024-01-01T00:00:00"/>
    <d v="2024-01-27T00:00:00"/>
    <x v="15"/>
    <n v="3304.3500049999993"/>
    <n v="595727"/>
  </r>
  <r>
    <x v="0"/>
    <x v="2"/>
    <s v="blg_haca_scalp_reels-only_aw-aw-thruplay_website-viewcontent_na_na_ym00356549_q1-q2-vvr_2024_bcp_002_x"/>
    <s v="scalp"/>
    <x v="3"/>
    <x v="2"/>
    <x v="1"/>
    <d v="2024-03-01T00:00:00"/>
    <d v="2024-03-20T00:00:00"/>
    <x v="64"/>
    <n v="1006.7200030000001"/>
    <n v="224440"/>
  </r>
  <r>
    <x v="0"/>
    <x v="2"/>
    <s v="blg_haca_bfr_fullrescue_aw-aw-thruplay_none-none_x_x_ym00458406_q2-q3_2025_bfr_001_x"/>
    <s v="bfr"/>
    <x v="1"/>
    <x v="1"/>
    <x v="1"/>
    <d v="2025-06-01T00:00:00"/>
    <d v="2025-06-25T00:00:00"/>
    <x v="7"/>
    <n v="1216.8100000000002"/>
    <n v="206817"/>
  </r>
  <r>
    <x v="0"/>
    <x v="2"/>
    <s v="blg_haca_bfr_fullrescue_cons-tra-linkcli_website-none_x_x_ym00458406_q2-q3_2025_bfr_001_x"/>
    <s v="bfr"/>
    <x v="1"/>
    <x v="1"/>
    <x v="1"/>
    <d v="2025-05-01T00:00:00"/>
    <d v="2025-05-23T00:00:00"/>
    <x v="47"/>
    <n v="9.6599999999999984"/>
    <n v="1051"/>
  </r>
  <r>
    <x v="0"/>
    <x v="1"/>
    <s v="blg_haca_bfr_full-rescue_auc_aw-video-views_x_x_YM00458406_q2_2025_bfr_001_x"/>
    <s v="bfr"/>
    <x v="1"/>
    <x v="1"/>
    <x v="1"/>
    <d v="2025-06-01T00:00:00"/>
    <d v="2025-06-04T00:00:00"/>
    <x v="10"/>
    <n v="1704.83"/>
    <n v="230179"/>
  </r>
  <r>
    <x v="0"/>
    <x v="2"/>
    <s v="blg_haca_scalp_reels-only_aw-aw-thruplay_website-viewcontent_na_na_ym00356549_q1-q2-vvr_2024_bcp_002_x"/>
    <s v="scalp"/>
    <x v="3"/>
    <x v="2"/>
    <x v="0"/>
    <d v="2024-03-01T00:00:00"/>
    <d v="2024-03-27T00:00:00"/>
    <x v="3"/>
    <n v="649.379998"/>
    <n v="139689"/>
  </r>
  <r>
    <x v="0"/>
    <x v="1"/>
    <s v="blg_haca_bfr_full-rescue_auc_cons-traffic_x_x_YM00458406_q2_2025_bfr_001_x"/>
    <s v="bfr"/>
    <x v="1"/>
    <x v="1"/>
    <x v="0"/>
    <d v="2025-06-01T00:00:00"/>
    <d v="2025-06-24T00:00:00"/>
    <x v="7"/>
    <n v="1862.2799999999997"/>
    <n v="334494"/>
  </r>
  <r>
    <x v="0"/>
    <x v="2"/>
    <s v="blg_haca_bfr_fullrescue_aw-aw-thruplay_none-none_x_x_ym00458406_q2-q3_2025_bfr_001_x"/>
    <s v="bfr"/>
    <x v="1"/>
    <x v="1"/>
    <x v="0"/>
    <d v="2025-06-01T00:00:00"/>
    <d v="2025-06-24T00:00:00"/>
    <x v="7"/>
    <n v="1206.3699979999999"/>
    <n v="198180"/>
  </r>
  <r>
    <x v="0"/>
    <x v="0"/>
    <s v="blg_othr_na_na_84570334_2023_q2_traffic_other_volumebloom-fulldensity+traffic_JBP"/>
    <s v="na"/>
    <x v="0"/>
    <x v="0"/>
    <x v="2"/>
    <d v="2023-08-01T00:00:00"/>
    <d v="2023-08-23T00:00:00"/>
    <x v="0"/>
    <n v="1777.0951499999999"/>
    <n v="521003"/>
  </r>
  <r>
    <x v="0"/>
    <x v="2"/>
    <s v="blg_haca_mult_agile-boosting_cons-eng-thruplay_none-none_x_x_ym00437375_x_2025_blg_002_x"/>
    <s v="mult"/>
    <x v="0"/>
    <x v="1"/>
    <x v="0"/>
    <d v="2025-04-01T00:00:00"/>
    <d v="2025-04-29T00:00:00"/>
    <x v="19"/>
    <n v="728.42"/>
    <n v="159072"/>
  </r>
  <r>
    <x v="0"/>
    <x v="2"/>
    <s v="blg_haca_bfr_fullrescue_cons-tra-linkcli_website-none_x_x_ym00458406_q2-q3_2025_bfr_001_x"/>
    <s v="bfr"/>
    <x v="1"/>
    <x v="1"/>
    <x v="1"/>
    <d v="2025-06-01T00:00:00"/>
    <d v="2025-06-11T00:00:00"/>
    <x v="18"/>
    <n v="10.11"/>
    <n v="1147"/>
  </r>
  <r>
    <x v="0"/>
    <x v="0"/>
    <s v="blg_haca_scalp-sync_traffic_cons-consideration_ym00356548_all_2024_bcp_004_x"/>
    <s v="scalp-sync"/>
    <x v="3"/>
    <x v="2"/>
    <x v="0"/>
    <d v="2024-05-01T00:00:00"/>
    <d v="2024-05-07T00:00:00"/>
    <x v="49"/>
    <n v="1708.8288790000001"/>
    <n v="492455"/>
  </r>
  <r>
    <x v="0"/>
    <x v="2"/>
    <s v="blg_haca_hydrasource_x_aw-aw-thruplay_none-none_x_x_ym00339376_q4_2024_bhs_001_x"/>
    <s v="hydrasource"/>
    <x v="4"/>
    <x v="2"/>
    <x v="0"/>
    <d v="2024-10-01T00:00:00"/>
    <d v="2024-10-12T00:00:00"/>
    <x v="27"/>
    <n v="3519.2300029999997"/>
    <n v="652360"/>
  </r>
  <r>
    <x v="0"/>
    <x v="2"/>
    <s v="blg_haca_bfr_fullrescue_aw-aw-thruplay_none-none_x_x_ym00458406_q2-q3_2025_bfr_001_x"/>
    <s v="bfr"/>
    <x v="1"/>
    <x v="1"/>
    <x v="0"/>
    <d v="2025-05-01T00:00:00"/>
    <d v="2025-05-08T00:00:00"/>
    <x v="12"/>
    <n v="1513.4999999999995"/>
    <n v="282485"/>
  </r>
  <r>
    <x v="0"/>
    <x v="0"/>
    <s v="blg_othr_na_na_84570334_2023_q2_traffic_other_volumebloom-fulldensity+traffic_JBP"/>
    <s v="na"/>
    <x v="0"/>
    <x v="0"/>
    <x v="2"/>
    <d v="2023-08-01T00:00:00"/>
    <d v="2023-08-29T00:00:00"/>
    <x v="52"/>
    <n v="1768.44011"/>
    <n v="504206"/>
  </r>
  <r>
    <x v="0"/>
    <x v="2"/>
    <s v="blg_haca_scalp_bau_aw-aw-thruplay_website-viewcontent_na_na_ym00356549_q1-q2-vvr_2024_bcp_002_x"/>
    <s v="scalp"/>
    <x v="3"/>
    <x v="2"/>
    <x v="1"/>
    <d v="2024-03-01T00:00:00"/>
    <d v="2024-03-26T00:00:00"/>
    <x v="3"/>
    <n v="2269.8300010000003"/>
    <n v="522042"/>
  </r>
  <r>
    <x v="0"/>
    <x v="1"/>
    <s v="blg_haca_bfr_full-rescue_auc_aw-video-views_x_x_YM00458406_q2_2025_bfr_001_x"/>
    <s v="bfr"/>
    <x v="1"/>
    <x v="1"/>
    <x v="0"/>
    <d v="2025-06-01T00:00:00"/>
    <d v="2025-06-28T00:00:00"/>
    <x v="7"/>
    <n v="293.82"/>
    <n v="49204"/>
  </r>
  <r>
    <x v="0"/>
    <x v="0"/>
    <s v="blg_othr_na_na_84570334_2023_q2_conversion-non-promo_other_amazon+ulta+conversion"/>
    <s v="na"/>
    <x v="0"/>
    <x v="0"/>
    <x v="1"/>
    <d v="2023-07-01T00:00:00"/>
    <d v="2023-07-12T00:00:00"/>
    <x v="37"/>
    <n v="808.65678100000002"/>
    <n v="211427"/>
  </r>
  <r>
    <x v="0"/>
    <x v="2"/>
    <s v="blg_haca_bfr_fullrescue_cons-tra-linkcli_website-none_x_x_ym00458406_q2-q3_2025_bfr_001_x"/>
    <s v="bfr"/>
    <x v="1"/>
    <x v="1"/>
    <x v="1"/>
    <d v="2025-05-01T00:00:00"/>
    <d v="2025-05-02T00:00:00"/>
    <x v="19"/>
    <n v="9.3899999999999988"/>
    <n v="1324"/>
  </r>
  <r>
    <x v="0"/>
    <x v="0"/>
    <s v="blg_haca_bfr_fullrescue-bonus_aw-awareness_x_bonus-q2_2025_x_x_x"/>
    <s v="bfr"/>
    <x v="1"/>
    <x v="1"/>
    <x v="0"/>
    <d v="2025-06-01T00:00:00"/>
    <d v="2025-06-15T00:00:00"/>
    <x v="16"/>
    <n v="1383.825525"/>
    <n v="621564"/>
  </r>
  <r>
    <x v="0"/>
    <x v="0"/>
    <s v="blg_othr_na_na_84570334_2023_q2_conversion-non-promo_other_amazon+ulta+conversion_v2"/>
    <s v="na"/>
    <x v="0"/>
    <x v="0"/>
    <x v="1"/>
    <d v="2023-08-01T00:00:00"/>
    <d v="2023-08-02T00:00:00"/>
    <x v="2"/>
    <n v="1306.577781"/>
    <n v="100580"/>
  </r>
  <r>
    <x v="0"/>
    <x v="2"/>
    <s v="blg_haca_hydrasource_x_aw-aw-thruplay_none-none_x_x_ym00339376_q4_2024_bhs_001_x"/>
    <s v="hydrasource"/>
    <x v="4"/>
    <x v="2"/>
    <x v="0"/>
    <d v="2024-10-01T00:00:00"/>
    <d v="2024-10-15T00:00:00"/>
    <x v="32"/>
    <n v="3848.9400019999998"/>
    <n v="779853"/>
  </r>
  <r>
    <x v="0"/>
    <x v="2"/>
    <s v="blg_haca_hydrasource_bau_aw-aw-thruplay_none-none_na_na_ym00339376_q1-vvr_2024_bhs_001_x"/>
    <s v="hydrasource"/>
    <x v="4"/>
    <x v="2"/>
    <x v="2"/>
    <d v="2024-02-01T00:00:00"/>
    <d v="2024-02-11T00:00:00"/>
    <x v="20"/>
    <n v="1281.0199970000001"/>
    <n v="230148"/>
  </r>
  <r>
    <x v="0"/>
    <x v="2"/>
    <s v="blg_othr_q3-haca-colorlast_prime-traffic-lctr_cons-tra-linkcli_none-customother_promotion_na_ym87093420_2023_2023_bcl_x_x"/>
    <s v="q3-haca-colorlast"/>
    <x v="2"/>
    <x v="0"/>
    <x v="1"/>
    <d v="2023-07-01T00:00:00"/>
    <d v="2023-07-11T00:00:00"/>
    <x v="37"/>
    <n v="2498.6299980000003"/>
    <n v="366049"/>
  </r>
  <r>
    <x v="0"/>
    <x v="2"/>
    <s v="blg_haca_bfr_fullrescue_cons-tra-linkcli_website-none_x_x_ym00458406_q2-q3_2025_bfr_001_x"/>
    <s v="bfr"/>
    <x v="1"/>
    <x v="1"/>
    <x v="0"/>
    <d v="2025-06-01T00:00:00"/>
    <d v="2025-06-20T00:00:00"/>
    <x v="16"/>
    <n v="1645.7"/>
    <n v="140848"/>
  </r>
  <r>
    <x v="0"/>
    <x v="1"/>
    <s v="blg_haca_bfr_full-rescue-pulse_res_aw-reach_x_x_ym00458406_q2_2025_bfr_001_x"/>
    <s v="bfr"/>
    <x v="1"/>
    <x v="1"/>
    <x v="0"/>
    <d v="2025-06-01T00:00:00"/>
    <d v="2025-06-08T00:00:00"/>
    <x v="18"/>
    <n v="7098"/>
    <n v="517742"/>
  </r>
  <r>
    <x v="0"/>
    <x v="0"/>
    <s v="blg_haca_scalp-sync_traffic_cons-consideration_ym00356548_all_2024_bcp_004_x"/>
    <s v="scalp-sync"/>
    <x v="3"/>
    <x v="2"/>
    <x v="0"/>
    <d v="2024-05-01T00:00:00"/>
    <d v="2024-05-09T00:00:00"/>
    <x v="49"/>
    <n v="1705.5331539999995"/>
    <n v="474865"/>
  </r>
  <r>
    <x v="0"/>
    <x v="0"/>
    <s v="blg_haca_scalp-sync_awareness_aw-awareness_ym00356548_all_2024_bcp_004_x"/>
    <s v="scalp-sync"/>
    <x v="3"/>
    <x v="2"/>
    <x v="2"/>
    <d v="2024-04-01T00:00:00"/>
    <d v="2024-04-23T00:00:00"/>
    <x v="50"/>
    <n v="3366.2020360000001"/>
    <n v="1580718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6T00:00:00"/>
    <x v="40"/>
    <n v="3344.1100040000001"/>
    <n v="292864"/>
  </r>
  <r>
    <x v="0"/>
    <x v="2"/>
    <s v="blg_haca_hydrasource_x_cons-tra-linkcli_none-none_x_x_ym00339376_q4-lctr_2024_bhs_001_x"/>
    <s v="hydrasource"/>
    <x v="4"/>
    <x v="2"/>
    <x v="0"/>
    <d v="2024-09-01T00:00:00"/>
    <d v="2024-09-26T00:00:00"/>
    <x v="60"/>
    <n v="2650.3300000000008"/>
    <n v="275637"/>
  </r>
  <r>
    <x v="0"/>
    <x v="0"/>
    <s v="blg_haca_scalp-sync_traffic_cons-consideration_ym00356548_all_2024_bcp_004_x"/>
    <s v="scalp-sync"/>
    <x v="3"/>
    <x v="2"/>
    <x v="0"/>
    <d v="2024-05-01T00:00:00"/>
    <d v="2024-05-11T00:00:00"/>
    <x v="49"/>
    <n v="1658.9595189999995"/>
    <n v="469179"/>
  </r>
  <r>
    <x v="0"/>
    <x v="2"/>
    <s v="blg_haca_mult_bf-cyber-leadup_cons-tra-linkcli_website-none_promotion_x_ym00384930_q4_2024_blg_001_x"/>
    <s v="mult"/>
    <x v="0"/>
    <x v="2"/>
    <x v="0"/>
    <d v="2024-11-01T00:00:00"/>
    <d v="2024-11-22T00:00:00"/>
    <x v="58"/>
    <n v="6352.2200060000023"/>
    <n v="485848"/>
  </r>
  <r>
    <x v="0"/>
    <x v="2"/>
    <s v="blg_haca_hydrasource_reelsonly_aw-aw-thruplay_none-none_na_na_ym00339376_q1-vvr_2024_bhs_001_x"/>
    <s v="hydrasource"/>
    <x v="4"/>
    <x v="2"/>
    <x v="0"/>
    <d v="2024-02-01T00:00:00"/>
    <d v="2024-02-19T00:00:00"/>
    <x v="59"/>
    <n v="917.76999999999987"/>
    <n v="202918"/>
  </r>
  <r>
    <x v="0"/>
    <x v="0"/>
    <s v="blg_haca_bfr_fullrescue-bonus_aw-awareness_x_bonus-q2_2025_x_x_x"/>
    <s v="bfr"/>
    <x v="1"/>
    <x v="1"/>
    <x v="0"/>
    <d v="2025-06-01T00:00:00"/>
    <d v="2025-06-23T00:00:00"/>
    <x v="7"/>
    <n v="1411.947216"/>
    <n v="629951"/>
  </r>
  <r>
    <x v="0"/>
    <x v="2"/>
    <s v="blg_haca_mult_agile-boosting_cons-eng-thruplay_none-none_x_x_ym00437375_x_2025_blg_002_x"/>
    <s v="mult"/>
    <x v="0"/>
    <x v="1"/>
    <x v="1"/>
    <d v="2025-06-01T00:00:00"/>
    <d v="2025-06-09T00:00:00"/>
    <x v="18"/>
    <n v="1854.12"/>
    <n v="226498"/>
  </r>
  <r>
    <x v="0"/>
    <x v="2"/>
    <s v="blg_haca_bfr_fullrescue_aw-aw-thruplay_none-none_x_x_ym00458406_q2-q3_2025_bfr_001_x"/>
    <s v="bfr"/>
    <x v="1"/>
    <x v="1"/>
    <x v="1"/>
    <d v="2025-05-01T00:00:00"/>
    <d v="2025-05-30T00:00:00"/>
    <x v="8"/>
    <n v="32.53"/>
    <n v="1267"/>
  </r>
  <r>
    <x v="0"/>
    <x v="2"/>
    <s v="blg_haca_bfr_fullrescue_aw-aw-thruplay_none-none_x_x_ym00458406_q2-q3_2025_bfr_001_x"/>
    <s v="bfr"/>
    <x v="1"/>
    <x v="1"/>
    <x v="1"/>
    <d v="2025-06-01T00:00:00"/>
    <d v="2025-06-19T00:00:00"/>
    <x v="16"/>
    <n v="1407.7000009999999"/>
    <n v="287058"/>
  </r>
  <r>
    <x v="0"/>
    <x v="2"/>
    <s v="blg_haca_scalp_na_cons-tra-linkcli_none-none_na_na_ym00356549_q1-q2-lctr_2024_bcp_002_x"/>
    <s v="scalp"/>
    <x v="3"/>
    <x v="2"/>
    <x v="1"/>
    <d v="2024-03-01T00:00:00"/>
    <d v="2024-03-24T00:00:00"/>
    <x v="3"/>
    <n v="1650.8499940000008"/>
    <n v="256480"/>
  </r>
  <r>
    <x v="0"/>
    <x v="2"/>
    <s v="blg_haca_hys_hydrasource_aw-aw-thruplay_none-none_x_x_ym00427700_q2_2025_bhs_006_x"/>
    <s v="hys"/>
    <x v="4"/>
    <x v="1"/>
    <x v="1"/>
    <d v="2025-04-01T00:00:00"/>
    <d v="2025-04-22T00:00:00"/>
    <x v="11"/>
    <n v="374.65"/>
    <n v="17788"/>
  </r>
  <r>
    <x v="0"/>
    <x v="2"/>
    <s v="blg_haca_bfr_fullrescue_cons-tra-linkcli_website-none_x_x_ym00458406_q2-q3_2025_bfr_001_x"/>
    <s v="bfr"/>
    <x v="1"/>
    <x v="1"/>
    <x v="1"/>
    <d v="2025-06-01T00:00:00"/>
    <d v="2025-06-28T00:00:00"/>
    <x v="7"/>
    <n v="211.88999700000005"/>
    <n v="20345"/>
  </r>
  <r>
    <x v="0"/>
    <x v="1"/>
    <s v="blg_haca_hys_hydrasource_auc_aw-video-views_x_x_ym00427700_q2_2025_bhs_006_x"/>
    <s v="hys"/>
    <x v="4"/>
    <x v="1"/>
    <x v="0"/>
    <d v="2025-04-01T00:00:00"/>
    <d v="2025-04-12T00:00:00"/>
    <x v="23"/>
    <n v="2600.91"/>
    <n v="640921"/>
  </r>
  <r>
    <x v="0"/>
    <x v="2"/>
    <s v="blg_haca_scalp_reels-only_aw-aw-thruplay_website-viewcontent_na_na_ym00356549_q1-q2-vvr_2024_bcp_002_x"/>
    <s v="scalp"/>
    <x v="3"/>
    <x v="2"/>
    <x v="0"/>
    <d v="2024-04-01T00:00:00"/>
    <d v="2024-04-04T00:00:00"/>
    <x v="53"/>
    <n v="741.47000299999991"/>
    <n v="184648"/>
  </r>
  <r>
    <x v="0"/>
    <x v="1"/>
    <s v="blg_haca_bfr_full-rescue_auc_cons-traffic_x_x_YM00458406_q2_2025_bfr_001_x"/>
    <s v="bfr"/>
    <x v="1"/>
    <x v="1"/>
    <x v="1"/>
    <d v="2025-06-01T00:00:00"/>
    <d v="2025-06-07T00:00:00"/>
    <x v="10"/>
    <n v="592.83999999999992"/>
    <n v="111383"/>
  </r>
  <r>
    <x v="0"/>
    <x v="0"/>
    <s v="blg_othr_na_na_84570334_2023_q2_traffic_other_volumebloom-fulldensity+traffic_JBP"/>
    <s v="na"/>
    <x v="0"/>
    <x v="0"/>
    <x v="2"/>
    <d v="2023-09-01T00:00:00"/>
    <d v="2023-09-03T00:00:00"/>
    <x v="73"/>
    <n v="1755.2705329999999"/>
    <n v="570505"/>
  </r>
  <r>
    <x v="0"/>
    <x v="1"/>
    <s v="blg_haca_mult_ao-boosting_auc_aw-video-views_x_x_ym00437375_x_2025_blg_002_x"/>
    <s v="mult"/>
    <x v="0"/>
    <x v="1"/>
    <x v="0"/>
    <d v="2025-03-01T00:00:00"/>
    <d v="2025-03-26T00:00:00"/>
    <x v="9"/>
    <n v="2058.1"/>
    <n v="494230"/>
  </r>
  <r>
    <x v="0"/>
    <x v="2"/>
    <s v="blg_multi_na_elevate-me_cons-tra-linkcli_none-none_other_na_ym00329346_x_2023_x_x_"/>
    <s v="na"/>
    <x v="0"/>
    <x v="0"/>
    <x v="2"/>
    <d v="2023-11-01T00:00:00"/>
    <d v="2023-11-09T00:00:00"/>
    <x v="63"/>
    <n v="323.70999799999981"/>
    <n v="33720"/>
  </r>
  <r>
    <x v="0"/>
    <x v="2"/>
    <s v="blg_haca_hydrasource_bau_aw-aw-thruplay_none-none_na_na_ym00339376_q1-vvr_2024_bhs_001_x"/>
    <s v="hydrasource"/>
    <x v="4"/>
    <x v="2"/>
    <x v="2"/>
    <d v="2024-02-01T00:00:00"/>
    <d v="2024-02-26T00:00:00"/>
    <x v="29"/>
    <n v="1263.049998"/>
    <n v="181953"/>
  </r>
  <r>
    <x v="0"/>
    <x v="2"/>
    <s v="blg_haca_hydrasource_bau_aw-aw-thruplay_none-none_na_na_ym00339376_q1-vvr_2024_bhs_001_x"/>
    <s v="hydrasource"/>
    <x v="4"/>
    <x v="2"/>
    <x v="2"/>
    <d v="2024-01-01T00:00:00"/>
    <d v="2024-01-26T00:00:00"/>
    <x v="15"/>
    <n v="1427.730002"/>
    <n v="301633"/>
  </r>
  <r>
    <x v="0"/>
    <x v="1"/>
    <s v="blg_haca_bfr_full-rescue_auc_aw-video-views_x_x_YM00458406_q2_2025_bfr_001_x"/>
    <s v="bfr"/>
    <x v="1"/>
    <x v="1"/>
    <x v="1"/>
    <d v="2025-06-01T00:00:00"/>
    <d v="2025-06-17T00:00:00"/>
    <x v="16"/>
    <n v="1746.5300000000002"/>
    <n v="236205"/>
  </r>
  <r>
    <x v="0"/>
    <x v="2"/>
    <s v="blg_haca_prime-day_lead-up-cell-1_aw-aw-thruplay_none-viewcontent_x_lla_ym00384930_x_2024_blg_001_x"/>
    <s v="prime-day"/>
    <x v="6"/>
    <x v="2"/>
    <x v="1"/>
    <d v="2024-07-01T00:00:00"/>
    <d v="2024-07-07T00:00:00"/>
    <x v="54"/>
    <n v="2619.4600019999993"/>
    <n v="305723"/>
  </r>
  <r>
    <x v="0"/>
    <x v="0"/>
    <s v="blg_othr_na_na_84570334_2023_q2_traffic_other_volumebloom-fulldensity+traffic_JBP"/>
    <s v="na"/>
    <x v="0"/>
    <x v="0"/>
    <x v="2"/>
    <d v="2023-08-01T00:00:00"/>
    <d v="2023-08-25T00:00:00"/>
    <x v="0"/>
    <n v="1771.8369740000001"/>
    <n v="536195"/>
  </r>
  <r>
    <x v="0"/>
    <x v="2"/>
    <s v="blg_haca_mult_agile-boosting_aw-aw-thruplay_none-none_x_x_ym00437375_x_2025_blg_002_x"/>
    <s v="mult"/>
    <x v="0"/>
    <x v="1"/>
    <x v="0"/>
    <d v="2025-02-01T00:00:00"/>
    <d v="2025-02-25T00:00:00"/>
    <x v="71"/>
    <n v="7284.8300029999991"/>
    <n v="811028"/>
  </r>
  <r>
    <x v="0"/>
    <x v="0"/>
    <s v="blg_haca_scalp-sync_awareness_aw-awareness_ym00356548_all_2024_bcp_004_x"/>
    <s v="scalp-sync"/>
    <x v="3"/>
    <x v="2"/>
    <x v="2"/>
    <d v="2024-04-01T00:00:00"/>
    <d v="2024-04-30T00:00:00"/>
    <x v="44"/>
    <n v="3362.0937419999996"/>
    <n v="1564796"/>
  </r>
  <r>
    <x v="0"/>
    <x v="2"/>
    <s v="blg_haca_hys_hydrasource_cons-tra-linkcli_website-none_x_x_ym00427700_q2_2025_bhs_006_x"/>
    <s v="hys"/>
    <x v="4"/>
    <x v="1"/>
    <x v="0"/>
    <d v="2025-04-01T00:00:00"/>
    <d v="2025-04-07T00:00:00"/>
    <x v="23"/>
    <n v="4031.6300049999995"/>
    <n v="472173"/>
  </r>
  <r>
    <x v="0"/>
    <x v="1"/>
    <s v="blg_haca_hys_hydrasource_auc_aw-video-views_x_x_ym00427700_q2_2025_bhs_006_x"/>
    <s v="hys"/>
    <x v="4"/>
    <x v="1"/>
    <x v="0"/>
    <d v="2025-04-01T00:00:00"/>
    <d v="2025-04-08T00:00:00"/>
    <x v="23"/>
    <n v="1350.1499999999999"/>
    <n v="244793"/>
  </r>
  <r>
    <x v="0"/>
    <x v="2"/>
    <s v="blg_haca_hydrasource_reelsonly_aw-aw-thruplay_none-none_na_na_ym00339376_q1-vvr_2024_bhs_001_x"/>
    <s v="hydrasource"/>
    <x v="4"/>
    <x v="2"/>
    <x v="0"/>
    <d v="2024-01-01T00:00:00"/>
    <d v="2024-01-31T00:00:00"/>
    <x v="5"/>
    <n v="640.93999900000006"/>
    <n v="153021"/>
  </r>
  <r>
    <x v="0"/>
    <x v="2"/>
    <s v="blg_haca_scalp_bau_aw-aw-thruplay_website-viewcontent_na_na_ym00356549_q1-q2-vvr_2024_bcp_002_x"/>
    <s v="scalp"/>
    <x v="3"/>
    <x v="2"/>
    <x v="1"/>
    <d v="2024-03-01T00:00:00"/>
    <d v="2024-03-04T00:00:00"/>
    <x v="6"/>
    <n v="1140.8999909999998"/>
    <n v="239438"/>
  </r>
  <r>
    <x v="0"/>
    <x v="0"/>
    <s v="blg_haca_scalp-sync_awareness_aw-awareness_ym00356548_all_2024_bcp_004_x"/>
    <s v="scalp-sync"/>
    <x v="3"/>
    <x v="2"/>
    <x v="2"/>
    <d v="2024-05-01T00:00:00"/>
    <d v="2024-05-03T00:00:00"/>
    <x v="44"/>
    <n v="3356.5777950000002"/>
    <n v="1559358"/>
  </r>
  <r>
    <x v="0"/>
    <x v="0"/>
    <s v="blg_haca_bfr_fullrescue-bonus_aw-awareness_x_bonus-q2_2025_x_x_x"/>
    <s v="bfr"/>
    <x v="1"/>
    <x v="1"/>
    <x v="1"/>
    <d v="2025-06-01T00:00:00"/>
    <d v="2025-06-16T00:00:00"/>
    <x v="16"/>
    <n v="285.09910000000002"/>
    <n v="135797"/>
  </r>
  <r>
    <x v="0"/>
    <x v="1"/>
    <s v="blg_haca_mult_ao-boosting_auc_aw-video-views_x_x_ym00437375_x_2025_blg_002_x"/>
    <s v="mult"/>
    <x v="0"/>
    <x v="1"/>
    <x v="0"/>
    <d v="2025-03-01T00:00:00"/>
    <d v="2025-03-27T00:00:00"/>
    <x v="9"/>
    <n v="2153.25"/>
    <n v="496235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8T00:00:00"/>
    <x v="40"/>
    <n v="1268.4200010000002"/>
    <n v="200083"/>
  </r>
  <r>
    <x v="0"/>
    <x v="2"/>
    <s v="blg_haca_prime-day_lead-up-cell-2_aw-aw-thruplay_none-viewcontent_x_lla_ym00384930_x_2024_blg_001_x"/>
    <s v="prime-day"/>
    <x v="6"/>
    <x v="2"/>
    <x v="1"/>
    <d v="2024-07-01T00:00:00"/>
    <d v="2024-07-08T00:00:00"/>
    <x v="54"/>
    <n v="2436.0500030000003"/>
    <n v="263473"/>
  </r>
  <r>
    <x v="0"/>
    <x v="2"/>
    <s v="blg_haca_hydrasource_na_cons-tra-linkcli_none-none_na_na_ym00339376_q1-lctr_2024_bhs_001_x"/>
    <s v="hydrasource"/>
    <x v="4"/>
    <x v="2"/>
    <x v="0"/>
    <d v="2024-02-01T00:00:00"/>
    <d v="2024-02-28T00:00:00"/>
    <x v="29"/>
    <n v="3131.6800020000001"/>
    <n v="497738"/>
  </r>
  <r>
    <x v="0"/>
    <x v="1"/>
    <s v="blg_haca_mult_ao-boosting_auc_aw-video-views_x_x_ym00437375_x_2025_blg_002_x"/>
    <s v="mult"/>
    <x v="0"/>
    <x v="1"/>
    <x v="0"/>
    <d v="2025-04-01T00:00:00"/>
    <d v="2025-04-23T00:00:00"/>
    <x v="11"/>
    <n v="2.81"/>
    <n v="899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4T00:00:00"/>
    <x v="30"/>
    <n v="3886.1700059999998"/>
    <n v="620153"/>
  </r>
  <r>
    <x v="0"/>
    <x v="2"/>
    <s v="blg_haca_bfr_fullrescue_cons-tra-linkcli_website-none_x_x_ym00458406_q2-q3_2025_bfr_001_x"/>
    <s v="bfr"/>
    <x v="1"/>
    <x v="1"/>
    <x v="0"/>
    <d v="2025-06-01T00:00:00"/>
    <d v="2025-06-15T00:00:00"/>
    <x v="16"/>
    <n v="1741.1699999999998"/>
    <n v="161810"/>
  </r>
  <r>
    <x v="0"/>
    <x v="2"/>
    <s v="blg_haca_hydrasource_na_cons-tra-linkcli_none-none_na_na_ym00339376_q1-lctr_2024_bhs_001_x"/>
    <s v="hydrasource"/>
    <x v="4"/>
    <x v="2"/>
    <x v="0"/>
    <d v="2024-02-01T00:00:00"/>
    <d v="2024-02-20T00:00:00"/>
    <x v="59"/>
    <n v="780.40999899999997"/>
    <n v="141125"/>
  </r>
  <r>
    <x v="0"/>
    <x v="0"/>
    <s v="blg_othr_na_na_84570334_2023_q2_traffic_other_volumebloom-fulldensity+traffic_v2"/>
    <s v="na"/>
    <x v="0"/>
    <x v="0"/>
    <x v="2"/>
    <d v="2023-07-01T00:00:00"/>
    <d v="2023-07-25T00:00:00"/>
    <x v="39"/>
    <n v="637.35751899999991"/>
    <n v="395299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7T00:00:00"/>
    <x v="4"/>
    <n v="819.4699999999998"/>
    <n v="119356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7T00:00:00"/>
    <x v="4"/>
    <n v="3458.8199950000003"/>
    <n v="593403"/>
  </r>
  <r>
    <x v="0"/>
    <x v="2"/>
    <s v="blg_haca_prime-day_lead-up-cell-2_aw-aw-thruplay_none-viewcontent_x_lla_ym00384930_x_2024_blg_001_x"/>
    <s v="prime-day"/>
    <x v="6"/>
    <x v="2"/>
    <x v="1"/>
    <d v="2024-07-01T00:00:00"/>
    <d v="2024-07-10T00:00:00"/>
    <x v="54"/>
    <n v="2387.5200070000001"/>
    <n v="216788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0T00:00:00"/>
    <x v="42"/>
    <n v="2547.6600000000003"/>
    <n v="305508"/>
  </r>
  <r>
    <x v="0"/>
    <x v="0"/>
    <s v="blg_haca_scalp-sync_traffic_cons-consideration_ym00356548_all_2024_bcp_004_x"/>
    <s v="scalp-sync"/>
    <x v="3"/>
    <x v="2"/>
    <x v="0"/>
    <d v="2024-04-01T00:00:00"/>
    <d v="2024-04-23T00:00:00"/>
    <x v="50"/>
    <n v="1860.247932"/>
    <n v="398997"/>
  </r>
  <r>
    <x v="0"/>
    <x v="2"/>
    <s v="blg_haca_hydrasource_x_aw-aw-thruplay_none-none_x_x_ym00339376_q4_2024_bhs_001_x"/>
    <s v="hydrasource"/>
    <x v="4"/>
    <x v="2"/>
    <x v="0"/>
    <d v="2024-09-01T00:00:00"/>
    <d v="2024-09-26T00:00:00"/>
    <x v="60"/>
    <n v="3746.9099930000007"/>
    <n v="628906"/>
  </r>
  <r>
    <x v="0"/>
    <x v="0"/>
    <s v="blg_othr_na_na_84570334_2023_q2_conversion-non-promo_other_amazon+ulta+conversion_v2"/>
    <s v="na"/>
    <x v="0"/>
    <x v="0"/>
    <x v="1"/>
    <d v="2023-08-01T00:00:00"/>
    <d v="2023-08-12T00:00:00"/>
    <x v="4"/>
    <n v="1026.3521040000001"/>
    <n v="161939"/>
  </r>
  <r>
    <x v="0"/>
    <x v="1"/>
    <s v="blg_haca_hys_hydrasource_auc_aw-video-views_x_x_ym00427700_q2_2025_bhs_006_x"/>
    <s v="hys"/>
    <x v="4"/>
    <x v="1"/>
    <x v="1"/>
    <d v="2025-04-01T00:00:00"/>
    <d v="2025-04-03T00:00:00"/>
    <x v="26"/>
    <n v="3669.52"/>
    <n v="816505"/>
  </r>
  <r>
    <x v="0"/>
    <x v="2"/>
    <s v="blg_haca_bfr_fullrescue_aw-aw-thruplay_none-none_x_x_ym00458406_q2-q3_2025_bfr_001_x"/>
    <s v="bfr"/>
    <x v="1"/>
    <x v="1"/>
    <x v="0"/>
    <d v="2025-06-01T00:00:00"/>
    <d v="2025-06-05T00:00:00"/>
    <x v="10"/>
    <n v="301.420005"/>
    <n v="53943"/>
  </r>
  <r>
    <x v="0"/>
    <x v="1"/>
    <s v="blg_haca_bfr_full-rescue-pulse_res_aw-reach_x_x_ym00458406_q2_2025_bfr_001_x"/>
    <s v="bfr"/>
    <x v="1"/>
    <x v="1"/>
    <x v="1"/>
    <d v="2025-06-01T00:00:00"/>
    <d v="2025-06-04T00:00:00"/>
    <x v="10"/>
    <n v="14446.36"/>
    <n v="1046871"/>
  </r>
  <r>
    <x v="0"/>
    <x v="2"/>
    <s v="blg_haca_scalp_bau_aw-aw-thruplay_website-viewcontent_na_na_ym00356549_q1-q2-vvr_2024_bcp_002_x"/>
    <s v="scalp"/>
    <x v="3"/>
    <x v="2"/>
    <x v="1"/>
    <d v="2024-04-01T00:00:00"/>
    <d v="2024-04-19T00:00:00"/>
    <x v="24"/>
    <n v="2278.9400010000004"/>
    <n v="489212"/>
  </r>
  <r>
    <x v="0"/>
    <x v="0"/>
    <s v="blg_othr_na_na_84570334_2023_q2_conversion-non-promo_other_amazon+ulta+conversion"/>
    <s v="na"/>
    <x v="0"/>
    <x v="0"/>
    <x v="1"/>
    <d v="2023-07-01T00:00:00"/>
    <d v="2023-07-10T00:00:00"/>
    <x v="37"/>
    <n v="1162.324335"/>
    <n v="273069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7T00:00:00"/>
    <x v="30"/>
    <n v="3896.0599930000003"/>
    <n v="567592"/>
  </r>
  <r>
    <x v="0"/>
    <x v="2"/>
    <s v="blg_haca_mult_agile-boosting_cons-eng-thruplay_none-none_x_x_ym00437375_x_2025_blg_002_x"/>
    <s v="mult"/>
    <x v="0"/>
    <x v="1"/>
    <x v="0"/>
    <d v="2025-03-01T00:00:00"/>
    <d v="2025-03-19T00:00:00"/>
    <x v="13"/>
    <n v="2631.5400009999998"/>
    <n v="482972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8T00:00:00"/>
    <x v="4"/>
    <n v="3935.3199999999988"/>
    <n v="598677"/>
  </r>
  <r>
    <x v="0"/>
    <x v="1"/>
    <s v="blg_haca_hys_hydrasource_auc_cons-traffic_x_x_ym00427700_q2_2025_bhs_006_x"/>
    <s v="hys"/>
    <x v="4"/>
    <x v="1"/>
    <x v="1"/>
    <d v="2025-04-01T00:00:00"/>
    <d v="2025-04-10T00:00:00"/>
    <x v="23"/>
    <n v="114.98"/>
    <n v="34964"/>
  </r>
  <r>
    <x v="0"/>
    <x v="1"/>
    <s v="blg_haca_bfr_full-rescue_auc_aw-video-views_x_x_YM00458406_q2_2025_bfr_001_x"/>
    <s v="bfr"/>
    <x v="1"/>
    <x v="1"/>
    <x v="0"/>
    <d v="2025-06-01T00:00:00"/>
    <d v="2025-06-19T00:00:00"/>
    <x v="16"/>
    <n v="107.65999999999998"/>
    <n v="19810"/>
  </r>
  <r>
    <x v="0"/>
    <x v="2"/>
    <s v="blg_haca_bond-therapy_na_aw-aw-thruplay_none-viewcontent_na_na_ym87093418_vvr-q4_2023_x_x_x"/>
    <s v="bond-therapy"/>
    <x v="5"/>
    <x v="0"/>
    <x v="2"/>
    <d v="2023-11-01T00:00:00"/>
    <d v="2023-11-16T00:00:00"/>
    <x v="55"/>
    <n v="2841.4199990000002"/>
    <n v="439372"/>
  </r>
  <r>
    <x v="0"/>
    <x v="2"/>
    <s v="blg_haca_hys_hydrasource_aw-aw-thruplay_none-none_x_x_ym00427700_q2_2025_bhs_006_x"/>
    <s v="hys"/>
    <x v="4"/>
    <x v="1"/>
    <x v="0"/>
    <d v="2025-04-01T00:00:00"/>
    <d v="2025-04-05T00:00:00"/>
    <x v="26"/>
    <n v="1549.9899999999998"/>
    <n v="169346"/>
  </r>
  <r>
    <x v="0"/>
    <x v="1"/>
    <s v="blg_haca_bfr_full-rescue_auc_aw-video-views_x_x_YM00458406_q2_2025_bfr_001_x"/>
    <s v="bfr"/>
    <x v="1"/>
    <x v="1"/>
    <x v="0"/>
    <d v="2025-06-01T00:00:00"/>
    <d v="2025-06-22T00:00:00"/>
    <x v="7"/>
    <n v="621.99"/>
    <n v="82919"/>
  </r>
  <r>
    <x v="0"/>
    <x v="2"/>
    <s v="blg_haca_hydrasource_na_cons-tra-linkcli_none-none_na_na_ym00339376_q1-lctr_2024_bhs_001_x"/>
    <s v="hydrasource"/>
    <x v="4"/>
    <x v="2"/>
    <x v="0"/>
    <d v="2024-02-01T00:00:00"/>
    <d v="2024-02-29T00:00:00"/>
    <x v="29"/>
    <n v="3221.0900039999997"/>
    <n v="458674"/>
  </r>
  <r>
    <x v="0"/>
    <x v="2"/>
    <s v="blg_haca_bfr_fullrescue_cons-tra-linkcli_website-none_x_x_ym00458406_q2-q3_2025_bfr_001_x"/>
    <s v="bfr"/>
    <x v="1"/>
    <x v="1"/>
    <x v="0"/>
    <d v="2025-06-01T00:00:00"/>
    <d v="2025-06-01T00:00:00"/>
    <x v="10"/>
    <n v="1801.5699980000002"/>
    <n v="152997"/>
  </r>
  <r>
    <x v="0"/>
    <x v="2"/>
    <s v="blg_haca_scalp_bau_aw-aw-thruplay_website-viewcontent_na_na_ym00356549_q1-q2-vvr_2024_bcp_002_x"/>
    <s v="scalp"/>
    <x v="3"/>
    <x v="2"/>
    <x v="1"/>
    <d v="2024-04-01T00:00:00"/>
    <d v="2024-04-06T00:00:00"/>
    <x v="53"/>
    <n v="2331.3999990000002"/>
    <n v="538114"/>
  </r>
  <r>
    <x v="0"/>
    <x v="0"/>
    <s v="blg_othr_na_na_84570334_2023_q2_conversion-non-promo_other_amazon+ulta+conversion_v2"/>
    <s v="na"/>
    <x v="0"/>
    <x v="0"/>
    <x v="1"/>
    <d v="2023-07-01T00:00:00"/>
    <d v="2023-07-24T00:00:00"/>
    <x v="39"/>
    <n v="1250.5339349999999"/>
    <n v="134905"/>
  </r>
  <r>
    <x v="0"/>
    <x v="2"/>
    <s v="blg_haca_hydrasource_x_cons-tra-linkcli_none-none_x_x_ym00339376_q4-lctr_2024_bhs_001_x"/>
    <s v="hydrasource"/>
    <x v="4"/>
    <x v="2"/>
    <x v="0"/>
    <d v="2024-10-01T00:00:00"/>
    <d v="2024-10-08T00:00:00"/>
    <x v="27"/>
    <n v="2393.1800000000003"/>
    <n v="262207"/>
  </r>
  <r>
    <x v="0"/>
    <x v="1"/>
    <s v="blg_haca_hys_hydrasource_auc_cons-traffic_x_x_ym00427700_q2_2025_bhs_006_x"/>
    <s v="hys"/>
    <x v="4"/>
    <x v="1"/>
    <x v="0"/>
    <d v="2025-04-01T00:00:00"/>
    <d v="2025-04-21T00:00:00"/>
    <x v="11"/>
    <n v="5338.1900000000005"/>
    <n v="1192654"/>
  </r>
  <r>
    <x v="0"/>
    <x v="1"/>
    <s v="blg_haca_mult_ao-boosting_auc_aw-video-views_x_x_ym00437375_x_2025_blg_002_x"/>
    <s v="mult"/>
    <x v="0"/>
    <x v="1"/>
    <x v="0"/>
    <d v="2025-05-01T00:00:00"/>
    <d v="2025-05-13T00:00:00"/>
    <x v="17"/>
    <n v="2257.71"/>
    <n v="618928"/>
  </r>
  <r>
    <x v="0"/>
    <x v="0"/>
    <s v="blg_othr_na_na_84570334_2023_q2_conversion-non-promo_other_amazon+ulta+conversion_v2"/>
    <s v="na"/>
    <x v="0"/>
    <x v="0"/>
    <x v="0"/>
    <d v="2023-07-01T00:00:00"/>
    <d v="2023-07-30T00:00:00"/>
    <x v="2"/>
    <n v="241.23504399999999"/>
    <n v="68119"/>
  </r>
  <r>
    <x v="0"/>
    <x v="1"/>
    <s v="blg_haca_hys_hydrasource_auc_cons-traffic_x_x_ym00427700_q2_2025_bhs_006_x"/>
    <s v="hys"/>
    <x v="4"/>
    <x v="1"/>
    <x v="1"/>
    <d v="2025-04-01T00:00:00"/>
    <d v="2025-04-18T00:00:00"/>
    <x v="36"/>
    <n v="155.02000000000001"/>
    <n v="45202"/>
  </r>
  <r>
    <x v="0"/>
    <x v="2"/>
    <s v="blg_haca_bfr_fullrescue_aw-aw-thruplay_none-none_x_x_ym00458406_q2-q3_2025_bfr_001_x"/>
    <s v="bfr"/>
    <x v="1"/>
    <x v="1"/>
    <x v="1"/>
    <d v="2025-07-01T00:00:00"/>
    <d v="2025-07-01T00:00:00"/>
    <x v="1"/>
    <n v="313.79000099999996"/>
    <n v="33389"/>
  </r>
  <r>
    <x v="0"/>
    <x v="2"/>
    <s v="blg_haca_bfr_fullrescue_aw-aw-thruplay_none-none_x_x_ym00458406_q2-q3_2025_bfr_001_x"/>
    <s v="bfr"/>
    <x v="1"/>
    <x v="1"/>
    <x v="1"/>
    <d v="2025-05-01T00:00:00"/>
    <d v="2025-05-16T00:00:00"/>
    <x v="17"/>
    <n v="2.92"/>
    <n v="285"/>
  </r>
  <r>
    <x v="0"/>
    <x v="1"/>
    <s v="blg_haca_hys_hydrasource_auc_aw-video-views_x_x_ym00427700_q2_2025_bhs_006_x"/>
    <s v="hys"/>
    <x v="4"/>
    <x v="1"/>
    <x v="1"/>
    <d v="2025-04-01T00:00:00"/>
    <d v="2025-04-16T00:00:00"/>
    <x v="36"/>
    <n v="73.73"/>
    <n v="18788"/>
  </r>
  <r>
    <x v="0"/>
    <x v="2"/>
    <s v="blg_haca_bfr_fullrescue_aw-aw-thruplay_none-none_x_x_ym00458406_q2-q3_2025_bfr_001_x"/>
    <s v="bfr"/>
    <x v="1"/>
    <x v="1"/>
    <x v="0"/>
    <d v="2025-06-01T00:00:00"/>
    <d v="2025-06-10T00:00:00"/>
    <x v="18"/>
    <n v="1072.4700059999998"/>
    <n v="166038"/>
  </r>
  <r>
    <x v="0"/>
    <x v="2"/>
    <s v="blg_haca_bfr_fullrescue_cons-tra-linkcli_website-none_x_x_ym00458406_q2-q3_2025_bfr_001_x"/>
    <s v="bfr"/>
    <x v="1"/>
    <x v="1"/>
    <x v="0"/>
    <d v="2025-06-01T00:00:00"/>
    <d v="2025-06-27T00:00:00"/>
    <x v="7"/>
    <n v="1394.010002"/>
    <n v="107383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2T00:00:00"/>
    <x v="4"/>
    <n v="3909.6899999999991"/>
    <n v="587890"/>
  </r>
  <r>
    <x v="0"/>
    <x v="2"/>
    <s v="blg_haca_hydrasource_reelsonly_aw-aw-thruplay_none-none_na_na_ym00339376_q1-vvr_2024_bhs_001_x"/>
    <s v="hydrasource"/>
    <x v="4"/>
    <x v="2"/>
    <x v="0"/>
    <d v="2024-02-01T00:00:00"/>
    <d v="2024-02-02T00:00:00"/>
    <x v="5"/>
    <n v="520.92999799999996"/>
    <n v="119644"/>
  </r>
  <r>
    <x v="0"/>
    <x v="2"/>
    <s v="blg_haca_bfr_fullrescue_cons-tra-linkcli_website-none_x_x_ym00458406_q2-q3_2025_bfr_001_x"/>
    <s v="bfr"/>
    <x v="1"/>
    <x v="1"/>
    <x v="1"/>
    <d v="2025-06-01T00:00:00"/>
    <d v="2025-06-30T00:00:00"/>
    <x v="1"/>
    <n v="380.88000000000005"/>
    <n v="38865"/>
  </r>
  <r>
    <x v="0"/>
    <x v="0"/>
    <s v="blg_othr_na_na_84570334_2023_q2_traffic_other_volumebloom-fulldensity+traffic_JBP"/>
    <s v="na"/>
    <x v="0"/>
    <x v="0"/>
    <x v="2"/>
    <d v="2023-09-01T00:00:00"/>
    <d v="2023-09-04T00:00:00"/>
    <x v="73"/>
    <n v="1724.83474"/>
    <n v="512021"/>
  </r>
  <r>
    <x v="0"/>
    <x v="2"/>
    <s v="blg_haca_scalp_na_cons-tra-linkcli_none-none_na_na_ym00356549_q1-q2-lctr_2024_bcp_002_x"/>
    <s v="scalp"/>
    <x v="3"/>
    <x v="2"/>
    <x v="0"/>
    <d v="2024-04-01T00:00:00"/>
    <d v="2024-04-21T00:00:00"/>
    <x v="50"/>
    <n v="1598.2400040000002"/>
    <n v="261087"/>
  </r>
  <r>
    <x v="0"/>
    <x v="1"/>
    <s v="blg_haca_hys_hydrasource_auc_cons-traffic_x_x_ym00427700_q2_2025_bhs_006_x"/>
    <s v="hys"/>
    <x v="4"/>
    <x v="1"/>
    <x v="1"/>
    <d v="2025-04-01T00:00:00"/>
    <d v="2025-04-07T00:00:00"/>
    <x v="23"/>
    <n v="193.17000000000002"/>
    <n v="58833"/>
  </r>
  <r>
    <x v="0"/>
    <x v="0"/>
    <s v="blg_othr_na_na_84570334_2023_q2_conversion-non-promo_other_amazon+ulta+conversion_v2"/>
    <s v="na"/>
    <x v="0"/>
    <x v="0"/>
    <x v="0"/>
    <d v="2023-08-01T00:00:00"/>
    <d v="2023-08-19T00:00:00"/>
    <x v="30"/>
    <n v="322.03589399999998"/>
    <n v="92143"/>
  </r>
  <r>
    <x v="0"/>
    <x v="2"/>
    <s v="blg_haca_hydrasource_reelsonly_aw-aw-thruplay_none-none_na_na_ym00339376_q1-vvr_2024_bhs_001_x"/>
    <s v="hydrasource"/>
    <x v="4"/>
    <x v="2"/>
    <x v="0"/>
    <d v="2024-02-01T00:00:00"/>
    <d v="2024-02-08T00:00:00"/>
    <x v="41"/>
    <n v="859.93000000000006"/>
    <n v="183654"/>
  </r>
  <r>
    <x v="0"/>
    <x v="2"/>
    <s v="blg_haca_hydrasource_x_cons-tra-linkcli_none-none_x_x_ym00339376_q4-lctr_2024_bhs_001_x"/>
    <s v="hydrasource"/>
    <x v="4"/>
    <x v="2"/>
    <x v="0"/>
    <d v="2024-10-01T00:00:00"/>
    <d v="2024-10-20T00:00:00"/>
    <x v="68"/>
    <n v="2748.9000089999995"/>
    <n v="294647"/>
  </r>
  <r>
    <x v="0"/>
    <x v="2"/>
    <s v="blg_haca_bfr_fullrescue_cons-tra-linkcli_website-none_x_x_ym00458406_q2-q3_2025_bfr_001_x"/>
    <s v="bfr"/>
    <x v="1"/>
    <x v="1"/>
    <x v="1"/>
    <d v="2025-05-01T00:00:00"/>
    <d v="2025-05-14T00:00:00"/>
    <x v="17"/>
    <n v="6.9200000000000008"/>
    <n v="764"/>
  </r>
  <r>
    <x v="0"/>
    <x v="2"/>
    <s v="blg_haca_mult_agile-boosting_cons-eng-thruplay_none-none_x_x_ym00437375_x_2025_blg_002_x"/>
    <s v="mult"/>
    <x v="0"/>
    <x v="1"/>
    <x v="1"/>
    <d v="2025-05-01T00:00:00"/>
    <d v="2025-05-27T00:00:00"/>
    <x v="8"/>
    <n v="1258.18"/>
    <n v="207786"/>
  </r>
  <r>
    <x v="0"/>
    <x v="2"/>
    <s v="blg_haca_hydrasource_x_cons-tra-linkcli_none-none_x_x_ym00339376_q4-lctr_2024_bhs_001_x"/>
    <s v="hydrasource"/>
    <x v="4"/>
    <x v="2"/>
    <x v="0"/>
    <d v="2024-10-01T00:00:00"/>
    <d v="2024-10-13T00:00:00"/>
    <x v="32"/>
    <n v="2784.2699990000001"/>
    <n v="293845"/>
  </r>
  <r>
    <x v="0"/>
    <x v="2"/>
    <s v="blg_haca_hydrasource_reelsonly_aw-aw-thruplay_none-none_na_na_ym00339376_q1-vvr_2024_bhs_001_x"/>
    <s v="hydrasource"/>
    <x v="4"/>
    <x v="2"/>
    <x v="0"/>
    <d v="2024-01-01T00:00:00"/>
    <d v="2024-01-28T00:00:00"/>
    <x v="5"/>
    <n v="688.36000000000013"/>
    <n v="176011"/>
  </r>
  <r>
    <x v="0"/>
    <x v="0"/>
    <s v="blg_othr_na_na_84570334_2023_q2_conversion-non-promo_other_amazon+ulta+conversion_v2"/>
    <s v="na"/>
    <x v="0"/>
    <x v="0"/>
    <x v="1"/>
    <d v="2023-08-01T00:00:00"/>
    <d v="2023-08-04T00:00:00"/>
    <x v="2"/>
    <n v="1245.3138369999999"/>
    <n v="142829"/>
  </r>
  <r>
    <x v="0"/>
    <x v="1"/>
    <s v="blg_haca_hys_hydrasource_auc_cons-traffic_x_x_ym00427700_q2_2025_bhs_006_x"/>
    <s v="hys"/>
    <x v="4"/>
    <x v="1"/>
    <x v="1"/>
    <d v="2025-04-01T00:00:00"/>
    <d v="2025-04-04T00:00:00"/>
    <x v="26"/>
    <n v="310.14"/>
    <n v="102096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3T00:00:00"/>
    <x v="33"/>
    <n v="1203.3000000000002"/>
    <n v="195250"/>
  </r>
  <r>
    <x v="0"/>
    <x v="0"/>
    <s v="blg_haca_scalp-sync_traffic_cons-consideration_ym00356548_all_2024_bcp_004_x"/>
    <s v="scalp-sync"/>
    <x v="3"/>
    <x v="2"/>
    <x v="0"/>
    <d v="2024-05-01T00:00:00"/>
    <d v="2024-05-01T00:00:00"/>
    <x v="44"/>
    <n v="1711.2981670000001"/>
    <n v="476663"/>
  </r>
  <r>
    <x v="0"/>
    <x v="2"/>
    <s v="blg_haca_scalp_na_cons-tra-linkcli_none-none_na_na_ym00356549_q1-q2-lctr_2024_bcp_002_x"/>
    <s v="scalp"/>
    <x v="3"/>
    <x v="2"/>
    <x v="0"/>
    <d v="2024-04-01T00:00:00"/>
    <d v="2024-04-04T00:00:00"/>
    <x v="53"/>
    <n v="1388.9499959999998"/>
    <n v="240439"/>
  </r>
  <r>
    <x v="0"/>
    <x v="2"/>
    <s v="blg_haca_scalp_bau_aw-aw-thruplay_website-viewcontent_na_na_ym00356549_q1-q2-vvr_2024_bcp_002_x"/>
    <s v="scalp"/>
    <x v="3"/>
    <x v="2"/>
    <x v="1"/>
    <d v="2024-03-01T00:00:00"/>
    <d v="2024-03-19T00:00:00"/>
    <x v="64"/>
    <n v="2232.1400049999997"/>
    <n v="538456"/>
  </r>
  <r>
    <x v="0"/>
    <x v="1"/>
    <s v="blg_haca_bfr_full-rescue_auc_cons-traffic_x_x_YM00458406_q2_2025_bfr_001_x"/>
    <s v="bfr"/>
    <x v="1"/>
    <x v="1"/>
    <x v="0"/>
    <d v="2025-06-01T00:00:00"/>
    <d v="2025-06-07T00:00:00"/>
    <x v="10"/>
    <n v="5493.5099999999993"/>
    <n v="1157790"/>
  </r>
  <r>
    <x v="0"/>
    <x v="1"/>
    <s v="blg_haca_bfr_full-rescue_auc_aw-video-views_x_x_YM00458406_q2_2025_bfr_001_x"/>
    <s v="bfr"/>
    <x v="1"/>
    <x v="1"/>
    <x v="1"/>
    <d v="2025-06-01T00:00:00"/>
    <d v="2025-06-18T00:00:00"/>
    <x v="16"/>
    <n v="1730.08"/>
    <n v="304348"/>
  </r>
  <r>
    <x v="0"/>
    <x v="2"/>
    <s v="blg_multi_na_elevate-me_cons-tra-linkcli_none-none_other_na_ym00329346_x_2023_x_x_"/>
    <s v="na"/>
    <x v="0"/>
    <x v="0"/>
    <x v="2"/>
    <d v="2023-10-01T00:00:00"/>
    <d v="2023-10-27T00:00:00"/>
    <x v="72"/>
    <n v="237.21000100000003"/>
    <n v="19493"/>
  </r>
  <r>
    <x v="0"/>
    <x v="2"/>
    <s v="blg_haca_scalp_reels-only_aw-aw-thruplay_website-viewcontent_na_na_ym00356549_q1-q2-vvr_2024_bcp_002_x"/>
    <s v="scalp"/>
    <x v="3"/>
    <x v="2"/>
    <x v="1"/>
    <d v="2024-03-01T00:00:00"/>
    <d v="2024-03-05T00:00:00"/>
    <x v="6"/>
    <n v="1081.839999"/>
    <n v="231414"/>
  </r>
  <r>
    <x v="0"/>
    <x v="0"/>
    <s v="blg_haca_scalp-sync_traffic_cons-consideration_ym00356548_all_2024_bcp_004_x"/>
    <s v="scalp-sync"/>
    <x v="3"/>
    <x v="2"/>
    <x v="0"/>
    <d v="2024-04-01T00:00:00"/>
    <d v="2024-04-24T00:00:00"/>
    <x v="50"/>
    <n v="1836.2906110000001"/>
    <n v="435839"/>
  </r>
  <r>
    <x v="0"/>
    <x v="2"/>
    <s v="blg_haca_bond-therapy_na_aw-aw-thruplay_none-viewcontent_na_na_ym87093418_vvr-q4_2023_x_x_x"/>
    <s v="bond-therapy"/>
    <x v="5"/>
    <x v="0"/>
    <x v="2"/>
    <d v="2023-11-01T00:00:00"/>
    <d v="2023-11-21T00:00:00"/>
    <x v="35"/>
    <n v="2790.9200000000005"/>
    <n v="462900"/>
  </r>
  <r>
    <x v="0"/>
    <x v="2"/>
    <s v="blg_haca_bfr_fullrescue_cons-tra-linkcli_website-none_x_x_ym00458406_q2-q3_2025_bfr_001_x"/>
    <s v="bfr"/>
    <x v="1"/>
    <x v="1"/>
    <x v="0"/>
    <d v="2025-06-01T00:00:00"/>
    <d v="2025-06-26T00:00:00"/>
    <x v="7"/>
    <n v="1335.1299980000001"/>
    <n v="119035"/>
  </r>
  <r>
    <x v="0"/>
    <x v="2"/>
    <s v="blg_haca_scalp_na_cons-tra-linkcli_none-none_na_na_ym00356549_q1-q2-lctr_2024_bcp_002_x"/>
    <s v="scalp"/>
    <x v="3"/>
    <x v="2"/>
    <x v="0"/>
    <d v="2024-04-01T00:00:00"/>
    <d v="2024-04-20T00:00:00"/>
    <x v="24"/>
    <n v="1583.399997"/>
    <n v="245299"/>
  </r>
  <r>
    <x v="0"/>
    <x v="2"/>
    <s v="blg_haca_scalp_reels-only_aw-aw-thruplay_website-viewcontent_na_na_ym00356549_q1-q2-vvr_2024_bcp_002_x"/>
    <s v="scalp"/>
    <x v="3"/>
    <x v="2"/>
    <x v="0"/>
    <d v="2024-04-01T00:00:00"/>
    <d v="2024-04-05T00:00:00"/>
    <x v="53"/>
    <n v="744.16999799999996"/>
    <n v="181507"/>
  </r>
  <r>
    <x v="0"/>
    <x v="0"/>
    <s v="blg_haca_bfr_fullrescue-bonus_aw-awareness_x_bonus-q2_2025_x_x_x"/>
    <s v="bfr"/>
    <x v="1"/>
    <x v="1"/>
    <x v="0"/>
    <d v="2025-06-01T00:00:00"/>
    <d v="2025-06-19T00:00:00"/>
    <x v="16"/>
    <n v="1437.107289"/>
    <n v="677709"/>
  </r>
  <r>
    <x v="0"/>
    <x v="2"/>
    <s v="blg_haca_scalp_reels-only_aw-aw-thruplay_website-viewcontent_na_na_ym00356549_q1-q2-vvr_2024_bcp_002_x"/>
    <s v="scalp"/>
    <x v="3"/>
    <x v="2"/>
    <x v="1"/>
    <d v="2024-03-01T00:00:00"/>
    <d v="2024-03-24T00:00:00"/>
    <x v="3"/>
    <n v="1058.3400009999998"/>
    <n v="240543"/>
  </r>
  <r>
    <x v="0"/>
    <x v="1"/>
    <s v="blg_haca_hys_hydrasource_auc_aw-video-views_x_x_ym00427700_q2_2025_bhs_006_x"/>
    <s v="hys"/>
    <x v="4"/>
    <x v="1"/>
    <x v="1"/>
    <d v="2025-04-01T00:00:00"/>
    <d v="2025-04-01T00:00:00"/>
    <x v="26"/>
    <n v="2422.0199999999995"/>
    <n v="632767"/>
  </r>
  <r>
    <x v="0"/>
    <x v="2"/>
    <s v="blg_haca_bfr_fullrescue_cons-tra-linkcli_website-none_x_x_ym00458406_q2-q3_2025_bfr_001_x"/>
    <s v="bfr"/>
    <x v="1"/>
    <x v="1"/>
    <x v="1"/>
    <d v="2025-05-01T00:00:00"/>
    <d v="2025-05-05T00:00:00"/>
    <x v="12"/>
    <n v="8.370000000000001"/>
    <n v="1038"/>
  </r>
  <r>
    <x v="0"/>
    <x v="2"/>
    <s v="blg_haca_hydrasource_reelsonly_aw-aw-thruplay_none-none_na_na_ym00339376_q1-vvr_2024_bhs_001_x"/>
    <s v="hydrasource"/>
    <x v="4"/>
    <x v="2"/>
    <x v="0"/>
    <d v="2024-01-01T00:00:00"/>
    <d v="2024-01-23T00:00:00"/>
    <x v="15"/>
    <n v="659.73000100000002"/>
    <n v="162480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8T00:00:00"/>
    <x v="38"/>
    <n v="1184.8900010000002"/>
    <n v="193210"/>
  </r>
  <r>
    <x v="0"/>
    <x v="2"/>
    <s v="blg_haca_hydrasource_reelsonly_aw-aw-thruplay_none-none_na_na_ym00339376_q1-vvr_2024_bhs_001_x"/>
    <s v="hydrasource"/>
    <x v="4"/>
    <x v="2"/>
    <x v="0"/>
    <d v="2024-01-01T00:00:00"/>
    <d v="2024-01-29T00:00:00"/>
    <x v="5"/>
    <n v="639.38000199999988"/>
    <n v="160851"/>
  </r>
  <r>
    <x v="0"/>
    <x v="1"/>
    <s v="blg_haca_bfr_full-rescue_auc_aw-video-views_x_x_YM00458406_q2_2025_bfr_001_x"/>
    <s v="bfr"/>
    <x v="1"/>
    <x v="1"/>
    <x v="1"/>
    <d v="2025-06-01T00:00:00"/>
    <d v="2025-06-28T00:00:00"/>
    <x v="7"/>
    <n v="1470.8700000000001"/>
    <n v="229349"/>
  </r>
  <r>
    <x v="0"/>
    <x v="1"/>
    <s v="blg_haca_bfr_full-rescue_auc_aw-video-views_x_x_YM00458406_q2_2025_bfr_001_x"/>
    <s v="bfr"/>
    <x v="1"/>
    <x v="1"/>
    <x v="0"/>
    <d v="2025-06-01T00:00:00"/>
    <d v="2025-06-29T00:00:00"/>
    <x v="1"/>
    <n v="78.91"/>
    <n v="15352"/>
  </r>
  <r>
    <x v="0"/>
    <x v="2"/>
    <s v="blg_haca_hys_hydrasource_cons-tra-linkcli_website-none_x_x_ym00427700_q2_2025_bhs_006_x"/>
    <s v="hys"/>
    <x v="4"/>
    <x v="1"/>
    <x v="0"/>
    <d v="2025-04-01T00:00:00"/>
    <d v="2025-04-20T00:00:00"/>
    <x v="11"/>
    <n v="4092.2200010000006"/>
    <n v="426250"/>
  </r>
  <r>
    <x v="0"/>
    <x v="1"/>
    <s v="blg_haca_bfr_full-rescue-pulse_res_aw-reach_x_x_ym00458406_q2_2025_bfr_001_x"/>
    <s v="bfr"/>
    <x v="1"/>
    <x v="1"/>
    <x v="1"/>
    <d v="2025-06-01T00:00:00"/>
    <d v="2025-06-03T00:00:00"/>
    <x v="10"/>
    <n v="14348.18"/>
    <n v="1039672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1T00:00:00"/>
    <x v="28"/>
    <n v="2909.5299960000007"/>
    <n v="252200"/>
  </r>
  <r>
    <x v="0"/>
    <x v="2"/>
    <s v="blg_haca_hydrasource_bau_aw-aw-thruplay_none-none_na_na_ym00339376_q1-vvr_2024_bhs_001_x"/>
    <s v="hydrasource"/>
    <x v="4"/>
    <x v="2"/>
    <x v="2"/>
    <d v="2024-02-01T00:00:00"/>
    <d v="2024-02-20T00:00:00"/>
    <x v="59"/>
    <n v="312.09999699999997"/>
    <n v="43014"/>
  </r>
  <r>
    <x v="0"/>
    <x v="2"/>
    <s v="blg_haca_hys_hydrasource_aw-aw-thruplay_none-none_x_x_ym00427700_q2_2025_bhs_006_x"/>
    <s v="hys"/>
    <x v="4"/>
    <x v="1"/>
    <x v="1"/>
    <d v="2025-05-01T00:00:00"/>
    <d v="2025-05-01T00:00:00"/>
    <x v="19"/>
    <n v="430.43999999999994"/>
    <n v="18869"/>
  </r>
  <r>
    <x v="0"/>
    <x v="2"/>
    <s v="blg_haca_hydrasource_bau_aw-aw-thruplay_none-none_na_na_ym00339376_q1-vvr_2024_bhs_001_x"/>
    <s v="hydrasource"/>
    <x v="4"/>
    <x v="2"/>
    <x v="2"/>
    <d v="2024-02-01T00:00:00"/>
    <d v="2024-02-22T00:00:00"/>
    <x v="59"/>
    <n v="1208.6599970000002"/>
    <n v="179298"/>
  </r>
  <r>
    <x v="0"/>
    <x v="2"/>
    <s v="blg_haca_mult_agile-boosting_cons-eng-thruplay_none-none_x_x_ym00437375_x_2025_blg_002_x"/>
    <s v="mult"/>
    <x v="0"/>
    <x v="1"/>
    <x v="0"/>
    <d v="2025-04-01T00:00:00"/>
    <d v="2025-04-30T00:00:00"/>
    <x v="19"/>
    <n v="696.62000300000022"/>
    <n v="154365"/>
  </r>
  <r>
    <x v="0"/>
    <x v="0"/>
    <s v="blg_haca_scalp-sync_traffic_cons-consideration_ym00356548_all_2024_bcp_004_x"/>
    <s v="scalp-sync"/>
    <x v="3"/>
    <x v="2"/>
    <x v="0"/>
    <d v="2024-04-01T00:00:00"/>
    <d v="2024-04-26T00:00:00"/>
    <x v="50"/>
    <n v="1770.9294709999999"/>
    <n v="455770"/>
  </r>
  <r>
    <x v="0"/>
    <x v="1"/>
    <s v="blg_haca_bfr_full-rescue_auc_cons-traffic_x_x_YM00458406_q2_2025_bfr_001_x"/>
    <s v="bfr"/>
    <x v="1"/>
    <x v="1"/>
    <x v="1"/>
    <d v="2025-06-01T00:00:00"/>
    <d v="2025-06-27T00:00:00"/>
    <x v="7"/>
    <n v="5898.33"/>
    <n v="831881"/>
  </r>
  <r>
    <x v="0"/>
    <x v="0"/>
    <s v="blg_haca_bfr_fullrescue-bonus_aw-awareness_x_bonus-q2_2025_x_x_x"/>
    <s v="bfr"/>
    <x v="1"/>
    <x v="1"/>
    <x v="1"/>
    <d v="2025-06-01T00:00:00"/>
    <d v="2025-06-04T00:00:00"/>
    <x v="10"/>
    <n v="415.88184800000005"/>
    <n v="204232"/>
  </r>
  <r>
    <x v="0"/>
    <x v="0"/>
    <s v="blg_othr_na_na_84570334_2023_q2_conversion-non-promo_other_amazon+ulta+conversion"/>
    <s v="na"/>
    <x v="0"/>
    <x v="0"/>
    <x v="1"/>
    <d v="2023-07-01T00:00:00"/>
    <d v="2023-07-05T00:00:00"/>
    <x v="21"/>
    <n v="80.122946999999996"/>
    <n v="59290"/>
  </r>
  <r>
    <x v="0"/>
    <x v="2"/>
    <s v="blg_haca_scalp_reels-only_aw-aw-thruplay_website-viewcontent_na_na_ym00356549_q1-q2-vvr_2024_bcp_002_x"/>
    <s v="scalp"/>
    <x v="3"/>
    <x v="2"/>
    <x v="1"/>
    <d v="2024-04-01T00:00:00"/>
    <d v="2024-04-21T00:00:00"/>
    <x v="50"/>
    <n v="195.22999899999999"/>
    <n v="50071"/>
  </r>
  <r>
    <x v="0"/>
    <x v="1"/>
    <s v="blg_haca_hys_hydrasource_auc_aw-video-views_x_x_ym00427700_q2_2025_bhs_006_x"/>
    <s v="hys"/>
    <x v="4"/>
    <x v="1"/>
    <x v="1"/>
    <d v="2025-04-01T00:00:00"/>
    <d v="2025-04-05T00:00:00"/>
    <x v="26"/>
    <n v="2097.4199999999996"/>
    <n v="508138"/>
  </r>
  <r>
    <x v="0"/>
    <x v="1"/>
    <s v="blg_haca_hys_hydrasource_auc_aw-video-views_x_x_ym00427700_q2_2025_bhs_006_x"/>
    <s v="hys"/>
    <x v="4"/>
    <x v="1"/>
    <x v="0"/>
    <d v="2025-04-01T00:00:00"/>
    <d v="2025-04-05T00:00:00"/>
    <x v="26"/>
    <n v="1581.27"/>
    <n v="345674"/>
  </r>
  <r>
    <x v="0"/>
    <x v="1"/>
    <s v="blg_haca_mult_ao-boosting_auc_aw-video-views_x_x_ym00437375_x_2025_blg_002_x"/>
    <s v="mult"/>
    <x v="0"/>
    <x v="1"/>
    <x v="0"/>
    <d v="2025-04-01T00:00:00"/>
    <d v="2025-04-22T00:00:00"/>
    <x v="11"/>
    <n v="0.6"/>
    <n v="144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0T00:00:00"/>
    <x v="4"/>
    <n v="652.05999999999995"/>
    <n v="100464"/>
  </r>
  <r>
    <x v="0"/>
    <x v="2"/>
    <s v="blg_haca_bfr_fullrescue_aw-aw-thruplay_none-none_x_x_ym00458406_q2-q3_2025_bfr_001_x"/>
    <s v="bfr"/>
    <x v="1"/>
    <x v="1"/>
    <x v="1"/>
    <d v="2025-05-01T00:00:00"/>
    <d v="2025-05-29T00:00:00"/>
    <x v="8"/>
    <n v="29.919999999999995"/>
    <n v="1111"/>
  </r>
  <r>
    <x v="0"/>
    <x v="2"/>
    <s v="blg_haca_bond-therapy_na_aw-aw-thruplay_none-viewcontent_na_na_ym87093418_vvr-q4_2023_x_x_x"/>
    <s v="bond-therapy"/>
    <x v="5"/>
    <x v="0"/>
    <x v="2"/>
    <d v="2023-12-01T00:00:00"/>
    <d v="2023-12-07T00:00:00"/>
    <x v="38"/>
    <n v="2800.399394"/>
    <n v="495537"/>
  </r>
  <r>
    <x v="0"/>
    <x v="2"/>
    <s v="blg_haca_scalp_reels-only_aw-aw-thruplay_website-viewcontent_na_na_ym00356549_q1-q2-vvr_2024_bcp_002_x"/>
    <s v="scalp"/>
    <x v="3"/>
    <x v="2"/>
    <x v="0"/>
    <d v="2024-04-01T00:00:00"/>
    <d v="2024-04-02T00:00:00"/>
    <x v="53"/>
    <n v="761.80000099999995"/>
    <n v="208702"/>
  </r>
  <r>
    <x v="0"/>
    <x v="0"/>
    <s v="blg_othr_na_na_84570334_2023_q2_conversion-non-promo_other_amazon+ulta+conversion_v2"/>
    <s v="na"/>
    <x v="0"/>
    <x v="0"/>
    <x v="0"/>
    <d v="2023-07-01T00:00:00"/>
    <d v="2023-07-24T00:00:00"/>
    <x v="39"/>
    <n v="184.29165"/>
    <n v="63850"/>
  </r>
  <r>
    <x v="0"/>
    <x v="2"/>
    <s v="blg_haca_hydrasource_x_cons-tra-linkcli_none-none_x_x_ym00339376_q4-lctr_2024_bhs_001_x"/>
    <s v="hydrasource"/>
    <x v="4"/>
    <x v="2"/>
    <x v="0"/>
    <d v="2024-09-01T00:00:00"/>
    <d v="2024-09-27T00:00:00"/>
    <x v="60"/>
    <n v="2547.2699970000003"/>
    <n v="266410"/>
  </r>
  <r>
    <x v="0"/>
    <x v="2"/>
    <s v="blg_haca_hydrasource_x_aw-aw-thruplay_none-none_x_x_ym00339376_q4_2024_bhs_001_x"/>
    <s v="hydrasource"/>
    <x v="4"/>
    <x v="2"/>
    <x v="0"/>
    <d v="2024-10-01T00:00:00"/>
    <d v="2024-10-17T00:00:00"/>
    <x v="32"/>
    <n v="3492.2900129999998"/>
    <n v="754062"/>
  </r>
  <r>
    <x v="0"/>
    <x v="0"/>
    <s v="blg_othr_na_na_84570334_2023_q2_conversion-non-promo_other_amazon+ulta+conversion_v2"/>
    <s v="na"/>
    <x v="0"/>
    <x v="0"/>
    <x v="1"/>
    <d v="2023-08-01T00:00:00"/>
    <d v="2023-08-18T00:00:00"/>
    <x v="30"/>
    <n v="1152.482178"/>
    <n v="129855"/>
  </r>
  <r>
    <x v="0"/>
    <x v="2"/>
    <s v="blg_haca_mult_bf-cyber-reminder_cons-eng-posteng_onad-none_promotion_x_ym00384930_q4_2024_blg_001_x"/>
    <s v="mult"/>
    <x v="0"/>
    <x v="2"/>
    <x v="2"/>
    <d v="2024-11-01T00:00:00"/>
    <d v="2024-11-20T00:00:00"/>
    <x v="58"/>
    <n v="9893.4299960000008"/>
    <n v="1034688"/>
  </r>
  <r>
    <x v="0"/>
    <x v="0"/>
    <s v="blg_haca_bfr_fullrescue-bonus_aw-awareness_x_bonus-q2_2025_x_x_x"/>
    <s v="bfr"/>
    <x v="1"/>
    <x v="1"/>
    <x v="0"/>
    <d v="2025-06-01T00:00:00"/>
    <d v="2025-06-08T00:00:00"/>
    <x v="18"/>
    <n v="1296.8246750000001"/>
    <n v="570690"/>
  </r>
  <r>
    <x v="0"/>
    <x v="2"/>
    <s v="blg_haca_bfr_fullrescue_aw-aw-thruplay_none-none_x_x_ym00458406_q2-q3_2025_bfr_001_x"/>
    <s v="bfr"/>
    <x v="1"/>
    <x v="1"/>
    <x v="1"/>
    <d v="2025-06-01T00:00:00"/>
    <d v="2025-06-18T00:00:00"/>
    <x v="16"/>
    <n v="1065.9499999999998"/>
    <n v="188716"/>
  </r>
  <r>
    <x v="0"/>
    <x v="0"/>
    <s v="blg_othr_na_na_84570334_2023_q2_traffic_other_volumebloom-fulldensity+traffic_v2"/>
    <s v="na"/>
    <x v="0"/>
    <x v="0"/>
    <x v="2"/>
    <d v="2023-07-01T00:00:00"/>
    <d v="2023-07-21T00:00:00"/>
    <x v="42"/>
    <n v="637.018685"/>
    <n v="372556"/>
  </r>
  <r>
    <x v="0"/>
    <x v="2"/>
    <s v="blg_haca_prime-day_lead-up-cell-2_aw-aw-thruplay_none-viewcontent_x_lla_ym00384930_x_2024_blg_001_x"/>
    <s v="prime-day"/>
    <x v="6"/>
    <x v="2"/>
    <x v="1"/>
    <d v="2024-07-01T00:00:00"/>
    <d v="2024-07-09T00:00:00"/>
    <x v="54"/>
    <n v="2535.6900119999996"/>
    <n v="259817"/>
  </r>
  <r>
    <x v="0"/>
    <x v="0"/>
    <s v="blg_haca_bfr_fullrescue-bonus_aw-awareness_x_bonus-q2_2025_x_x_x"/>
    <s v="bfr"/>
    <x v="1"/>
    <x v="1"/>
    <x v="1"/>
    <d v="2025-06-01T00:00:00"/>
    <d v="2025-06-27T00:00:00"/>
    <x v="7"/>
    <n v="351.59647600000005"/>
    <n v="162640"/>
  </r>
  <r>
    <x v="0"/>
    <x v="0"/>
    <s v="blg_othr_na_na_84570334_2023_q2_traffic_other_volumebloom-fulldensity+traffic_v2"/>
    <s v="na"/>
    <x v="0"/>
    <x v="0"/>
    <x v="2"/>
    <d v="2023-07-01T00:00:00"/>
    <d v="2023-07-19T00:00:00"/>
    <x v="42"/>
    <n v="531.45557800000006"/>
    <n v="343888"/>
  </r>
  <r>
    <x v="0"/>
    <x v="2"/>
    <s v="blg_haca_scalp_reels-only_aw-aw-thruplay_website-viewcontent_na_na_ym00356549_q1-q2-vvr_2024_bcp_002_x"/>
    <s v="scalp"/>
    <x v="3"/>
    <x v="2"/>
    <x v="1"/>
    <d v="2024-03-01T00:00:00"/>
    <d v="2024-03-07T00:00:00"/>
    <x v="6"/>
    <n v="979.56000099999994"/>
    <n v="218932"/>
  </r>
  <r>
    <x v="0"/>
    <x v="0"/>
    <s v="blg_haca_bfr_fullrescue-bonus_aw-awareness_x_bonus-q2_2025_x_x_x"/>
    <s v="bfr"/>
    <x v="1"/>
    <x v="1"/>
    <x v="0"/>
    <d v="2025-06-01T00:00:00"/>
    <d v="2025-06-21T00:00:00"/>
    <x v="16"/>
    <n v="1377.2909340000001"/>
    <n v="595572"/>
  </r>
  <r>
    <x v="0"/>
    <x v="1"/>
    <s v="blg_haca_bfr_full-rescue_auc_cons-traffic_x_x_YM00458406_q2_2025_bfr_001_x"/>
    <s v="bfr"/>
    <x v="1"/>
    <x v="1"/>
    <x v="1"/>
    <d v="2025-06-01T00:00:00"/>
    <d v="2025-06-23T00:00:00"/>
    <x v="7"/>
    <n v="981.67999999999984"/>
    <n v="181655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20T00:00:00"/>
    <x v="0"/>
    <n v="807.77999700000009"/>
    <n v="132173"/>
  </r>
  <r>
    <x v="0"/>
    <x v="1"/>
    <s v="blg_haca_hys_hydrasource_auc_cons-traffic_x_x_ym00427700_q2_2025_bhs_006_x"/>
    <s v="hys"/>
    <x v="4"/>
    <x v="1"/>
    <x v="0"/>
    <d v="2025-04-01T00:00:00"/>
    <d v="2025-04-09T00:00:00"/>
    <x v="23"/>
    <n v="5510.24"/>
    <n v="1216442"/>
  </r>
  <r>
    <x v="0"/>
    <x v="1"/>
    <s v="blg_haca_mult_ao-boosting_auc_aw-video-views_x_x_ym00437375_x_2025_blg_002_x"/>
    <s v="mult"/>
    <x v="0"/>
    <x v="1"/>
    <x v="0"/>
    <d v="2025-03-01T00:00:00"/>
    <d v="2025-03-21T00:00:00"/>
    <x v="13"/>
    <n v="2074.5800000000004"/>
    <n v="522973"/>
  </r>
  <r>
    <x v="0"/>
    <x v="0"/>
    <s v="blg_othr_na_na_84570334_2023_q2_conversion-non-promo_other_amazon+ulta+conversion_v2"/>
    <s v="na"/>
    <x v="0"/>
    <x v="0"/>
    <x v="0"/>
    <d v="2023-07-01T00:00:00"/>
    <d v="2023-07-29T00:00:00"/>
    <x v="39"/>
    <n v="192.952651"/>
    <n v="64392"/>
  </r>
  <r>
    <x v="0"/>
    <x v="2"/>
    <s v="blg_haca_bfr_fullrescue_aw-aw-thruplay_none-none_x_x_ym00458406_q2-q3_2025_bfr_001_x"/>
    <s v="bfr"/>
    <x v="1"/>
    <x v="1"/>
    <x v="1"/>
    <d v="2025-06-01T00:00:00"/>
    <d v="2025-06-09T00:00:00"/>
    <x v="18"/>
    <n v="1596.2899989999994"/>
    <n v="230296"/>
  </r>
  <r>
    <x v="0"/>
    <x v="2"/>
    <s v="blg_haca_hydrasource_x_aw-aw-thruplay_none-none_x_x_ym00339376_q4_2024_bhs_001_x"/>
    <s v="hydrasource"/>
    <x v="4"/>
    <x v="2"/>
    <x v="0"/>
    <d v="2024-10-01T00:00:00"/>
    <d v="2024-10-24T00:00:00"/>
    <x v="68"/>
    <n v="3128.5400029999996"/>
    <n v="659005"/>
  </r>
  <r>
    <x v="0"/>
    <x v="2"/>
    <s v="blg_haca_mult_agile-boosting_cons-eng-thruplay_none-none_x_x_ym00437375_x_2025_blg_002_x"/>
    <s v="mult"/>
    <x v="0"/>
    <x v="1"/>
    <x v="0"/>
    <d v="2025-05-01T00:00:00"/>
    <d v="2025-05-07T00:00:00"/>
    <x v="12"/>
    <n v="15.180003000000001"/>
    <n v="3423"/>
  </r>
  <r>
    <x v="0"/>
    <x v="2"/>
    <s v="blg_haca_hydrasource_x_aw-aw-thruplay_none-none_x_x_ym00339376_q4_2024_bhs_001_x"/>
    <s v="hydrasource"/>
    <x v="4"/>
    <x v="2"/>
    <x v="0"/>
    <d v="2024-10-01T00:00:00"/>
    <d v="2024-10-27T00:00:00"/>
    <x v="22"/>
    <n v="3955.129996000001"/>
    <n v="817939"/>
  </r>
  <r>
    <x v="0"/>
    <x v="2"/>
    <s v="blg_haca_hys_hydrasource_cons-tra-linkcli_website-none_x_x_ym00427700_q2_2025_bhs_006_x"/>
    <s v="hys"/>
    <x v="4"/>
    <x v="1"/>
    <x v="0"/>
    <d v="2025-04-01T00:00:00"/>
    <d v="2025-04-13T00:00:00"/>
    <x v="36"/>
    <n v="4057.0199979999993"/>
    <n v="428796"/>
  </r>
  <r>
    <x v="0"/>
    <x v="1"/>
    <s v="blg_haca_mult_ao-boosting_auc_aw-video-views_x_x_ym00437375_x_2025_blg_002_x"/>
    <s v="mult"/>
    <x v="0"/>
    <x v="1"/>
    <x v="0"/>
    <d v="2025-04-01T00:00:00"/>
    <d v="2025-04-13T00:00:00"/>
    <x v="36"/>
    <n v="0.64999999999999991"/>
    <n v="172"/>
  </r>
  <r>
    <x v="0"/>
    <x v="0"/>
    <s v="blg_othr_na_na_84570334_2023_q2_conversion-non-promo_other_amazon+ulta+conversion_v2"/>
    <s v="na"/>
    <x v="0"/>
    <x v="0"/>
    <x v="1"/>
    <d v="2023-08-01T00:00:00"/>
    <d v="2023-08-10T00:00:00"/>
    <x v="4"/>
    <n v="1134.8998649999999"/>
    <n v="169047"/>
  </r>
  <r>
    <x v="0"/>
    <x v="2"/>
    <s v="blg_haca_bfr_fullrescue_aw-aw-thruplay_none-none_x_x_ym00458406_q2-q3_2025_bfr_001_x"/>
    <s v="bfr"/>
    <x v="1"/>
    <x v="1"/>
    <x v="1"/>
    <d v="2025-06-01T00:00:00"/>
    <d v="2025-06-13T00:00:00"/>
    <x v="18"/>
    <n v="1400.55"/>
    <n v="186059"/>
  </r>
  <r>
    <x v="0"/>
    <x v="2"/>
    <s v="blg_haca_hys_hydrasource_aw-aw-thruplay_none-none_x_x_ym00427700_q2_2025_bhs_006_x"/>
    <s v="hys"/>
    <x v="4"/>
    <x v="1"/>
    <x v="0"/>
    <d v="2025-04-01T00:00:00"/>
    <d v="2025-04-15T00:00:00"/>
    <x v="36"/>
    <n v="2229.5499999999997"/>
    <n v="320252"/>
  </r>
  <r>
    <x v="0"/>
    <x v="2"/>
    <s v="blg_haca_mult_agile-boosting_cons-eng-thruplay_none-none_x_x_ym00437375_x_2025_blg_002_x"/>
    <s v="mult"/>
    <x v="0"/>
    <x v="1"/>
    <x v="1"/>
    <d v="2025-05-01T00:00:00"/>
    <d v="2025-05-14T00:00:00"/>
    <x v="17"/>
    <n v="1345.7500010000001"/>
    <n v="223158"/>
  </r>
  <r>
    <x v="0"/>
    <x v="2"/>
    <s v="blg_haca_bfr_fullrescue_aw-aw-thruplay_none-none_x_x_ym00458406_q2-q3_2025_bfr_001_x"/>
    <s v="bfr"/>
    <x v="1"/>
    <x v="1"/>
    <x v="0"/>
    <d v="2025-06-01T00:00:00"/>
    <d v="2025-06-28T00:00:00"/>
    <x v="7"/>
    <n v="1512.1000019999999"/>
    <n v="221775"/>
  </r>
  <r>
    <x v="0"/>
    <x v="2"/>
    <s v="blg_haca_mult_ulta-liter_cons-tra-linkcli_website-none_promotion_x_ym00437375_q1_2025_blg_002_x"/>
    <s v="mult"/>
    <x v="0"/>
    <x v="1"/>
    <x v="0"/>
    <d v="2025-01-01T00:00:00"/>
    <d v="2025-01-25T00:00:00"/>
    <x v="70"/>
    <n v="1320.7500010000008"/>
    <n v="162013"/>
  </r>
  <r>
    <x v="0"/>
    <x v="2"/>
    <s v="blg_haca_hydrasource_na_cons-tra-linkcli_none-none_na_na_ym00339376_q1-lctr_2024_bhs_001_x"/>
    <s v="hydrasource"/>
    <x v="4"/>
    <x v="2"/>
    <x v="0"/>
    <d v="2024-02-01T00:00:00"/>
    <d v="2024-02-10T00:00:00"/>
    <x v="41"/>
    <n v="3266.7000029999999"/>
    <n v="521515"/>
  </r>
  <r>
    <x v="0"/>
    <x v="0"/>
    <s v="blg_othr_na_na_84570334_2023_q2_traffic_other_volumebloom-fulldensity+traffic"/>
    <s v="na"/>
    <x v="0"/>
    <x v="0"/>
    <x v="2"/>
    <d v="2023-07-01T00:00:00"/>
    <d v="2023-07-06T00:00:00"/>
    <x v="21"/>
    <n v="678.37560899999994"/>
    <n v="370621"/>
  </r>
  <r>
    <x v="0"/>
    <x v="2"/>
    <s v="blg_haca_hydrasource_bau_aw-aw-thruplay_none-none_na_na_ym00339376_q1-vvr_2024_bhs_001_x"/>
    <s v="hydrasource"/>
    <x v="4"/>
    <x v="2"/>
    <x v="2"/>
    <d v="2024-02-01T00:00:00"/>
    <d v="2024-02-28T00:00:00"/>
    <x v="29"/>
    <n v="1241.1400100000001"/>
    <n v="170941"/>
  </r>
  <r>
    <x v="0"/>
    <x v="1"/>
    <s v="blg_haca_hys_hydrasource_auc_aw-video-views_x_x_ym00427700_q2_2025_bhs_006_x"/>
    <s v="hys"/>
    <x v="4"/>
    <x v="1"/>
    <x v="0"/>
    <d v="2025-04-01T00:00:00"/>
    <d v="2025-04-20T00:00:00"/>
    <x v="11"/>
    <n v="3725.54"/>
    <n v="1060989"/>
  </r>
  <r>
    <x v="0"/>
    <x v="1"/>
    <s v="blg_haca_mult_ao-boosting_auc_aw-video-views_x_x_ym00437375_x_2025_blg_002_x"/>
    <s v="mult"/>
    <x v="0"/>
    <x v="1"/>
    <x v="0"/>
    <d v="2025-04-01T00:00:00"/>
    <d v="2025-04-21T00:00:00"/>
    <x v="11"/>
    <n v="0.11"/>
    <n v="70"/>
  </r>
  <r>
    <x v="0"/>
    <x v="2"/>
    <s v="blg_haca_bfr_fullrescue_cons-tra-linkcli_website-none_x_x_ym00458406_q2-q3_2025_bfr_001_x"/>
    <s v="bfr"/>
    <x v="1"/>
    <x v="1"/>
    <x v="1"/>
    <d v="2025-05-01T00:00:00"/>
    <d v="2025-05-19T00:00:00"/>
    <x v="47"/>
    <n v="10.52"/>
    <n v="1232"/>
  </r>
  <r>
    <x v="0"/>
    <x v="2"/>
    <s v="blg_haca_mult_agile-boosting_cons-eng-thruplay_none-none_x_x_ym00437375_x_2025_blg_002_x"/>
    <s v="mult"/>
    <x v="0"/>
    <x v="1"/>
    <x v="1"/>
    <d v="2025-06-01T00:00:00"/>
    <d v="2025-06-03T00:00:00"/>
    <x v="10"/>
    <n v="916.25999799999977"/>
    <n v="182111"/>
  </r>
  <r>
    <x v="0"/>
    <x v="0"/>
    <s v="blg_haca_bfr_fullrescue-bonus_aw-awareness_x_bonus-q2_2025_x_x_x"/>
    <s v="bfr"/>
    <x v="1"/>
    <x v="1"/>
    <x v="0"/>
    <d v="2025-06-01T00:00:00"/>
    <d v="2025-06-03T00:00:00"/>
    <x v="10"/>
    <n v="1228.889934"/>
    <n v="598816"/>
  </r>
  <r>
    <x v="0"/>
    <x v="1"/>
    <s v="blg_haca_bfr_full-rescue_auc_aw-video-views_x_x_YM00458406_q2_2025_bfr_001_x"/>
    <s v="bfr"/>
    <x v="1"/>
    <x v="1"/>
    <x v="0"/>
    <d v="2025-06-01T00:00:00"/>
    <d v="2025-06-03T00:00:00"/>
    <x v="10"/>
    <n v="0.87000000000000011"/>
    <n v="191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6T00:00:00"/>
    <x v="33"/>
    <n v="3113.8900009999998"/>
    <n v="233388"/>
  </r>
  <r>
    <x v="0"/>
    <x v="1"/>
    <s v="blg_haca_mult_ao-boosting_auc_aw-video-views_x_x_ym00437375_x_2025_blg_002_x"/>
    <s v="mult"/>
    <x v="0"/>
    <x v="1"/>
    <x v="0"/>
    <d v="2025-06-01T00:00:00"/>
    <d v="2025-06-15T00:00:00"/>
    <x v="16"/>
    <n v="1700.33"/>
    <n v="344231"/>
  </r>
  <r>
    <x v="0"/>
    <x v="2"/>
    <s v="blg_haca_scalp_reels-only_aw-aw-thruplay_website-viewcontent_na_na_ym00356549_q1-q2-vvr_2024_bcp_002_x"/>
    <s v="scalp"/>
    <x v="3"/>
    <x v="2"/>
    <x v="0"/>
    <d v="2024-03-01T00:00:00"/>
    <d v="2024-03-28T00:00:00"/>
    <x v="3"/>
    <n v="891.54"/>
    <n v="189628"/>
  </r>
  <r>
    <x v="0"/>
    <x v="2"/>
    <s v="blg_haca_hydrasource_x_aw-aw-thruplay_none-none_x_x_ym00339376_q4_2024_bhs_001_x"/>
    <s v="hydrasource"/>
    <x v="4"/>
    <x v="2"/>
    <x v="0"/>
    <d v="2024-09-01T00:00:00"/>
    <d v="2024-09-29T00:00:00"/>
    <x v="31"/>
    <n v="4008.1400020000001"/>
    <n v="691281"/>
  </r>
  <r>
    <x v="0"/>
    <x v="2"/>
    <s v="blg_haca_hys_hydrasource_aw-aw-thruplay_none-none_x_x_ym00427700_q2_2025_bhs_006_x"/>
    <s v="hys"/>
    <x v="4"/>
    <x v="1"/>
    <x v="1"/>
    <d v="2025-04-01T00:00:00"/>
    <d v="2025-04-02T00:00:00"/>
    <x v="26"/>
    <n v="707.34999999999991"/>
    <n v="37334"/>
  </r>
  <r>
    <x v="0"/>
    <x v="2"/>
    <s v="blg_haca_hydrasource_reelsonly_aw-aw-thruplay_none-none_na_na_ym00339376_q1-vvr_2024_bhs_001_x"/>
    <s v="hydrasource"/>
    <x v="4"/>
    <x v="2"/>
    <x v="0"/>
    <d v="2024-02-01T00:00:00"/>
    <d v="2024-02-01T00:00:00"/>
    <x v="5"/>
    <n v="630.05999900000018"/>
    <n v="154726"/>
  </r>
  <r>
    <x v="0"/>
    <x v="2"/>
    <s v="blg_haca_hydrasource_reelsonly_aw-aw-thruplay_none-none_na_na_ym00339376_q1-vvr_2024_bhs_001_x"/>
    <s v="hydrasource"/>
    <x v="4"/>
    <x v="2"/>
    <x v="0"/>
    <d v="2024-02-01T00:00:00"/>
    <d v="2024-02-22T00:00:00"/>
    <x v="59"/>
    <n v="924.57999900000016"/>
    <n v="192078"/>
  </r>
  <r>
    <x v="0"/>
    <x v="2"/>
    <s v="blg_haca_scalp_bau_aw-aw-thruplay_website-viewcontent_na_na_ym00356549_q1-q2-vvr_2024_bcp_002_x"/>
    <s v="scalp"/>
    <x v="3"/>
    <x v="2"/>
    <x v="1"/>
    <d v="2024-04-01T00:00:00"/>
    <d v="2024-04-16T00:00:00"/>
    <x v="24"/>
    <n v="1801.3100030000001"/>
    <n v="407071"/>
  </r>
  <r>
    <x v="0"/>
    <x v="2"/>
    <s v="blg_haca_mult_bf-cyber-dayofsale-cm_cons-tra-linkcli_website-none_promotion_x_ym00384930_q4_2024_blg_001_x"/>
    <s v="mult"/>
    <x v="0"/>
    <x v="2"/>
    <x v="0"/>
    <d v="2024-12-01T00:00:00"/>
    <d v="2024-12-01T00:00:00"/>
    <x v="74"/>
    <n v="18711.170005999997"/>
    <n v="2516604"/>
  </r>
  <r>
    <x v="0"/>
    <x v="0"/>
    <s v="blg_haca_scalp-sync_awareness_aw-awareness_ym00356548_all_2024_bcp_004_x"/>
    <s v="scalp-sync"/>
    <x v="3"/>
    <x v="2"/>
    <x v="2"/>
    <d v="2024-04-01T00:00:00"/>
    <d v="2024-04-25T00:00:00"/>
    <x v="50"/>
    <n v="3363.5460489999996"/>
    <n v="1577714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9T00:00:00"/>
    <x v="28"/>
    <n v="1959.1000019999999"/>
    <n v="118752"/>
  </r>
  <r>
    <x v="0"/>
    <x v="2"/>
    <s v="blg_haca_mult_agile-boosting_cons-eng-thruplay_none-none_x_x_ym00437375_x_2025_blg_002_x"/>
    <s v="mult"/>
    <x v="0"/>
    <x v="1"/>
    <x v="0"/>
    <d v="2025-05-01T00:00:00"/>
    <d v="2025-05-09T00:00:00"/>
    <x v="12"/>
    <n v="207.89999999999998"/>
    <n v="42338"/>
  </r>
  <r>
    <x v="0"/>
    <x v="2"/>
    <s v="blg_haca_hydrasource_reelsonly_aw-aw-thruplay_none-none_na_na_ym00339376_q1-vvr_2024_bhs_001_x"/>
    <s v="hydrasource"/>
    <x v="4"/>
    <x v="2"/>
    <x v="0"/>
    <d v="2024-02-01T00:00:00"/>
    <d v="2024-02-25T00:00:00"/>
    <x v="29"/>
    <n v="1011.2"/>
    <n v="214223"/>
  </r>
  <r>
    <x v="0"/>
    <x v="2"/>
    <s v="blg_haca_hys_hydrasource_aw-aw-thruplay_none-none_x_x_ym00427700_q2_2025_bhs_006_x"/>
    <s v="hys"/>
    <x v="4"/>
    <x v="1"/>
    <x v="1"/>
    <d v="2025-04-01T00:00:00"/>
    <d v="2025-04-14T00:00:00"/>
    <x v="36"/>
    <n v="253.65"/>
    <n v="11541"/>
  </r>
  <r>
    <x v="0"/>
    <x v="2"/>
    <s v="blg_haca_mult_bf-cyber-dayofsale-bf_cons-tra-linkcli_website-none_promotion_x_ym00384930_q4_2024_blg_001_x"/>
    <s v="mult"/>
    <x v="0"/>
    <x v="2"/>
    <x v="0"/>
    <d v="2024-11-01T00:00:00"/>
    <d v="2024-11-28T00:00:00"/>
    <x v="51"/>
    <n v="14360.810003000002"/>
    <n v="1618541"/>
  </r>
  <r>
    <x v="0"/>
    <x v="1"/>
    <s v="blg_haca_bfr_full-rescue_auc_aw-video-views_x_x_YM00458406_q2_2025_bfr_001_x"/>
    <s v="bfr"/>
    <x v="1"/>
    <x v="1"/>
    <x v="0"/>
    <d v="2025-06-01T00:00:00"/>
    <d v="2025-06-23T00:00:00"/>
    <x v="7"/>
    <n v="542.13"/>
    <n v="83579"/>
  </r>
  <r>
    <x v="0"/>
    <x v="2"/>
    <s v="blg_haca_prime-day_lead-up-cell-1_aw-aw-thruplay_none-viewcontent_x_lla_ym00384930_x_2024_blg_001_x"/>
    <s v="prime-day"/>
    <x v="6"/>
    <x v="2"/>
    <x v="1"/>
    <d v="2024-07-01T00:00:00"/>
    <d v="2024-07-15T00:00:00"/>
    <x v="46"/>
    <n v="2506.7099939999994"/>
    <n v="229346"/>
  </r>
  <r>
    <x v="0"/>
    <x v="2"/>
    <s v="blg_haca_bfr_fullrescue_cons-tra-linkcli_website-none_x_x_ym00458406_q2-q3_2025_bfr_001_x"/>
    <s v="bfr"/>
    <x v="1"/>
    <x v="1"/>
    <x v="0"/>
    <d v="2025-05-01T00:00:00"/>
    <d v="2025-05-31T00:00:00"/>
    <x v="8"/>
    <n v="1851.8400030000003"/>
    <n v="146484"/>
  </r>
  <r>
    <x v="0"/>
    <x v="2"/>
    <s v="blg_haca_mult_bf-cyber-dayofsale-cm_cons-tra-linkcli_website-none_promotion_x_ym00384930_q4_2024_blg_001_x"/>
    <s v="mult"/>
    <x v="0"/>
    <x v="2"/>
    <x v="0"/>
    <d v="2024-12-01T00:00:00"/>
    <d v="2024-12-02T00:00:00"/>
    <x v="74"/>
    <n v="21288.829995999997"/>
    <n v="2684988"/>
  </r>
  <r>
    <x v="0"/>
    <x v="2"/>
    <s v="blg_haca_scalp_bau_aw-aw-thruplay_website-viewcontent_na_na_ym00356549_q1-q2-vvr_2024_bcp_002_x"/>
    <s v="scalp"/>
    <x v="3"/>
    <x v="2"/>
    <x v="1"/>
    <d v="2024-03-01T00:00:00"/>
    <d v="2024-03-23T00:00:00"/>
    <x v="64"/>
    <n v="2283.8999990000002"/>
    <n v="505415"/>
  </r>
  <r>
    <x v="0"/>
    <x v="2"/>
    <s v="blg_haca_bfr_fullrescue_cons-tra-linkcli_website-none_x_x_ym00458406_q2-q3_2025_bfr_001_x"/>
    <s v="bfr"/>
    <x v="1"/>
    <x v="1"/>
    <x v="0"/>
    <d v="2025-05-01T00:00:00"/>
    <d v="2025-05-06T00:00:00"/>
    <x v="12"/>
    <n v="1705.5800020000001"/>
    <n v="116561"/>
  </r>
  <r>
    <x v="0"/>
    <x v="2"/>
    <s v="blg_haca_prime-day_lead-up-cell-1_aw-aw-thruplay_none-viewcontent_x_lla_ym00384930_x_2024_blg_001_x"/>
    <s v="prime-day"/>
    <x v="6"/>
    <x v="2"/>
    <x v="1"/>
    <d v="2024-07-01T00:00:00"/>
    <d v="2024-07-06T00:00:00"/>
    <x v="61"/>
    <n v="2603.5200000000004"/>
    <n v="310196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06T00:00:00"/>
    <x v="61"/>
    <n v="3827.8000049999996"/>
    <n v="527839"/>
  </r>
  <r>
    <x v="0"/>
    <x v="2"/>
    <s v="blg_haca_scalp_reels-only_aw-aw-thruplay_website-viewcontent_na_na_ym00356549_q1-q2-vvr_2024_bcp_002_x"/>
    <s v="scalp"/>
    <x v="3"/>
    <x v="2"/>
    <x v="1"/>
    <d v="2024-04-01T00:00:00"/>
    <d v="2024-04-18T00:00:00"/>
    <x v="24"/>
    <n v="268.35000099999996"/>
    <n v="67367"/>
  </r>
  <r>
    <x v="0"/>
    <x v="2"/>
    <s v="blg_haca_scalp_reels-only_aw-aw-thruplay_website-viewcontent_na_na_ym00356549_q1-q2-vvr_2024_bcp_002_x"/>
    <s v="scalp"/>
    <x v="3"/>
    <x v="2"/>
    <x v="1"/>
    <d v="2024-03-01T00:00:00"/>
    <d v="2024-03-04T00:00:00"/>
    <x v="6"/>
    <n v="473.9800019999999"/>
    <n v="98062"/>
  </r>
  <r>
    <x v="0"/>
    <x v="2"/>
    <s v="blg_haca_scalp_bau_aw-aw-thruplay_website-viewcontent_na_na_ym00356549_q1-q2-vvr_2024_bcp_002_x"/>
    <s v="scalp"/>
    <x v="3"/>
    <x v="2"/>
    <x v="1"/>
    <d v="2024-04-01T00:00:00"/>
    <d v="2024-04-01T00:00:00"/>
    <x v="53"/>
    <n v="2293.3799989999998"/>
    <n v="535529"/>
  </r>
  <r>
    <x v="0"/>
    <x v="1"/>
    <s v="blg_haca_bfr_full-rescue_auc_aw-video-views_x_x_YM00458406_q2_2025_bfr_001_x"/>
    <s v="bfr"/>
    <x v="1"/>
    <x v="1"/>
    <x v="0"/>
    <d v="2025-06-01T00:00:00"/>
    <d v="2025-06-16T00:00:00"/>
    <x v="16"/>
    <n v="41.26"/>
    <n v="8278"/>
  </r>
  <r>
    <x v="0"/>
    <x v="2"/>
    <s v="blg_haca_hydrasource_x_aw-aw-thruplay_none-none_x_x_ym00339376_q4_2024_bhs_001_x"/>
    <s v="hydrasource"/>
    <x v="4"/>
    <x v="2"/>
    <x v="0"/>
    <d v="2024-10-01T00:00:00"/>
    <d v="2024-10-18T00:00:00"/>
    <x v="32"/>
    <n v="3473.4800099999998"/>
    <n v="747356"/>
  </r>
  <r>
    <x v="0"/>
    <x v="2"/>
    <s v="blg_haca_mult_agile-boosting_cons-eng-thruplay_none-none_x_x_ym00437375_x_2025_blg_002_x"/>
    <s v="mult"/>
    <x v="0"/>
    <x v="1"/>
    <x v="1"/>
    <d v="2025-04-01T00:00:00"/>
    <d v="2025-04-25T00:00:00"/>
    <x v="11"/>
    <n v="765.27999900000009"/>
    <n v="153300"/>
  </r>
  <r>
    <x v="0"/>
    <x v="0"/>
    <s v="blg_haca_bfr_fullrescue-bonus_aw-awareness_x_bonus-q2_2025_x_x_x"/>
    <s v="bfr"/>
    <x v="1"/>
    <x v="1"/>
    <x v="1"/>
    <d v="2025-06-01T00:00:00"/>
    <d v="2025-06-28T00:00:00"/>
    <x v="7"/>
    <n v="372.36905100000001"/>
    <n v="167296"/>
  </r>
  <r>
    <x v="0"/>
    <x v="0"/>
    <s v="blg_othr_na_na_84570334_2023_q2_conversion-non-promo_other_amazon+ulta+conversion"/>
    <s v="na"/>
    <x v="0"/>
    <x v="0"/>
    <x v="0"/>
    <d v="2023-07-01T00:00:00"/>
    <d v="2023-07-13T00:00:00"/>
    <x v="37"/>
    <n v="1045.3530759999999"/>
    <n v="168752"/>
  </r>
  <r>
    <x v="0"/>
    <x v="0"/>
    <s v="blg_haca_scalp-sync_traffic_cons-consideration_ym00356548_all_2024_bcp_004_x"/>
    <s v="scalp-sync"/>
    <x v="3"/>
    <x v="2"/>
    <x v="0"/>
    <d v="2024-05-01T00:00:00"/>
    <d v="2024-05-23T00:00:00"/>
    <x v="14"/>
    <n v="1651.387645"/>
    <n v="417332"/>
  </r>
  <r>
    <x v="0"/>
    <x v="2"/>
    <s v="blg_haca_mult_agile-boosting_cons-eng-thruplay_none-none_x_x_ym00437375_x_2025_blg_002_x"/>
    <s v="mult"/>
    <x v="0"/>
    <x v="1"/>
    <x v="1"/>
    <d v="2025-06-01T00:00:00"/>
    <d v="2025-06-06T00:00:00"/>
    <x v="10"/>
    <n v="1636.1699990000002"/>
    <n v="198069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6T00:00:00"/>
    <x v="33"/>
    <n v="1936.289998"/>
    <n v="135697"/>
  </r>
  <r>
    <x v="0"/>
    <x v="2"/>
    <s v="blg_haca_mult_agile-boosting_cons-eng-thruplay_none-none_x_x_ym00437375_x_2025_blg_002_x"/>
    <s v="mult"/>
    <x v="0"/>
    <x v="1"/>
    <x v="0"/>
    <d v="2025-03-01T00:00:00"/>
    <d v="2025-03-20T00:00:00"/>
    <x v="13"/>
    <n v="2665.6900020000003"/>
    <n v="477336"/>
  </r>
  <r>
    <x v="0"/>
    <x v="2"/>
    <s v="blg_haca_hydrasource_na_cons-tra-linkcli_none-none_na_na_ym00339376_q1-lctr_2024_bhs_001_x"/>
    <s v="hydrasource"/>
    <x v="4"/>
    <x v="2"/>
    <x v="0"/>
    <d v="2024-02-01T00:00:00"/>
    <d v="2024-02-05T00:00:00"/>
    <x v="41"/>
    <n v="3198.4400049999999"/>
    <n v="531385"/>
  </r>
  <r>
    <x v="0"/>
    <x v="1"/>
    <s v="blg_haca_mult_ao-boosting_auc_aw-video-views_x_x_ym00437375_x_2025_blg_002_x"/>
    <s v="mult"/>
    <x v="0"/>
    <x v="1"/>
    <x v="0"/>
    <d v="2025-04-01T00:00:00"/>
    <d v="2025-04-17T00:00:00"/>
    <x v="36"/>
    <n v="0.16999999999999998"/>
    <n v="39"/>
  </r>
  <r>
    <x v="0"/>
    <x v="2"/>
    <s v="blg_haca_mult_agile-boosting_cons-eng-thruplay_none-none_x_x_ym00437375_x_2025_blg_002_x"/>
    <s v="mult"/>
    <x v="0"/>
    <x v="1"/>
    <x v="1"/>
    <d v="2025-06-01T00:00:00"/>
    <d v="2025-06-08T00:00:00"/>
    <x v="18"/>
    <n v="1796.7700020000002"/>
    <n v="215785"/>
  </r>
  <r>
    <x v="0"/>
    <x v="0"/>
    <s v="blg_othr_na_na_84570334_2023_q2_conversion-non-promo_other_amazon+ulta+conversion_v2"/>
    <s v="na"/>
    <x v="0"/>
    <x v="0"/>
    <x v="0"/>
    <d v="2023-07-01T00:00:00"/>
    <d v="2023-07-21T00:00:00"/>
    <x v="42"/>
    <n v="127.83571500000001"/>
    <n v="46810"/>
  </r>
  <r>
    <x v="0"/>
    <x v="0"/>
    <s v="blg_haca_bfr_fullrescue-bonus_aw-awareness_x_bonus-q2_2025_x_x_x"/>
    <s v="bfr"/>
    <x v="1"/>
    <x v="1"/>
    <x v="0"/>
    <d v="2025-06-01T00:00:00"/>
    <d v="2025-06-14T00:00:00"/>
    <x v="18"/>
    <n v="1333.3134250000001"/>
    <n v="615740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6T00:00:00"/>
    <x v="40"/>
    <n v="1334.9399999999998"/>
    <n v="221478"/>
  </r>
  <r>
    <x v="0"/>
    <x v="2"/>
    <s v="blg_haca_scalp_na_cons-tra-linkcli_none-none_na_na_ym00356549_q1-q2-lctr_2024_bcp_002_x"/>
    <s v="scalp"/>
    <x v="3"/>
    <x v="2"/>
    <x v="1"/>
    <d v="2024-03-01T00:00:00"/>
    <d v="2024-03-20T00:00:00"/>
    <x v="64"/>
    <n v="1530.4800060000005"/>
    <n v="221844"/>
  </r>
  <r>
    <x v="0"/>
    <x v="2"/>
    <s v="blg_haca_hydrasource_x_aw-aw-thruplay_none-none_x_x_ym00339376_q4_2024_bhs_001_x"/>
    <s v="hydrasource"/>
    <x v="4"/>
    <x v="2"/>
    <x v="0"/>
    <d v="2024-10-01T00:00:00"/>
    <d v="2024-10-21T00:00:00"/>
    <x v="68"/>
    <n v="3552.1600019999992"/>
    <n v="815622"/>
  </r>
  <r>
    <x v="0"/>
    <x v="1"/>
    <s v="blg_haca_bfr_full-rescue_auc_cons-traffic_x_x_YM00458406_q2_2025_bfr_001_x"/>
    <s v="bfr"/>
    <x v="1"/>
    <x v="1"/>
    <x v="0"/>
    <d v="2025-06-01T00:00:00"/>
    <d v="2025-06-25T00:00:00"/>
    <x v="7"/>
    <n v="333.39"/>
    <n v="80656"/>
  </r>
  <r>
    <x v="0"/>
    <x v="2"/>
    <s v="blg_haca_bfr_fullrescue_cons-tra-linkcli_website-none_x_x_ym00458406_q2-q3_2025_bfr_001_x"/>
    <s v="bfr"/>
    <x v="1"/>
    <x v="1"/>
    <x v="1"/>
    <d v="2025-06-01T00:00:00"/>
    <d v="2025-06-21T00:00:00"/>
    <x v="16"/>
    <n v="39.889999999999993"/>
    <n v="5083"/>
  </r>
  <r>
    <x v="0"/>
    <x v="1"/>
    <s v="blg_haca_mult_ao-boosting_auc_aw-video-views_x_x_ym00437375_x_2025_blg_002_x"/>
    <s v="mult"/>
    <x v="0"/>
    <x v="1"/>
    <x v="1"/>
    <d v="2025-04-01T00:00:00"/>
    <d v="2025-04-14T00:00:00"/>
    <x v="36"/>
    <n v="1396.69"/>
    <n v="401348"/>
  </r>
  <r>
    <x v="0"/>
    <x v="2"/>
    <s v="blg_haca_prime-day_lead-up-cell-2_aw-aw-thruplay_none-viewcontent_x_lla_ym00384930_x_2024_blg_001_x"/>
    <s v="prime-day"/>
    <x v="6"/>
    <x v="2"/>
    <x v="1"/>
    <d v="2024-07-01T00:00:00"/>
    <d v="2024-07-14T00:00:00"/>
    <x v="46"/>
    <n v="2670.6799960000003"/>
    <n v="230644"/>
  </r>
  <r>
    <x v="0"/>
    <x v="2"/>
    <s v="blg_haca_hys_hydrasource_aw-aw-thruplay_none-none_x_x_ym00427700_q2_2025_bhs_006_x"/>
    <s v="hys"/>
    <x v="4"/>
    <x v="1"/>
    <x v="0"/>
    <d v="2025-04-01T00:00:00"/>
    <d v="2025-04-09T00:00:00"/>
    <x v="23"/>
    <n v="1781.6800020000001"/>
    <n v="232358"/>
  </r>
  <r>
    <x v="0"/>
    <x v="0"/>
    <s v="blg_othr_na_na_84570334_2023_q2_traffic_other_volumebloom-fulldensity+traffic_v2"/>
    <s v="na"/>
    <x v="0"/>
    <x v="0"/>
    <x v="2"/>
    <d v="2023-07-01T00:00:00"/>
    <d v="2023-07-29T00:00:00"/>
    <x v="39"/>
    <n v="735.71066199999996"/>
    <n v="372005"/>
  </r>
  <r>
    <x v="0"/>
    <x v="1"/>
    <s v="blg_haca_mult_ao-boosting_auc_aw-video-views_x_x_ym00437375_x_2025_blg_002_x"/>
    <s v="mult"/>
    <x v="0"/>
    <x v="1"/>
    <x v="1"/>
    <d v="2025-04-01T00:00:00"/>
    <d v="2025-04-11T00:00:00"/>
    <x v="23"/>
    <n v="1299.9000000000001"/>
    <n v="353676"/>
  </r>
  <r>
    <x v="0"/>
    <x v="0"/>
    <s v="blg_othr_na_na_84570334_2023_q2_conversion-non-promo_other_amazon+ulta+conversion_v2"/>
    <s v="na"/>
    <x v="0"/>
    <x v="0"/>
    <x v="0"/>
    <d v="2023-07-01T00:00:00"/>
    <d v="2023-07-27T00:00:00"/>
    <x v="39"/>
    <n v="196.86830700000002"/>
    <n v="57469"/>
  </r>
  <r>
    <x v="0"/>
    <x v="2"/>
    <s v="blg_haca_mult_agile-boosting_cons-eng-thruplay_none-none_x_x_ym00437375_x_2025_blg_002_x"/>
    <s v="mult"/>
    <x v="0"/>
    <x v="1"/>
    <x v="1"/>
    <d v="2025-05-01T00:00:00"/>
    <d v="2025-05-30T00:00:00"/>
    <x v="8"/>
    <n v="926.77000300000009"/>
    <n v="148725"/>
  </r>
  <r>
    <x v="0"/>
    <x v="1"/>
    <s v="blg_haca_hys_hydrasource_auc_aw-video-views_x_x_ym00427700_q2_2025_bhs_006_x"/>
    <s v="hys"/>
    <x v="4"/>
    <x v="1"/>
    <x v="0"/>
    <d v="2025-04-01T00:00:00"/>
    <d v="2025-04-13T00:00:00"/>
    <x v="36"/>
    <n v="2094.54"/>
    <n v="549583"/>
  </r>
  <r>
    <x v="0"/>
    <x v="1"/>
    <s v="blg_haca_hys_hydrasource_auc_cons-traffic_x_x_ym00427700_q2_2025_bhs_006_x"/>
    <s v="hys"/>
    <x v="4"/>
    <x v="1"/>
    <x v="0"/>
    <d v="2025-04-01T00:00:00"/>
    <d v="2025-04-13T00:00:00"/>
    <x v="36"/>
    <n v="5388.59"/>
    <n v="1238866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30T00:00:00"/>
    <x v="40"/>
    <n v="3104.9700040000002"/>
    <n v="273355"/>
  </r>
  <r>
    <x v="0"/>
    <x v="2"/>
    <s v="blg_haca_scalp_reels-only_aw-aw-thruplay_website-viewcontent_na_na_ym00356549_q1-q2-vvr_2024_bcp_002_x"/>
    <s v="scalp"/>
    <x v="3"/>
    <x v="2"/>
    <x v="1"/>
    <d v="2024-03-01T00:00:00"/>
    <d v="2024-03-16T00:00:00"/>
    <x v="25"/>
    <n v="1010.8599969999998"/>
    <n v="244617"/>
  </r>
  <r>
    <x v="0"/>
    <x v="2"/>
    <s v="blg_haca_mult_ulta-liter_cons-tra-linkcli_website-none_promotion_x_ym00437375_q1_2025_blg_002_x"/>
    <s v="mult"/>
    <x v="0"/>
    <x v="1"/>
    <x v="0"/>
    <d v="2025-01-01T00:00:00"/>
    <d v="2025-01-24T00:00:00"/>
    <x v="70"/>
    <n v="3674.0099989999994"/>
    <n v="439349"/>
  </r>
  <r>
    <x v="0"/>
    <x v="2"/>
    <s v="blg_haca_hydrasource_na_cons-tra-linkcli_none-none_na_na_ym00339376_q1-lctr_2024_bhs_001_x"/>
    <s v="hydrasource"/>
    <x v="4"/>
    <x v="2"/>
    <x v="0"/>
    <d v="2024-01-01T00:00:00"/>
    <d v="2024-01-31T00:00:00"/>
    <x v="5"/>
    <n v="3229.1699930000004"/>
    <n v="491711"/>
  </r>
  <r>
    <x v="0"/>
    <x v="2"/>
    <s v="blg_haca_bfr_fullrescue_cons-tra-linkcli_website-none_x_x_ym00458406_q2-q3_2025_bfr_001_x"/>
    <s v="bfr"/>
    <x v="1"/>
    <x v="1"/>
    <x v="0"/>
    <d v="2025-06-01T00:00:00"/>
    <d v="2025-06-16T00:00:00"/>
    <x v="16"/>
    <n v="1803.1599969999997"/>
    <n v="153366"/>
  </r>
  <r>
    <x v="0"/>
    <x v="0"/>
    <s v="blg_othr_na_na_84570334_2023_q2_traffic_other_volumebloom-fulldensity+traffic_JBP"/>
    <s v="na"/>
    <x v="0"/>
    <x v="0"/>
    <x v="2"/>
    <d v="2023-08-01T00:00:00"/>
    <d v="2023-08-24T00:00:00"/>
    <x v="0"/>
    <n v="1778.5509970000001"/>
    <n v="537050"/>
  </r>
  <r>
    <x v="0"/>
    <x v="2"/>
    <s v="blg_haca_scalp_reels-only_aw-aw-thruplay_website-viewcontent_na_na_ym00356549_q1-q2-vvr_2024_bcp_002_x"/>
    <s v="scalp"/>
    <x v="3"/>
    <x v="2"/>
    <x v="1"/>
    <d v="2024-03-01T00:00:00"/>
    <d v="2024-03-26T00:00:00"/>
    <x v="3"/>
    <n v="950.990002"/>
    <n v="217698"/>
  </r>
  <r>
    <x v="0"/>
    <x v="1"/>
    <s v="blg_haca_bfr_full-rescue-pulse_res_aw-reach_x_x_ym00458406_q2_2025_bfr_001_x"/>
    <s v="bfr"/>
    <x v="1"/>
    <x v="1"/>
    <x v="0"/>
    <d v="2025-06-01T00:00:00"/>
    <d v="2025-06-02T00:00:00"/>
    <x v="10"/>
    <n v="6950"/>
    <n v="503611"/>
  </r>
  <r>
    <x v="0"/>
    <x v="2"/>
    <s v="blg_haca_hydrasource_na_cons-tra-linkcli_none-none_na_na_ym00339376_q1-lctr_2024_bhs_001_x"/>
    <s v="hydrasource"/>
    <x v="4"/>
    <x v="2"/>
    <x v="0"/>
    <d v="2024-01-01T00:00:00"/>
    <d v="2024-01-19T00:00:00"/>
    <x v="57"/>
    <n v="3085.1899880000001"/>
    <n v="557504"/>
  </r>
  <r>
    <x v="0"/>
    <x v="2"/>
    <s v="blg_haca_hydrasource_reelsonly_aw-aw-thruplay_none-none_na_na_ym00339376_q1-vvr_2024_bhs_001_x"/>
    <s v="hydrasource"/>
    <x v="4"/>
    <x v="2"/>
    <x v="0"/>
    <d v="2024-02-01T00:00:00"/>
    <d v="2024-02-28T00:00:00"/>
    <x v="29"/>
    <n v="909.19000099999994"/>
    <n v="176872"/>
  </r>
  <r>
    <x v="0"/>
    <x v="1"/>
    <s v="blg_haca_hys_hydrasource_auc_cons-traffic_x_x_ym00427700_q2_2025_bhs_006_x"/>
    <s v="hys"/>
    <x v="4"/>
    <x v="1"/>
    <x v="1"/>
    <d v="2025-04-01T00:00:00"/>
    <d v="2025-04-21T00:00:00"/>
    <x v="11"/>
    <n v="194.62"/>
    <n v="52948"/>
  </r>
  <r>
    <x v="0"/>
    <x v="1"/>
    <s v="blg_haca_mult_ao-boosting_auc_aw-video-views_x_x_ym00437375_x_2025_blg_002_x"/>
    <s v="mult"/>
    <x v="0"/>
    <x v="1"/>
    <x v="0"/>
    <d v="2025-06-01T00:00:00"/>
    <d v="2025-06-06T00:00:00"/>
    <x v="10"/>
    <n v="1598.0300000000002"/>
    <n v="376817"/>
  </r>
  <r>
    <x v="0"/>
    <x v="2"/>
    <s v="blg_haca_hydrasource_x_cons-tra-linkcli_none-none_x_x_ym00339376_q4-lctr_2024_bhs_001_x"/>
    <s v="hydrasource"/>
    <x v="4"/>
    <x v="2"/>
    <x v="0"/>
    <d v="2024-09-01T00:00:00"/>
    <d v="2024-09-25T00:00:00"/>
    <x v="60"/>
    <n v="2478.610005"/>
    <n v="262811"/>
  </r>
  <r>
    <x v="0"/>
    <x v="2"/>
    <s v="blg_haca_hys_hydrasource_aw-aw-thruplay_none-none_x_x_ym00427700_q2_2025_bhs_006_x"/>
    <s v="hys"/>
    <x v="4"/>
    <x v="1"/>
    <x v="0"/>
    <d v="2025-04-01T00:00:00"/>
    <d v="2025-04-02T00:00:00"/>
    <x v="26"/>
    <n v="1746.5699999999997"/>
    <n v="245494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10T00:00:00"/>
    <x v="54"/>
    <n v="3278.0300050000014"/>
    <n v="530770"/>
  </r>
  <r>
    <x v="0"/>
    <x v="1"/>
    <s v="blg_haca_bfr_full-rescue_auc_aw-video-views_x_x_YM00458406_q2_2025_bfr_001_x"/>
    <s v="bfr"/>
    <x v="1"/>
    <x v="1"/>
    <x v="1"/>
    <d v="2025-06-01T00:00:00"/>
    <d v="2025-06-27T00:00:00"/>
    <x v="7"/>
    <n v="1389.4299999999998"/>
    <n v="190722"/>
  </r>
  <r>
    <x v="0"/>
    <x v="2"/>
    <s v="blg_haca_bfr_fullrescue_aw-aw-thruplay_none-none_x_x_ym00458406_q2-q3_2025_bfr_001_x"/>
    <s v="bfr"/>
    <x v="1"/>
    <x v="1"/>
    <x v="1"/>
    <d v="2025-06-01T00:00:00"/>
    <d v="2025-06-27T00:00:00"/>
    <x v="7"/>
    <n v="1116.510004"/>
    <n v="177068"/>
  </r>
  <r>
    <x v="0"/>
    <x v="0"/>
    <s v="blg_othr_na_na_84570334_2023_q2_conversion-non-promo_other_amazon+ulta+conversion_v2"/>
    <s v="na"/>
    <x v="0"/>
    <x v="0"/>
    <x v="0"/>
    <d v="2023-07-01T00:00:00"/>
    <d v="2023-07-15T00:00:00"/>
    <x v="37"/>
    <n v="550.05917199999999"/>
    <n v="160606"/>
  </r>
  <r>
    <x v="0"/>
    <x v="2"/>
    <s v="blg_haca_scalp_bau_aw-aw-thruplay_website-viewcontent_na_na_ym00356549_q1-q2-vvr_2024_bcp_002_x"/>
    <s v="scalp"/>
    <x v="3"/>
    <x v="2"/>
    <x v="1"/>
    <d v="2024-03-01T00:00:00"/>
    <d v="2024-03-10T00:00:00"/>
    <x v="25"/>
    <n v="2269.0299999999997"/>
    <n v="551400"/>
  </r>
  <r>
    <x v="0"/>
    <x v="2"/>
    <s v="blg_haca_bfr_fullrescue_aw-aw-thruplay_none-none_x_x_ym00458406_q2-q3_2025_bfr_001_x"/>
    <s v="bfr"/>
    <x v="1"/>
    <x v="1"/>
    <x v="0"/>
    <d v="2025-06-01T00:00:00"/>
    <d v="2025-06-25T00:00:00"/>
    <x v="7"/>
    <n v="1202.3000000000002"/>
    <n v="183116"/>
  </r>
  <r>
    <x v="0"/>
    <x v="2"/>
    <s v="blg_haca_prime-day_lead-up-cell-1_aw-aw-thruplay_none-viewcontent_x_lla_ym00384930_x_2024_blg_001_x"/>
    <s v="prime-day"/>
    <x v="6"/>
    <x v="2"/>
    <x v="1"/>
    <d v="2024-07-01T00:00:00"/>
    <d v="2024-07-14T00:00:00"/>
    <x v="46"/>
    <n v="2646.3300050000003"/>
    <n v="236759"/>
  </r>
  <r>
    <x v="0"/>
    <x v="1"/>
    <s v="blg_haca_bfr_full-rescue_auc_cons-traffic_x_x_YM00458406_q2_2025_bfr_001_x"/>
    <s v="bfr"/>
    <x v="1"/>
    <x v="1"/>
    <x v="1"/>
    <d v="2025-06-01T00:00:00"/>
    <d v="2025-06-26T00:00:00"/>
    <x v="7"/>
    <n v="5498.0999999999985"/>
    <n v="886471"/>
  </r>
  <r>
    <x v="0"/>
    <x v="0"/>
    <s v="blg_haca_scalp-sync_awareness_aw-awareness_ym00356548_all_2024_bcp_004_x"/>
    <s v="scalp-sync"/>
    <x v="3"/>
    <x v="2"/>
    <x v="2"/>
    <d v="2024-04-01T00:00:00"/>
    <d v="2024-04-19T00:00:00"/>
    <x v="24"/>
    <n v="3362.0229929999996"/>
    <n v="1538703"/>
  </r>
  <r>
    <x v="0"/>
    <x v="2"/>
    <s v="blg_haca_mult_bf-cyber-leadup_cons-tra-linkcli_website-none_promotion_x_ym00384930_q4_2024_blg_001_x"/>
    <s v="mult"/>
    <x v="0"/>
    <x v="2"/>
    <x v="0"/>
    <d v="2024-12-01T00:00:00"/>
    <d v="2024-12-02T00:00:00"/>
    <x v="74"/>
    <n v="5665.500003000001"/>
    <n v="323656"/>
  </r>
  <r>
    <x v="0"/>
    <x v="2"/>
    <s v="blg_haca_mult_agile-boosting_aw-aw-thruplay_none-none_x_x_ym00437375_x_2025_blg_002_x"/>
    <s v="mult"/>
    <x v="0"/>
    <x v="1"/>
    <x v="0"/>
    <d v="2025-02-01T00:00:00"/>
    <d v="2025-02-21T00:00:00"/>
    <x v="67"/>
    <n v="7168.1500010000018"/>
    <n v="965490"/>
  </r>
  <r>
    <x v="0"/>
    <x v="1"/>
    <s v="blg_haca_bfr_full-rescue_auc_cons-traffic_x_x_YM00458406_q2_2025_bfr_001_x"/>
    <s v="bfr"/>
    <x v="1"/>
    <x v="1"/>
    <x v="1"/>
    <d v="2025-06-01T00:00:00"/>
    <d v="2025-06-13T00:00:00"/>
    <x v="18"/>
    <n v="759.11"/>
    <n v="152633"/>
  </r>
  <r>
    <x v="0"/>
    <x v="1"/>
    <s v="blg_haca_mult_ao-boosting_auc_aw-video-views_x_x_ym00437375_x_2025_blg_002_x"/>
    <s v="mult"/>
    <x v="0"/>
    <x v="1"/>
    <x v="1"/>
    <d v="2025-04-01T00:00:00"/>
    <d v="2025-04-15T00:00:00"/>
    <x v="36"/>
    <n v="1266.6699999999998"/>
    <n v="326121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7T00:00:00"/>
    <x v="40"/>
    <n v="1270.22"/>
    <n v="197051"/>
  </r>
  <r>
    <x v="0"/>
    <x v="2"/>
    <s v="blg_haca_hys_hydrasource_aw-aw-thruplay_none-none_x_x_ym00427700_q2_2025_bhs_006_x"/>
    <s v="hys"/>
    <x v="4"/>
    <x v="1"/>
    <x v="0"/>
    <d v="2025-04-01T00:00:00"/>
    <d v="2025-04-12T00:00:00"/>
    <x v="23"/>
    <n v="2293.0699999999997"/>
    <n v="274426"/>
  </r>
  <r>
    <x v="0"/>
    <x v="2"/>
    <s v="blg_haca_bfr_fullrescue_aw-aw-thruplay_none-none_x_x_ym00458406_q2-q3_2025_bfr_001_x"/>
    <s v="bfr"/>
    <x v="1"/>
    <x v="1"/>
    <x v="0"/>
    <d v="2025-06-01T00:00:00"/>
    <d v="2025-06-15T00:00:00"/>
    <x v="16"/>
    <n v="1628.4799999999996"/>
    <n v="264272"/>
  </r>
  <r>
    <x v="0"/>
    <x v="2"/>
    <s v="blg_haca_mult_agile-boosting_cons-eng-thruplay_none-none_x_x_ym00437375_x_2025_blg_002_x"/>
    <s v="mult"/>
    <x v="0"/>
    <x v="1"/>
    <x v="1"/>
    <d v="2025-04-01T00:00:00"/>
    <d v="2025-04-18T00:00:00"/>
    <x v="36"/>
    <n v="661.22000000000014"/>
    <n v="140381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23T00:00:00"/>
    <x v="45"/>
    <n v="2056.6400010000002"/>
    <n v="113210"/>
  </r>
  <r>
    <x v="0"/>
    <x v="2"/>
    <s v="blg_haca_mult_agile-boosting_cons-eng-thruplay_none-none_x_x_ym00437375_x_2025_blg_002_x"/>
    <s v="mult"/>
    <x v="0"/>
    <x v="1"/>
    <x v="1"/>
    <d v="2025-04-01T00:00:00"/>
    <d v="2025-04-17T00:00:00"/>
    <x v="36"/>
    <n v="740.02"/>
    <n v="156573"/>
  </r>
  <r>
    <x v="0"/>
    <x v="0"/>
    <s v="blg_haca_scalp-sync_awareness_aw-awareness_ym00356548_all_2024_bcp_004_x"/>
    <s v="scalp-sync"/>
    <x v="3"/>
    <x v="2"/>
    <x v="2"/>
    <d v="2024-05-01T00:00:00"/>
    <d v="2024-05-21T00:00:00"/>
    <x v="14"/>
    <n v="3362.0748070000004"/>
    <n v="1373195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10T00:00:00"/>
    <x v="54"/>
    <n v="3324.6500160000001"/>
    <n v="548667"/>
  </r>
  <r>
    <x v="0"/>
    <x v="2"/>
    <s v="blg_haca_hys_hydrasource_aw-aw-thruplay_none-none_x_x_ym00427700_q2_2025_bhs_006_x"/>
    <s v="hys"/>
    <x v="4"/>
    <x v="1"/>
    <x v="1"/>
    <d v="2025-04-01T00:00:00"/>
    <d v="2025-04-16T00:00:00"/>
    <x v="36"/>
    <n v="293.95999999999998"/>
    <n v="14189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31T00:00:00"/>
    <x v="2"/>
    <n v="2641.7999999999997"/>
    <n v="427655"/>
  </r>
  <r>
    <x v="0"/>
    <x v="1"/>
    <s v="blg_haca_bfr_full-rescue_auc_aw-video-views_x_x_YM00458406_q2_2025_bfr_001_x"/>
    <s v="bfr"/>
    <x v="1"/>
    <x v="1"/>
    <x v="0"/>
    <d v="2025-06-01T00:00:00"/>
    <d v="2025-06-10T00:00:00"/>
    <x v="18"/>
    <n v="18.43"/>
    <n v="3303"/>
  </r>
  <r>
    <x v="0"/>
    <x v="2"/>
    <s v="blg_haca_bfr_fullrescue_cons-tra-linkcli_website-none_x_x_ym00458406_q2-q3_2025_bfr_001_x"/>
    <s v="bfr"/>
    <x v="1"/>
    <x v="1"/>
    <x v="1"/>
    <d v="2025-06-01T00:00:00"/>
    <d v="2025-06-27T00:00:00"/>
    <x v="7"/>
    <n v="336.110005"/>
    <n v="32761"/>
  </r>
  <r>
    <x v="0"/>
    <x v="2"/>
    <s v="blg_haca_hydrasource_reelsonly_aw-aw-thruplay_none-none_na_na_ym00339376_q1-vvr_2024_bhs_001_x"/>
    <s v="hydrasource"/>
    <x v="4"/>
    <x v="2"/>
    <x v="0"/>
    <d v="2024-01-01T00:00:00"/>
    <d v="2024-01-17T00:00:00"/>
    <x v="57"/>
    <n v="650.20000000000005"/>
    <n v="170316"/>
  </r>
  <r>
    <x v="0"/>
    <x v="1"/>
    <s v="blg_haca_mult_ao-boosting_auc_aw-video-views_x_x_ym00437375_x_2025_blg_002_x"/>
    <s v="mult"/>
    <x v="0"/>
    <x v="1"/>
    <x v="0"/>
    <d v="2025-04-01T00:00:00"/>
    <d v="2025-04-14T00:00:00"/>
    <x v="36"/>
    <n v="0.62"/>
    <n v="153"/>
  </r>
  <r>
    <x v="0"/>
    <x v="2"/>
    <s v="blg_haca_mult_agile-boosting_cons-eng-thruplay_none-none_x_x_ym00437375_x_2025_blg_002_x"/>
    <s v="mult"/>
    <x v="0"/>
    <x v="1"/>
    <x v="0"/>
    <d v="2025-03-01T00:00:00"/>
    <d v="2025-03-18T00:00:00"/>
    <x v="13"/>
    <n v="2638.25"/>
    <n v="494525"/>
  </r>
  <r>
    <x v="0"/>
    <x v="1"/>
    <s v="blg_haca_bfr_full-rescue_auc_aw-video-views_x_x_YM00458406_q2_2025_bfr_001_x"/>
    <s v="bfr"/>
    <x v="1"/>
    <x v="1"/>
    <x v="0"/>
    <d v="2025-06-01T00:00:00"/>
    <d v="2025-06-05T00:00:00"/>
    <x v="10"/>
    <n v="1.6600000000000001"/>
    <n v="261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0T00:00:00"/>
    <x v="35"/>
    <n v="1289.3500000000001"/>
    <n v="228111"/>
  </r>
  <r>
    <x v="0"/>
    <x v="2"/>
    <s v="blg_haca_bfr_fullrescue_aw-aw-thruplay_none-none_x_x_ym00458406_q2-q3_2025_bfr_001_x"/>
    <s v="bfr"/>
    <x v="1"/>
    <x v="1"/>
    <x v="1"/>
    <d v="2025-06-01T00:00:00"/>
    <d v="2025-06-30T00:00:00"/>
    <x v="1"/>
    <n v="853.86079299999994"/>
    <n v="121249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16T00:00:00"/>
    <x v="55"/>
    <n v="3194.4799979999998"/>
    <n v="245170"/>
  </r>
  <r>
    <x v="0"/>
    <x v="2"/>
    <s v="blg_haca_hydrasource_reelsonly_aw-aw-thruplay_none-none_na_na_ym00339376_q1-vvr_2024_bhs_001_x"/>
    <s v="hydrasource"/>
    <x v="4"/>
    <x v="2"/>
    <x v="0"/>
    <d v="2024-02-01T00:00:00"/>
    <d v="2024-02-14T00:00:00"/>
    <x v="20"/>
    <n v="922.38000099999999"/>
    <n v="200073"/>
  </r>
  <r>
    <x v="0"/>
    <x v="2"/>
    <s v="blg_haca_hys_hydrasource_aw-aw-thruplay_none-none_x_x_ym00427700_q2_2025_bhs_006_x"/>
    <s v="hys"/>
    <x v="4"/>
    <x v="1"/>
    <x v="0"/>
    <d v="2025-04-01T00:00:00"/>
    <d v="2025-04-29T00:00:00"/>
    <x v="19"/>
    <n v="2003.35"/>
    <n v="287441"/>
  </r>
  <r>
    <x v="0"/>
    <x v="2"/>
    <s v="blg_haca_bfr_fullrescue_aw-aw-thruplay_none-none_x_x_ym00458406_q2-q3_2025_bfr_001_x"/>
    <s v="bfr"/>
    <x v="1"/>
    <x v="1"/>
    <x v="1"/>
    <d v="2025-05-01T00:00:00"/>
    <d v="2025-05-12T00:00:00"/>
    <x v="17"/>
    <n v="2122.4299999999998"/>
    <n v="478377"/>
  </r>
  <r>
    <x v="0"/>
    <x v="2"/>
    <s v="blg_haca_mult_bf-cyber-leadup_cons-tra-linkcli_website-none_promotion_x_ym00384930_q4_2024_blg_001_x"/>
    <s v="mult"/>
    <x v="0"/>
    <x v="2"/>
    <x v="0"/>
    <d v="2024-11-01T00:00:00"/>
    <d v="2024-11-26T00:00:00"/>
    <x v="51"/>
    <n v="6161.2599970000001"/>
    <n v="420147"/>
  </r>
  <r>
    <x v="0"/>
    <x v="1"/>
    <s v="blg_haca_hys_hydrasource_auc_aw-video-views_x_x_ym00427700_q2_2025_bhs_006_x"/>
    <s v="hys"/>
    <x v="4"/>
    <x v="1"/>
    <x v="1"/>
    <d v="2025-04-01T00:00:00"/>
    <d v="2025-04-07T00:00:00"/>
    <x v="23"/>
    <n v="2147.3500000000004"/>
    <n v="510653"/>
  </r>
  <r>
    <x v="0"/>
    <x v="2"/>
    <s v="blg_haca_bond-therapy_na_aw-aw-thruplay_none-viewcontent_na_na_ym87093418_vvr-q4_2023_x_x_x"/>
    <s v="bond-therapy"/>
    <x v="5"/>
    <x v="0"/>
    <x v="2"/>
    <d v="2023-11-01T00:00:00"/>
    <d v="2023-11-30T00:00:00"/>
    <x v="40"/>
    <n v="2771.2500000000009"/>
    <n v="444708"/>
  </r>
  <r>
    <x v="0"/>
    <x v="1"/>
    <s v="blg_haca_bfr_full-rescue_auc_aw-video-views_x_x_YM00458406_q2_2025_bfr_001_x"/>
    <s v="bfr"/>
    <x v="1"/>
    <x v="1"/>
    <x v="0"/>
    <d v="2025-06-01T00:00:00"/>
    <d v="2025-06-13T00:00:00"/>
    <x v="18"/>
    <n v="42.629999999999995"/>
    <n v="7490"/>
  </r>
  <r>
    <x v="0"/>
    <x v="2"/>
    <s v="blg_haca_hys_hydrasource_cons-tra-linkcli_website-none_x_x_ym00427700_q2_2025_bhs_006_x"/>
    <s v="hys"/>
    <x v="4"/>
    <x v="1"/>
    <x v="0"/>
    <d v="2025-04-01T00:00:00"/>
    <d v="2025-04-15T00:00:00"/>
    <x v="36"/>
    <n v="3259.44"/>
    <n v="251226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5T00:00:00"/>
    <x v="38"/>
    <n v="3121.3799960000006"/>
    <n v="342411"/>
  </r>
  <r>
    <x v="0"/>
    <x v="2"/>
    <s v="blg_haca_bfr_fullrescue_cons-tra-linkcli_website-none_x_x_ym00458406_q2-q3_2025_bfr_001_x"/>
    <s v="bfr"/>
    <x v="1"/>
    <x v="1"/>
    <x v="0"/>
    <d v="2025-05-01T00:00:00"/>
    <d v="2025-05-26T00:00:00"/>
    <x v="8"/>
    <n v="1765.77"/>
    <n v="147946"/>
  </r>
  <r>
    <x v="0"/>
    <x v="2"/>
    <s v="blg_haca_scalp_reels-only_aw-aw-thruplay_website-viewcontent_na_na_ym00356549_q1-q2-vvr_2024_bcp_002_x"/>
    <s v="scalp"/>
    <x v="3"/>
    <x v="2"/>
    <x v="0"/>
    <d v="2024-04-01T00:00:00"/>
    <d v="2024-04-06T00:00:00"/>
    <x v="53"/>
    <n v="766.27000299999986"/>
    <n v="187582"/>
  </r>
  <r>
    <x v="0"/>
    <x v="2"/>
    <s v="blg_haca_bfr_fullrescue_aw-aw-thruplay_none-none_x_x_ym00458406_q2-q3_2025_bfr_001_x"/>
    <s v="bfr"/>
    <x v="1"/>
    <x v="1"/>
    <x v="0"/>
    <d v="2025-05-01T00:00:00"/>
    <d v="2025-05-20T00:00:00"/>
    <x v="47"/>
    <n v="2447.6400030000004"/>
    <n v="404751"/>
  </r>
  <r>
    <x v="0"/>
    <x v="2"/>
    <s v="blg_haca_mult_agile-boosting_cons-eng-thruplay_none-none_x_x_ym00437375_x_2025_blg_002_x"/>
    <s v="mult"/>
    <x v="0"/>
    <x v="1"/>
    <x v="0"/>
    <d v="2025-03-01T00:00:00"/>
    <d v="2025-03-13T00:00:00"/>
    <x v="75"/>
    <n v="2146.0899999999997"/>
    <n v="389847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9T00:00:00"/>
    <x v="28"/>
    <n v="3035.78"/>
    <n v="267045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9T00:00:00"/>
    <x v="28"/>
    <n v="1196.18"/>
    <n v="201439"/>
  </r>
  <r>
    <x v="0"/>
    <x v="0"/>
    <s v="blg_haca_scalp-sync_traffic_cons-consideration_ym00356548_all_2024_bcp_004_x"/>
    <s v="scalp-sync"/>
    <x v="3"/>
    <x v="2"/>
    <x v="0"/>
    <d v="2024-04-01T00:00:00"/>
    <d v="2024-04-22T00:00:00"/>
    <x v="50"/>
    <n v="1350.6144469999997"/>
    <n v="192578"/>
  </r>
  <r>
    <x v="0"/>
    <x v="1"/>
    <s v="blg_haca_bfr_full-rescue_auc_cons-traffic_x_x_YM00458406_q2_2025_bfr_001_x"/>
    <s v="bfr"/>
    <x v="1"/>
    <x v="1"/>
    <x v="1"/>
    <d v="2025-06-01T00:00:00"/>
    <d v="2025-06-17T00:00:00"/>
    <x v="16"/>
    <n v="1168.3499999999999"/>
    <n v="225718"/>
  </r>
  <r>
    <x v="0"/>
    <x v="2"/>
    <s v="blg_haca_hydrasource_bau_aw-aw-thruplay_none-none_na_na_ym00339376_q1-vvr_2024_bhs_001_x"/>
    <s v="hydrasource"/>
    <x v="4"/>
    <x v="2"/>
    <x v="2"/>
    <d v="2024-02-01T00:00:00"/>
    <d v="2024-02-15T00:00:00"/>
    <x v="20"/>
    <n v="1130.3600049999998"/>
    <n v="177434"/>
  </r>
  <r>
    <x v="0"/>
    <x v="2"/>
    <s v="blg_haca_hydrasource_reelsonly_aw-aw-thruplay_none-none_na_na_ym00339376_q1-vvr_2024_bhs_001_x"/>
    <s v="hydrasource"/>
    <x v="4"/>
    <x v="2"/>
    <x v="0"/>
    <d v="2024-02-01T00:00:00"/>
    <d v="2024-02-15T00:00:00"/>
    <x v="20"/>
    <n v="946.67000300000007"/>
    <n v="214779"/>
  </r>
  <r>
    <x v="0"/>
    <x v="1"/>
    <s v="blg_haca_bfr_full-rescue_auc_aw-video-views_x_x_YM00458406_q2_2025_bfr_001_x"/>
    <s v="bfr"/>
    <x v="1"/>
    <x v="1"/>
    <x v="0"/>
    <d v="2025-06-01T00:00:00"/>
    <d v="2025-06-04T00:00:00"/>
    <x v="10"/>
    <n v="0.71"/>
    <n v="204"/>
  </r>
  <r>
    <x v="0"/>
    <x v="2"/>
    <s v="blg_haca_hys_hydrasource_aw-aw-thruplay_none-none_x_x_ym00427700_q2_2025_bhs_006_x"/>
    <s v="hys"/>
    <x v="4"/>
    <x v="1"/>
    <x v="1"/>
    <d v="2025-04-01T00:00:00"/>
    <d v="2025-04-11T00:00:00"/>
    <x v="23"/>
    <n v="348.96"/>
    <n v="18322"/>
  </r>
  <r>
    <x v="0"/>
    <x v="2"/>
    <s v="blg_haca_bfr_fullrescue_aw-aw-thruplay_none-none_x_x_ym00458406_q2-q3_2025_bfr_001_x"/>
    <s v="bfr"/>
    <x v="1"/>
    <x v="1"/>
    <x v="1"/>
    <d v="2025-05-01T00:00:00"/>
    <d v="2025-05-17T00:00:00"/>
    <x v="17"/>
    <n v="5.05"/>
    <n v="565"/>
  </r>
  <r>
    <x v="0"/>
    <x v="2"/>
    <s v="blg_haca_bfr_fullrescue_aw-aw-thruplay_none-none_x_x_ym00458406_q2-q3_2025_bfr_001_x"/>
    <s v="bfr"/>
    <x v="1"/>
    <x v="1"/>
    <x v="0"/>
    <d v="2025-05-01T00:00:00"/>
    <d v="2025-05-30T00:00:00"/>
    <x v="8"/>
    <n v="2439.0099970000001"/>
    <n v="378081"/>
  </r>
  <r>
    <x v="0"/>
    <x v="1"/>
    <s v="blg_haca_mult_ao-boosting_auc_aw-video-views_x_x_ym00437375_x_2025_blg_002_x"/>
    <s v="mult"/>
    <x v="0"/>
    <x v="1"/>
    <x v="0"/>
    <d v="2025-05-01T00:00:00"/>
    <d v="2025-05-07T00:00:00"/>
    <x v="12"/>
    <n v="749.84"/>
    <n v="264850"/>
  </r>
  <r>
    <x v="0"/>
    <x v="2"/>
    <s v="blg_haca_hys_hydrasource_aw-aw-thruplay_none-none_x_x_ym00427700_q2_2025_bhs_006_x"/>
    <s v="hys"/>
    <x v="4"/>
    <x v="1"/>
    <x v="1"/>
    <d v="2025-04-01T00:00:00"/>
    <d v="2025-04-06T00:00:00"/>
    <x v="23"/>
    <n v="1089.3999999999999"/>
    <n v="49502"/>
  </r>
  <r>
    <x v="0"/>
    <x v="2"/>
    <s v="blg_haca_hys_hydrasource_aw-aw-thruplay_none-none_x_x_ym00427700_q2_2025_bhs_006_x"/>
    <s v="hys"/>
    <x v="4"/>
    <x v="1"/>
    <x v="0"/>
    <d v="2025-04-01T00:00:00"/>
    <d v="2025-04-22T00:00:00"/>
    <x v="11"/>
    <n v="2094.4000009999995"/>
    <n v="331252"/>
  </r>
  <r>
    <x v="0"/>
    <x v="1"/>
    <s v="blg_haca_bfr_full-rescue_auc_cons-traffic_x_x_YM00458406_q2_2025_bfr_001_x"/>
    <s v="bfr"/>
    <x v="1"/>
    <x v="1"/>
    <x v="1"/>
    <d v="2025-06-01T00:00:00"/>
    <d v="2025-06-22T00:00:00"/>
    <x v="7"/>
    <n v="2715.33"/>
    <n v="536663"/>
  </r>
  <r>
    <x v="0"/>
    <x v="2"/>
    <s v="blg_haca_mult_agile-boosting_cons-eng-thruplay_none-none_x_x_ym00437375_x_2025_blg_002_x"/>
    <s v="mult"/>
    <x v="0"/>
    <x v="1"/>
    <x v="0"/>
    <d v="2025-04-01T00:00:00"/>
    <d v="2025-04-28T00:00:00"/>
    <x v="19"/>
    <n v="964.37000100000012"/>
    <n v="217143"/>
  </r>
  <r>
    <x v="0"/>
    <x v="1"/>
    <s v="blg_haca_bfr_full-rescue-pulse_res_aw-reach_x_x_ym00458406_q2_2025_bfr_001_x"/>
    <s v="bfr"/>
    <x v="1"/>
    <x v="1"/>
    <x v="1"/>
    <d v="2025-06-01T00:00:00"/>
    <d v="2025-06-02T00:00:00"/>
    <x v="10"/>
    <n v="13867.7"/>
    <n v="1004918"/>
  </r>
  <r>
    <x v="0"/>
    <x v="1"/>
    <s v="blg_haca_bfr_full-rescue_auc_cons-traffic_x_x_YM00458406_q2_2025_bfr_001_x"/>
    <s v="bfr"/>
    <x v="1"/>
    <x v="1"/>
    <x v="1"/>
    <d v="2025-06-01T00:00:00"/>
    <d v="2025-06-28T00:00:00"/>
    <x v="7"/>
    <n v="5848.34"/>
    <n v="839859"/>
  </r>
  <r>
    <x v="0"/>
    <x v="1"/>
    <s v="blg_haca_hys_hydrasource_auc_aw-video-views_x_x_ym00427700_q2_2025_bhs_006_x"/>
    <s v="hys"/>
    <x v="4"/>
    <x v="1"/>
    <x v="0"/>
    <d v="2025-04-01T00:00:00"/>
    <d v="2025-04-04T00:00:00"/>
    <x v="26"/>
    <n v="1366.02"/>
    <n v="321104"/>
  </r>
  <r>
    <x v="0"/>
    <x v="2"/>
    <s v="blg_haca_mult_agile-boosting_cons-eng-thruplay_none-none_x_x_ym00437375_x_2025_blg_002_x"/>
    <s v="mult"/>
    <x v="0"/>
    <x v="1"/>
    <x v="0"/>
    <d v="2025-03-01T00:00:00"/>
    <d v="2025-03-23T00:00:00"/>
    <x v="9"/>
    <n v="2861.8"/>
    <n v="524986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8T00:00:00"/>
    <x v="39"/>
    <n v="2506.1999999999998"/>
    <n v="360989"/>
  </r>
  <r>
    <x v="0"/>
    <x v="2"/>
    <s v="blg_haca_mult_agile-boosting_cons-eng-thruplay_none-none_x_x_ym00437375_x_2025_blg_002_x"/>
    <s v="mult"/>
    <x v="0"/>
    <x v="1"/>
    <x v="1"/>
    <d v="2025-05-01T00:00:00"/>
    <d v="2025-05-10T00:00:00"/>
    <x v="12"/>
    <n v="1436.1799999999992"/>
    <n v="275589"/>
  </r>
  <r>
    <x v="0"/>
    <x v="1"/>
    <s v="blg_haca_mult_ao-boosting_auc_aw-video-views_x_x_ym00437375_x_2025_blg_002_x"/>
    <s v="mult"/>
    <x v="0"/>
    <x v="1"/>
    <x v="0"/>
    <d v="2025-04-01T00:00:00"/>
    <d v="2025-04-12T00:00:00"/>
    <x v="23"/>
    <n v="0.94000000000000017"/>
    <n v="203"/>
  </r>
  <r>
    <x v="0"/>
    <x v="0"/>
    <s v="blg_othr_na_na_84570334_2023_q2_traffic_other_volumebloom-fulldensity+traffic_v2"/>
    <s v="na"/>
    <x v="0"/>
    <x v="0"/>
    <x v="2"/>
    <d v="2023-07-01T00:00:00"/>
    <d v="2023-07-14T00:00:00"/>
    <x v="37"/>
    <n v="633.96938399999999"/>
    <n v="296837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5T00:00:00"/>
    <x v="39"/>
    <n v="2659.3899970000002"/>
    <n v="398449"/>
  </r>
  <r>
    <x v="0"/>
    <x v="1"/>
    <s v="blg_haca_hys_hydrasource_auc_aw-video-views_x_x_ym00427700_q2_2025_bhs_006_x"/>
    <s v="hys"/>
    <x v="4"/>
    <x v="1"/>
    <x v="0"/>
    <d v="2025-04-01T00:00:00"/>
    <d v="2025-04-18T00:00:00"/>
    <x v="36"/>
    <n v="3683.94"/>
    <n v="869907"/>
  </r>
  <r>
    <x v="0"/>
    <x v="1"/>
    <s v="blg_haca_mult_ao-boosting_auc_aw-video-views_x_x_ym00437375_x_2025_blg_002_x"/>
    <s v="mult"/>
    <x v="0"/>
    <x v="1"/>
    <x v="0"/>
    <d v="2025-04-01T00:00:00"/>
    <d v="2025-04-18T00:00:00"/>
    <x v="36"/>
    <n v="0.3"/>
    <n v="77"/>
  </r>
  <r>
    <x v="0"/>
    <x v="0"/>
    <s v="blg_othr_na_na_84570334_2023_q2_conversion-non-promo_other_amazon+ulta+conversion"/>
    <s v="na"/>
    <x v="0"/>
    <x v="0"/>
    <x v="1"/>
    <d v="2023-07-01T00:00:00"/>
    <d v="2023-07-11T00:00:00"/>
    <x v="37"/>
    <n v="770.90634499999999"/>
    <n v="186189"/>
  </r>
  <r>
    <x v="0"/>
    <x v="2"/>
    <s v="blg_haca_hydrasource_na_cons-tra-linkcli_none-none_na_na_ym00339376_q1-lctr_2024_bhs_001_x"/>
    <s v="hydrasource"/>
    <x v="4"/>
    <x v="2"/>
    <x v="0"/>
    <d v="2024-02-01T00:00:00"/>
    <d v="2024-02-06T00:00:00"/>
    <x v="41"/>
    <n v="3116.7900030000001"/>
    <n v="501168"/>
  </r>
  <r>
    <x v="0"/>
    <x v="0"/>
    <s v="blg_haca_bfr_fullrescue-bonus_aw-awareness_x_bonus-q2_2025_x_x_x"/>
    <s v="bfr"/>
    <x v="1"/>
    <x v="1"/>
    <x v="1"/>
    <d v="2025-06-01T00:00:00"/>
    <d v="2025-06-08T00:00:00"/>
    <x v="18"/>
    <n v="449.41908900000004"/>
    <n v="199986"/>
  </r>
  <r>
    <x v="0"/>
    <x v="1"/>
    <s v="blg_haca_bfr_full-rescue_auc_aw-video-views_x_x_YM00458406_q2_2025_bfr_001_x"/>
    <s v="bfr"/>
    <x v="1"/>
    <x v="1"/>
    <x v="0"/>
    <d v="2025-06-01T00:00:00"/>
    <d v="2025-06-08T00:00:00"/>
    <x v="18"/>
    <n v="6.6199999999999992"/>
    <n v="1033"/>
  </r>
  <r>
    <x v="0"/>
    <x v="2"/>
    <s v="blg_haca_bfr_fullrescue_aw-aw-thruplay_none-none_x_x_ym00458406_q2-q3_2025_bfr_001_x"/>
    <s v="bfr"/>
    <x v="1"/>
    <x v="1"/>
    <x v="0"/>
    <d v="2025-05-01T00:00:00"/>
    <d v="2025-05-16T00:00:00"/>
    <x v="17"/>
    <n v="2336.7499999999991"/>
    <n v="409379"/>
  </r>
  <r>
    <x v="0"/>
    <x v="0"/>
    <s v="blg_othr_na_na_84570334_2023_q2_conversion-non-promo_other_amazon+ulta+conversion_v2"/>
    <s v="na"/>
    <x v="0"/>
    <x v="0"/>
    <x v="1"/>
    <d v="2023-07-01T00:00:00"/>
    <d v="2023-07-31T00:00:00"/>
    <x v="2"/>
    <n v="1188.176301"/>
    <n v="116645"/>
  </r>
  <r>
    <x v="0"/>
    <x v="1"/>
    <s v="blg_haca_bfr_full-rescue_auc_cons-traffic_x_x_YM00458406_q2_2025_bfr_001_x"/>
    <s v="bfr"/>
    <x v="1"/>
    <x v="1"/>
    <x v="0"/>
    <d v="2025-06-01T00:00:00"/>
    <d v="2025-06-10T00:00:00"/>
    <x v="18"/>
    <n v="5643.7600000000011"/>
    <n v="1191610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05T00:00:00"/>
    <x v="61"/>
    <n v="3460.3099919999995"/>
    <n v="567138"/>
  </r>
  <r>
    <x v="0"/>
    <x v="2"/>
    <s v="blg_haca_mult_agile-boosting_cons-eng-thruplay_none-none_x_x_ym00437375_x_2025_blg_002_x"/>
    <s v="mult"/>
    <x v="0"/>
    <x v="1"/>
    <x v="0"/>
    <d v="2025-05-01T00:00:00"/>
    <d v="2025-05-22T00:00:00"/>
    <x v="47"/>
    <n v="136.04000000000002"/>
    <n v="22906"/>
  </r>
  <r>
    <x v="0"/>
    <x v="2"/>
    <s v="blg_haca_bfr_fullrescue_cons-tra-linkcli_website-none_x_x_ym00458406_q2-q3_2025_bfr_001_x"/>
    <s v="bfr"/>
    <x v="1"/>
    <x v="1"/>
    <x v="1"/>
    <d v="2025-05-01T00:00:00"/>
    <d v="2025-05-30T00:00:00"/>
    <x v="8"/>
    <n v="8.7199999999999989"/>
    <n v="1029"/>
  </r>
  <r>
    <x v="0"/>
    <x v="2"/>
    <s v="blg_haca_scalp_bau_aw-aw-thruplay_website-viewcontent_na_na_ym00356549_q1-q2-vvr_2024_bcp_002_x"/>
    <s v="scalp"/>
    <x v="3"/>
    <x v="2"/>
    <x v="1"/>
    <d v="2024-03-01T00:00:00"/>
    <d v="2024-03-29T00:00:00"/>
    <x v="3"/>
    <n v="2156.3700020000001"/>
    <n v="456149"/>
  </r>
  <r>
    <x v="0"/>
    <x v="2"/>
    <s v="blg_haca_hydrasource_x_cons-tra-linkcli_none-none_x_x_ym00339376_q4-lctr_2024_bhs_001_x"/>
    <s v="hydrasource"/>
    <x v="4"/>
    <x v="2"/>
    <x v="0"/>
    <d v="2024-10-01T00:00:00"/>
    <d v="2024-10-06T00:00:00"/>
    <x v="27"/>
    <n v="2714.5800060000001"/>
    <n v="335108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4T00:00:00"/>
    <x v="43"/>
    <n v="2908.620003"/>
    <n v="278014"/>
  </r>
  <r>
    <x v="0"/>
    <x v="2"/>
    <s v="blg_haca_scalp_reels-only_aw-aw-thruplay_website-viewcontent_na_na_ym00356549_q1-q2-vvr_2024_bcp_002_x"/>
    <s v="scalp"/>
    <x v="3"/>
    <x v="2"/>
    <x v="1"/>
    <d v="2024-04-01T00:00:00"/>
    <d v="2024-04-01T00:00:00"/>
    <x v="53"/>
    <n v="250.64000199999995"/>
    <n v="73933"/>
  </r>
  <r>
    <x v="0"/>
    <x v="2"/>
    <s v="blg_haca_bfr_fullrescue_aw-aw-thruplay_none-none_x_x_ym00458406_q2-q3_2025_bfr_001_x"/>
    <s v="bfr"/>
    <x v="1"/>
    <x v="1"/>
    <x v="1"/>
    <d v="2025-05-01T00:00:00"/>
    <d v="2025-05-14T00:00:00"/>
    <x v="17"/>
    <n v="2249.8199960000002"/>
    <n v="408404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0T00:00:00"/>
    <x v="33"/>
    <n v="1305.1500010000002"/>
    <n v="221758"/>
  </r>
  <r>
    <x v="0"/>
    <x v="2"/>
    <s v="blg_haca_bond-therapy_na_aw-aw-thruplay_none-viewcontent_na_na_ym87093418_vvr-q4_2023_x_x_x"/>
    <s v="bond-therapy"/>
    <x v="5"/>
    <x v="0"/>
    <x v="2"/>
    <d v="2023-12-01T00:00:00"/>
    <d v="2023-12-15T00:00:00"/>
    <x v="33"/>
    <n v="2733.3099939999997"/>
    <n v="461455"/>
  </r>
  <r>
    <x v="0"/>
    <x v="2"/>
    <s v="blg_haca_bfr_fullrescue_aw-aw-thruplay_none-none_x_x_ym00458406_q2-q3_2025_bfr_001_x"/>
    <s v="bfr"/>
    <x v="1"/>
    <x v="1"/>
    <x v="0"/>
    <d v="2025-05-01T00:00:00"/>
    <d v="2025-05-25T00:00:00"/>
    <x v="8"/>
    <n v="2659.4599999999991"/>
    <n v="405806"/>
  </r>
  <r>
    <x v="0"/>
    <x v="2"/>
    <s v="blg_haca_mult_agile-boosting_cons-eng-thruplay_none-none_x_x_ym00437375_x_2025_blg_002_x"/>
    <s v="mult"/>
    <x v="0"/>
    <x v="1"/>
    <x v="1"/>
    <d v="2025-05-01T00:00:00"/>
    <d v="2025-05-25T00:00:00"/>
    <x v="8"/>
    <n v="1492.1399999999999"/>
    <n v="239100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8T00:00:00"/>
    <x v="30"/>
    <n v="722.77000099999987"/>
    <n v="105831"/>
  </r>
  <r>
    <x v="0"/>
    <x v="0"/>
    <s v="blg_othr_na_na_84570334_2023_q2_conversion-non-promo_other_amazon+ulta+conversion_v2"/>
    <s v="na"/>
    <x v="0"/>
    <x v="0"/>
    <x v="0"/>
    <d v="2023-07-01T00:00:00"/>
    <d v="2023-07-26T00:00:00"/>
    <x v="39"/>
    <n v="174.998425"/>
    <n v="56586"/>
  </r>
  <r>
    <x v="0"/>
    <x v="0"/>
    <s v="blg_haca_scalp-sync_awareness_aw-awareness_ym00356548_all_2024_bcp_004_x"/>
    <s v="scalp-sync"/>
    <x v="3"/>
    <x v="2"/>
    <x v="2"/>
    <d v="2024-04-01T00:00:00"/>
    <d v="2024-04-16T00:00:00"/>
    <x v="24"/>
    <n v="3373.4514019999997"/>
    <n v="1501680"/>
  </r>
  <r>
    <x v="0"/>
    <x v="2"/>
    <s v="blg_haca_hydrasource_x_cons-tra-linkcli_none-none_x_x_ym00339376_q4-lctr_2024_bhs_001_x"/>
    <s v="hydrasource"/>
    <x v="4"/>
    <x v="2"/>
    <x v="0"/>
    <d v="2024-09-01T00:00:00"/>
    <d v="2024-09-30T00:00:00"/>
    <x v="31"/>
    <n v="2629.6800090000002"/>
    <n v="277818"/>
  </r>
  <r>
    <x v="0"/>
    <x v="2"/>
    <s v="blg_haca_hydrasource_na_cons-tra-linkcli_none-none_na_na_ym00339376_q1-lctr_2024_bhs_001_x"/>
    <s v="hydrasource"/>
    <x v="4"/>
    <x v="2"/>
    <x v="0"/>
    <d v="2024-02-01T00:00:00"/>
    <d v="2024-02-21T00:00:00"/>
    <x v="59"/>
    <n v="3125.1999960000007"/>
    <n v="462238"/>
  </r>
  <r>
    <x v="0"/>
    <x v="2"/>
    <s v="blg_haca_scalp_reels-only_aw-aw-thruplay_website-viewcontent_na_na_ym00356549_q1-q2-vvr_2024_bcp_002_x"/>
    <s v="scalp"/>
    <x v="3"/>
    <x v="2"/>
    <x v="1"/>
    <d v="2024-03-01T00:00:00"/>
    <d v="2024-03-21T00:00:00"/>
    <x v="64"/>
    <n v="987.89999899999987"/>
    <n v="212811"/>
  </r>
  <r>
    <x v="0"/>
    <x v="1"/>
    <s v="blg_haca_hys_hydrasource_auc_aw-video-views_x_x_ym00427700_q2_2025_bhs_006_x"/>
    <s v="hys"/>
    <x v="4"/>
    <x v="1"/>
    <x v="0"/>
    <d v="2025-04-01T00:00:00"/>
    <d v="2025-04-14T00:00:00"/>
    <x v="36"/>
    <n v="1867.82"/>
    <n v="466559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2T00:00:00"/>
    <x v="4"/>
    <n v="680.96"/>
    <n v="106482"/>
  </r>
  <r>
    <x v="0"/>
    <x v="1"/>
    <s v="blg_haca_hys_hydrasource_auc_aw-video-views_x_x_ym00427700_q2_2025_bhs_006_x"/>
    <s v="hys"/>
    <x v="4"/>
    <x v="1"/>
    <x v="1"/>
    <d v="2025-04-01T00:00:00"/>
    <d v="2025-04-09T00:00:00"/>
    <x v="23"/>
    <n v="2285.3000000000002"/>
    <n v="470409"/>
  </r>
  <r>
    <x v="0"/>
    <x v="2"/>
    <s v="blg_multi_na_elevate-me_cons-tra-linkcli_none-none_other_na_ym00329346_x_2023_x_x_"/>
    <s v="na"/>
    <x v="0"/>
    <x v="0"/>
    <x v="2"/>
    <d v="2023-10-01T00:00:00"/>
    <d v="2023-10-31T00:00:00"/>
    <x v="66"/>
    <n v="355.08000100000004"/>
    <n v="40183"/>
  </r>
  <r>
    <x v="0"/>
    <x v="2"/>
    <s v="blg_haca_bfr_fullrescue_aw-aw-thruplay_none-none_x_x_ym00458406_q2-q3_2025_bfr_001_x"/>
    <s v="bfr"/>
    <x v="1"/>
    <x v="1"/>
    <x v="1"/>
    <d v="2025-06-01T00:00:00"/>
    <d v="2025-06-17T00:00:00"/>
    <x v="16"/>
    <n v="897.32999999999993"/>
    <n v="144870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5T00:00:00"/>
    <x v="30"/>
    <n v="3984.780006"/>
    <n v="601753"/>
  </r>
  <r>
    <x v="0"/>
    <x v="2"/>
    <s v="blg_haca_scalp_na_cons-tra-linkcli_none-none_na_na_ym00356549_q1-q2-lctr_2024_bcp_002_x"/>
    <s v="scalp"/>
    <x v="3"/>
    <x v="2"/>
    <x v="1"/>
    <d v="2024-03-01T00:00:00"/>
    <d v="2024-03-14T00:00:00"/>
    <x v="25"/>
    <n v="1520.0700039999999"/>
    <n v="232337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9T00:00:00"/>
    <x v="38"/>
    <n v="3168.7399949999999"/>
    <n v="327566"/>
  </r>
  <r>
    <x v="0"/>
    <x v="0"/>
    <s v="blg_othr_na_na_84570334_2023_q2_conversion-non-promo_other_amazon+ulta+conversion"/>
    <s v="na"/>
    <x v="0"/>
    <x v="0"/>
    <x v="1"/>
    <d v="2023-07-01T00:00:00"/>
    <d v="2023-07-02T00:00:00"/>
    <x v="21"/>
    <n v="79.445571999999999"/>
    <n v="54240"/>
  </r>
  <r>
    <x v="0"/>
    <x v="2"/>
    <s v="blg_haca_bfr_fullrescue_aw-aw-thruplay_none-none_x_x_ym00458406_q2-q3_2025_bfr_001_x"/>
    <s v="bfr"/>
    <x v="1"/>
    <x v="1"/>
    <x v="0"/>
    <d v="2025-05-01T00:00:00"/>
    <d v="2025-05-07T00:00:00"/>
    <x v="12"/>
    <n v="1347.1899979999998"/>
    <n v="272768"/>
  </r>
  <r>
    <x v="0"/>
    <x v="1"/>
    <s v="blg_haca_bfr_full-rescue_auc_cons-traffic_x_x_YM00458406_q2_2025_bfr_001_x"/>
    <s v="bfr"/>
    <x v="1"/>
    <x v="1"/>
    <x v="1"/>
    <d v="2025-06-01T00:00:00"/>
    <d v="2025-06-24T00:00:00"/>
    <x v="7"/>
    <n v="4478.0599999999995"/>
    <n v="810606"/>
  </r>
  <r>
    <x v="0"/>
    <x v="1"/>
    <s v="blg_haca_hys_hydrasource_auc_aw-video-views_x_x_ym00427700_q2_2025_bhs_006_x"/>
    <s v="hys"/>
    <x v="4"/>
    <x v="1"/>
    <x v="0"/>
    <d v="2025-04-01T00:00:00"/>
    <d v="2025-04-10T00:00:00"/>
    <x v="23"/>
    <n v="2304.94"/>
    <n v="541849"/>
  </r>
  <r>
    <x v="0"/>
    <x v="1"/>
    <s v="blg_haca_bfr_full-rescue_auc_aw-video-views_x_x_YM00458406_q2_2025_bfr_001_x"/>
    <s v="bfr"/>
    <x v="1"/>
    <x v="1"/>
    <x v="1"/>
    <d v="2025-06-01T00:00:00"/>
    <d v="2025-06-22T00:00:00"/>
    <x v="7"/>
    <n v="1159.3000000000002"/>
    <n v="169265"/>
  </r>
  <r>
    <x v="0"/>
    <x v="2"/>
    <s v="blg_haca_hydrasource_bau_aw-aw-thruplay_none-none_na_na_ym00339376_q1-vvr_2024_bhs_001_x"/>
    <s v="hydrasource"/>
    <x v="4"/>
    <x v="2"/>
    <x v="2"/>
    <d v="2024-01-01T00:00:00"/>
    <d v="2024-01-21T00:00:00"/>
    <x v="15"/>
    <n v="1578.3300049999998"/>
    <n v="508974"/>
  </r>
  <r>
    <x v="0"/>
    <x v="2"/>
    <s v="blg_haca_mult_bf-cyber-leadup_cons-tra-linkcli_website-none_promotion_x_ym00384930_q4_2024_blg_001_x"/>
    <s v="mult"/>
    <x v="0"/>
    <x v="2"/>
    <x v="0"/>
    <d v="2024-11-01T00:00:00"/>
    <d v="2024-11-21T00:00:00"/>
    <x v="58"/>
    <n v="6338.4999990000006"/>
    <n v="495869"/>
  </r>
  <r>
    <x v="0"/>
    <x v="2"/>
    <s v="blg_haca_bond-therapy_na_aw-aw-thruplay_none-viewcontent_na_na_ym87093418_vvr-q4_2023_x_x_x"/>
    <s v="bond-therapy"/>
    <x v="5"/>
    <x v="0"/>
    <x v="2"/>
    <d v="2023-12-01T00:00:00"/>
    <d v="2023-12-11T00:00:00"/>
    <x v="33"/>
    <n v="2886.6199990000005"/>
    <n v="510025"/>
  </r>
  <r>
    <x v="0"/>
    <x v="2"/>
    <s v="blg_haca_bfr_fullrescue_aw-aw-thruplay_none-none_x_x_ym00458406_q2-q3_2025_bfr_001_x"/>
    <s v="bfr"/>
    <x v="1"/>
    <x v="1"/>
    <x v="1"/>
    <d v="2025-05-01T00:00:00"/>
    <d v="2025-05-13T00:00:00"/>
    <x v="17"/>
    <n v="2202.6299989999993"/>
    <n v="452183"/>
  </r>
  <r>
    <x v="0"/>
    <x v="2"/>
    <s v="blg_haca_hydrasource_na_cons-tra-linkcli_none-none_na_na_ym00339376_q1-lctr_2024_bhs_001_x"/>
    <s v="hydrasource"/>
    <x v="4"/>
    <x v="2"/>
    <x v="0"/>
    <d v="2024-02-01T00:00:00"/>
    <d v="2024-02-24T00:00:00"/>
    <x v="59"/>
    <n v="3369.6199959999999"/>
    <n v="509373"/>
  </r>
  <r>
    <x v="0"/>
    <x v="2"/>
    <s v="blg_haca_hydrasource_x_aw-aw-thruplay_none-none_x_x_ym00339376_q4_2024_bhs_001_x"/>
    <s v="hydrasource"/>
    <x v="4"/>
    <x v="2"/>
    <x v="0"/>
    <d v="2024-09-01T00:00:00"/>
    <d v="2024-09-25T00:00:00"/>
    <x v="60"/>
    <n v="3539.3500079999999"/>
    <n v="550164"/>
  </r>
  <r>
    <x v="0"/>
    <x v="2"/>
    <s v="blg_haca_scalp_na_cons-tra-linkcli_none-none_na_na_ym00356549_q1-q2-lctr_2024_bcp_002_x"/>
    <s v="scalp"/>
    <x v="3"/>
    <x v="2"/>
    <x v="1"/>
    <d v="2024-04-01T00:00:00"/>
    <d v="2024-04-13T00:00:00"/>
    <x v="34"/>
    <n v="124.990004"/>
    <n v="20311"/>
  </r>
  <r>
    <x v="0"/>
    <x v="0"/>
    <s v="blg_othr_na_na_84570334_2023_q2_traffic_other_volumebloom-fulldensity+traffic_v2"/>
    <s v="na"/>
    <x v="0"/>
    <x v="0"/>
    <x v="2"/>
    <d v="2023-08-01T00:00:00"/>
    <d v="2023-08-18T00:00:00"/>
    <x v="30"/>
    <n v="763.07808399999999"/>
    <n v="322186"/>
  </r>
  <r>
    <x v="0"/>
    <x v="2"/>
    <s v="blg_haca_scalp_na_cons-tra-linkcli_none-none_na_na_ym00356549_q1-q2-lctr_2024_bcp_002_x"/>
    <s v="scalp"/>
    <x v="3"/>
    <x v="2"/>
    <x v="1"/>
    <d v="2024-03-01T00:00:00"/>
    <d v="2024-03-19T00:00:00"/>
    <x v="64"/>
    <n v="1611.2199989999999"/>
    <n v="224667"/>
  </r>
  <r>
    <x v="0"/>
    <x v="2"/>
    <s v="blg_haca_scalp_reels-only_aw-aw-thruplay_website-viewcontent_na_na_ym00356549_q1-q2-vvr_2024_bcp_002_x"/>
    <s v="scalp"/>
    <x v="3"/>
    <x v="2"/>
    <x v="1"/>
    <d v="2024-03-01T00:00:00"/>
    <d v="2024-03-19T00:00:00"/>
    <x v="64"/>
    <n v="952.55"/>
    <n v="232279"/>
  </r>
  <r>
    <x v="0"/>
    <x v="2"/>
    <s v="blg_haca_bfr_fullrescue_cons-tra-linkcli_website-none_x_x_ym00458406_q2-q3_2025_bfr_001_x"/>
    <s v="bfr"/>
    <x v="1"/>
    <x v="1"/>
    <x v="1"/>
    <d v="2025-06-01T00:00:00"/>
    <d v="2025-06-08T00:00:00"/>
    <x v="18"/>
    <n v="52.949999999999996"/>
    <n v="6265"/>
  </r>
  <r>
    <x v="0"/>
    <x v="2"/>
    <s v="blg_haca_prime-day_lead-up-cell-1_aw-aw-thruplay_none-viewcontent_x_lla_ym00384930_x_2024_blg_001_x"/>
    <s v="prime-day"/>
    <x v="6"/>
    <x v="2"/>
    <x v="1"/>
    <d v="2024-07-01T00:00:00"/>
    <d v="2024-07-13T00:00:00"/>
    <x v="54"/>
    <n v="2489.3800010000004"/>
    <n v="208050"/>
  </r>
  <r>
    <x v="0"/>
    <x v="2"/>
    <s v="blg_haca_hydrasource_reelsonly_aw-aw-thruplay_none-none_na_na_ym00339376_q1-vvr_2024_bhs_001_x"/>
    <s v="hydrasource"/>
    <x v="4"/>
    <x v="2"/>
    <x v="0"/>
    <d v="2024-01-01T00:00:00"/>
    <d v="2024-01-27T00:00:00"/>
    <x v="15"/>
    <n v="663.99000200000012"/>
    <n v="160451"/>
  </r>
  <r>
    <x v="0"/>
    <x v="0"/>
    <s v="blg_othr_na_na_84570334_2023_q2_conversion-non-promo_other_amazon+ulta+conversion_v2"/>
    <s v="na"/>
    <x v="0"/>
    <x v="0"/>
    <x v="0"/>
    <d v="2023-07-01T00:00:00"/>
    <d v="2023-07-19T00:00:00"/>
    <x v="42"/>
    <n v="149.960249"/>
    <n v="74819"/>
  </r>
  <r>
    <x v="0"/>
    <x v="2"/>
    <s v="blg_haca_scalp_reels-only_aw-aw-thruplay_website-viewcontent_na_na_ym00356549_q1-q2-vvr_2024_bcp_002_x"/>
    <s v="scalp"/>
    <x v="3"/>
    <x v="2"/>
    <x v="0"/>
    <d v="2024-04-01T00:00:00"/>
    <d v="2024-04-08T00:00:00"/>
    <x v="34"/>
    <n v="799.28999700000008"/>
    <n v="210262"/>
  </r>
  <r>
    <x v="0"/>
    <x v="2"/>
    <s v="blg_haca_hys_hydrasource_cons-tra-linkcli_website-none_x_x_ym00427700_q2_2025_bhs_006_x"/>
    <s v="hys"/>
    <x v="4"/>
    <x v="1"/>
    <x v="0"/>
    <d v="2025-04-01T00:00:00"/>
    <d v="2025-04-09T00:00:00"/>
    <x v="23"/>
    <n v="3812.849995"/>
    <n v="469749"/>
  </r>
  <r>
    <x v="0"/>
    <x v="0"/>
    <s v="blg_haca_bfr_fullrescue-bonus_aw-awareness_x_bonus-q2_2025_x_x_x"/>
    <s v="bfr"/>
    <x v="1"/>
    <x v="1"/>
    <x v="0"/>
    <d v="2025-06-01T00:00:00"/>
    <d v="2025-06-30T00:00:00"/>
    <x v="1"/>
    <n v="1384.9005449999997"/>
    <n v="749633"/>
  </r>
  <r>
    <x v="0"/>
    <x v="2"/>
    <s v="blg_haca_scalp_reels-only_aw-aw-thruplay_website-viewcontent_na_na_ym00356549_q1-q2-vvr_2024_bcp_002_x"/>
    <s v="scalp"/>
    <x v="3"/>
    <x v="2"/>
    <x v="1"/>
    <d v="2024-04-01T00:00:00"/>
    <d v="2024-04-19T00:00:00"/>
    <x v="24"/>
    <n v="243.5"/>
    <n v="59651"/>
  </r>
  <r>
    <x v="0"/>
    <x v="1"/>
    <s v="blg_haca_mult_ao-boosting_auc_aw-video-views_x_x_ym00437375_x_2025_blg_002_x"/>
    <s v="mult"/>
    <x v="0"/>
    <x v="1"/>
    <x v="0"/>
    <d v="2025-05-01T00:00:00"/>
    <d v="2025-05-17T00:00:00"/>
    <x v="17"/>
    <n v="2102.2199999999998"/>
    <n v="557760"/>
  </r>
  <r>
    <x v="0"/>
    <x v="2"/>
    <s v="blg_haca_scalp_na_cons-tra-linkcli_none-none_na_na_ym00356549_q1-q2-lctr_2024_bcp_002_x"/>
    <s v="scalp"/>
    <x v="3"/>
    <x v="2"/>
    <x v="0"/>
    <d v="2024-04-01T00:00:00"/>
    <d v="2024-04-11T00:00:00"/>
    <x v="34"/>
    <n v="1439.870007"/>
    <n v="233159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12T00:00:00"/>
    <x v="54"/>
    <n v="3218.6100100000003"/>
    <n v="508747"/>
  </r>
  <r>
    <x v="0"/>
    <x v="2"/>
    <s v="blg_haca_scalp_reels-only_aw-aw-thruplay_website-viewcontent_na_na_ym00356549_q1-q2-vvr_2024_bcp_002_x"/>
    <s v="scalp"/>
    <x v="3"/>
    <x v="2"/>
    <x v="0"/>
    <d v="2024-03-01T00:00:00"/>
    <d v="2024-03-30T00:00:00"/>
    <x v="3"/>
    <n v="839.3"/>
    <n v="179544"/>
  </r>
  <r>
    <x v="0"/>
    <x v="1"/>
    <s v="blg_haca_bfr_full-rescue_auc_cons-traffic_x_x_YM00458406_q2_2025_bfr_001_x"/>
    <s v="bfr"/>
    <x v="1"/>
    <x v="1"/>
    <x v="0"/>
    <d v="2025-06-01T00:00:00"/>
    <d v="2025-06-16T00:00:00"/>
    <x v="16"/>
    <n v="4975.3599999999997"/>
    <n v="998117"/>
  </r>
  <r>
    <x v="0"/>
    <x v="2"/>
    <s v="blg_haca_hydrasource_x_cons-tra-linkcli_none-none_x_x_ym00339376_q4-lctr_2024_bhs_001_x"/>
    <s v="hydrasource"/>
    <x v="4"/>
    <x v="2"/>
    <x v="0"/>
    <d v="2024-10-01T00:00:00"/>
    <d v="2024-10-30T00:00:00"/>
    <x v="22"/>
    <n v="2482.8400029999998"/>
    <n v="254412"/>
  </r>
  <r>
    <x v="0"/>
    <x v="0"/>
    <s v="blg_othr_na_na_84570334_2023_q2_traffic_other_volumebloom-fulldensity+traffic_v2"/>
    <s v="na"/>
    <x v="0"/>
    <x v="0"/>
    <x v="2"/>
    <d v="2023-07-01T00:00:00"/>
    <d v="2023-07-17T00:00:00"/>
    <x v="42"/>
    <n v="640.24531300000001"/>
    <n v="400385"/>
  </r>
  <r>
    <x v="0"/>
    <x v="1"/>
    <s v="blg_haca_mult_ao-boosting_auc_aw-video-views_x_x_ym00437375_x_2025_blg_002_x"/>
    <s v="mult"/>
    <x v="0"/>
    <x v="1"/>
    <x v="1"/>
    <d v="2025-04-01T00:00:00"/>
    <d v="2025-04-24T00:00:00"/>
    <x v="11"/>
    <n v="1532.35"/>
    <n v="383227"/>
  </r>
  <r>
    <x v="0"/>
    <x v="2"/>
    <s v="blg_haca_bfr_fullrescue_aw-aw-thruplay_none-none_x_x_ym00458406_q2-q3_2025_bfr_001_x"/>
    <s v="bfr"/>
    <x v="1"/>
    <x v="1"/>
    <x v="0"/>
    <d v="2025-05-01T00:00:00"/>
    <d v="2025-05-24T00:00:00"/>
    <x v="47"/>
    <n v="2597.6099979999999"/>
    <n v="404547"/>
  </r>
  <r>
    <x v="0"/>
    <x v="2"/>
    <s v="blg_haca_hydrasource_bau_aw-aw-thruplay_none-none_na_na_ym00339376_q1-vvr_2024_bhs_001_x"/>
    <s v="hydrasource"/>
    <x v="4"/>
    <x v="2"/>
    <x v="2"/>
    <d v="2024-02-01T00:00:00"/>
    <d v="2024-02-16T00:00:00"/>
    <x v="20"/>
    <n v="1162.3100010000003"/>
    <n v="174805"/>
  </r>
  <r>
    <x v="0"/>
    <x v="0"/>
    <s v="blg_othr_na_na_84570334_2023_q2_traffic_other_volumebloom-fulldensity+traffic_v2"/>
    <s v="na"/>
    <x v="0"/>
    <x v="0"/>
    <x v="2"/>
    <d v="2023-07-01T00:00:00"/>
    <d v="2023-07-30T00:00:00"/>
    <x v="2"/>
    <n v="733.24313099999995"/>
    <n v="354479"/>
  </r>
  <r>
    <x v="0"/>
    <x v="2"/>
    <s v="blg_haca_bond-therapy_na_aw-aw-thruplay_none-viewcontent_na_na_ym87093418_vvr-q4_2023_x_x_x"/>
    <s v="bond-therapy"/>
    <x v="5"/>
    <x v="0"/>
    <x v="2"/>
    <d v="2023-12-01T00:00:00"/>
    <d v="2023-12-01T00:00:00"/>
    <x v="40"/>
    <n v="2919.7100010000004"/>
    <n v="507150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16T00:00:00"/>
    <x v="62"/>
    <n v="1964.3799929999998"/>
    <n v="134173"/>
  </r>
  <r>
    <x v="0"/>
    <x v="1"/>
    <s v="blg_haca_hys_hydrasource_auc_cons-traffic_x_x_ym00427700_q2_2025_bhs_006_x"/>
    <s v="hys"/>
    <x v="4"/>
    <x v="1"/>
    <x v="0"/>
    <d v="2025-04-01T00:00:00"/>
    <d v="2025-04-17T00:00:00"/>
    <x v="36"/>
    <n v="5287.2000000000007"/>
    <n v="1142660"/>
  </r>
  <r>
    <x v="0"/>
    <x v="2"/>
    <s v="blg_haca_bfr_fullrescue_aw-aw-thruplay_none-none_x_x_ym00458406_q2-q3_2025_bfr_001_x"/>
    <s v="bfr"/>
    <x v="1"/>
    <x v="1"/>
    <x v="1"/>
    <d v="2025-05-01T00:00:00"/>
    <d v="2025-05-11T00:00:00"/>
    <x v="17"/>
    <n v="2005.8999999999994"/>
    <n v="483375"/>
  </r>
  <r>
    <x v="0"/>
    <x v="2"/>
    <s v="blg_haca_hydrasource_na_cons-tra-linkcli_none-none_na_na_ym00339376_q1-lctr_2024_bhs_001_x"/>
    <s v="hydrasource"/>
    <x v="4"/>
    <x v="2"/>
    <x v="0"/>
    <d v="2024-01-01T00:00:00"/>
    <d v="2024-01-20T00:00:00"/>
    <x v="57"/>
    <n v="3312.3400060000008"/>
    <n v="602788"/>
  </r>
  <r>
    <x v="0"/>
    <x v="2"/>
    <s v="blg_haca_bfr_fullrescue_cons-tra-linkcli_website-none_x_x_ym00458406_q2-q3_2025_bfr_001_x"/>
    <s v="bfr"/>
    <x v="1"/>
    <x v="1"/>
    <x v="1"/>
    <d v="2025-05-01T00:00:00"/>
    <d v="2025-05-18T00:00:00"/>
    <x v="47"/>
    <n v="9.34"/>
    <n v="1041"/>
  </r>
  <r>
    <x v="0"/>
    <x v="0"/>
    <s v="blg_haca_bfr_fullrescue-bonus_aw-awareness_x_bonus-q2_2025_x_x_x"/>
    <s v="bfr"/>
    <x v="1"/>
    <x v="1"/>
    <x v="0"/>
    <d v="2025-06-01T00:00:00"/>
    <d v="2025-06-17T00:00:00"/>
    <x v="16"/>
    <n v="1458.6332869999999"/>
    <n v="694504"/>
  </r>
  <r>
    <x v="0"/>
    <x v="2"/>
    <s v="blg_haca_hydrasource_x_aw-aw-thruplay_none-none_x_x_ym00339376_q4_2024_bhs_001_x"/>
    <s v="hydrasource"/>
    <x v="4"/>
    <x v="2"/>
    <x v="0"/>
    <d v="2024-10-01T00:00:00"/>
    <d v="2024-10-10T00:00:00"/>
    <x v="27"/>
    <n v="3629.6000019999988"/>
    <n v="675461"/>
  </r>
  <r>
    <x v="0"/>
    <x v="1"/>
    <s v="blg_haca_mult_ao-boosting_auc_aw-video-views_x_x_ym00437375_x_2025_blg_002_x"/>
    <s v="mult"/>
    <x v="0"/>
    <x v="1"/>
    <x v="0"/>
    <d v="2025-06-01T00:00:00"/>
    <d v="2025-06-05T00:00:00"/>
    <x v="10"/>
    <n v="1038.3700000000001"/>
    <n v="232333"/>
  </r>
  <r>
    <x v="0"/>
    <x v="2"/>
    <s v="blg_haca_bfr_fullrescue_aw-aw-thruplay_none-none_x_x_ym00458406_q2-q3_2025_bfr_001_x"/>
    <s v="bfr"/>
    <x v="1"/>
    <x v="1"/>
    <x v="1"/>
    <d v="2025-06-01T00:00:00"/>
    <d v="2025-06-04T00:00:00"/>
    <x v="10"/>
    <n v="2300.3199960000002"/>
    <n v="337795"/>
  </r>
  <r>
    <x v="0"/>
    <x v="0"/>
    <s v="blg_othr_na_na_84570334_2023_q2_traffic_other_volumebloom-fulldensity+traffic_v2"/>
    <s v="na"/>
    <x v="0"/>
    <x v="0"/>
    <x v="2"/>
    <d v="2023-08-01T00:00:00"/>
    <d v="2023-08-08T00:00:00"/>
    <x v="4"/>
    <n v="768.93239500000004"/>
    <n v="408841"/>
  </r>
  <r>
    <x v="0"/>
    <x v="2"/>
    <s v="blg_haca_bond-therapy_na_aw-aw-thruplay_none-viewcontent_na_na_ym87093418_vvr-q4_2023_x_x_x"/>
    <s v="bond-therapy"/>
    <x v="5"/>
    <x v="0"/>
    <x v="2"/>
    <d v="2023-12-01T00:00:00"/>
    <d v="2023-12-24T00:00:00"/>
    <x v="43"/>
    <n v="2982.160003"/>
    <n v="409904"/>
  </r>
  <r>
    <x v="0"/>
    <x v="1"/>
    <s v="blg_haca_hys_hydrasource_auc_aw-video-views_x_x_ym00427700_q2_2025_bhs_006_x"/>
    <s v="hys"/>
    <x v="4"/>
    <x v="1"/>
    <x v="1"/>
    <d v="2025-04-01T00:00:00"/>
    <d v="2025-04-08T00:00:00"/>
    <x v="23"/>
    <n v="2286.4499999999998"/>
    <n v="473295"/>
  </r>
  <r>
    <x v="0"/>
    <x v="1"/>
    <s v="blg_haca_hys_hydrasource_auc_cons-traffic_x_x_ym00427700_q2_2025_bhs_006_x"/>
    <s v="hys"/>
    <x v="4"/>
    <x v="1"/>
    <x v="0"/>
    <d v="2025-04-01T00:00:00"/>
    <d v="2025-04-22T00:00:00"/>
    <x v="11"/>
    <n v="5445.22"/>
    <n v="1149190"/>
  </r>
  <r>
    <x v="0"/>
    <x v="2"/>
    <s v="blg_haca_hydrasource_na_cons-tra-linkcli_none-none_na_na_ym00339376_q1-lctr_2024_bhs_001_x"/>
    <s v="hydrasource"/>
    <x v="4"/>
    <x v="2"/>
    <x v="0"/>
    <d v="2024-02-01T00:00:00"/>
    <d v="2024-02-07T00:00:00"/>
    <x v="41"/>
    <n v="3052.6900060000007"/>
    <n v="481623"/>
  </r>
  <r>
    <x v="0"/>
    <x v="2"/>
    <s v="blg_haca_scalp_reels-only_aw-aw-thruplay_website-viewcontent_na_na_ym00356549_q1-q2-vvr_2024_bcp_002_x"/>
    <s v="scalp"/>
    <x v="3"/>
    <x v="2"/>
    <x v="1"/>
    <d v="2024-04-01T00:00:00"/>
    <d v="2024-04-14T00:00:00"/>
    <x v="24"/>
    <n v="264.31000200000005"/>
    <n v="61919"/>
  </r>
  <r>
    <x v="0"/>
    <x v="1"/>
    <s v="blg_haca_bfr_full-rescue_auc_cons-traffic_x_x_YM00458406_q2_2025_bfr_001_x"/>
    <s v="bfr"/>
    <x v="1"/>
    <x v="1"/>
    <x v="1"/>
    <d v="2025-06-01T00:00:00"/>
    <d v="2025-06-02T00:00:00"/>
    <x v="10"/>
    <n v="715.2399999999999"/>
    <n v="192080"/>
  </r>
  <r>
    <x v="0"/>
    <x v="1"/>
    <s v="blg_haca_mult_ao-boosting_auc_aw-video-views_x_x_ym00437375_x_2025_blg_002_x"/>
    <s v="mult"/>
    <x v="0"/>
    <x v="1"/>
    <x v="0"/>
    <d v="2025-03-01T00:00:00"/>
    <d v="2025-03-23T00:00:00"/>
    <x v="9"/>
    <n v="2039.85"/>
    <n v="554056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25T00:00:00"/>
    <x v="69"/>
    <n v="2146.1200000000003"/>
    <n v="107950"/>
  </r>
  <r>
    <x v="0"/>
    <x v="2"/>
    <s v="blg_haca_bfr_fullrescue_cons-tra-linkcli_website-none_x_x_ym00458406_q2-q3_2025_bfr_001_x"/>
    <s v="bfr"/>
    <x v="1"/>
    <x v="1"/>
    <x v="0"/>
    <d v="2025-05-01T00:00:00"/>
    <d v="2025-05-15T00:00:00"/>
    <x v="17"/>
    <n v="1776.8599980000004"/>
    <n v="136857"/>
  </r>
  <r>
    <x v="0"/>
    <x v="0"/>
    <s v="blg_haca_scalp-sync_traffic_cons-consideration_ym00356548_all_2024_bcp_004_x"/>
    <s v="scalp-sync"/>
    <x v="3"/>
    <x v="2"/>
    <x v="0"/>
    <d v="2024-05-01T00:00:00"/>
    <d v="2024-05-05T00:00:00"/>
    <x v="49"/>
    <n v="1714.5411489999999"/>
    <n v="508033"/>
  </r>
  <r>
    <x v="0"/>
    <x v="2"/>
    <s v="blg_haca_mult_agile-boosting_cons-eng-thruplay_none-none_x_x_ym00437375_x_2025_blg_002_x"/>
    <s v="mult"/>
    <x v="0"/>
    <x v="1"/>
    <x v="1"/>
    <d v="2025-04-01T00:00:00"/>
    <d v="2025-04-21T00:00:00"/>
    <x v="11"/>
    <n v="908.06000000000017"/>
    <n v="203183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1T00:00:00"/>
    <x v="33"/>
    <n v="932.57000100000005"/>
    <n v="46076"/>
  </r>
  <r>
    <x v="0"/>
    <x v="1"/>
    <s v="blg_haca_mult_ao-boosting_auc_aw-video-views_x_x_ym00437375_x_2025_blg_002_x"/>
    <s v="mult"/>
    <x v="0"/>
    <x v="1"/>
    <x v="0"/>
    <d v="2025-03-01T00:00:00"/>
    <d v="2025-03-31T00:00:00"/>
    <x v="26"/>
    <n v="748.57999999999993"/>
    <n v="199377"/>
  </r>
  <r>
    <x v="0"/>
    <x v="2"/>
    <s v="blg_haca_scalp_bau_aw-aw-thruplay_website-viewcontent_na_na_ym00356549_q1-q2-vvr_2024_bcp_002_x"/>
    <s v="scalp"/>
    <x v="3"/>
    <x v="2"/>
    <x v="1"/>
    <d v="2024-04-01T00:00:00"/>
    <d v="2024-04-13T00:00:00"/>
    <x v="34"/>
    <n v="2247.8099959999995"/>
    <n v="520524"/>
  </r>
  <r>
    <x v="0"/>
    <x v="0"/>
    <s v="blg_othr_na_na_84570334_2023_q2_conversion-non-promo_other_amazon+ulta+conversion_v2"/>
    <s v="na"/>
    <x v="0"/>
    <x v="0"/>
    <x v="0"/>
    <d v="2023-07-01T00:00:00"/>
    <d v="2023-07-23T00:00:00"/>
    <x v="39"/>
    <n v="211.02359000000001"/>
    <n v="56142"/>
  </r>
  <r>
    <x v="0"/>
    <x v="2"/>
    <s v="blg_haca_mult_ulta-liter_cons-tra-linkcli_website-none_promotion_x_ym00437375_q1_2025_blg_002_x"/>
    <s v="mult"/>
    <x v="0"/>
    <x v="1"/>
    <x v="0"/>
    <d v="2025-01-01T00:00:00"/>
    <d v="2025-01-20T00:00:00"/>
    <x v="70"/>
    <n v="3994.840001"/>
    <n v="705541"/>
  </r>
  <r>
    <x v="0"/>
    <x v="2"/>
    <s v="blg_haca_hydrasource_bau_aw-aw-thruplay_none-none_na_na_ym00339376_q1-vvr_2024_bhs_001_x"/>
    <s v="hydrasource"/>
    <x v="4"/>
    <x v="2"/>
    <x v="2"/>
    <d v="2024-03-01T00:00:00"/>
    <d v="2024-03-05T00:00:00"/>
    <x v="6"/>
    <n v="1280.1200020000001"/>
    <n v="136553"/>
  </r>
  <r>
    <x v="0"/>
    <x v="0"/>
    <s v="blg_haca_scalp-sync_traffic_cons-consideration_ym00356548_all_2024_bcp_004_x"/>
    <s v="scalp-sync"/>
    <x v="3"/>
    <x v="2"/>
    <x v="0"/>
    <d v="2024-05-01T00:00:00"/>
    <d v="2024-05-14T00:00:00"/>
    <x v="56"/>
    <n v="1686.8968409999998"/>
    <n v="460023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4T00:00:00"/>
    <x v="35"/>
    <n v="1217.01"/>
    <n v="195522"/>
  </r>
  <r>
    <x v="0"/>
    <x v="1"/>
    <s v="blg_haca_hys_hydrasource_auc_cons-traffic_x_x_ym00427700_q2_2025_bhs_006_x"/>
    <s v="hys"/>
    <x v="4"/>
    <x v="1"/>
    <x v="1"/>
    <d v="2025-04-01T00:00:00"/>
    <d v="2025-04-14T00:00:00"/>
    <x v="36"/>
    <n v="107.92999999999999"/>
    <n v="34971"/>
  </r>
  <r>
    <x v="0"/>
    <x v="2"/>
    <s v="blg_haca_mult_agile-boosting_cons-eng-thruplay_none-none_x_x_ym00437375_x_2025_blg_002_x"/>
    <s v="mult"/>
    <x v="0"/>
    <x v="1"/>
    <x v="1"/>
    <d v="2025-04-01T00:00:00"/>
    <d v="2025-04-09T00:00:00"/>
    <x v="23"/>
    <n v="1073.2800029999996"/>
    <n v="232572"/>
  </r>
  <r>
    <x v="0"/>
    <x v="1"/>
    <s v="blg_haca_bfr_full-rescue_auc_aw-video-views_x_x_YM00458406_q2_2025_bfr_001_x"/>
    <s v="bfr"/>
    <x v="1"/>
    <x v="1"/>
    <x v="1"/>
    <d v="2025-06-01T00:00:00"/>
    <d v="2025-06-26T00:00:00"/>
    <x v="7"/>
    <n v="1415.62"/>
    <n v="217104"/>
  </r>
  <r>
    <x v="0"/>
    <x v="0"/>
    <s v="blg_othr_na_na_84570334_2023_q2_conversion-non-promo_other_amazon+ulta+conversion"/>
    <s v="na"/>
    <x v="0"/>
    <x v="0"/>
    <x v="0"/>
    <d v="2023-07-01T00:00:00"/>
    <d v="2023-07-10T00:00:00"/>
    <x v="37"/>
    <n v="304.27003300000001"/>
    <n v="85154"/>
  </r>
  <r>
    <x v="0"/>
    <x v="2"/>
    <s v="blg_haca_bfr_fullrescue_cons-tra-linkcli_website-none_x_x_ym00458406_q2-q3_2025_bfr_001_x"/>
    <s v="bfr"/>
    <x v="1"/>
    <x v="1"/>
    <x v="1"/>
    <d v="2025-05-01T00:00:00"/>
    <d v="2025-05-07T00:00:00"/>
    <x v="12"/>
    <n v="17.789997"/>
    <n v="2289"/>
  </r>
  <r>
    <x v="0"/>
    <x v="2"/>
    <s v="blg_haca_scalp_reels-only_aw-aw-thruplay_website-viewcontent_na_na_ym00356549_q1-q2-vvr_2024_bcp_002_x"/>
    <s v="scalp"/>
    <x v="3"/>
    <x v="2"/>
    <x v="1"/>
    <d v="2024-04-01T00:00:00"/>
    <d v="2024-04-11T00:00:00"/>
    <x v="34"/>
    <n v="170.97"/>
    <n v="40515"/>
  </r>
  <r>
    <x v="0"/>
    <x v="2"/>
    <s v="blg_haca_bfr_fullrescue_aw-aw-thruplay_none-none_x_x_ym00458406_q2-q3_2025_bfr_001_x"/>
    <s v="bfr"/>
    <x v="1"/>
    <x v="1"/>
    <x v="0"/>
    <d v="2025-06-01T00:00:00"/>
    <d v="2025-06-19T00:00:00"/>
    <x v="16"/>
    <n v="1151.29"/>
    <n v="185706"/>
  </r>
  <r>
    <x v="0"/>
    <x v="0"/>
    <s v="blg_othr_na_na_84570334_2023_q2_traffic_other_volumebloom-fulldensity+traffic_v2"/>
    <s v="na"/>
    <x v="0"/>
    <x v="0"/>
    <x v="2"/>
    <d v="2023-07-01T00:00:00"/>
    <d v="2023-07-18T00:00:00"/>
    <x v="42"/>
    <n v="641.87343499999997"/>
    <n v="415175"/>
  </r>
  <r>
    <x v="0"/>
    <x v="2"/>
    <s v="blg_haca_mult_agile-boosting_cons-eng-thruplay_none-none_x_x_ym00437375_x_2025_blg_002_x"/>
    <s v="mult"/>
    <x v="0"/>
    <x v="1"/>
    <x v="0"/>
    <d v="2025-04-01T00:00:00"/>
    <d v="2025-04-08T00:00:00"/>
    <x v="23"/>
    <n v="499.80999999999995"/>
    <n v="108581"/>
  </r>
  <r>
    <x v="0"/>
    <x v="2"/>
    <s v="blg_haca_hydrasource_bau_aw-aw-thruplay_none-none_na_na_ym00339376_q1-vvr_2024_bhs_001_x"/>
    <s v="hydrasource"/>
    <x v="4"/>
    <x v="2"/>
    <x v="2"/>
    <d v="2024-03-01T00:00:00"/>
    <d v="2024-03-01T00:00:00"/>
    <x v="29"/>
    <n v="1226.05"/>
    <n v="166453"/>
  </r>
  <r>
    <x v="0"/>
    <x v="2"/>
    <s v="blg_haca_hys_hydrasource_cons-tra-linkcli_website-none_x_x_ym00427700_q2_2025_bhs_006_x"/>
    <s v="hys"/>
    <x v="4"/>
    <x v="1"/>
    <x v="0"/>
    <d v="2025-04-01T00:00:00"/>
    <d v="2025-04-28T00:00:00"/>
    <x v="19"/>
    <n v="3763.5800000000004"/>
    <n v="373841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5T00:00:00"/>
    <x v="38"/>
    <n v="1209.2099990000002"/>
    <n v="197767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2T00:00:00"/>
    <x v="37"/>
    <n v="2630.38"/>
    <n v="253571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2T00:00:00"/>
    <x v="37"/>
    <n v="2219.9599980000003"/>
    <n v="341185"/>
  </r>
  <r>
    <x v="0"/>
    <x v="1"/>
    <s v="blg_haca_hys_hydrasource_auc_cons-traffic_x_x_ym00427700_q2_2025_bhs_006_x"/>
    <s v="hys"/>
    <x v="4"/>
    <x v="1"/>
    <x v="1"/>
    <d v="2025-04-01T00:00:00"/>
    <d v="2025-04-20T00:00:00"/>
    <x v="11"/>
    <n v="217.04000000000002"/>
    <n v="60666"/>
  </r>
  <r>
    <x v="0"/>
    <x v="0"/>
    <s v="blg_othr_na_na_84570334_2023_q2_traffic_other_volumebloom-fulldensity+traffic_v2"/>
    <s v="na"/>
    <x v="0"/>
    <x v="0"/>
    <x v="2"/>
    <d v="2023-07-01T00:00:00"/>
    <d v="2023-07-28T00:00:00"/>
    <x v="39"/>
    <n v="733.66946900000005"/>
    <n v="406873"/>
  </r>
  <r>
    <x v="0"/>
    <x v="2"/>
    <s v="blg_haca_scalp_bau_aw-aw-thruplay_website-viewcontent_na_na_ym00356549_q1-q2-vvr_2024_bcp_002_x"/>
    <s v="scalp"/>
    <x v="3"/>
    <x v="2"/>
    <x v="1"/>
    <d v="2024-03-01T00:00:00"/>
    <d v="2024-03-28T00:00:00"/>
    <x v="3"/>
    <n v="2190.3099969999998"/>
    <n v="468018"/>
  </r>
  <r>
    <x v="0"/>
    <x v="2"/>
    <s v="blg_haca_scalp_reels-only_aw-aw-thruplay_website-viewcontent_na_na_ym00356549_q1-q2-vvr_2024_bcp_002_x"/>
    <s v="scalp"/>
    <x v="3"/>
    <x v="2"/>
    <x v="1"/>
    <d v="2024-04-01T00:00:00"/>
    <d v="2024-04-16T00:00:00"/>
    <x v="24"/>
    <n v="188.91000000000003"/>
    <n v="46391"/>
  </r>
  <r>
    <x v="0"/>
    <x v="2"/>
    <s v="blg_haca_bfr_fullrescue_cons-tra-linkcli_website-none_x_x_ym00458406_q2-q3_2025_bfr_001_x"/>
    <s v="bfr"/>
    <x v="1"/>
    <x v="1"/>
    <x v="1"/>
    <d v="2025-07-01T00:00:00"/>
    <d v="2025-07-01T00:00:00"/>
    <x v="1"/>
    <n v="52.040003999999996"/>
    <n v="6354"/>
  </r>
  <r>
    <x v="0"/>
    <x v="2"/>
    <s v="blg_haca_mult_bf-cyber-leadup_cons-tra-linkcli_website-none_promotion_x_ym00384930_q4_2024_blg_001_x"/>
    <s v="mult"/>
    <x v="0"/>
    <x v="2"/>
    <x v="0"/>
    <d v="2024-12-01T00:00:00"/>
    <d v="2024-12-01T00:00:00"/>
    <x v="74"/>
    <n v="6328.23"/>
    <n v="444306"/>
  </r>
  <r>
    <x v="0"/>
    <x v="1"/>
    <s v="blg_haca_mult_ao-boosting_auc_aw-video-views_x_x_ym00437375_x_2025_blg_002_x"/>
    <s v="mult"/>
    <x v="0"/>
    <x v="1"/>
    <x v="1"/>
    <d v="2025-04-01T00:00:00"/>
    <d v="2025-04-19T00:00:00"/>
    <x v="36"/>
    <n v="1575.2900000000002"/>
    <n v="403520"/>
  </r>
  <r>
    <x v="0"/>
    <x v="0"/>
    <s v="blg_haca_scalp-sync_awareness_aw-awareness_ym00356548_all_2024_bcp_004_x"/>
    <s v="scalp-sync"/>
    <x v="3"/>
    <x v="2"/>
    <x v="2"/>
    <d v="2024-05-01T00:00:00"/>
    <d v="2024-05-27T00:00:00"/>
    <x v="65"/>
    <n v="3329.7969500000004"/>
    <n v="1312844"/>
  </r>
  <r>
    <x v="0"/>
    <x v="2"/>
    <s v="blg_haca_prime-day_lead-up-cell-1_aw-aw-thruplay_none-viewcontent_x_lla_ym00384930_x_2024_blg_001_x"/>
    <s v="prime-day"/>
    <x v="6"/>
    <x v="2"/>
    <x v="1"/>
    <d v="2024-07-01T00:00:00"/>
    <d v="2024-07-05T00:00:00"/>
    <x v="61"/>
    <n v="2404.2900089999998"/>
    <n v="304508"/>
  </r>
  <r>
    <x v="0"/>
    <x v="1"/>
    <s v="blg_haca_hys_hydrasource_auc_cons-traffic_x_x_ym00427700_q2_2025_bhs_006_x"/>
    <s v="hys"/>
    <x v="4"/>
    <x v="1"/>
    <x v="1"/>
    <d v="2025-04-01T00:00:00"/>
    <d v="2025-04-09T00:00:00"/>
    <x v="23"/>
    <n v="73.42"/>
    <n v="22223"/>
  </r>
  <r>
    <x v="0"/>
    <x v="1"/>
    <s v="blg_haca_bfr_full-rescue_auc_cons-traffic_x_x_YM00458406_q2_2025_bfr_001_x"/>
    <s v="bfr"/>
    <x v="1"/>
    <x v="1"/>
    <x v="0"/>
    <d v="2025-06-01T00:00:00"/>
    <d v="2025-06-17T00:00:00"/>
    <x v="16"/>
    <n v="4974"/>
    <n v="928592"/>
  </r>
  <r>
    <x v="0"/>
    <x v="2"/>
    <s v="blg_haca_hydrasource_x_cons-tra-linkcli_none-none_x_x_ym00339376_q4-lctr_2024_bhs_001_x"/>
    <s v="hydrasource"/>
    <x v="4"/>
    <x v="2"/>
    <x v="0"/>
    <d v="2024-10-01T00:00:00"/>
    <d v="2024-10-25T00:00:00"/>
    <x v="68"/>
    <n v="2437.1600060000005"/>
    <n v="234198"/>
  </r>
  <r>
    <x v="0"/>
    <x v="2"/>
    <s v="blg_haca_hys_hydrasource_cons-tra-linkcli_website-none_x_x_ym00427700_q2_2025_bhs_006_x"/>
    <s v="hys"/>
    <x v="4"/>
    <x v="1"/>
    <x v="0"/>
    <d v="2025-04-01T00:00:00"/>
    <d v="2025-04-11T00:00:00"/>
    <x v="23"/>
    <n v="3794.3900009999998"/>
    <n v="420432"/>
  </r>
  <r>
    <x v="0"/>
    <x v="0"/>
    <s v="blg_othr_na_na_84570334_2023_q2_conversion-non-promo_other_amazon+ulta+conversion"/>
    <s v="na"/>
    <x v="0"/>
    <x v="0"/>
    <x v="0"/>
    <d v="2023-07-01T00:00:00"/>
    <d v="2023-07-02T00:00:00"/>
    <x v="21"/>
    <n v="1390.15499"/>
    <n v="236208"/>
  </r>
  <r>
    <x v="0"/>
    <x v="2"/>
    <s v="blg_haca_mult_ulta-liter_cons-tra-linkcli_website-none_promotion_x_ym00437375_q1_2025_blg_002_x"/>
    <s v="mult"/>
    <x v="0"/>
    <x v="1"/>
    <x v="0"/>
    <d v="2025-01-01T00:00:00"/>
    <d v="2025-01-17T00:00:00"/>
    <x v="76"/>
    <n v="1685.7599999999998"/>
    <n v="295340"/>
  </r>
  <r>
    <x v="0"/>
    <x v="2"/>
    <s v="blg_haca_mult_agile-boosting_cons-eng-thruplay_none-none_x_x_ym00437375_x_2025_blg_002_x"/>
    <s v="mult"/>
    <x v="0"/>
    <x v="1"/>
    <x v="1"/>
    <d v="2025-05-01T00:00:00"/>
    <d v="2025-05-07T00:00:00"/>
    <x v="12"/>
    <n v="1605.4799990000004"/>
    <n v="327561"/>
  </r>
  <r>
    <x v="0"/>
    <x v="2"/>
    <s v="blg_haca_mult_agile-boosting_cons-eng-thruplay_none-none_x_x_ym00437375_x_2025_blg_002_x"/>
    <s v="mult"/>
    <x v="0"/>
    <x v="1"/>
    <x v="0"/>
    <d v="2025-04-01T00:00:00"/>
    <d v="2025-04-10T00:00:00"/>
    <x v="23"/>
    <n v="968.29000399999995"/>
    <n v="212218"/>
  </r>
  <r>
    <x v="0"/>
    <x v="2"/>
    <s v="blg_haca_prime-day_lead-up-cell-2_aw-aw-thruplay_none-viewcontent_x_lla_ym00384930_x_2024_blg_001_x"/>
    <s v="prime-day"/>
    <x v="6"/>
    <x v="2"/>
    <x v="1"/>
    <d v="2024-07-01T00:00:00"/>
    <d v="2024-07-12T00:00:00"/>
    <x v="54"/>
    <n v="2476.4300070000004"/>
    <n v="194271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12T00:00:00"/>
    <x v="54"/>
    <n v="3190.1100009999996"/>
    <n v="509155"/>
  </r>
  <r>
    <x v="0"/>
    <x v="2"/>
    <s v="blg_haca_bond-therapy_na_aw-aw-thruplay_none-viewcontent_na_na_ym87093418_vvr-q4_2023_x_x_x"/>
    <s v="bond-therapy"/>
    <x v="5"/>
    <x v="0"/>
    <x v="2"/>
    <d v="2023-11-01T00:00:00"/>
    <d v="2023-11-17T00:00:00"/>
    <x v="55"/>
    <n v="2890.5699940000004"/>
    <n v="460707"/>
  </r>
  <r>
    <x v="0"/>
    <x v="2"/>
    <s v="blg_haca_mult_agile-boosting_cons-eng-thruplay_none-none_x_x_ym00437375_x_2025_blg_002_x"/>
    <s v="mult"/>
    <x v="0"/>
    <x v="1"/>
    <x v="0"/>
    <d v="2025-04-01T00:00:00"/>
    <d v="2025-04-22T00:00:00"/>
    <x v="11"/>
    <n v="908.23000100000024"/>
    <n v="219507"/>
  </r>
  <r>
    <x v="0"/>
    <x v="2"/>
    <s v="blg_haca_scalp_bau_aw-aw-thruplay_website-viewcontent_na_na_ym00356549_q1-q2-vvr_2024_bcp_002_x"/>
    <s v="scalp"/>
    <x v="3"/>
    <x v="2"/>
    <x v="1"/>
    <d v="2024-03-01T00:00:00"/>
    <d v="2024-03-16T00:00:00"/>
    <x v="25"/>
    <n v="2362.4800009999999"/>
    <n v="546082"/>
  </r>
  <r>
    <x v="0"/>
    <x v="0"/>
    <s v="blg_othr_na_na_84570334_2023_q2_conversion-non-promo_other_amazon+ulta+conversion_v2"/>
    <s v="na"/>
    <x v="0"/>
    <x v="0"/>
    <x v="1"/>
    <d v="2023-08-01T00:00:00"/>
    <d v="2023-08-09T00:00:00"/>
    <x v="4"/>
    <n v="1122.825394"/>
    <n v="156446"/>
  </r>
  <r>
    <x v="0"/>
    <x v="2"/>
    <s v="blg_haca_bfr_fullrescue_cons-tra-linkcli_website-none_x_x_ym00458406_q2-q3_2025_bfr_001_x"/>
    <s v="bfr"/>
    <x v="1"/>
    <x v="1"/>
    <x v="0"/>
    <d v="2025-05-01T00:00:00"/>
    <d v="2025-05-29T00:00:00"/>
    <x v="8"/>
    <n v="1692.1500000000003"/>
    <n v="137720"/>
  </r>
  <r>
    <x v="0"/>
    <x v="2"/>
    <s v="blg_haca_bond-therapy_na_aw-aw-thruplay_none-viewcontent_na_na_ym87093418_vvr-q4_2023_x_x_x"/>
    <s v="bond-therapy"/>
    <x v="5"/>
    <x v="0"/>
    <x v="2"/>
    <d v="2023-12-01T00:00:00"/>
    <d v="2023-12-05T00:00:00"/>
    <x v="38"/>
    <n v="2765.7797790000009"/>
    <n v="485909"/>
  </r>
  <r>
    <x v="0"/>
    <x v="0"/>
    <s v="blg_haca_bfr_fullrescue-bonus_aw-awareness_x_bonus-q2_2025_x_x_x"/>
    <s v="bfr"/>
    <x v="1"/>
    <x v="1"/>
    <x v="0"/>
    <d v="2025-06-01T00:00:00"/>
    <d v="2025-06-28T00:00:00"/>
    <x v="7"/>
    <n v="1372.613065"/>
    <n v="608886"/>
  </r>
  <r>
    <x v="0"/>
    <x v="2"/>
    <s v="blg_haca_bfr_fullrescue_aw-aw-thruplay_none-none_x_x_ym00458406_q2-q3_2025_bfr_001_x"/>
    <s v="bfr"/>
    <x v="1"/>
    <x v="1"/>
    <x v="0"/>
    <d v="2025-05-01T00:00:00"/>
    <d v="2025-05-26T00:00:00"/>
    <x v="8"/>
    <n v="2588.5600000000004"/>
    <n v="416285"/>
  </r>
  <r>
    <x v="0"/>
    <x v="0"/>
    <s v="blg_othr_na_na_84570334_2023_q2_traffic_other_volumebloom-fulldensity+traffic_v2"/>
    <s v="na"/>
    <x v="0"/>
    <x v="0"/>
    <x v="2"/>
    <d v="2023-08-01T00:00:00"/>
    <d v="2023-08-16T00:00:00"/>
    <x v="30"/>
    <n v="763.96869400000003"/>
    <n v="341616"/>
  </r>
  <r>
    <x v="0"/>
    <x v="2"/>
    <s v="blg_haca_hys_hydrasource_aw-aw-thruplay_none-none_x_x_ym00427700_q2_2025_bhs_006_x"/>
    <s v="hys"/>
    <x v="4"/>
    <x v="1"/>
    <x v="1"/>
    <d v="2025-04-01T00:00:00"/>
    <d v="2025-04-21T00:00:00"/>
    <x v="11"/>
    <n v="472.37999999999988"/>
    <n v="21263"/>
  </r>
  <r>
    <x v="0"/>
    <x v="2"/>
    <s v="blg_haca_bfr_fullrescue_aw-aw-thruplay_none-none_x_x_ym00458406_q2-q3_2025_bfr_001_x"/>
    <s v="bfr"/>
    <x v="1"/>
    <x v="1"/>
    <x v="0"/>
    <d v="2025-06-01T00:00:00"/>
    <d v="2025-06-03T00:00:00"/>
    <x v="10"/>
    <n v="66.960001000000005"/>
    <n v="12971"/>
  </r>
  <r>
    <x v="0"/>
    <x v="2"/>
    <s v="blg_haca_hys_hydrasource_aw-aw-thruplay_none-none_x_x_ym00427700_q2_2025_bhs_006_x"/>
    <s v="hys"/>
    <x v="4"/>
    <x v="1"/>
    <x v="1"/>
    <d v="2025-04-01T00:00:00"/>
    <d v="2025-04-24T00:00:00"/>
    <x v="11"/>
    <n v="302.10999999999996"/>
    <n v="15125"/>
  </r>
  <r>
    <x v="0"/>
    <x v="0"/>
    <s v="blg_haca_bfr_fullrescue-bonus_aw-awareness_x_bonus-q2_2025_x_x_x"/>
    <s v="bfr"/>
    <x v="1"/>
    <x v="1"/>
    <x v="0"/>
    <d v="2025-06-01T00:00:00"/>
    <d v="2025-06-06T00:00:00"/>
    <x v="10"/>
    <n v="1279.9793649999999"/>
    <n v="599249"/>
  </r>
  <r>
    <x v="0"/>
    <x v="0"/>
    <s v="blg_othr_na_na_84570334_2023_q2_conversion-non-promo_other_amazon+ulta+conversion"/>
    <s v="na"/>
    <x v="0"/>
    <x v="0"/>
    <x v="0"/>
    <d v="2023-07-01T00:00:00"/>
    <d v="2023-07-14T00:00:00"/>
    <x v="37"/>
    <n v="547.395219"/>
    <n v="77924"/>
  </r>
  <r>
    <x v="0"/>
    <x v="2"/>
    <s v="blg_haca_hydrasource_x_cons-tra-linkcli_none-none_x_x_ym00339376_q4-lctr_2024_bhs_001_x"/>
    <s v="hydrasource"/>
    <x v="4"/>
    <x v="2"/>
    <x v="0"/>
    <d v="2024-09-01T00:00:00"/>
    <d v="2024-09-28T00:00:00"/>
    <x v="60"/>
    <n v="2679.7600039999993"/>
    <n v="289909"/>
  </r>
  <r>
    <x v="0"/>
    <x v="2"/>
    <s v="blg_haca_hydrasource_x_aw-aw-thruplay_none-none_x_x_ym00339376_q4_2024_bhs_001_x"/>
    <s v="hydrasource"/>
    <x v="4"/>
    <x v="2"/>
    <x v="0"/>
    <d v="2024-09-01T00:00:00"/>
    <d v="2024-09-23T00:00:00"/>
    <x v="60"/>
    <n v="2894.4500109999999"/>
    <n v="468261"/>
  </r>
  <r>
    <x v="0"/>
    <x v="2"/>
    <s v="blg_haca_hydrasource_x_cons-tra-linkcli_none-none_x_x_ym00339376_q4-lctr_2024_bhs_001_x"/>
    <s v="hydrasource"/>
    <x v="4"/>
    <x v="2"/>
    <x v="0"/>
    <d v="2024-10-01T00:00:00"/>
    <d v="2024-10-23T00:00:00"/>
    <x v="68"/>
    <n v="2560.8899919999999"/>
    <n v="239798"/>
  </r>
  <r>
    <x v="0"/>
    <x v="2"/>
    <s v="blg_haca_bond-therapy_na_aw-aw-thruplay_none-viewcontent_na_na_ym87093418_vvr-q4_2023_x_x_x"/>
    <s v="bond-therapy"/>
    <x v="5"/>
    <x v="0"/>
    <x v="2"/>
    <d v="2023-12-01T00:00:00"/>
    <d v="2023-12-14T00:00:00"/>
    <x v="33"/>
    <n v="2578.0899990000003"/>
    <n v="462581"/>
  </r>
  <r>
    <x v="0"/>
    <x v="0"/>
    <s v="blg_othr_na_na_84570334_2023_q2_conversion-non-promo_other_amazon+ulta+conversion_v2"/>
    <s v="na"/>
    <x v="0"/>
    <x v="0"/>
    <x v="1"/>
    <d v="2023-07-01T00:00:00"/>
    <d v="2023-07-25T00:00:00"/>
    <x v="39"/>
    <n v="1296.853895"/>
    <n v="135354"/>
  </r>
  <r>
    <x v="0"/>
    <x v="1"/>
    <s v="blg_haca_bfr_full-rescue_auc_aw-video-views_x_x_YM00458406_q2_2025_bfr_001_x"/>
    <s v="bfr"/>
    <x v="1"/>
    <x v="1"/>
    <x v="1"/>
    <d v="2025-06-01T00:00:00"/>
    <d v="2025-06-07T00:00:00"/>
    <x v="10"/>
    <n v="1723.1399999999999"/>
    <n v="262726"/>
  </r>
  <r>
    <x v="0"/>
    <x v="2"/>
    <s v="blg_haca_bfr_fullrescue_aw-aw-thruplay_none-none_x_x_ym00458406_q2-q3_2025_bfr_001_x"/>
    <s v="bfr"/>
    <x v="1"/>
    <x v="1"/>
    <x v="0"/>
    <d v="2025-06-01T00:00:00"/>
    <d v="2025-06-07T00:00:00"/>
    <x v="10"/>
    <n v="741.72"/>
    <n v="124149"/>
  </r>
  <r>
    <x v="0"/>
    <x v="2"/>
    <s v="blg_haca_bfr_fullrescue_aw-aw-thruplay_none-none_x_x_ym00458406_q2-q3_2025_bfr_001_x"/>
    <s v="bfr"/>
    <x v="1"/>
    <x v="1"/>
    <x v="1"/>
    <d v="2025-06-01T00:00:00"/>
    <d v="2025-06-20T00:00:00"/>
    <x v="16"/>
    <n v="1386.79"/>
    <n v="258967"/>
  </r>
  <r>
    <x v="0"/>
    <x v="1"/>
    <s v="blg_haca_bfr_full-rescue_auc_cons-traffic_x_x_YM00458406_q2_2025_bfr_001_x"/>
    <s v="bfr"/>
    <x v="1"/>
    <x v="1"/>
    <x v="1"/>
    <d v="2025-06-01T00:00:00"/>
    <d v="2025-06-08T00:00:00"/>
    <x v="18"/>
    <n v="524.06000000000006"/>
    <n v="103477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13T00:00:00"/>
    <x v="54"/>
    <n v="3519.7699990000001"/>
    <n v="562568"/>
  </r>
  <r>
    <x v="0"/>
    <x v="0"/>
    <s v="blg_othr_na_na_84570334_2023_q2_conversion-non-promo_other_amazon+ulta+conversion_v2"/>
    <s v="na"/>
    <x v="0"/>
    <x v="0"/>
    <x v="1"/>
    <d v="2023-07-01T00:00:00"/>
    <d v="2023-07-21T00:00:00"/>
    <x v="42"/>
    <n v="1305.5072809999999"/>
    <n v="127496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19T00:00:00"/>
    <x v="35"/>
    <n v="1310.0400010000001"/>
    <n v="233309"/>
  </r>
  <r>
    <x v="0"/>
    <x v="1"/>
    <s v="blg_haca_hys_hydrasource_auc_aw-video-views_x_x_ym00427700_q2_2025_bhs_006_x"/>
    <s v="hys"/>
    <x v="4"/>
    <x v="1"/>
    <x v="0"/>
    <d v="2025-04-01T00:00:00"/>
    <d v="2025-04-16T00:00:00"/>
    <x v="36"/>
    <n v="3641.9199999999996"/>
    <n v="871041"/>
  </r>
  <r>
    <x v="0"/>
    <x v="0"/>
    <s v="blg_othr_na_na_84570334_2023_q2_conversion-non-promo_other_amazon+ulta+conversion_v2"/>
    <s v="na"/>
    <x v="0"/>
    <x v="0"/>
    <x v="1"/>
    <d v="2023-08-01T00:00:00"/>
    <d v="2023-08-05T00:00:00"/>
    <x v="2"/>
    <n v="1192.0234210000001"/>
    <n v="148403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9T00:00:00"/>
    <x v="42"/>
    <n v="2470.8300009999998"/>
    <n v="291244"/>
  </r>
  <r>
    <x v="0"/>
    <x v="2"/>
    <s v="blg_haca_hydrasource_reelsonly_aw-aw-thruplay_none-none_na_na_ym00339376_q1-vvr_2024_bhs_001_x"/>
    <s v="hydrasource"/>
    <x v="4"/>
    <x v="2"/>
    <x v="0"/>
    <d v="2024-01-01T00:00:00"/>
    <d v="2024-01-20T00:00:00"/>
    <x v="57"/>
    <n v="673.96000099999992"/>
    <n v="182263"/>
  </r>
  <r>
    <x v="0"/>
    <x v="2"/>
    <s v="blg_haca_mult_agile-boosting_cons-eng-thruplay_none-none_x_x_ym00437375_x_2025_blg_002_x"/>
    <s v="mult"/>
    <x v="0"/>
    <x v="1"/>
    <x v="0"/>
    <d v="2025-04-01T00:00:00"/>
    <d v="2025-04-27T00:00:00"/>
    <x v="19"/>
    <n v="927.2"/>
    <n v="215634"/>
  </r>
  <r>
    <x v="0"/>
    <x v="2"/>
    <s v="blg_haca_bfr_fullrescue_aw-aw-thruplay_none-none_x_x_ym00458406_q2-q3_2025_bfr_001_x"/>
    <s v="bfr"/>
    <x v="1"/>
    <x v="1"/>
    <x v="0"/>
    <d v="2025-06-01T00:00:00"/>
    <d v="2025-06-23T00:00:00"/>
    <x v="7"/>
    <n v="1035.6100029999998"/>
    <n v="169636"/>
  </r>
  <r>
    <x v="0"/>
    <x v="2"/>
    <s v="blg_haca_bfr_fullrescue_cons-tra-linkcli_website-none_x_x_ym00458406_q2-q3_2025_bfr_001_x"/>
    <s v="bfr"/>
    <x v="1"/>
    <x v="1"/>
    <x v="1"/>
    <d v="2025-05-01T00:00:00"/>
    <d v="2025-05-22T00:00:00"/>
    <x v="47"/>
    <n v="9.66"/>
    <n v="1036"/>
  </r>
  <r>
    <x v="0"/>
    <x v="2"/>
    <s v="blg_haca_mult_agile-boosting_cons-eng-thruplay_none-none_x_x_ym00437375_x_2025_blg_002_x"/>
    <s v="mult"/>
    <x v="0"/>
    <x v="1"/>
    <x v="1"/>
    <d v="2025-06-01T00:00:00"/>
    <d v="2025-06-05T00:00:00"/>
    <x v="10"/>
    <n v="1520.599999"/>
    <n v="226383"/>
  </r>
  <r>
    <x v="0"/>
    <x v="0"/>
    <s v="blg_haca_bfr_fullrescue-bonus_aw-awareness_x_bonus-q2_2025_x_x_x"/>
    <s v="bfr"/>
    <x v="1"/>
    <x v="1"/>
    <x v="0"/>
    <d v="2025-06-01T00:00:00"/>
    <d v="2025-06-26T00:00:00"/>
    <x v="7"/>
    <n v="1430.8631920000003"/>
    <n v="672563"/>
  </r>
  <r>
    <x v="0"/>
    <x v="1"/>
    <s v="blg_haca_bfr_full-rescue_auc_cons-traffic_x_x_YM00458406_q2_2025_bfr_001_x"/>
    <s v="bfr"/>
    <x v="1"/>
    <x v="1"/>
    <x v="0"/>
    <d v="2025-06-01T00:00:00"/>
    <d v="2025-06-30T00:00:00"/>
    <x v="1"/>
    <n v="557.41999999999996"/>
    <n v="97389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6T00:00:00"/>
    <x v="38"/>
    <n v="3071.2489900000005"/>
    <n v="325128"/>
  </r>
  <r>
    <x v="0"/>
    <x v="1"/>
    <s v="blg_haca_bfr_full-rescue_auc_aw-video-views_x_x_YM00458406_q2_2025_bfr_001_x"/>
    <s v="bfr"/>
    <x v="1"/>
    <x v="1"/>
    <x v="0"/>
    <d v="2025-06-01T00:00:00"/>
    <d v="2025-06-09T00:00:00"/>
    <x v="18"/>
    <n v="7.38"/>
    <n v="1441"/>
  </r>
  <r>
    <x v="0"/>
    <x v="2"/>
    <s v="blg_haca_scalp_reels-only_aw-aw-thruplay_website-viewcontent_na_na_ym00356549_q1-q2-vvr_2024_bcp_002_x"/>
    <s v="scalp"/>
    <x v="3"/>
    <x v="2"/>
    <x v="1"/>
    <d v="2024-04-01T00:00:00"/>
    <d v="2024-04-05T00:00:00"/>
    <x v="53"/>
    <n v="209.85000000000002"/>
    <n v="52852"/>
  </r>
  <r>
    <x v="0"/>
    <x v="2"/>
    <s v="blg_haca_hys_hydrasource_aw-aw-thruplay_none-none_x_x_ym00427700_q2_2025_bhs_006_x"/>
    <s v="hys"/>
    <x v="4"/>
    <x v="1"/>
    <x v="0"/>
    <d v="2025-04-01T00:00:00"/>
    <d v="2025-04-08T00:00:00"/>
    <x v="23"/>
    <n v="1410.650003"/>
    <n v="158114"/>
  </r>
  <r>
    <x v="0"/>
    <x v="2"/>
    <s v="blg_haca_hydrasource_bau_aw-aw-thruplay_none-none_na_na_ym00339376_q1-vvr_2024_bhs_001_x"/>
    <s v="hydrasource"/>
    <x v="4"/>
    <x v="2"/>
    <x v="2"/>
    <d v="2024-01-01T00:00:00"/>
    <d v="2024-01-15T00:00:00"/>
    <x v="57"/>
    <n v="1605.6400010000002"/>
    <n v="536699"/>
  </r>
  <r>
    <x v="0"/>
    <x v="0"/>
    <s v="blg_haca_scalp-sync_awareness_aw-awareness_ym00356548_all_2024_bcp_004_x"/>
    <s v="scalp-sync"/>
    <x v="3"/>
    <x v="2"/>
    <x v="2"/>
    <d v="2024-05-01T00:00:00"/>
    <d v="2024-05-02T00:00:00"/>
    <x v="44"/>
    <n v="3357.9696539999995"/>
    <n v="1583283"/>
  </r>
  <r>
    <x v="0"/>
    <x v="0"/>
    <s v="blg_othr_na_na_84570334_2023_q2_traffic_other_volumebloom-fulldensity+traffic_v2"/>
    <s v="na"/>
    <x v="0"/>
    <x v="0"/>
    <x v="2"/>
    <d v="2023-08-01T00:00:00"/>
    <d v="2023-08-04T00:00:00"/>
    <x v="2"/>
    <n v="770.91454900000008"/>
    <n v="486885"/>
  </r>
  <r>
    <x v="0"/>
    <x v="2"/>
    <s v="blg_haca_hydrasource_x_aw-aw-thruplay_none-none_x_x_ym00339376_q4_2024_bhs_001_x"/>
    <s v="hydrasource"/>
    <x v="4"/>
    <x v="2"/>
    <x v="0"/>
    <d v="2024-10-01T00:00:00"/>
    <d v="2024-10-03T00:00:00"/>
    <x v="31"/>
    <n v="3678.0699969999991"/>
    <n v="707057"/>
  </r>
  <r>
    <x v="0"/>
    <x v="2"/>
    <s v="blg_haca_bfr_fullrescue_cons-tra-linkcli_website-none_x_x_ym00458406_q2-q3_2025_bfr_001_x"/>
    <s v="bfr"/>
    <x v="1"/>
    <x v="1"/>
    <x v="0"/>
    <d v="2025-06-01T00:00:00"/>
    <d v="2025-06-03T00:00:00"/>
    <x v="10"/>
    <n v="1646.8899939999999"/>
    <n v="141397"/>
  </r>
  <r>
    <x v="0"/>
    <x v="1"/>
    <s v="blg_haca_bfr_full-rescue_auc_cons-traffic_x_x_YM00458406_q2_2025_bfr_001_x"/>
    <s v="bfr"/>
    <x v="1"/>
    <x v="1"/>
    <x v="0"/>
    <d v="2025-06-01T00:00:00"/>
    <d v="2025-06-03T00:00:00"/>
    <x v="10"/>
    <n v="5557.57"/>
    <n v="1269542"/>
  </r>
  <r>
    <x v="0"/>
    <x v="2"/>
    <s v="blg_haca_mult_agile-boosting_cons-eng-thruplay_none-none_x_x_ym00437375_x_2025_blg_002_x"/>
    <s v="mult"/>
    <x v="0"/>
    <x v="1"/>
    <x v="0"/>
    <d v="2025-05-01T00:00:00"/>
    <d v="2025-05-10T00:00:00"/>
    <x v="12"/>
    <n v="280.14"/>
    <n v="55494"/>
  </r>
  <r>
    <x v="0"/>
    <x v="0"/>
    <s v="blg_othr_na_na_84570334_2023_q2_conversion-non-promo_other_amazon+ulta+conversion_v2"/>
    <s v="na"/>
    <x v="0"/>
    <x v="0"/>
    <x v="0"/>
    <d v="2023-07-01T00:00:00"/>
    <d v="2023-07-25T00:00:00"/>
    <x v="39"/>
    <n v="139.368619"/>
    <n v="49758"/>
  </r>
  <r>
    <x v="0"/>
    <x v="2"/>
    <s v="blg_haca_hys_hydrasource_aw-aw-thruplay_none-none_x_x_ym00427700_q2_2025_bhs_006_x"/>
    <s v="hys"/>
    <x v="4"/>
    <x v="1"/>
    <x v="0"/>
    <d v="2025-04-01T00:00:00"/>
    <d v="2025-04-17T00:00:00"/>
    <x v="36"/>
    <n v="2224.3499949999996"/>
    <n v="323473"/>
  </r>
  <r>
    <x v="0"/>
    <x v="0"/>
    <s v="blg_haca_scalp-sync_awareness_aw-awareness_ym00356548_all_2024_bcp_004_x"/>
    <s v="scalp-sync"/>
    <x v="3"/>
    <x v="2"/>
    <x v="2"/>
    <d v="2024-05-01T00:00:00"/>
    <d v="2024-05-14T00:00:00"/>
    <x v="56"/>
    <n v="3369.6550739999998"/>
    <n v="1476586"/>
  </r>
  <r>
    <x v="0"/>
    <x v="0"/>
    <s v="blg_haca_scalp-sync_awareness_aw-awareness_ym00356548_all_2024_bcp_004_x"/>
    <s v="scalp-sync"/>
    <x v="3"/>
    <x v="2"/>
    <x v="2"/>
    <d v="2024-05-01T00:00:00"/>
    <d v="2024-05-29T00:00:00"/>
    <x v="65"/>
    <n v="3327.6507149999998"/>
    <n v="1358652"/>
  </r>
  <r>
    <x v="0"/>
    <x v="2"/>
    <s v="blg_haca_hydrasource_bau_aw-aw-thruplay_none-none_na_na_ym00339376_q1-vvr_2024_bhs_001_x"/>
    <s v="hydrasource"/>
    <x v="4"/>
    <x v="2"/>
    <x v="2"/>
    <d v="2024-01-01T00:00:00"/>
    <d v="2024-01-17T00:00:00"/>
    <x v="57"/>
    <n v="1484.139995"/>
    <n v="450987"/>
  </r>
  <r>
    <x v="0"/>
    <x v="0"/>
    <s v="blg_haca_scalp-sync_awareness_aw-awareness_ym00356548_all_2024_bcp_004_x"/>
    <s v="scalp-sync"/>
    <x v="3"/>
    <x v="2"/>
    <x v="2"/>
    <d v="2024-05-01T00:00:00"/>
    <d v="2024-05-17T00:00:00"/>
    <x v="56"/>
    <n v="3370.6654009999997"/>
    <n v="1424439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8T00:00:00"/>
    <x v="28"/>
    <n v="2052.0299970000001"/>
    <n v="135079"/>
  </r>
  <r>
    <x v="0"/>
    <x v="2"/>
    <s v="blg_haca_bfr_fullrescue_aw-aw-thruplay_none-none_x_x_ym00458406_q2-q3_2025_bfr_001_x"/>
    <s v="bfr"/>
    <x v="1"/>
    <x v="1"/>
    <x v="0"/>
    <d v="2025-05-01T00:00:00"/>
    <d v="2025-05-17T00:00:00"/>
    <x v="17"/>
    <n v="2591.4000010000004"/>
    <n v="433882"/>
  </r>
  <r>
    <x v="0"/>
    <x v="2"/>
    <s v="blg_haca_scalp_na_cons-tra-linkcli_none-none_na_na_ym00356549_q1-q2-lctr_2024_bcp_002_x"/>
    <s v="scalp"/>
    <x v="3"/>
    <x v="2"/>
    <x v="0"/>
    <d v="2024-03-01T00:00:00"/>
    <d v="2024-03-29T00:00:00"/>
    <x v="3"/>
    <n v="1449.9800099999998"/>
    <n v="216778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17T00:00:00"/>
    <x v="55"/>
    <n v="1236.860001"/>
    <n v="202988"/>
  </r>
  <r>
    <x v="0"/>
    <x v="1"/>
    <s v="blg_haca_mult_ao-boosting_auc_aw-video-views_x_x_ym00437375_x_2025_blg_002_x"/>
    <s v="mult"/>
    <x v="0"/>
    <x v="1"/>
    <x v="0"/>
    <d v="2025-05-01T00:00:00"/>
    <d v="2025-05-12T00:00:00"/>
    <x v="17"/>
    <n v="1830.2"/>
    <n v="471051"/>
  </r>
  <r>
    <x v="0"/>
    <x v="2"/>
    <s v="blg_haca_scalp_reels-only_aw-aw-thruplay_website-viewcontent_na_na_ym00356549_q1-q2-vvr_2024_bcp_002_x"/>
    <s v="scalp"/>
    <x v="3"/>
    <x v="2"/>
    <x v="1"/>
    <d v="2024-04-01T00:00:00"/>
    <d v="2024-04-17T00:00:00"/>
    <x v="24"/>
    <n v="239.33999999999997"/>
    <n v="55853"/>
  </r>
  <r>
    <x v="0"/>
    <x v="2"/>
    <s v="blg_haca_bond-therapy_na_aw-aw-thruplay_none-viewcontent_na_na_ym87093418_vvr-q4_2023_x_x_x"/>
    <s v="bond-therapy"/>
    <x v="5"/>
    <x v="0"/>
    <x v="2"/>
    <d v="2023-12-01T00:00:00"/>
    <d v="2023-12-26T00:00:00"/>
    <x v="43"/>
    <n v="2714.3199980000004"/>
    <n v="409825"/>
  </r>
  <r>
    <x v="0"/>
    <x v="2"/>
    <s v="blg_haca_bfr_fullrescue_aw-aw-thruplay_none-none_x_x_ym00458406_q2-q3_2025_bfr_001_x"/>
    <s v="bfr"/>
    <x v="1"/>
    <x v="1"/>
    <x v="0"/>
    <d v="2025-06-01T00:00:00"/>
    <d v="2025-06-11T00:00:00"/>
    <x v="18"/>
    <n v="367.8299980000001"/>
    <n v="46474"/>
  </r>
  <r>
    <x v="0"/>
    <x v="2"/>
    <s v="blg_haca_mult_agile-boosting_cons-eng-thruplay_none-none_x_x_ym00437375_x_2025_blg_002_x"/>
    <s v="mult"/>
    <x v="0"/>
    <x v="1"/>
    <x v="0"/>
    <d v="2025-05-01T00:00:00"/>
    <d v="2025-05-28T00:00:00"/>
    <x v="8"/>
    <n v="344.7"/>
    <n v="60087"/>
  </r>
  <r>
    <x v="0"/>
    <x v="2"/>
    <s v="blg_haca_bfr_fullrescue_cons-tra-linkcli_website-none_x_x_ym00458406_q2-q3_2025_bfr_001_x"/>
    <s v="bfr"/>
    <x v="1"/>
    <x v="1"/>
    <x v="1"/>
    <d v="2025-06-01T00:00:00"/>
    <d v="2025-06-13T00:00:00"/>
    <x v="18"/>
    <n v="38.19"/>
    <n v="4202"/>
  </r>
  <r>
    <x v="0"/>
    <x v="2"/>
    <s v="blg_haca_hydrasource_x_aw-aw-thruplay_none-none_x_x_ym00339376_q4_2024_bhs_001_x"/>
    <s v="hydrasource"/>
    <x v="4"/>
    <x v="2"/>
    <x v="0"/>
    <d v="2024-10-01T00:00:00"/>
    <d v="2024-10-20T00:00:00"/>
    <x v="68"/>
    <n v="3925.5700100000004"/>
    <n v="872449"/>
  </r>
  <r>
    <x v="0"/>
    <x v="2"/>
    <s v="blg_haca_mult_agile-boosting_cons-eng-thruplay_none-none_x_x_ym00437375_x_2025_blg_002_x"/>
    <s v="mult"/>
    <x v="0"/>
    <x v="1"/>
    <x v="1"/>
    <d v="2025-04-01T00:00:00"/>
    <d v="2025-04-28T00:00:00"/>
    <x v="19"/>
    <n v="709.71999900000003"/>
    <n v="140484"/>
  </r>
  <r>
    <x v="0"/>
    <x v="2"/>
    <s v="blg_haca_scalp_na_cons-tra-linkcli_none-none_na_na_ym00356549_q1-q2-lctr_2024_bcp_002_x"/>
    <s v="scalp"/>
    <x v="3"/>
    <x v="2"/>
    <x v="1"/>
    <d v="2024-03-01T00:00:00"/>
    <d v="2024-03-26T00:00:00"/>
    <x v="3"/>
    <n v="1576.2800000000002"/>
    <n v="228716"/>
  </r>
  <r>
    <x v="0"/>
    <x v="2"/>
    <s v="blg_othr_q3-haca-colorlast_prime-traffic-lctr_cons-tra-linkcli_none-customother_promotion_na_ym87093420_2023_2023_bcl_x_x"/>
    <s v="q3-haca-colorlast"/>
    <x v="2"/>
    <x v="0"/>
    <x v="1"/>
    <d v="2023-07-01T00:00:00"/>
    <d v="2023-07-12T00:00:00"/>
    <x v="37"/>
    <n v="2501.3700010000002"/>
    <n v="467959"/>
  </r>
  <r>
    <x v="0"/>
    <x v="1"/>
    <s v="blg_haca_hys_hydrasource_auc_aw-video-views_x_x_ym00427700_q2_2025_bhs_006_x"/>
    <s v="hys"/>
    <x v="4"/>
    <x v="1"/>
    <x v="0"/>
    <d v="2025-04-01T00:00:00"/>
    <d v="2025-04-21T00:00:00"/>
    <x v="11"/>
    <n v="3703.6099999999997"/>
    <n v="1018641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1T00:00:00"/>
    <x v="33"/>
    <n v="1232.8300000000002"/>
    <n v="205324"/>
  </r>
  <r>
    <x v="0"/>
    <x v="2"/>
    <s v="blg_haca_bfr_fullrescue_cons-tra-linkcli_website-none_x_x_ym00458406_q2-q3_2025_bfr_001_x"/>
    <s v="bfr"/>
    <x v="1"/>
    <x v="1"/>
    <x v="0"/>
    <d v="2025-05-01T00:00:00"/>
    <d v="2025-05-19T00:00:00"/>
    <x v="47"/>
    <n v="1812.1799980000003"/>
    <n v="141759"/>
  </r>
  <r>
    <x v="0"/>
    <x v="2"/>
    <s v="blg_haca_hys_hydrasource_aw-aw-thruplay_none-none_x_x_ym00427700_q2_2025_bhs_006_x"/>
    <s v="hys"/>
    <x v="4"/>
    <x v="1"/>
    <x v="0"/>
    <d v="2025-05-01T00:00:00"/>
    <d v="2025-05-02T00:00:00"/>
    <x v="19"/>
    <n v="1710.3100009999998"/>
    <n v="257715"/>
  </r>
  <r>
    <x v="0"/>
    <x v="2"/>
    <s v="blg_haca_mult_agile-boosting_cons-eng-thruplay_none-none_x_x_ym00437375_x_2025_blg_002_x"/>
    <s v="mult"/>
    <x v="0"/>
    <x v="1"/>
    <x v="0"/>
    <d v="2025-05-01T00:00:00"/>
    <d v="2025-05-13T00:00:00"/>
    <x v="17"/>
    <n v="315.48999799999996"/>
    <n v="57202"/>
  </r>
  <r>
    <x v="0"/>
    <x v="1"/>
    <s v="blg_haca_mult_ao-boosting_auc_aw-video-views_x_x_ym00437375_x_2025_blg_002_x"/>
    <s v="mult"/>
    <x v="0"/>
    <x v="1"/>
    <x v="1"/>
    <d v="2025-06-01T00:00:00"/>
    <d v="2025-06-06T00:00:00"/>
    <x v="10"/>
    <n v="1.3900000000000001"/>
    <n v="120"/>
  </r>
  <r>
    <x v="0"/>
    <x v="2"/>
    <s v="blg_haca_hydrasource_reelsonly_aw-aw-thruplay_none-none_na_na_ym00339376_q1-vvr_2024_bhs_001_x"/>
    <s v="hydrasource"/>
    <x v="4"/>
    <x v="2"/>
    <x v="0"/>
    <d v="2024-02-01T00:00:00"/>
    <d v="2024-02-11T00:00:00"/>
    <x v="20"/>
    <n v="967.35999900000013"/>
    <n v="217254"/>
  </r>
  <r>
    <x v="0"/>
    <x v="1"/>
    <s v="blg_haca_mult_ao-boosting_auc_aw-video-views_x_x_ym00437375_x_2025_blg_002_x"/>
    <s v="mult"/>
    <x v="0"/>
    <x v="1"/>
    <x v="0"/>
    <d v="2025-03-01T00:00:00"/>
    <d v="2025-03-20T00:00:00"/>
    <x v="13"/>
    <n v="2125.3000000000002"/>
    <n v="526626"/>
  </r>
  <r>
    <x v="0"/>
    <x v="2"/>
    <s v="blg_haca_hys_hydrasource_aw-aw-thruplay_none-none_x_x_ym00427700_q2_2025_bhs_006_x"/>
    <s v="hys"/>
    <x v="4"/>
    <x v="1"/>
    <x v="1"/>
    <d v="2025-04-01T00:00:00"/>
    <d v="2025-04-17T00:00:00"/>
    <x v="36"/>
    <n v="311.23"/>
    <n v="14087"/>
  </r>
  <r>
    <x v="0"/>
    <x v="1"/>
    <s v="blg_haca_mult_ao-boosting_auc_aw-video-views_x_x_ym00437375_x_2025_blg_002_x"/>
    <s v="mult"/>
    <x v="0"/>
    <x v="1"/>
    <x v="1"/>
    <d v="2025-04-01T00:00:00"/>
    <d v="2025-04-17T00:00:00"/>
    <x v="36"/>
    <n v="1581.99"/>
    <n v="406117"/>
  </r>
  <r>
    <x v="0"/>
    <x v="2"/>
    <s v="blg_haca_bfr_fullrescue_aw-aw-thruplay_none-none_x_x_ym00458406_q2-q3_2025_bfr_001_x"/>
    <s v="bfr"/>
    <x v="1"/>
    <x v="1"/>
    <x v="1"/>
    <d v="2025-06-01T00:00:00"/>
    <d v="2025-06-08T00:00:00"/>
    <x v="18"/>
    <n v="1653.4700019999998"/>
    <n v="252068"/>
  </r>
  <r>
    <x v="0"/>
    <x v="2"/>
    <s v="blg_haca_bfr_fullrescue_cons-tra-linkcli_website-none_x_x_ym00458406_q2-q3_2025_bfr_001_x"/>
    <s v="bfr"/>
    <x v="1"/>
    <x v="1"/>
    <x v="0"/>
    <d v="2025-06-01T00:00:00"/>
    <d v="2025-06-18T00:00:00"/>
    <x v="16"/>
    <n v="1625.4999969999994"/>
    <n v="137010"/>
  </r>
  <r>
    <x v="0"/>
    <x v="2"/>
    <s v="blg_haca_scalp_bau_aw-aw-thruplay_website-viewcontent_na_na_ym00356549_q1-q2-vvr_2024_bcp_002_x"/>
    <s v="scalp"/>
    <x v="3"/>
    <x v="2"/>
    <x v="1"/>
    <d v="2024-03-01T00:00:00"/>
    <d v="2024-03-05T00:00:00"/>
    <x v="6"/>
    <n v="2433.2899950000005"/>
    <n v="618272"/>
  </r>
  <r>
    <x v="0"/>
    <x v="0"/>
    <s v="blg_haca_bfr_fullrescue-bonus_aw-awareness_x_bonus-q2_2025_x_x_x"/>
    <s v="bfr"/>
    <x v="1"/>
    <x v="1"/>
    <x v="1"/>
    <d v="2025-06-01T00:00:00"/>
    <d v="2025-06-10T00:00:00"/>
    <x v="18"/>
    <n v="441.23411900000002"/>
    <n v="199003"/>
  </r>
  <r>
    <x v="0"/>
    <x v="0"/>
    <s v="blg_haca_scalp-sync_traffic_cons-consideration_ym00356548_all_2024_bcp_004_x"/>
    <s v="scalp-sync"/>
    <x v="3"/>
    <x v="2"/>
    <x v="0"/>
    <d v="2024-05-01T00:00:00"/>
    <d v="2024-05-31T00:00:00"/>
    <x v="65"/>
    <n v="1612.6256860000001"/>
    <n v="391541"/>
  </r>
  <r>
    <x v="0"/>
    <x v="2"/>
    <s v="blg_haca_hydrasource_na_cons-tra-linkcli_none-none_na_na_ym00339376_q1-lctr_2024_bhs_001_x"/>
    <s v="hydrasource"/>
    <x v="4"/>
    <x v="2"/>
    <x v="0"/>
    <d v="2024-01-01T00:00:00"/>
    <d v="2024-01-17T00:00:00"/>
    <x v="57"/>
    <n v="3092.4699969999992"/>
    <n v="569660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1T00:00:00"/>
    <x v="4"/>
    <n v="663.56999999999994"/>
    <n v="104986"/>
  </r>
  <r>
    <x v="0"/>
    <x v="0"/>
    <s v="blg_othr_na_na_84570334_2023_q2_conversion-non-promo_other_amazon+ulta+conversion_v2"/>
    <s v="na"/>
    <x v="0"/>
    <x v="0"/>
    <x v="1"/>
    <d v="2023-08-01T00:00:00"/>
    <d v="2023-08-11T00:00:00"/>
    <x v="4"/>
    <n v="1108.8439539999999"/>
    <n v="160749"/>
  </r>
  <r>
    <x v="0"/>
    <x v="2"/>
    <s v="blg_haca_bfr_fullrescue_aw-aw-thruplay_none-none_x_x_ym00458406_q2-q3_2025_bfr_001_x"/>
    <s v="bfr"/>
    <x v="1"/>
    <x v="1"/>
    <x v="0"/>
    <d v="2025-06-01T00:00:00"/>
    <d v="2025-06-21T00:00:00"/>
    <x v="16"/>
    <n v="1513.3799999999999"/>
    <n v="237633"/>
  </r>
  <r>
    <x v="0"/>
    <x v="2"/>
    <s v="blg_haca_hys_hydrasource_aw-aw-thruplay_none-none_x_x_ym00427700_q2_2025_bhs_006_x"/>
    <s v="hys"/>
    <x v="4"/>
    <x v="1"/>
    <x v="0"/>
    <d v="2025-04-01T00:00:00"/>
    <d v="2025-04-14T00:00:00"/>
    <x v="36"/>
    <n v="2408.2099969999995"/>
    <n v="324988"/>
  </r>
  <r>
    <x v="0"/>
    <x v="1"/>
    <s v="blg_haca_mult_ao-boosting_auc_aw-video-views_x_x_ym00437375_x_2025_blg_002_x"/>
    <s v="mult"/>
    <x v="0"/>
    <x v="1"/>
    <x v="0"/>
    <d v="2025-05-01T00:00:00"/>
    <d v="2025-05-18T00:00:00"/>
    <x v="47"/>
    <n v="2106.66"/>
    <n v="514820"/>
  </r>
  <r>
    <x v="0"/>
    <x v="2"/>
    <s v="blg_haca_bfr_fullrescue_cons-tra-linkcli_website-none_x_x_ym00458406_q2-q3_2025_bfr_001_x"/>
    <s v="bfr"/>
    <x v="1"/>
    <x v="1"/>
    <x v="0"/>
    <d v="2025-05-01T00:00:00"/>
    <d v="2025-05-30T00:00:00"/>
    <x v="8"/>
    <n v="1707.170003"/>
    <n v="138007"/>
  </r>
  <r>
    <x v="0"/>
    <x v="2"/>
    <s v="blg_haca_bfr_fullrescue_cons-tra-linkcli_website-none_x_x_ym00458406_q2-q3_2025_bfr_001_x"/>
    <s v="bfr"/>
    <x v="1"/>
    <x v="1"/>
    <x v="1"/>
    <d v="2025-06-01T00:00:00"/>
    <d v="2025-06-19T00:00:00"/>
    <x v="16"/>
    <n v="52.659999999999989"/>
    <n v="7076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6T00:00:00"/>
    <x v="43"/>
    <n v="1136.679999"/>
    <n v="267071"/>
  </r>
  <r>
    <x v="0"/>
    <x v="0"/>
    <s v="blg_haca_bfr_fullrescue-bonus_aw-awareness_x_bonus-q2_2025_x_x_x"/>
    <s v="bfr"/>
    <x v="1"/>
    <x v="1"/>
    <x v="1"/>
    <d v="2025-06-01T00:00:00"/>
    <d v="2025-06-22T00:00:00"/>
    <x v="7"/>
    <n v="366.42278400000004"/>
    <n v="156232"/>
  </r>
  <r>
    <x v="0"/>
    <x v="2"/>
    <s v="blg_haca_hydrasource_na_cons-tra-linkcli_none-none_na_na_ym00339376_q1-lctr_2024_bhs_001_x"/>
    <s v="hydrasource"/>
    <x v="4"/>
    <x v="2"/>
    <x v="0"/>
    <d v="2024-02-01T00:00:00"/>
    <d v="2024-02-08T00:00:00"/>
    <x v="41"/>
    <n v="2937.4499949999999"/>
    <n v="469536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26T00:00:00"/>
    <x v="69"/>
    <n v="1932.8100020000006"/>
    <n v="105243"/>
  </r>
  <r>
    <x v="0"/>
    <x v="2"/>
    <s v="blg_haca_hydrasource_x_cons-tra-linkcli_none-none_x_x_ym00339376_q4-lctr_2024_bhs_001_x"/>
    <s v="hydrasource"/>
    <x v="4"/>
    <x v="2"/>
    <x v="0"/>
    <d v="2024-09-01T00:00:00"/>
    <d v="2024-09-24T00:00:00"/>
    <x v="60"/>
    <n v="2596.4300020000005"/>
    <n v="242883"/>
  </r>
  <r>
    <x v="0"/>
    <x v="1"/>
    <s v="blg_haca_mult_ao-boosting_auc_aw-video-views_x_x_ym00437375_x_2025_blg_002_x"/>
    <s v="mult"/>
    <x v="0"/>
    <x v="1"/>
    <x v="0"/>
    <d v="2025-03-01T00:00:00"/>
    <d v="2025-03-24T00:00:00"/>
    <x v="9"/>
    <n v="1987.41"/>
    <n v="510706"/>
  </r>
  <r>
    <x v="0"/>
    <x v="2"/>
    <s v="blg_haca_hydrasource_na_cons-tra-linkcli_none-none_na_na_ym00339376_q1-lctr_2024_bhs_001_x"/>
    <s v="hydrasource"/>
    <x v="4"/>
    <x v="2"/>
    <x v="0"/>
    <d v="2024-01-01T00:00:00"/>
    <d v="2024-01-28T00:00:00"/>
    <x v="5"/>
    <n v="3433.09"/>
    <n v="635952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7T00:00:00"/>
    <x v="42"/>
    <n v="2163.0699990000003"/>
    <n v="374584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4T00:00:00"/>
    <x v="2"/>
    <n v="2047.6099999999997"/>
    <n v="335514"/>
  </r>
  <r>
    <x v="0"/>
    <x v="2"/>
    <s v="blg_haca_hydrasource_reelsonly_aw-aw-thruplay_none-none_na_na_ym00339376_q1-vvr_2024_bhs_001_x"/>
    <s v="hydrasource"/>
    <x v="4"/>
    <x v="2"/>
    <x v="0"/>
    <d v="2024-02-01T00:00:00"/>
    <d v="2024-02-10T00:00:00"/>
    <x v="41"/>
    <n v="927.379999"/>
    <n v="195619"/>
  </r>
  <r>
    <x v="0"/>
    <x v="2"/>
    <s v="blg_haca_hydrasource_x_aw-aw-thruplay_none-none_x_x_ym00339376_q4_2024_bhs_001_x"/>
    <s v="hydrasource"/>
    <x v="4"/>
    <x v="2"/>
    <x v="0"/>
    <d v="2024-10-01T00:00:00"/>
    <d v="2024-10-11T00:00:00"/>
    <x v="27"/>
    <n v="3545.6100030000002"/>
    <n v="660100"/>
  </r>
  <r>
    <x v="0"/>
    <x v="0"/>
    <s v="blg_othr_na_na_84570334_2023_q2_conversion-non-promo_other_amazon+ulta+conversion_v2"/>
    <s v="na"/>
    <x v="0"/>
    <x v="0"/>
    <x v="1"/>
    <d v="2023-07-01T00:00:00"/>
    <d v="2023-07-28T00:00:00"/>
    <x v="39"/>
    <n v="1176.983074"/>
    <n v="118075"/>
  </r>
  <r>
    <x v="0"/>
    <x v="2"/>
    <s v="blg_haca_hys_hydrasource_cons-tra-linkcli_website-none_x_x_ym00427700_q2_2025_bhs_006_x"/>
    <s v="hys"/>
    <x v="4"/>
    <x v="1"/>
    <x v="0"/>
    <d v="2025-04-01T00:00:00"/>
    <d v="2025-04-12T00:00:00"/>
    <x v="23"/>
    <n v="3974.3799999999992"/>
    <n v="450763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30T00:00:00"/>
    <x v="2"/>
    <n v="2647.73"/>
    <n v="439855"/>
  </r>
  <r>
    <x v="0"/>
    <x v="2"/>
    <s v="blg_haca_bfr_fullrescue_cons-tra-linkcli_website-none_x_x_ym00458406_q2-q3_2025_bfr_001_x"/>
    <s v="bfr"/>
    <x v="1"/>
    <x v="1"/>
    <x v="1"/>
    <d v="2025-06-01T00:00:00"/>
    <d v="2025-06-15T00:00:00"/>
    <x v="16"/>
    <n v="112.52999999999997"/>
    <n v="15305"/>
  </r>
  <r>
    <x v="0"/>
    <x v="0"/>
    <s v="blg_haca_scalp-sync_awareness_aw-awareness_ym00356548_all_2024_bcp_004_x"/>
    <s v="scalp-sync"/>
    <x v="3"/>
    <x v="2"/>
    <x v="2"/>
    <d v="2024-05-01T00:00:00"/>
    <d v="2024-05-18T00:00:00"/>
    <x v="56"/>
    <n v="3363.5928509999994"/>
    <n v="1423493"/>
  </r>
  <r>
    <x v="0"/>
    <x v="0"/>
    <s v="blg_haca_scalp-sync_awareness_aw-awareness_ym00356548_all_2024_bcp_004_x"/>
    <s v="scalp-sync"/>
    <x v="3"/>
    <x v="2"/>
    <x v="2"/>
    <d v="2024-05-01T00:00:00"/>
    <d v="2024-05-26T00:00:00"/>
    <x v="65"/>
    <n v="3316.8616849999999"/>
    <n v="1231965"/>
  </r>
  <r>
    <x v="0"/>
    <x v="2"/>
    <s v="blg_haca_hys_hydrasource_cons-tra-linkcli_website-none_x_x_ym00427700_q2_2025_bhs_006_x"/>
    <s v="hys"/>
    <x v="4"/>
    <x v="1"/>
    <x v="0"/>
    <d v="2025-04-01T00:00:00"/>
    <d v="2025-04-18T00:00:00"/>
    <x v="36"/>
    <n v="3757.7400039999998"/>
    <n v="360642"/>
  </r>
  <r>
    <x v="0"/>
    <x v="2"/>
    <s v="blg_haca_prime-day_primeday-dayofsale-cell-2_cons-tra-linkcli_none-viewcontent_x_lla_ym00384930_x_2024_blg_001_x"/>
    <s v="prime-day"/>
    <x v="6"/>
    <x v="2"/>
    <x v="1"/>
    <d v="2024-07-01T00:00:00"/>
    <d v="2024-07-16T00:00:00"/>
    <x v="46"/>
    <n v="6629.3900050000002"/>
    <n v="960742"/>
  </r>
  <r>
    <x v="0"/>
    <x v="0"/>
    <s v="blg_othr_na_na_84570334_2023_q2_traffic_other_volumebloom-fulldensity+traffic_v2"/>
    <s v="na"/>
    <x v="0"/>
    <x v="0"/>
    <x v="2"/>
    <d v="2023-08-01T00:00:00"/>
    <d v="2023-08-05T00:00:00"/>
    <x v="2"/>
    <n v="771.8955719999999"/>
    <n v="415030"/>
  </r>
  <r>
    <x v="0"/>
    <x v="2"/>
    <s v="blg_haca_hydrasource_x_cons-tra-linkcli_none-none_x_x_ym00339376_q4-lctr_2024_bhs_001_x"/>
    <s v="hydrasource"/>
    <x v="4"/>
    <x v="2"/>
    <x v="0"/>
    <d v="2024-10-01T00:00:00"/>
    <d v="2024-10-26T00:00:00"/>
    <x v="68"/>
    <n v="2661.9700060000005"/>
    <n v="284929"/>
  </r>
  <r>
    <x v="0"/>
    <x v="2"/>
    <s v="blg_haca_mult_bf-cyber-reminder_cons-eng-posteng_onad-none_promotion_x_ym00384930_q4_2024_blg_001_x"/>
    <s v="mult"/>
    <x v="0"/>
    <x v="2"/>
    <x v="2"/>
    <d v="2024-11-01T00:00:00"/>
    <d v="2024-11-19T00:00:00"/>
    <x v="58"/>
    <n v="10972.940003000002"/>
    <n v="1187983"/>
  </r>
  <r>
    <x v="0"/>
    <x v="0"/>
    <s v="blg_haca_scalp-sync_awareness_aw-awareness_ym00356548_all_2024_bcp_004_x"/>
    <s v="scalp-sync"/>
    <x v="3"/>
    <x v="2"/>
    <x v="2"/>
    <d v="2024-05-01T00:00:00"/>
    <d v="2024-05-11T00:00:00"/>
    <x v="49"/>
    <n v="3375.6595160000002"/>
    <n v="1485821"/>
  </r>
  <r>
    <x v="0"/>
    <x v="0"/>
    <s v="blg_othr_na_na_84570334_2023_q2_traffic_other_volumebloom-fulldensity+traffic_v2"/>
    <s v="na"/>
    <x v="0"/>
    <x v="0"/>
    <x v="2"/>
    <d v="2023-08-01T00:00:00"/>
    <d v="2023-08-11T00:00:00"/>
    <x v="4"/>
    <n v="769.984645"/>
    <n v="326541"/>
  </r>
  <r>
    <x v="0"/>
    <x v="2"/>
    <s v="blg_haca_hydrasource_reelsonly_aw-aw-thruplay_none-none_na_na_ym00339376_q1-vvr_2024_bhs_001_x"/>
    <s v="hydrasource"/>
    <x v="4"/>
    <x v="2"/>
    <x v="0"/>
    <d v="2024-02-01T00:00:00"/>
    <d v="2024-02-17T00:00:00"/>
    <x v="20"/>
    <n v="940.12"/>
    <n v="205830"/>
  </r>
  <r>
    <x v="0"/>
    <x v="2"/>
    <s v="blg_haca_bfr_fullrescue_cons-tra-linkcli_website-none_x_x_ym00458406_q2-q3_2025_bfr_001_x"/>
    <s v="bfr"/>
    <x v="1"/>
    <x v="1"/>
    <x v="0"/>
    <d v="2025-06-01T00:00:00"/>
    <d v="2025-06-23T00:00:00"/>
    <x v="7"/>
    <n v="1663.78"/>
    <n v="165939"/>
  </r>
  <r>
    <x v="0"/>
    <x v="2"/>
    <s v="blg_haca_prime-day_lead-up-cell-2_aw-aw-thruplay_none-viewcontent_x_lla_ym00384930_x_2024_blg_001_x"/>
    <s v="prime-day"/>
    <x v="6"/>
    <x v="2"/>
    <x v="1"/>
    <d v="2024-07-01T00:00:00"/>
    <d v="2024-07-15T00:00:00"/>
    <x v="46"/>
    <n v="2527.5200009999999"/>
    <n v="225820"/>
  </r>
  <r>
    <x v="0"/>
    <x v="2"/>
    <s v="blg_haca_bfr_fullrescue_aw-aw-thruplay_none-none_x_x_ym00458406_q2-q3_2025_bfr_001_x"/>
    <s v="bfr"/>
    <x v="1"/>
    <x v="1"/>
    <x v="0"/>
    <d v="2025-06-01T00:00:00"/>
    <d v="2025-06-04T00:00:00"/>
    <x v="10"/>
    <n v="192.67000200000001"/>
    <n v="35737"/>
  </r>
  <r>
    <x v="0"/>
    <x v="1"/>
    <s v="blg_haca_hys_hydrasource_auc_cons-traffic_x_x_ym00427700_q2_2025_bhs_006_x"/>
    <s v="hys"/>
    <x v="4"/>
    <x v="1"/>
    <x v="0"/>
    <d v="2025-04-01T00:00:00"/>
    <d v="2025-04-05T00:00:00"/>
    <x v="26"/>
    <n v="5329.03"/>
    <n v="1325202"/>
  </r>
  <r>
    <x v="0"/>
    <x v="2"/>
    <s v="blg_haca_hys_hydrasource_aw-aw-thruplay_none-none_x_x_ym00427700_q2_2025_bhs_006_x"/>
    <s v="hys"/>
    <x v="4"/>
    <x v="1"/>
    <x v="0"/>
    <d v="2025-04-01T00:00:00"/>
    <d v="2025-04-01T00:00:00"/>
    <x v="26"/>
    <n v="1260.2900009999998"/>
    <n v="198431"/>
  </r>
  <r>
    <x v="0"/>
    <x v="2"/>
    <s v="blg_haca_mult_agile-boosting_cons-eng-thruplay_none-none_x_x_ym00437375_x_2025_blg_002_x"/>
    <s v="mult"/>
    <x v="0"/>
    <x v="1"/>
    <x v="1"/>
    <d v="2025-06-01T00:00:00"/>
    <d v="2025-06-13T00:00:00"/>
    <x v="18"/>
    <n v="1744.17"/>
    <n v="199302"/>
  </r>
  <r>
    <x v="0"/>
    <x v="2"/>
    <s v="blg_haca_hydrasource_reelsonly_aw-aw-thruplay_none-none_na_na_ym00339376_q1-vvr_2024_bhs_001_x"/>
    <s v="hydrasource"/>
    <x v="4"/>
    <x v="2"/>
    <x v="0"/>
    <d v="2024-01-01T00:00:00"/>
    <d v="2024-01-18T00:00:00"/>
    <x v="57"/>
    <n v="653.44999999999993"/>
    <n v="171669"/>
  </r>
  <r>
    <x v="0"/>
    <x v="2"/>
    <s v="blg_haca_bfr_fullrescue_aw-aw-thruplay_none-none_x_x_ym00458406_q2-q3_2025_bfr_001_x"/>
    <s v="bfr"/>
    <x v="1"/>
    <x v="1"/>
    <x v="1"/>
    <d v="2025-05-01T00:00:00"/>
    <d v="2025-05-19T00:00:00"/>
    <x v="47"/>
    <n v="9.48"/>
    <n v="631"/>
  </r>
  <r>
    <x v="0"/>
    <x v="2"/>
    <s v="blg_haca_mult_agile-boosting_cons-eng-thruplay_none-none_x_x_ym00437375_x_2025_blg_002_x"/>
    <s v="mult"/>
    <x v="0"/>
    <x v="1"/>
    <x v="1"/>
    <d v="2025-04-01T00:00:00"/>
    <d v="2025-04-23T00:00:00"/>
    <x v="11"/>
    <n v="710.77"/>
    <n v="152437"/>
  </r>
  <r>
    <x v="0"/>
    <x v="1"/>
    <s v="blg_haca_hys_hydrasource_auc_cons-traffic_x_x_ym00427700_q2_2025_bhs_006_x"/>
    <s v="hys"/>
    <x v="4"/>
    <x v="1"/>
    <x v="1"/>
    <d v="2025-04-01T00:00:00"/>
    <d v="2025-04-12T00:00:00"/>
    <x v="23"/>
    <n v="101.07"/>
    <n v="35325"/>
  </r>
  <r>
    <x v="0"/>
    <x v="2"/>
    <s v="blg_haca_scalp_reels-only_aw-aw-thruplay_website-viewcontent_na_na_ym00356549_q1-q2-vvr_2024_bcp_002_x"/>
    <s v="scalp"/>
    <x v="3"/>
    <x v="2"/>
    <x v="0"/>
    <d v="2024-04-01T00:00:00"/>
    <d v="2024-04-13T00:00:00"/>
    <x v="34"/>
    <n v="746.29000099999996"/>
    <n v="179268"/>
  </r>
  <r>
    <x v="0"/>
    <x v="2"/>
    <s v="blg_haca_hydrasource_x_cons-tra-linkcli_none-none_x_x_ym00339376_q4-lctr_2024_bhs_001_x"/>
    <s v="hydrasource"/>
    <x v="4"/>
    <x v="2"/>
    <x v="0"/>
    <d v="2024-10-01T00:00:00"/>
    <d v="2024-10-17T00:00:00"/>
    <x v="32"/>
    <n v="2639.3800079999992"/>
    <n v="263495"/>
  </r>
  <r>
    <x v="0"/>
    <x v="0"/>
    <s v="blg_othr_na_na_84570334_2023_q2_traffic_other_volumebloom-fulldensity+traffic_v2"/>
    <s v="na"/>
    <x v="0"/>
    <x v="0"/>
    <x v="2"/>
    <d v="2023-08-01T00:00:00"/>
    <d v="2023-08-02T00:00:00"/>
    <x v="2"/>
    <n v="770.75369899999998"/>
    <n v="341493"/>
  </r>
  <r>
    <x v="0"/>
    <x v="0"/>
    <s v="blg_haca_scalp-sync_traffic_cons-consideration_ym00356548_all_2024_bcp_004_x"/>
    <s v="scalp-sync"/>
    <x v="3"/>
    <x v="2"/>
    <x v="0"/>
    <d v="2024-05-01T00:00:00"/>
    <d v="2024-05-21T00:00:00"/>
    <x v="14"/>
    <n v="1660.7896850000004"/>
    <n v="421940"/>
  </r>
  <r>
    <x v="0"/>
    <x v="2"/>
    <s v="blg_haca_mult_agile-boosting_cons-eng-thruplay_none-none_x_x_ym00437375_x_2025_blg_002_x"/>
    <s v="mult"/>
    <x v="0"/>
    <x v="1"/>
    <x v="1"/>
    <d v="2025-05-01T00:00:00"/>
    <d v="2025-05-18T00:00:00"/>
    <x v="47"/>
    <n v="1546.2700030000001"/>
    <n v="246735"/>
  </r>
  <r>
    <x v="0"/>
    <x v="2"/>
    <s v="blg_haca_bfr_fullrescue_cons-tra-linkcli_website-none_x_x_ym00458406_q2-q3_2025_bfr_001_x"/>
    <s v="bfr"/>
    <x v="1"/>
    <x v="1"/>
    <x v="0"/>
    <d v="2025-06-01T00:00:00"/>
    <d v="2025-06-17T00:00:00"/>
    <x v="16"/>
    <n v="1728.160001"/>
    <n v="160006"/>
  </r>
  <r>
    <x v="0"/>
    <x v="1"/>
    <s v="blg_haca_bfr_full-rescue_auc_cons-traffic_x_x_YM00458406_q2_2025_bfr_001_x"/>
    <s v="bfr"/>
    <x v="1"/>
    <x v="1"/>
    <x v="0"/>
    <d v="2025-06-01T00:00:00"/>
    <d v="2025-06-12T00:00:00"/>
    <x v="18"/>
    <n v="5767.9999999999991"/>
    <n v="1192350"/>
  </r>
  <r>
    <x v="0"/>
    <x v="2"/>
    <s v="blg_haca_mult_agile-boosting_cons-eng-thruplay_none-none_x_x_ym00437375_x_2025_blg_002_x"/>
    <s v="mult"/>
    <x v="0"/>
    <x v="1"/>
    <x v="1"/>
    <d v="2025-04-01T00:00:00"/>
    <d v="2025-04-10T00:00:00"/>
    <x v="23"/>
    <n v="850.51"/>
    <n v="180437"/>
  </r>
  <r>
    <x v="0"/>
    <x v="2"/>
    <s v="blg_haca_scalp_na_cons-tra-linkcli_none-none_na_na_ym00356549_q1-q2-lctr_2024_bcp_002_x"/>
    <s v="scalp"/>
    <x v="3"/>
    <x v="2"/>
    <x v="0"/>
    <d v="2024-04-01T00:00:00"/>
    <d v="2024-04-09T00:00:00"/>
    <x v="34"/>
    <n v="1403.230004"/>
    <n v="239962"/>
  </r>
  <r>
    <x v="0"/>
    <x v="2"/>
    <s v="blg_haca_scalp_na_cons-tra-linkcli_none-none_na_na_ym00356549_q1-q2-lctr_2024_bcp_002_x"/>
    <s v="scalp"/>
    <x v="3"/>
    <x v="2"/>
    <x v="1"/>
    <d v="2024-04-01T00:00:00"/>
    <d v="2024-04-01T00:00:00"/>
    <x v="53"/>
    <n v="118.94000000000003"/>
    <n v="22297"/>
  </r>
  <r>
    <x v="0"/>
    <x v="2"/>
    <s v="blg_haca_bond-therapy_na_aw-aw-thruplay_none-viewcontent_na_na_ym87093418_vvr-q4_2023_x_x_x"/>
    <s v="bond-therapy"/>
    <x v="5"/>
    <x v="0"/>
    <x v="2"/>
    <d v="2023-12-01T00:00:00"/>
    <d v="2023-12-08T00:00:00"/>
    <x v="38"/>
    <n v="2725.6899970000004"/>
    <n v="472825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21T00:00:00"/>
    <x v="45"/>
    <n v="1993.1899989999993"/>
    <n v="127046"/>
  </r>
  <r>
    <x v="0"/>
    <x v="1"/>
    <s v="blg_haca_hys_hydrasource_auc_cons-traffic_x_x_ym00427700_q2_2025_bhs_006_x"/>
    <s v="hys"/>
    <x v="4"/>
    <x v="1"/>
    <x v="1"/>
    <d v="2025-04-01T00:00:00"/>
    <d v="2025-04-02T00:00:00"/>
    <x v="26"/>
    <n v="535.54"/>
    <n v="145836"/>
  </r>
  <r>
    <x v="0"/>
    <x v="2"/>
    <s v="blg_haca_hydrasource_na_cons-tra-linkcli_none-none_na_na_ym00339376_q1-lctr_2024_bhs_001_x"/>
    <s v="hydrasource"/>
    <x v="4"/>
    <x v="2"/>
    <x v="0"/>
    <d v="2024-02-01T00:00:00"/>
    <d v="2024-02-27T00:00:00"/>
    <x v="29"/>
    <n v="3323.4700060000009"/>
    <n v="518184"/>
  </r>
  <r>
    <x v="0"/>
    <x v="1"/>
    <s v="blg_haca_mult_ao-boosting_auc_aw-video-views_x_x_ym00437375_x_2025_blg_002_x"/>
    <s v="mult"/>
    <x v="0"/>
    <x v="1"/>
    <x v="1"/>
    <d v="2025-04-01T00:00:00"/>
    <d v="2025-04-18T00:00:00"/>
    <x v="36"/>
    <n v="1536.84"/>
    <n v="382707"/>
  </r>
  <r>
    <x v="0"/>
    <x v="2"/>
    <s v="blg_haca_mult_agile-boosting_cons-eng-thruplay_none-none_x_x_ym00437375_x_2025_blg_002_x"/>
    <s v="mult"/>
    <x v="0"/>
    <x v="1"/>
    <x v="0"/>
    <d v="2025-03-01T00:00:00"/>
    <d v="2025-03-26T00:00:00"/>
    <x v="9"/>
    <n v="2658.420001"/>
    <n v="445579"/>
  </r>
  <r>
    <x v="0"/>
    <x v="0"/>
    <s v="blg_haca_scalp-sync_traffic_cons-consideration_ym00356548_all_2024_bcp_004_x"/>
    <s v="scalp-sync"/>
    <x v="3"/>
    <x v="2"/>
    <x v="0"/>
    <d v="2024-05-01T00:00:00"/>
    <d v="2024-05-15T00:00:00"/>
    <x v="56"/>
    <n v="1675.0540039999998"/>
    <n v="473307"/>
  </r>
  <r>
    <x v="0"/>
    <x v="2"/>
    <s v="blg_haca_hydrasource_bau_aw-aw-thruplay_none-none_na_na_ym00339376_q1-vvr_2024_bhs_001_x"/>
    <s v="hydrasource"/>
    <x v="4"/>
    <x v="2"/>
    <x v="2"/>
    <d v="2024-02-01T00:00:00"/>
    <d v="2024-02-23T00:00:00"/>
    <x v="59"/>
    <n v="1227.540004"/>
    <n v="188047"/>
  </r>
  <r>
    <x v="0"/>
    <x v="2"/>
    <s v="blg_haca_scalp_reels-only_aw-aw-thruplay_website-viewcontent_na_na_ym00356549_q1-q2-vvr_2024_bcp_002_x"/>
    <s v="scalp"/>
    <x v="3"/>
    <x v="2"/>
    <x v="1"/>
    <d v="2024-04-01T00:00:00"/>
    <d v="2024-04-08T00:00:00"/>
    <x v="34"/>
    <n v="212.93999999999997"/>
    <n v="56091"/>
  </r>
  <r>
    <x v="0"/>
    <x v="2"/>
    <s v="blg_haca_hydrasource_bau_aw-aw-thruplay_none-none_na_na_ym00339376_q1-vvr_2024_bhs_001_x"/>
    <s v="hydrasource"/>
    <x v="4"/>
    <x v="2"/>
    <x v="2"/>
    <d v="2024-02-01T00:00:00"/>
    <d v="2024-02-21T00:00:00"/>
    <x v="59"/>
    <n v="1218.719998"/>
    <n v="189072"/>
  </r>
  <r>
    <x v="0"/>
    <x v="2"/>
    <s v="blg_haca_hydrasource_x_cons-tra-linkcli_none-none_x_x_ym00339376_q4-lctr_2024_bhs_001_x"/>
    <s v="hydrasource"/>
    <x v="4"/>
    <x v="2"/>
    <x v="0"/>
    <d v="2024-10-01T00:00:00"/>
    <d v="2024-10-01T00:00:00"/>
    <x v="31"/>
    <n v="2768.4300029999995"/>
    <n v="305732"/>
  </r>
  <r>
    <x v="0"/>
    <x v="2"/>
    <s v="blg_haca_scalp_reels-only_aw-aw-thruplay_website-viewcontent_na_na_ym00356549_q1-q2-vvr_2024_bcp_002_x"/>
    <s v="scalp"/>
    <x v="3"/>
    <x v="2"/>
    <x v="0"/>
    <d v="2024-03-01T00:00:00"/>
    <d v="2024-03-31T00:00:00"/>
    <x v="53"/>
    <n v="824.37000199999989"/>
    <n v="200247"/>
  </r>
  <r>
    <x v="0"/>
    <x v="2"/>
    <s v="blg_haca_bfr_fullrescue_cons-tra-linkcli_website-none_x_x_ym00458406_q2-q3_2025_bfr_001_x"/>
    <s v="bfr"/>
    <x v="1"/>
    <x v="1"/>
    <x v="0"/>
    <d v="2025-06-01T00:00:00"/>
    <d v="2025-06-12T00:00:00"/>
    <x v="18"/>
    <n v="1718.9800009999999"/>
    <n v="113359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15T00:00:00"/>
    <x v="46"/>
    <n v="3025.6700069999997"/>
    <n v="532622"/>
  </r>
  <r>
    <x v="0"/>
    <x v="0"/>
    <s v="blg_haca_scalp-sync_awareness_aw-awareness_ym00356548_all_2024_bcp_004_x"/>
    <s v="scalp-sync"/>
    <x v="3"/>
    <x v="2"/>
    <x v="2"/>
    <d v="2024-05-01T00:00:00"/>
    <d v="2024-05-30T00:00:00"/>
    <x v="65"/>
    <n v="3303.0211180000001"/>
    <n v="1309604"/>
  </r>
  <r>
    <x v="0"/>
    <x v="0"/>
    <s v="blg_haca_bfr_fullrescue-bonus_aw-awareness_x_bonus-q2_2025_x_x_x"/>
    <s v="bfr"/>
    <x v="1"/>
    <x v="1"/>
    <x v="0"/>
    <d v="2025-06-01T00:00:00"/>
    <d v="2025-06-09T00:00:00"/>
    <x v="18"/>
    <n v="1305.6073030000002"/>
    <n v="585774"/>
  </r>
  <r>
    <x v="0"/>
    <x v="2"/>
    <s v="blg_haca_scalp_reels-only_aw-aw-thruplay_website-viewcontent_na_na_ym00356549_q1-q2-vvr_2024_bcp_002_x"/>
    <s v="scalp"/>
    <x v="3"/>
    <x v="2"/>
    <x v="1"/>
    <d v="2024-03-01T00:00:00"/>
    <d v="2024-03-14T00:00:00"/>
    <x v="25"/>
    <n v="960.55000300000006"/>
    <n v="211523"/>
  </r>
  <r>
    <x v="0"/>
    <x v="2"/>
    <s v="blg_haca_scalp_reels-only_aw-aw-thruplay_website-viewcontent_na_na_ym00356549_q1-q2-vvr_2024_bcp_002_x"/>
    <s v="scalp"/>
    <x v="3"/>
    <x v="2"/>
    <x v="0"/>
    <d v="2024-03-01T00:00:00"/>
    <d v="2024-03-29T00:00:00"/>
    <x v="3"/>
    <n v="792.18999900000006"/>
    <n v="170645"/>
  </r>
  <r>
    <x v="0"/>
    <x v="2"/>
    <s v="blg_haca_hydrasource_x_aw-aw-thruplay_none-none_x_x_ym00339376_q4_2024_bhs_001_x"/>
    <s v="hydrasource"/>
    <x v="4"/>
    <x v="2"/>
    <x v="0"/>
    <d v="2024-10-01T00:00:00"/>
    <d v="2024-10-07T00:00:00"/>
    <x v="27"/>
    <n v="3617.6699950000007"/>
    <n v="723512"/>
  </r>
  <r>
    <x v="0"/>
    <x v="1"/>
    <s v="blg_haca_hys_hydrasource_auc_aw-video-views_x_x_ym00427700_q2_2025_bhs_006_x"/>
    <s v="hys"/>
    <x v="4"/>
    <x v="1"/>
    <x v="1"/>
    <d v="2025-04-01T00:00:00"/>
    <d v="2025-04-06T00:00:00"/>
    <x v="23"/>
    <n v="2170.9699999999993"/>
    <n v="580630"/>
  </r>
  <r>
    <x v="0"/>
    <x v="2"/>
    <s v="blg_haca_mult_agile-boosting_cons-eng-thruplay_none-none_x_x_ym00437375_x_2025_blg_002_x"/>
    <s v="mult"/>
    <x v="0"/>
    <x v="1"/>
    <x v="1"/>
    <d v="2025-04-01T00:00:00"/>
    <d v="2025-04-08T00:00:00"/>
    <x v="23"/>
    <n v="1291.3500000000004"/>
    <n v="275566"/>
  </r>
  <r>
    <x v="0"/>
    <x v="2"/>
    <s v="blg_haca_hydrasource_bau_aw-aw-thruplay_none-none_na_na_ym00339376_q1-vvr_2024_bhs_001_x"/>
    <s v="hydrasource"/>
    <x v="4"/>
    <x v="2"/>
    <x v="2"/>
    <d v="2024-01-01T00:00:00"/>
    <d v="2024-01-18T00:00:00"/>
    <x v="57"/>
    <n v="1495.5099979999998"/>
    <n v="444479"/>
  </r>
  <r>
    <x v="0"/>
    <x v="2"/>
    <s v="blg_haca_mult_agile-boosting_cons-eng-thruplay_none-none_x_x_ym00437375_x_2025_blg_002_x"/>
    <s v="mult"/>
    <x v="0"/>
    <x v="1"/>
    <x v="1"/>
    <d v="2025-05-01T00:00:00"/>
    <d v="2025-05-26T00:00:00"/>
    <x v="8"/>
    <n v="1462.2200000000005"/>
    <n v="236113"/>
  </r>
  <r>
    <x v="0"/>
    <x v="2"/>
    <s v="blg_haca_hydrasource_x_cons-tra-linkcli_none-none_x_x_ym00339376_q4-lctr_2024_bhs_001_x"/>
    <s v="hydrasource"/>
    <x v="4"/>
    <x v="2"/>
    <x v="0"/>
    <d v="2024-10-01T00:00:00"/>
    <d v="2024-10-11T00:00:00"/>
    <x v="27"/>
    <n v="2525.0600079999995"/>
    <n v="278337"/>
  </r>
  <r>
    <x v="0"/>
    <x v="2"/>
    <s v="blg_haca_mult_agile-boosting_cons-eng-thruplay_none-none_x_x_ym00437375_x_2025_blg_002_x"/>
    <s v="mult"/>
    <x v="0"/>
    <x v="1"/>
    <x v="1"/>
    <d v="2025-05-01T00:00:00"/>
    <d v="2025-05-24T00:00:00"/>
    <x v="47"/>
    <n v="1423.080001"/>
    <n v="217641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1T00:00:00"/>
    <x v="28"/>
    <n v="1169.2499989999999"/>
    <n v="205585"/>
  </r>
  <r>
    <x v="0"/>
    <x v="0"/>
    <s v="blg_othr_na_na_84570334_2023_q2_traffic_other_volumebloom-fulldensity+traffic"/>
    <s v="na"/>
    <x v="0"/>
    <x v="0"/>
    <x v="2"/>
    <d v="2023-07-01T00:00:00"/>
    <d v="2023-07-07T00:00:00"/>
    <x v="21"/>
    <n v="676.84270100000003"/>
    <n v="341954"/>
  </r>
  <r>
    <x v="0"/>
    <x v="2"/>
    <s v="blg_haca_hydrasource_na_cons-tra-linkcli_none-none_na_na_ym00339376_q1-lctr_2024_bhs_001_x"/>
    <s v="hydrasource"/>
    <x v="4"/>
    <x v="2"/>
    <x v="0"/>
    <d v="2024-02-01T00:00:00"/>
    <d v="2024-02-11T00:00:00"/>
    <x v="20"/>
    <n v="3295.9699960000007"/>
    <n v="562445"/>
  </r>
  <r>
    <x v="0"/>
    <x v="1"/>
    <s v="blg_haca_hys_hydrasource-pulse_res_aw-reach_x_x_ym00427700_q3_2025_bhs_006_x"/>
    <s v="hys"/>
    <x v="4"/>
    <x v="1"/>
    <x v="1"/>
    <d v="2025-07-01T00:00:00"/>
    <d v="2025-07-01T00:00:00"/>
    <x v="1"/>
    <n v="3284.99"/>
    <n v="239521"/>
  </r>
  <r>
    <x v="0"/>
    <x v="0"/>
    <s v="blg_haca_bfr_fullrescue-bonus_aw-awareness_x_bonus-q2_2025_x_x_x"/>
    <s v="bfr"/>
    <x v="1"/>
    <x v="1"/>
    <x v="0"/>
    <d v="2025-06-01T00:00:00"/>
    <d v="2025-06-20T00:00:00"/>
    <x v="16"/>
    <n v="1383.5063569999998"/>
    <n v="642600"/>
  </r>
  <r>
    <x v="0"/>
    <x v="1"/>
    <s v="blg_haca_mult_ao-boosting_auc_aw-video-views_x_x_ym00437375_x_2025_blg_002_x"/>
    <s v="mult"/>
    <x v="0"/>
    <x v="1"/>
    <x v="0"/>
    <d v="2025-06-01T00:00:00"/>
    <d v="2025-06-14T00:00:00"/>
    <x v="18"/>
    <n v="1702.17"/>
    <n v="318439"/>
  </r>
  <r>
    <x v="0"/>
    <x v="1"/>
    <s v="blg_haca_hys_hydrasource_auc_aw-video-views_x_x_ym00427700_q2_2025_bhs_006_x"/>
    <s v="hys"/>
    <x v="4"/>
    <x v="1"/>
    <x v="1"/>
    <d v="2025-04-01T00:00:00"/>
    <d v="2025-04-19T00:00:00"/>
    <x v="36"/>
    <n v="41.519999999999996"/>
    <n v="12278"/>
  </r>
  <r>
    <x v="0"/>
    <x v="0"/>
    <s v="blg_haca_bfr_fullrescue-bonus_aw-awareness_x_bonus-q2_2025_x_x_x"/>
    <s v="bfr"/>
    <x v="1"/>
    <x v="1"/>
    <x v="0"/>
    <d v="2025-06-01T00:00:00"/>
    <d v="2025-06-27T00:00:00"/>
    <x v="7"/>
    <n v="1355.158641"/>
    <n v="622127"/>
  </r>
  <r>
    <x v="0"/>
    <x v="2"/>
    <s v="blg_haca_mult_agile-boosting_aw-aw-thruplay_none-none_x_x_ym00437375_x_2025_blg_002_x"/>
    <s v="mult"/>
    <x v="0"/>
    <x v="1"/>
    <x v="0"/>
    <d v="2025-02-01T00:00:00"/>
    <d v="2025-02-24T00:00:00"/>
    <x v="71"/>
    <n v="7585.100002000002"/>
    <n v="891086"/>
  </r>
  <r>
    <x v="0"/>
    <x v="1"/>
    <s v="blg_haca_bfr_full-rescue_auc_cons-traffic_x_x_YM00458406_q2_2025_bfr_001_x"/>
    <s v="bfr"/>
    <x v="1"/>
    <x v="1"/>
    <x v="1"/>
    <d v="2025-06-01T00:00:00"/>
    <d v="2025-06-21T00:00:00"/>
    <x v="16"/>
    <n v="2265.35"/>
    <n v="416510"/>
  </r>
  <r>
    <x v="0"/>
    <x v="2"/>
    <s v="blg_haca_bfr_fullrescue_cons-tra-linkcli_website-none_x_x_ym00458406_q2-q3_2025_bfr_001_x"/>
    <s v="bfr"/>
    <x v="1"/>
    <x v="1"/>
    <x v="0"/>
    <d v="2025-05-01T00:00:00"/>
    <d v="2025-05-18T00:00:00"/>
    <x v="47"/>
    <n v="1956.6900010000002"/>
    <n v="152981"/>
  </r>
  <r>
    <x v="0"/>
    <x v="2"/>
    <s v="blg_haca_mult_agile-boosting_cons-eng-thruplay_none-none_x_x_ym00437375_x_2025_blg_002_x"/>
    <s v="mult"/>
    <x v="0"/>
    <x v="1"/>
    <x v="1"/>
    <d v="2025-06-01T00:00:00"/>
    <d v="2025-06-17T00:00:00"/>
    <x v="16"/>
    <n v="1765.5799979999999"/>
    <n v="228278"/>
  </r>
  <r>
    <x v="0"/>
    <x v="0"/>
    <s v="blg_othr_na_na_84570334_2023_q2_traffic_other_volumebloom-fulldensity+traffic"/>
    <s v="na"/>
    <x v="0"/>
    <x v="0"/>
    <x v="2"/>
    <d v="2023-07-01T00:00:00"/>
    <d v="2023-07-01T00:00:00"/>
    <x v="48"/>
    <n v="673.32786600000009"/>
    <n v="319241"/>
  </r>
  <r>
    <x v="0"/>
    <x v="0"/>
    <s v="blg_haca_bfr_fullrescue-bonus_aw-awareness_x_bonus-q2_2025_x_x_x"/>
    <s v="bfr"/>
    <x v="1"/>
    <x v="1"/>
    <x v="0"/>
    <d v="2025-06-01T00:00:00"/>
    <d v="2025-06-12T00:00:00"/>
    <x v="18"/>
    <n v="1305.6081500000003"/>
    <n v="600858"/>
  </r>
  <r>
    <x v="0"/>
    <x v="2"/>
    <s v="blg_haca_bfr_fullrescue_cons-tra-linkcli_website-none_x_x_ym00458406_q2-q3_2025_bfr_001_x"/>
    <s v="bfr"/>
    <x v="1"/>
    <x v="1"/>
    <x v="1"/>
    <d v="2025-06-01T00:00:00"/>
    <d v="2025-06-12T00:00:00"/>
    <x v="18"/>
    <n v="20.849999999999994"/>
    <n v="2579"/>
  </r>
  <r>
    <x v="0"/>
    <x v="1"/>
    <s v="blg_haca_mult_ao-boosting_auc_aw-video-views_x_x_ym00437375_x_2025_blg_002_x"/>
    <s v="mult"/>
    <x v="0"/>
    <x v="1"/>
    <x v="1"/>
    <d v="2025-06-01T00:00:00"/>
    <d v="2025-06-05T00:00:00"/>
    <x v="10"/>
    <n v="1120.57"/>
    <n v="218917"/>
  </r>
  <r>
    <x v="0"/>
    <x v="2"/>
    <s v="blg_haca_scalp_bau_aw-aw-thruplay_website-viewcontent_na_na_ym00356549_q1-q2-vvr_2024_bcp_002_x"/>
    <s v="scalp"/>
    <x v="3"/>
    <x v="2"/>
    <x v="1"/>
    <d v="2024-03-01T00:00:00"/>
    <d v="2024-03-14T00:00:00"/>
    <x v="25"/>
    <n v="2152.7200000000007"/>
    <n v="434089"/>
  </r>
  <r>
    <x v="0"/>
    <x v="2"/>
    <s v="blg_haca_bfr_fullrescue_cons-tra-linkcli_website-none_x_x_ym00458406_q2-q3_2025_bfr_001_x"/>
    <s v="bfr"/>
    <x v="1"/>
    <x v="1"/>
    <x v="0"/>
    <d v="2025-05-01T00:00:00"/>
    <d v="2025-05-17T00:00:00"/>
    <x v="17"/>
    <n v="1895.5699990000005"/>
    <n v="154850"/>
  </r>
  <r>
    <x v="0"/>
    <x v="0"/>
    <s v="blg_othr_na_na_84570334_2023_q2_conversion-non-promo_other_amazon+ulta+conversion_v2"/>
    <s v="na"/>
    <x v="0"/>
    <x v="0"/>
    <x v="0"/>
    <d v="2023-08-01T00:00:00"/>
    <d v="2023-08-17T00:00:00"/>
    <x v="30"/>
    <n v="330.956569"/>
    <n v="88761"/>
  </r>
  <r>
    <x v="0"/>
    <x v="0"/>
    <s v="blg_haca_bfr_fullrescue-bonus_aw-awareness_x_bonus-q2_2025_x_x_x"/>
    <s v="bfr"/>
    <x v="1"/>
    <x v="1"/>
    <x v="0"/>
    <d v="2025-06-01T00:00:00"/>
    <d v="2025-06-24T00:00:00"/>
    <x v="7"/>
    <n v="1409.383754"/>
    <n v="650477"/>
  </r>
  <r>
    <x v="0"/>
    <x v="2"/>
    <s v="blg_haca_hys_hydrasource_aw-aw-thruplay_none-none_x_x_ym00427700_q2_2025_bhs_006_x"/>
    <s v="hys"/>
    <x v="4"/>
    <x v="1"/>
    <x v="1"/>
    <d v="2025-04-01T00:00:00"/>
    <d v="2025-04-10T00:00:00"/>
    <x v="23"/>
    <n v="353.40000299999997"/>
    <n v="18699"/>
  </r>
  <r>
    <x v="0"/>
    <x v="1"/>
    <s v="blg_haca_mult_ao-boosting_auc_aw-video-views_x_x_ym00437375_x_2025_blg_002_x"/>
    <s v="mult"/>
    <x v="0"/>
    <x v="1"/>
    <x v="1"/>
    <d v="2025-04-01T00:00:00"/>
    <d v="2025-04-22T00:00:00"/>
    <x v="11"/>
    <n v="1445.66"/>
    <n v="384327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06T00:00:00"/>
    <x v="61"/>
    <n v="3684.550005999999"/>
    <n v="512995"/>
  </r>
  <r>
    <x v="0"/>
    <x v="1"/>
    <s v="blg_haca_hys_hydrasource_auc_cons-traffic_x_x_ym00427700_q2_2025_bhs_006_x"/>
    <s v="hys"/>
    <x v="4"/>
    <x v="1"/>
    <x v="0"/>
    <d v="2025-04-01T00:00:00"/>
    <d v="2025-04-01T00:00:00"/>
    <x v="26"/>
    <n v="2967.77"/>
    <n v="549260"/>
  </r>
  <r>
    <x v="0"/>
    <x v="2"/>
    <s v="blg_haca_scalp_reels-only_aw-aw-thruplay_website-viewcontent_na_na_ym00356549_q1-q2-vvr_2024_bcp_002_x"/>
    <s v="scalp"/>
    <x v="3"/>
    <x v="2"/>
    <x v="0"/>
    <d v="2024-04-01T00:00:00"/>
    <d v="2024-04-01T00:00:00"/>
    <x v="53"/>
    <n v="820.41000099999997"/>
    <n v="223606"/>
  </r>
  <r>
    <x v="0"/>
    <x v="2"/>
    <s v="blg_haca_hys_hydrasource_aw-aw-thruplay_none-none_x_x_ym00427700_q2_2025_bhs_006_x"/>
    <s v="hys"/>
    <x v="4"/>
    <x v="1"/>
    <x v="1"/>
    <d v="2025-04-01T00:00:00"/>
    <d v="2025-04-15T00:00:00"/>
    <x v="36"/>
    <n v="276.69000000000005"/>
    <n v="12802"/>
  </r>
  <r>
    <x v="0"/>
    <x v="0"/>
    <s v="blg_haca_bfr_fullrescue-bonus_aw-awareness_x_bonus-q2_2025_x_x_x"/>
    <s v="bfr"/>
    <x v="1"/>
    <x v="1"/>
    <x v="0"/>
    <d v="2025-06-01T00:00:00"/>
    <d v="2025-06-16T00:00:00"/>
    <x v="16"/>
    <n v="1449.351784"/>
    <n v="683121"/>
  </r>
  <r>
    <x v="0"/>
    <x v="1"/>
    <s v="blg_haca_mult_ao-boosting_auc_aw-video-views_x_x_ym00437375_x_2025_blg_002_x"/>
    <s v="mult"/>
    <x v="0"/>
    <x v="1"/>
    <x v="0"/>
    <d v="2025-05-01T00:00:00"/>
    <d v="2025-05-14T00:00:00"/>
    <x v="17"/>
    <n v="2224.61"/>
    <n v="497717"/>
  </r>
  <r>
    <x v="0"/>
    <x v="0"/>
    <s v="blg_haca_scalp-sync_traffic_cons-consideration_ym00356548_all_2024_bcp_004_x"/>
    <s v="scalp-sync"/>
    <x v="3"/>
    <x v="2"/>
    <x v="0"/>
    <d v="2024-05-01T00:00:00"/>
    <d v="2024-05-02T00:00:00"/>
    <x v="44"/>
    <n v="1743.6861240000003"/>
    <n v="476502"/>
  </r>
  <r>
    <x v="0"/>
    <x v="2"/>
    <s v="blg_haca_scalp_bau_aw-aw-thruplay_website-viewcontent_na_na_ym00356549_q1-q2-vvr_2024_bcp_002_x"/>
    <s v="scalp"/>
    <x v="3"/>
    <x v="2"/>
    <x v="1"/>
    <d v="2024-04-01T00:00:00"/>
    <d v="2024-04-07T00:00:00"/>
    <x v="34"/>
    <n v="2421.940008"/>
    <n v="562048"/>
  </r>
  <r>
    <x v="0"/>
    <x v="2"/>
    <s v="blg_haca_hydrasource_x_cons-tra-linkcli_none-none_x_x_ym00339376_q4-lctr_2024_bhs_001_x"/>
    <s v="hydrasource"/>
    <x v="4"/>
    <x v="2"/>
    <x v="0"/>
    <d v="2024-10-01T00:00:00"/>
    <d v="2024-10-03T00:00:00"/>
    <x v="31"/>
    <n v="2469.6299990000002"/>
    <n v="277560"/>
  </r>
  <r>
    <x v="0"/>
    <x v="2"/>
    <s v="blg_haca_bfr_fullrescue_aw-aw-thruplay_none-none_x_x_ym00458406_q2-q3_2025_bfr_001_x"/>
    <s v="bfr"/>
    <x v="1"/>
    <x v="1"/>
    <x v="1"/>
    <d v="2025-06-01T00:00:00"/>
    <d v="2025-06-03T00:00:00"/>
    <x v="10"/>
    <n v="2348.1499990000002"/>
    <n v="370383"/>
  </r>
  <r>
    <x v="0"/>
    <x v="2"/>
    <s v="blg_haca_mult_agile-boosting_cons-eng-thruplay_none-none_x_x_ym00437375_x_2025_blg_002_x"/>
    <s v="mult"/>
    <x v="0"/>
    <x v="1"/>
    <x v="0"/>
    <d v="2025-05-01T00:00:00"/>
    <d v="2025-05-24T00:00:00"/>
    <x v="47"/>
    <n v="176.09999999999997"/>
    <n v="28447"/>
  </r>
  <r>
    <x v="0"/>
    <x v="2"/>
    <s v="blg_haca_prime-day_primeday-dayofsale-cell-1_cons-tra-linkcli_none-viewcontent_x_lla_ym00384930_x_2024_blg_001_x"/>
    <s v="prime-day"/>
    <x v="6"/>
    <x v="2"/>
    <x v="1"/>
    <d v="2024-07-01T00:00:00"/>
    <d v="2024-07-17T00:00:00"/>
    <x v="46"/>
    <n v="13534.169994999998"/>
    <n v="2124921"/>
  </r>
  <r>
    <x v="0"/>
    <x v="2"/>
    <s v="blg_haca_mult_bf-cyber-dayofsale-bf_cons-tra-linkcli_website-none_promotion_x_ym00384930_q4_2024_blg_001_x"/>
    <s v="mult"/>
    <x v="0"/>
    <x v="2"/>
    <x v="0"/>
    <d v="2024-11-01T00:00:00"/>
    <d v="2024-11-29T00:00:00"/>
    <x v="51"/>
    <n v="12975.219999999998"/>
    <n v="1207992"/>
  </r>
  <r>
    <x v="0"/>
    <x v="2"/>
    <s v="blg_haca_hydrasource_bau_aw-aw-thruplay_none-none_na_na_ym00339376_q1-vvr_2024_bhs_001_x"/>
    <s v="hydrasource"/>
    <x v="4"/>
    <x v="2"/>
    <x v="2"/>
    <d v="2024-02-01T00:00:00"/>
    <d v="2024-02-27T00:00:00"/>
    <x v="29"/>
    <n v="1262.2700070000001"/>
    <n v="180403"/>
  </r>
  <r>
    <x v="0"/>
    <x v="0"/>
    <s v="blg_haca_bfr_fullrescue-bonus_aw-awareness_x_bonus-q2_2025_x_x_x"/>
    <s v="bfr"/>
    <x v="1"/>
    <x v="1"/>
    <x v="1"/>
    <d v="2025-06-01T00:00:00"/>
    <d v="2025-06-07T00:00:00"/>
    <x v="10"/>
    <n v="455.45515"/>
    <n v="210767"/>
  </r>
  <r>
    <x v="0"/>
    <x v="0"/>
    <s v="blg_haca_bfr_fullrescue-bonus_aw-awareness_x_bonus-q2_2025_x_x_x"/>
    <s v="bfr"/>
    <x v="1"/>
    <x v="1"/>
    <x v="0"/>
    <d v="2025-06-01T00:00:00"/>
    <d v="2025-06-07T00:00:00"/>
    <x v="10"/>
    <n v="1265.3526850000003"/>
    <n v="580826"/>
  </r>
  <r>
    <x v="0"/>
    <x v="1"/>
    <s v="blg_haca_bfr_full-rescue_auc_aw-video-views_x_x_YM00458406_q2_2025_bfr_001_x"/>
    <s v="bfr"/>
    <x v="1"/>
    <x v="1"/>
    <x v="1"/>
    <d v="2025-06-01T00:00:00"/>
    <d v="2025-06-20T00:00:00"/>
    <x v="16"/>
    <n v="1700.8100000000002"/>
    <n v="287673"/>
  </r>
  <r>
    <x v="0"/>
    <x v="1"/>
    <s v="blg_haca_mult_ao-boosting_auc_aw-video-views_x_x_ym00437375_x_2025_blg_002_x"/>
    <s v="mult"/>
    <x v="0"/>
    <x v="1"/>
    <x v="0"/>
    <d v="2025-03-01T00:00:00"/>
    <d v="2025-03-17T00:00:00"/>
    <x v="13"/>
    <n v="1570.42"/>
    <n v="349371"/>
  </r>
  <r>
    <x v="0"/>
    <x v="0"/>
    <s v="blg_othr_na_na_84570334_2023_q2_conversion-non-promo_other_amazon+ulta+conversion_v2"/>
    <s v="na"/>
    <x v="0"/>
    <x v="0"/>
    <x v="0"/>
    <d v="2023-08-01T00:00:00"/>
    <d v="2023-08-13T00:00:00"/>
    <x v="30"/>
    <n v="446.10117400000001"/>
    <n v="125287"/>
  </r>
  <r>
    <x v="0"/>
    <x v="0"/>
    <s v="blg_othr_na_na_84570334_2023_q2_traffic_other_volumebloom-fulldensity+traffic_v2"/>
    <s v="na"/>
    <x v="0"/>
    <x v="0"/>
    <x v="2"/>
    <d v="2023-07-01T00:00:00"/>
    <d v="2023-07-23T00:00:00"/>
    <x v="39"/>
    <n v="636.48007000000007"/>
    <n v="320170"/>
  </r>
  <r>
    <x v="0"/>
    <x v="2"/>
    <s v="blg_haca_bfr_fullrescue_cons-tra-linkcli_website-none_x_x_ym00458406_q2-q3_2025_bfr_001_x"/>
    <s v="bfr"/>
    <x v="1"/>
    <x v="1"/>
    <x v="0"/>
    <d v="2025-06-01T00:00:00"/>
    <d v="2025-06-14T00:00:00"/>
    <x v="18"/>
    <n v="1782.6699999999996"/>
    <n v="159209"/>
  </r>
  <r>
    <x v="0"/>
    <x v="2"/>
    <s v="blg_haca_mult_agile-boosting_cons-eng-thruplay_none-none_x_x_ym00437375_x_2025_blg_002_x"/>
    <s v="mult"/>
    <x v="0"/>
    <x v="1"/>
    <x v="1"/>
    <d v="2025-04-01T00:00:00"/>
    <d v="2025-04-16T00:00:00"/>
    <x v="36"/>
    <n v="696.52"/>
    <n v="146834"/>
  </r>
  <r>
    <x v="0"/>
    <x v="2"/>
    <s v="blg_haca_hydrasource_na_cons-tra-linkcli_none-none_na_na_ym00339376_q1-lctr_2024_bhs_001_x"/>
    <s v="hydrasource"/>
    <x v="4"/>
    <x v="2"/>
    <x v="0"/>
    <d v="2024-02-01T00:00:00"/>
    <d v="2024-02-12T00:00:00"/>
    <x v="20"/>
    <n v="3161.9300000000003"/>
    <n v="536267"/>
  </r>
  <r>
    <x v="0"/>
    <x v="1"/>
    <s v="blg_haca_bfr_full-rescue_auc_aw-video-views_x_x_YM00458406_q2_2025_bfr_001_x"/>
    <s v="bfr"/>
    <x v="1"/>
    <x v="1"/>
    <x v="0"/>
    <d v="2025-06-01T00:00:00"/>
    <d v="2025-06-25T00:00:00"/>
    <x v="7"/>
    <n v="345.57"/>
    <n v="60516"/>
  </r>
  <r>
    <x v="0"/>
    <x v="0"/>
    <s v="blg_haca_bfr_fullrescue-bonus_aw-awareness_x_bonus-q2_2025_x_x_x"/>
    <s v="bfr"/>
    <x v="1"/>
    <x v="1"/>
    <x v="1"/>
    <d v="2025-06-01T00:00:00"/>
    <d v="2025-06-25T00:00:00"/>
    <x v="7"/>
    <n v="319.49855599999995"/>
    <n v="150041"/>
  </r>
  <r>
    <x v="0"/>
    <x v="2"/>
    <s v="blg_haca_bfr_fullrescue_cons-tra-linkcli_website-none_x_x_ym00458406_q2-q3_2025_bfr_001_x"/>
    <s v="bfr"/>
    <x v="1"/>
    <x v="1"/>
    <x v="0"/>
    <d v="2025-05-01T00:00:00"/>
    <d v="2025-05-11T00:00:00"/>
    <x v="17"/>
    <n v="1864.54"/>
    <n v="145450"/>
  </r>
  <r>
    <x v="0"/>
    <x v="1"/>
    <s v="blg_haca_bfr_full-rescue_auc_cons-traffic_x_x_YM00458406_q2_2025_bfr_001_x"/>
    <s v="bfr"/>
    <x v="1"/>
    <x v="1"/>
    <x v="0"/>
    <d v="2025-06-01T00:00:00"/>
    <d v="2025-06-21T00:00:00"/>
    <x v="16"/>
    <n v="3849.73"/>
    <n v="661725"/>
  </r>
  <r>
    <x v="0"/>
    <x v="2"/>
    <s v="blg_haca_bfr_fullrescue_aw-aw-thruplay_none-none_x_x_ym00458406_q2-q3_2025_bfr_001_x"/>
    <s v="bfr"/>
    <x v="1"/>
    <x v="1"/>
    <x v="0"/>
    <d v="2025-06-01T00:00:00"/>
    <d v="2025-06-12T00:00:00"/>
    <x v="18"/>
    <n v="618.94999999999993"/>
    <n v="94580"/>
  </r>
  <r>
    <x v="0"/>
    <x v="2"/>
    <s v="blg_haca_bond-therapy_na_aw-aw-thruplay_none-viewcontent_na_na_ym87093418_vvr-q4_2023_x_x_x"/>
    <s v="bond-therapy"/>
    <x v="5"/>
    <x v="0"/>
    <x v="2"/>
    <d v="2023-12-01T00:00:00"/>
    <d v="2023-12-09T00:00:00"/>
    <x v="38"/>
    <n v="2956.2099919999996"/>
    <n v="476463"/>
  </r>
  <r>
    <x v="0"/>
    <x v="2"/>
    <s v="blg_haca_bfr_fullrescue_cons-tra-linkcli_website-none_x_x_ym00458406_q2-q3_2025_bfr_001_x"/>
    <s v="bfr"/>
    <x v="1"/>
    <x v="1"/>
    <x v="1"/>
    <d v="2025-06-01T00:00:00"/>
    <d v="2025-06-24T00:00:00"/>
    <x v="7"/>
    <n v="261.88999799999993"/>
    <n v="27808"/>
  </r>
  <r>
    <x v="0"/>
    <x v="1"/>
    <s v="blg_haca_hys_hydrasource_auc_cons-traffic_x_x_ym00427700_q2_2025_bhs_006_x"/>
    <s v="hys"/>
    <x v="4"/>
    <x v="1"/>
    <x v="0"/>
    <d v="2025-04-01T00:00:00"/>
    <d v="2025-04-10T00:00:00"/>
    <x v="23"/>
    <n v="5514.42"/>
    <n v="1200950"/>
  </r>
  <r>
    <x v="0"/>
    <x v="0"/>
    <s v="blg_othr_na_na_84570334_2023_q2_conversion-non-promo_other_amazon+ulta+conversion"/>
    <s v="na"/>
    <x v="0"/>
    <x v="0"/>
    <x v="0"/>
    <d v="2023-07-01T00:00:00"/>
    <d v="2023-07-09T00:00:00"/>
    <x v="37"/>
    <n v="650.96868100000006"/>
    <n v="246396"/>
  </r>
  <r>
    <x v="0"/>
    <x v="2"/>
    <s v="blg_haca_bfr_fullrescue_aw-aw-thruplay_none-none_x_x_ym00458406_q2-q3_2025_bfr_001_x"/>
    <s v="bfr"/>
    <x v="1"/>
    <x v="1"/>
    <x v="1"/>
    <d v="2025-06-01T00:00:00"/>
    <d v="2025-06-11T00:00:00"/>
    <x v="18"/>
    <n v="2120.0099960000002"/>
    <n v="295770"/>
  </r>
  <r>
    <x v="0"/>
    <x v="0"/>
    <s v="blg_othr_na_na_84570334_2023_q2_conversion-non-promo_other_amazon+ulta+conversion_v2"/>
    <s v="na"/>
    <x v="0"/>
    <x v="0"/>
    <x v="0"/>
    <d v="2023-08-01T00:00:00"/>
    <d v="2023-08-06T00:00:00"/>
    <x v="4"/>
    <n v="323.38377300000002"/>
    <n v="110941"/>
  </r>
  <r>
    <x v="0"/>
    <x v="2"/>
    <s v="blg_haca_hydrasource_na_cons-tra-linkcli_none-none_na_na_ym00339376_q1-lctr_2024_bhs_001_x"/>
    <s v="hydrasource"/>
    <x v="4"/>
    <x v="2"/>
    <x v="0"/>
    <d v="2024-01-01T00:00:00"/>
    <d v="2024-01-23T00:00:00"/>
    <x v="15"/>
    <n v="3240.2699990000001"/>
    <n v="565673"/>
  </r>
  <r>
    <x v="0"/>
    <x v="2"/>
    <s v="blg_haca_mult_agile-boosting_cons-eng-thruplay_none-none_x_x_ym00437375_x_2025_blg_002_x"/>
    <s v="mult"/>
    <x v="0"/>
    <x v="1"/>
    <x v="0"/>
    <d v="2025-04-01T00:00:00"/>
    <d v="2025-04-25T00:00:00"/>
    <x v="11"/>
    <n v="941.49999999999989"/>
    <n v="210985"/>
  </r>
  <r>
    <x v="0"/>
    <x v="2"/>
    <s v="blg_haca_bfr_fullrescue_cons-tra-linkcli_website-none_x_x_ym00458406_q2-q3_2025_bfr_001_x"/>
    <s v="bfr"/>
    <x v="1"/>
    <x v="1"/>
    <x v="0"/>
    <d v="2025-06-01T00:00:00"/>
    <d v="2025-06-02T00:00:00"/>
    <x v="10"/>
    <n v="1740.3800020000003"/>
    <n v="149807"/>
  </r>
  <r>
    <x v="0"/>
    <x v="2"/>
    <s v="blg_haca_bfr_fullrescue_cons-tra-linkcli_website-none_x_x_ym00458406_q2-q3_2025_bfr_001_x"/>
    <s v="bfr"/>
    <x v="1"/>
    <x v="1"/>
    <x v="0"/>
    <d v="2025-06-01T00:00:00"/>
    <d v="2025-06-28T00:00:00"/>
    <x v="7"/>
    <n v="1609.0400010000003"/>
    <n v="131663"/>
  </r>
  <r>
    <x v="0"/>
    <x v="2"/>
    <s v="blg_haca_bfr_fullrescue_cons-tra-linkcli_website-none_x_x_ym00458406_q2-q3_2025_bfr_001_x"/>
    <s v="bfr"/>
    <x v="1"/>
    <x v="1"/>
    <x v="0"/>
    <d v="2025-05-01T00:00:00"/>
    <d v="2025-05-21T00:00:00"/>
    <x v="47"/>
    <n v="1681.3300000000004"/>
    <n v="130503"/>
  </r>
  <r>
    <x v="0"/>
    <x v="2"/>
    <s v="blg_haca_bfr_fullrescue_aw-aw-thruplay_none-none_x_x_ym00458406_q2-q3_2025_bfr_001_x"/>
    <s v="bfr"/>
    <x v="1"/>
    <x v="1"/>
    <x v="0"/>
    <d v="2025-05-01T00:00:00"/>
    <d v="2025-05-10T00:00:00"/>
    <x v="12"/>
    <n v="1079.5999999999997"/>
    <n v="205693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4T00:00:00"/>
    <x v="33"/>
    <n v="1119.8899980000001"/>
    <n v="180359"/>
  </r>
  <r>
    <x v="0"/>
    <x v="2"/>
    <s v="blg_haca_mult_bf-cyber-dayofsale-bf_cons-tra-linkcli_website-none_promotion_x_ym00384930_q4_2024_blg_001_x"/>
    <s v="mult"/>
    <x v="0"/>
    <x v="2"/>
    <x v="0"/>
    <d v="2024-11-01T00:00:00"/>
    <d v="2024-11-30T00:00:00"/>
    <x v="51"/>
    <n v="14236.580003000003"/>
    <n v="1247232"/>
  </r>
  <r>
    <x v="0"/>
    <x v="2"/>
    <s v="blg_haca_mult_agile-boosting_cons-eng-thruplay_none-none_x_x_ym00437375_x_2025_blg_002_x"/>
    <s v="mult"/>
    <x v="0"/>
    <x v="1"/>
    <x v="0"/>
    <d v="2025-03-01T00:00:00"/>
    <d v="2025-03-14T00:00:00"/>
    <x v="75"/>
    <n v="2623.7399999999989"/>
    <n v="473720"/>
  </r>
  <r>
    <x v="0"/>
    <x v="2"/>
    <s v="blg_haca_prime-day_primeday-dayofsale-cell-2_cons-tra-linkcli_none-viewcontent_x_lla_ym00384930_x_2024_blg_001_x"/>
    <s v="prime-day"/>
    <x v="6"/>
    <x v="2"/>
    <x v="1"/>
    <d v="2024-07-01T00:00:00"/>
    <d v="2024-07-17T00:00:00"/>
    <x v="46"/>
    <n v="13370.609999000004"/>
    <n v="2117328"/>
  </r>
  <r>
    <x v="0"/>
    <x v="0"/>
    <s v="blg_haca_scalp-sync_awareness_aw-awareness_ym00356548_all_2024_bcp_004_x"/>
    <s v="scalp-sync"/>
    <x v="3"/>
    <x v="2"/>
    <x v="2"/>
    <d v="2024-05-01T00:00:00"/>
    <d v="2024-05-24T00:00:00"/>
    <x v="14"/>
    <n v="3340.7892810000008"/>
    <n v="1345968"/>
  </r>
  <r>
    <x v="0"/>
    <x v="0"/>
    <s v="blg_haca_scalp-sync_awareness_aw-awareness_ym00356548_all_2024_bcp_004_x"/>
    <s v="scalp-sync"/>
    <x v="3"/>
    <x v="2"/>
    <x v="2"/>
    <d v="2024-05-01T00:00:00"/>
    <d v="2024-05-25T00:00:00"/>
    <x v="14"/>
    <n v="3325.1892050000001"/>
    <n v="1296340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19T00:00:00"/>
    <x v="35"/>
    <n v="3310.0600039999999"/>
    <n v="320306"/>
  </r>
  <r>
    <x v="0"/>
    <x v="2"/>
    <s v="blg_haca_scalp_na_cons-tra-linkcli_none-none_na_na_ym00356549_q1-q2-lctr_2024_bcp_002_x"/>
    <s v="scalp"/>
    <x v="3"/>
    <x v="2"/>
    <x v="0"/>
    <d v="2024-04-01T00:00:00"/>
    <d v="2024-04-10T00:00:00"/>
    <x v="34"/>
    <n v="1349.0500000000002"/>
    <n v="225698"/>
  </r>
  <r>
    <x v="0"/>
    <x v="0"/>
    <s v="blg_haca_bfr_fullrescue-bonus_aw-awareness_x_bonus-q2_2025_x_x_x"/>
    <s v="bfr"/>
    <x v="1"/>
    <x v="1"/>
    <x v="0"/>
    <d v="2025-06-01T00:00:00"/>
    <d v="2025-06-10T00:00:00"/>
    <x v="18"/>
    <n v="1306.1576210000001"/>
    <n v="582447"/>
  </r>
  <r>
    <x v="0"/>
    <x v="0"/>
    <s v="blg_othr_na_na_84570334_2023_q2_conversion-non-promo_other_amazon+ulta+conversion_v2"/>
    <s v="na"/>
    <x v="0"/>
    <x v="0"/>
    <x v="0"/>
    <d v="2023-07-01T00:00:00"/>
    <d v="2023-07-20T00:00:00"/>
    <x v="42"/>
    <n v="114.503737"/>
    <n v="55462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18T00:00:00"/>
    <x v="55"/>
    <n v="1260.0100000000002"/>
    <n v="218768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9T00:00:00"/>
    <x v="42"/>
    <n v="2132.599999"/>
    <n v="329222"/>
  </r>
  <r>
    <x v="0"/>
    <x v="2"/>
    <s v="blg_haca_bfr_fullrescue_aw-aw-thruplay_none-none_x_x_ym00458406_q2-q3_2025_bfr_001_x"/>
    <s v="bfr"/>
    <x v="1"/>
    <x v="1"/>
    <x v="1"/>
    <d v="2025-05-01T00:00:00"/>
    <d v="2025-05-23T00:00:00"/>
    <x v="47"/>
    <n v="17.470000000000002"/>
    <n v="932"/>
  </r>
  <r>
    <x v="0"/>
    <x v="2"/>
    <s v="blg_haca_hydrasource_bau_aw-aw-thruplay_none-none_na_na_ym00339376_q1-vvr_2024_bhs_001_x"/>
    <s v="hydrasource"/>
    <x v="4"/>
    <x v="2"/>
    <x v="2"/>
    <d v="2024-03-01T00:00:00"/>
    <d v="2024-03-07T00:00:00"/>
    <x v="6"/>
    <n v="1262.0699979999999"/>
    <n v="139518"/>
  </r>
  <r>
    <x v="0"/>
    <x v="2"/>
    <s v="blg_haca_mult_bf-cyber-leadup_cons-tra-linkcli_website-none_promotion_x_ym00384930_q4_2024_blg_001_x"/>
    <s v="mult"/>
    <x v="0"/>
    <x v="2"/>
    <x v="0"/>
    <d v="2024-11-01T00:00:00"/>
    <d v="2024-11-28T00:00:00"/>
    <x v="51"/>
    <n v="6242.4900039999993"/>
    <n v="502356"/>
  </r>
  <r>
    <x v="0"/>
    <x v="2"/>
    <s v="blg_haca_bfr_fullrescue_aw-aw-thruplay_none-none_x_x_ym00458406_q2-q3_2025_bfr_001_x"/>
    <s v="bfr"/>
    <x v="1"/>
    <x v="1"/>
    <x v="1"/>
    <d v="2025-05-01T00:00:00"/>
    <d v="2025-05-18T00:00:00"/>
    <x v="47"/>
    <n v="6.3999999999999995"/>
    <n v="468"/>
  </r>
  <r>
    <x v="0"/>
    <x v="2"/>
    <s v="blg_haca_bfr_fullrescue_aw-aw-thruplay_none-none_x_x_ym00458406_q2-q3_2025_bfr_001_x"/>
    <s v="bfr"/>
    <x v="1"/>
    <x v="1"/>
    <x v="1"/>
    <d v="2025-06-01T00:00:00"/>
    <d v="2025-06-12T00:00:00"/>
    <x v="18"/>
    <n v="1890.5900060000008"/>
    <n v="269184"/>
  </r>
  <r>
    <x v="0"/>
    <x v="2"/>
    <s v="blg_haca_bfr_fullrescue_cons-tra-linkcli_website-none_x_x_ym00458406_q2-q3_2025_bfr_001_x"/>
    <s v="bfr"/>
    <x v="1"/>
    <x v="1"/>
    <x v="1"/>
    <d v="2025-05-01T00:00:00"/>
    <d v="2025-05-17T00:00:00"/>
    <x v="17"/>
    <n v="6.1700000000000008"/>
    <n v="643"/>
  </r>
  <r>
    <x v="0"/>
    <x v="0"/>
    <s v="blg_othr_na_na_84570334_2023_q2_traffic_other_volumebloom-fulldensity+traffic"/>
    <s v="na"/>
    <x v="0"/>
    <x v="0"/>
    <x v="2"/>
    <d v="2023-07-01T00:00:00"/>
    <d v="2023-07-02T00:00:00"/>
    <x v="21"/>
    <n v="673.64462200000003"/>
    <n v="285440"/>
  </r>
  <r>
    <x v="0"/>
    <x v="2"/>
    <s v="blg_haca_scalp_na_cons-tra-linkcli_none-none_na_na_ym00356549_q1-q2-lctr_2024_bcp_002_x"/>
    <s v="scalp"/>
    <x v="3"/>
    <x v="2"/>
    <x v="0"/>
    <d v="2024-04-01T00:00:00"/>
    <d v="2024-04-17T00:00:00"/>
    <x v="24"/>
    <n v="1566.1399979999999"/>
    <n v="243617"/>
  </r>
  <r>
    <x v="0"/>
    <x v="2"/>
    <s v="blg_haca_hydrasource_bau_aw-aw-thruplay_none-none_na_na_ym00339376_q1-vvr_2024_bhs_001_x"/>
    <s v="hydrasource"/>
    <x v="4"/>
    <x v="2"/>
    <x v="2"/>
    <d v="2024-02-01T00:00:00"/>
    <d v="2024-02-04T00:00:00"/>
    <x v="41"/>
    <n v="1612.9399959999998"/>
    <n v="337565"/>
  </r>
  <r>
    <x v="0"/>
    <x v="2"/>
    <s v="blg_haca_mult_agile-boosting_cons-eng-thruplay_none-none_x_x_ym00437375_x_2025_blg_002_x"/>
    <s v="mult"/>
    <x v="0"/>
    <x v="1"/>
    <x v="1"/>
    <d v="2025-04-01T00:00:00"/>
    <d v="2025-04-07T00:00:00"/>
    <x v="23"/>
    <n v="415.05999999999989"/>
    <n v="89220"/>
  </r>
  <r>
    <x v="0"/>
    <x v="2"/>
    <s v="blg_haca_hys_hydrasource_cons-tra-linkcli_website-none_x_x_ym00427700_q2_2025_bhs_006_x"/>
    <s v="hys"/>
    <x v="4"/>
    <x v="1"/>
    <x v="0"/>
    <d v="2025-04-01T00:00:00"/>
    <d v="2025-04-22T00:00:00"/>
    <x v="11"/>
    <n v="3670.7200000000016"/>
    <n v="379588"/>
  </r>
  <r>
    <x v="0"/>
    <x v="2"/>
    <s v="blg_haca_mult_ulta-liter_cons-tra-linkcli_website-none_promotion_x_ym00437375_q1_2025_blg_002_x"/>
    <s v="mult"/>
    <x v="0"/>
    <x v="1"/>
    <x v="0"/>
    <d v="2025-01-01T00:00:00"/>
    <d v="2025-01-22T00:00:00"/>
    <x v="70"/>
    <n v="3803.8400029999998"/>
    <n v="579044"/>
  </r>
  <r>
    <x v="0"/>
    <x v="1"/>
    <s v="blg_haca_bfr_full-rescue_auc_cons-traffic_x_x_YM00458406_q2_2025_bfr_001_x"/>
    <s v="bfr"/>
    <x v="1"/>
    <x v="1"/>
    <x v="0"/>
    <d v="2025-06-01T00:00:00"/>
    <d v="2025-06-22T00:00:00"/>
    <x v="7"/>
    <n v="3372.1099999999997"/>
    <n v="609249"/>
  </r>
  <r>
    <x v="0"/>
    <x v="2"/>
    <s v="blg_haca_bfr_fullrescue_cons-tra-linkcli_website-none_x_x_ym00458406_q2-q3_2025_bfr_001_x"/>
    <s v="bfr"/>
    <x v="1"/>
    <x v="1"/>
    <x v="0"/>
    <d v="2025-05-01T00:00:00"/>
    <d v="2025-05-28T00:00:00"/>
    <x v="8"/>
    <n v="1694.3400000000001"/>
    <n v="129234"/>
  </r>
  <r>
    <x v="0"/>
    <x v="2"/>
    <s v="blg_haca_scalp_na_cons-tra-linkcli_none-none_na_na_ym00356549_q1-q2-lctr_2024_bcp_002_x"/>
    <s v="scalp"/>
    <x v="3"/>
    <x v="2"/>
    <x v="0"/>
    <d v="2024-04-01T00:00:00"/>
    <d v="2024-04-01T00:00:00"/>
    <x v="53"/>
    <n v="1570.8399989999996"/>
    <n v="291588"/>
  </r>
  <r>
    <x v="0"/>
    <x v="2"/>
    <s v="blg_haca_bfr_fullrescue_cons-tra-linkcli_website-none_x_x_ym00458406_q2-q3_2025_bfr_001_x"/>
    <s v="bfr"/>
    <x v="1"/>
    <x v="1"/>
    <x v="0"/>
    <d v="2025-06-01T00:00:00"/>
    <d v="2025-06-13T00:00:00"/>
    <x v="18"/>
    <n v="1686.54"/>
    <n v="140228"/>
  </r>
  <r>
    <x v="0"/>
    <x v="2"/>
    <s v="blg_haca_bond-therapy_na_aw-aw-thruplay_none-viewcontent_na_na_ym87093418_vvr-q4_2023_x_x_x"/>
    <s v="bond-therapy"/>
    <x v="5"/>
    <x v="0"/>
    <x v="2"/>
    <d v="2023-12-01T00:00:00"/>
    <d v="2023-12-23T00:00:00"/>
    <x v="28"/>
    <n v="2845.6599920000003"/>
    <n v="397549"/>
  </r>
  <r>
    <x v="0"/>
    <x v="2"/>
    <s v="blg_haca_mult_ulta-liter_cons-tra-linkcli_website-none_promotion_x_ym00437375_q1_2025_blg_002_x"/>
    <s v="mult"/>
    <x v="0"/>
    <x v="1"/>
    <x v="0"/>
    <d v="2025-01-01T00:00:00"/>
    <d v="2025-01-18T00:00:00"/>
    <x v="76"/>
    <n v="4118.7000050000006"/>
    <n v="708044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5T00:00:00"/>
    <x v="33"/>
    <n v="1200.02"/>
    <n v="184110"/>
  </r>
  <r>
    <x v="0"/>
    <x v="2"/>
    <s v="blg_haca_scalp_reels-only_aw-aw-thruplay_website-viewcontent_na_na_ym00356549_q1-q2-vvr_2024_bcp_002_x"/>
    <s v="scalp"/>
    <x v="3"/>
    <x v="2"/>
    <x v="0"/>
    <d v="2024-04-01T00:00:00"/>
    <d v="2024-04-15T00:00:00"/>
    <x v="24"/>
    <n v="789.3500019999999"/>
    <n v="197737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4T00:00:00"/>
    <x v="33"/>
    <n v="3100.33"/>
    <n v="253908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4T00:00:00"/>
    <x v="33"/>
    <n v="1843.429999"/>
    <n v="129510"/>
  </r>
  <r>
    <x v="0"/>
    <x v="0"/>
    <s v="blg_haca_scalp-sync_awareness_aw-awareness_ym00356548_all_2024_bcp_004_x"/>
    <s v="scalp-sync"/>
    <x v="3"/>
    <x v="2"/>
    <x v="2"/>
    <d v="2024-04-01T00:00:00"/>
    <d v="2024-04-29T00:00:00"/>
    <x v="44"/>
    <n v="3356.0239930000012"/>
    <n v="1582525"/>
  </r>
  <r>
    <x v="0"/>
    <x v="2"/>
    <s v="blg_haca_hydrasource_x_cons-tra-linkcli_none-none_x_x_ym00339376_q4-lctr_2024_bhs_001_x"/>
    <s v="hydrasource"/>
    <x v="4"/>
    <x v="2"/>
    <x v="0"/>
    <d v="2024-10-01T00:00:00"/>
    <d v="2024-10-16T00:00:00"/>
    <x v="32"/>
    <n v="2653.4799989999992"/>
    <n v="261261"/>
  </r>
  <r>
    <x v="0"/>
    <x v="2"/>
    <s v="blg_haca_bond-therapy_na_aw-aw-thruplay_none-viewcontent_na_na_ym87093418_vvr-q4_2023_x_x_x"/>
    <s v="bond-therapy"/>
    <x v="5"/>
    <x v="0"/>
    <x v="2"/>
    <d v="2023-11-01T00:00:00"/>
    <d v="2023-11-25T00:00:00"/>
    <x v="35"/>
    <n v="2995.5299990000008"/>
    <n v="451230"/>
  </r>
  <r>
    <x v="0"/>
    <x v="1"/>
    <s v="blg_haca_hys_hydrasource_auc_aw-video-views_x_x_ym00427700_q2_2025_bhs_006_x"/>
    <s v="hys"/>
    <x v="4"/>
    <x v="1"/>
    <x v="1"/>
    <d v="2025-04-01T00:00:00"/>
    <d v="2025-04-18T00:00:00"/>
    <x v="36"/>
    <n v="47.04"/>
    <n v="12717"/>
  </r>
  <r>
    <x v="0"/>
    <x v="2"/>
    <s v="blg_haca_mult_agile-boosting_cons-eng-thruplay_none-none_x_x_ym00437375_x_2025_blg_002_x"/>
    <s v="mult"/>
    <x v="0"/>
    <x v="1"/>
    <x v="1"/>
    <d v="2025-04-01T00:00:00"/>
    <d v="2025-04-30T00:00:00"/>
    <x v="19"/>
    <n v="740.20000200000015"/>
    <n v="150920"/>
  </r>
  <r>
    <x v="0"/>
    <x v="1"/>
    <s v="blg_haca_bfr_full-rescue_auc_cons-traffic_x_x_YM00458406_q2_2025_bfr_001_x"/>
    <s v="bfr"/>
    <x v="1"/>
    <x v="1"/>
    <x v="1"/>
    <d v="2025-06-01T00:00:00"/>
    <d v="2025-06-20T00:00:00"/>
    <x v="16"/>
    <n v="1568.49"/>
    <n v="281100"/>
  </r>
  <r>
    <x v="0"/>
    <x v="2"/>
    <s v="blg_haca_prime-day_reminderads-cell-2_cons-eng-posteng_none-none_x_x_ym00384930_x_2024_blg_001_x"/>
    <s v="prime-day"/>
    <x v="6"/>
    <x v="2"/>
    <x v="2"/>
    <d v="2024-07-01T00:00:00"/>
    <d v="2024-07-11T00:00:00"/>
    <x v="54"/>
    <n v="10784.400003999999"/>
    <n v="1101542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09T00:00:00"/>
    <x v="54"/>
    <n v="3527.1700029999988"/>
    <n v="590127"/>
  </r>
  <r>
    <x v="0"/>
    <x v="2"/>
    <s v="blg_haca_scalp_bau_aw-aw-thruplay_website-viewcontent_na_na_ym00356549_q1-q2-vvr_2024_bcp_002_x"/>
    <s v="scalp"/>
    <x v="3"/>
    <x v="2"/>
    <x v="1"/>
    <d v="2024-03-01T00:00:00"/>
    <d v="2024-03-06T00:00:00"/>
    <x v="6"/>
    <n v="2320.3000029999989"/>
    <n v="560174"/>
  </r>
  <r>
    <x v="0"/>
    <x v="2"/>
    <s v="blg_haca_hydrasource_x_aw-aw-thruplay_none-none_x_x_ym00339376_q4_2024_bhs_001_x"/>
    <s v="hydrasource"/>
    <x v="4"/>
    <x v="2"/>
    <x v="0"/>
    <d v="2024-10-01T00:00:00"/>
    <d v="2024-10-25T00:00:00"/>
    <x v="68"/>
    <n v="3422.8900020000001"/>
    <n v="692026"/>
  </r>
  <r>
    <x v="0"/>
    <x v="2"/>
    <s v="blg_haca_mult_agile-boosting_cons-eng-thruplay_none-none_x_x_ym00437375_x_2025_blg_002_x"/>
    <s v="mult"/>
    <x v="0"/>
    <x v="1"/>
    <x v="0"/>
    <d v="2025-03-01T00:00:00"/>
    <d v="2025-03-21T00:00:00"/>
    <x v="13"/>
    <n v="2608.37"/>
    <n v="478056"/>
  </r>
  <r>
    <x v="0"/>
    <x v="2"/>
    <s v="blg_haca_scalp_reels-only_aw-aw-thruplay_website-viewcontent_na_na_ym00356549_q1-q2-vvr_2024_bcp_002_x"/>
    <s v="scalp"/>
    <x v="3"/>
    <x v="2"/>
    <x v="0"/>
    <d v="2024-04-01T00:00:00"/>
    <d v="2024-04-20T00:00:00"/>
    <x v="24"/>
    <n v="786.93999900000017"/>
    <n v="189297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27T00:00:00"/>
    <x v="43"/>
    <n v="1020.8699990000001"/>
    <n v="234623"/>
  </r>
  <r>
    <x v="0"/>
    <x v="2"/>
    <s v="blg_haca_mult_agile-boosting_cons-eng-thruplay_none-none_x_x_ym00437375_x_2025_blg_002_x"/>
    <s v="mult"/>
    <x v="0"/>
    <x v="1"/>
    <x v="1"/>
    <d v="2025-05-01T00:00:00"/>
    <d v="2025-05-06T00:00:00"/>
    <x v="12"/>
    <n v="1643.3999949999998"/>
    <n v="345170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9T00:00:00"/>
    <x v="30"/>
    <n v="784.3900000000001"/>
    <n v="118844"/>
  </r>
  <r>
    <x v="0"/>
    <x v="0"/>
    <s v="blg_haca_bfr_fullrescue-bonus_aw-awareness_x_bonus-q2_2025_x_x_x"/>
    <s v="bfr"/>
    <x v="1"/>
    <x v="1"/>
    <x v="0"/>
    <d v="2025-06-01T00:00:00"/>
    <d v="2025-06-11T00:00:00"/>
    <x v="18"/>
    <n v="1305.713395"/>
    <n v="594584"/>
  </r>
  <r>
    <x v="0"/>
    <x v="2"/>
    <s v="blg_haca_bfr_fullrescue_aw-aw-thruplay_none-none_x_x_ym00458406_q2-q3_2025_bfr_001_x"/>
    <s v="bfr"/>
    <x v="1"/>
    <x v="1"/>
    <x v="0"/>
    <d v="2025-05-01T00:00:00"/>
    <d v="2025-05-05T00:00:00"/>
    <x v="12"/>
    <n v="1297.1399999999999"/>
    <n v="257828"/>
  </r>
  <r>
    <x v="0"/>
    <x v="2"/>
    <s v="blg_haca_mult_agile-boosting_aw-aw-thruplay_none-none_x_x_ym00437375_x_2025_blg_002_x"/>
    <s v="mult"/>
    <x v="0"/>
    <x v="1"/>
    <x v="0"/>
    <d v="2025-02-01T00:00:00"/>
    <d v="2025-02-26T00:00:00"/>
    <x v="71"/>
    <n v="7244.3299969999998"/>
    <n v="842040"/>
  </r>
  <r>
    <x v="0"/>
    <x v="0"/>
    <s v="blg_othr_na_na_84570334_2023_q2_conversion-non-promo_other_amazon+ulta+conversion_v2"/>
    <s v="na"/>
    <x v="0"/>
    <x v="0"/>
    <x v="0"/>
    <d v="2023-08-01T00:00:00"/>
    <d v="2023-08-04T00:00:00"/>
    <x v="2"/>
    <n v="255.31774200000001"/>
    <n v="90615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7T00:00:00"/>
    <x v="38"/>
    <n v="3033.9588180000001"/>
    <n v="319273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7T00:00:00"/>
    <x v="38"/>
    <n v="1214.1797689999999"/>
    <n v="200057"/>
  </r>
  <r>
    <x v="0"/>
    <x v="2"/>
    <s v="blg_haca_scalp_bau_aw-aw-thruplay_website-viewcontent_na_na_ym00356549_q1-q2-vvr_2024_bcp_002_x"/>
    <s v="scalp"/>
    <x v="3"/>
    <x v="2"/>
    <x v="1"/>
    <d v="2024-04-01T00:00:00"/>
    <d v="2024-04-02T00:00:00"/>
    <x v="53"/>
    <n v="2158.3099990000001"/>
    <n v="524236"/>
  </r>
  <r>
    <x v="0"/>
    <x v="2"/>
    <s v="blg_haca_scalp_na_cons-tra-linkcli_none-none_na_na_ym00356549_q1-q2-lctr_2024_bcp_002_x"/>
    <s v="scalp"/>
    <x v="3"/>
    <x v="2"/>
    <x v="1"/>
    <d v="2024-04-01T00:00:00"/>
    <d v="2024-04-07T00:00:00"/>
    <x v="34"/>
    <n v="178.01000000000002"/>
    <n v="27163"/>
  </r>
  <r>
    <x v="0"/>
    <x v="2"/>
    <s v="blg_haca_hys_hydrasource_cons-tra-linkcli_website-none_x_x_ym00427700_q2_2025_bhs_006_x"/>
    <s v="hys"/>
    <x v="4"/>
    <x v="1"/>
    <x v="0"/>
    <d v="2025-05-01T00:00:00"/>
    <d v="2025-05-02T00:00:00"/>
    <x v="19"/>
    <n v="3160.3499989999996"/>
    <n v="346410"/>
  </r>
  <r>
    <x v="0"/>
    <x v="1"/>
    <s v="blg_haca_mult_ao-boosting_auc_aw-video-views_x_x_ym00437375_x_2025_blg_002_x"/>
    <s v="mult"/>
    <x v="0"/>
    <x v="1"/>
    <x v="0"/>
    <d v="2025-05-01T00:00:00"/>
    <d v="2025-05-10T00:00:00"/>
    <x v="12"/>
    <n v="784.89"/>
    <n v="236965"/>
  </r>
  <r>
    <x v="0"/>
    <x v="2"/>
    <s v="blg_haca_mult_agile-boosting_cons-eng-thruplay_none-none_x_x_ym00437375_x_2025_blg_002_x"/>
    <s v="mult"/>
    <x v="0"/>
    <x v="1"/>
    <x v="1"/>
    <d v="2025-04-01T00:00:00"/>
    <d v="2025-04-12T00:00:00"/>
    <x v="23"/>
    <n v="679.09000000000026"/>
    <n v="138659"/>
  </r>
  <r>
    <x v="0"/>
    <x v="0"/>
    <s v="blg_othr_na_na_84570334_2023_q2_traffic_other_volumebloom-fulldensity+traffic"/>
    <s v="na"/>
    <x v="0"/>
    <x v="0"/>
    <x v="2"/>
    <d v="2023-07-01T00:00:00"/>
    <d v="2023-07-14T00:00:00"/>
    <x v="37"/>
    <n v="380.85477099999997"/>
    <n v="196406"/>
  </r>
  <r>
    <x v="0"/>
    <x v="2"/>
    <s v="blg_haca_bfr_fullrescue_cons-tra-linkcli_website-none_x_x_ym00458406_q2-q3_2025_bfr_001_x"/>
    <s v="bfr"/>
    <x v="1"/>
    <x v="1"/>
    <x v="1"/>
    <d v="2025-06-01T00:00:00"/>
    <d v="2025-06-20T00:00:00"/>
    <x v="16"/>
    <n v="40.85"/>
    <n v="5664"/>
  </r>
  <r>
    <x v="0"/>
    <x v="2"/>
    <s v="blg_haca_hydrasource_x_aw-aw-thruplay_none-none_x_x_ym00339376_q4_2024_bhs_001_x"/>
    <s v="hydrasource"/>
    <x v="4"/>
    <x v="2"/>
    <x v="0"/>
    <d v="2024-09-01T00:00:00"/>
    <d v="2024-09-30T00:00:00"/>
    <x v="31"/>
    <n v="3784.6999989999995"/>
    <n v="670222"/>
  </r>
  <r>
    <x v="0"/>
    <x v="2"/>
    <s v="blg_haca_scalp_reels-only_aw-aw-thruplay_website-viewcontent_na_na_ym00356549_q1-q2-vvr_2024_bcp_002_x"/>
    <s v="scalp"/>
    <x v="3"/>
    <x v="2"/>
    <x v="1"/>
    <d v="2024-04-01T00:00:00"/>
    <d v="2024-04-10T00:00:00"/>
    <x v="34"/>
    <n v="188.85"/>
    <n v="48166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5T00:00:00"/>
    <x v="2"/>
    <n v="2183.3100019999997"/>
    <n v="365597"/>
  </r>
  <r>
    <x v="0"/>
    <x v="2"/>
    <s v="blg_haca_scalp_bau_aw-aw-thruplay_website-viewcontent_na_na_ym00356549_q1-q2-vvr_2024_bcp_002_x"/>
    <s v="scalp"/>
    <x v="3"/>
    <x v="2"/>
    <x v="1"/>
    <d v="2024-03-01T00:00:00"/>
    <d v="2024-03-31T00:00:00"/>
    <x v="53"/>
    <n v="2503.7899970000003"/>
    <n v="565050"/>
  </r>
  <r>
    <x v="0"/>
    <x v="2"/>
    <s v="blg_haca_mult_agile-boosting_cons-eng-thruplay_none-none_x_x_ym00437375_x_2025_blg_002_x"/>
    <s v="mult"/>
    <x v="0"/>
    <x v="1"/>
    <x v="1"/>
    <d v="2025-05-01T00:00:00"/>
    <d v="2025-05-22T00:00:00"/>
    <x v="47"/>
    <n v="1419.6100000000004"/>
    <n v="221974"/>
  </r>
  <r>
    <x v="0"/>
    <x v="2"/>
    <s v="blg_haca_bfr_fullrescue_cons-tra-linkcli_website-none_x_x_ym00458406_q2-q3_2025_bfr_001_x"/>
    <s v="bfr"/>
    <x v="1"/>
    <x v="1"/>
    <x v="0"/>
    <d v="2025-06-01T00:00:00"/>
    <d v="2025-06-05T00:00:00"/>
    <x v="10"/>
    <n v="1650.2200010000001"/>
    <n v="125573"/>
  </r>
  <r>
    <x v="0"/>
    <x v="1"/>
    <s v="blg_haca_bfr_full-rescue_auc_cons-traffic_x_x_YM00458406_q2_2025_bfr_001_x"/>
    <s v="bfr"/>
    <x v="1"/>
    <x v="1"/>
    <x v="1"/>
    <d v="2025-06-01T00:00:00"/>
    <d v="2025-06-30T00:00:00"/>
    <x v="1"/>
    <n v="5205.09"/>
    <n v="803879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17T00:00:00"/>
    <x v="30"/>
    <n v="694.62999999999988"/>
    <n v="95868"/>
  </r>
  <r>
    <x v="0"/>
    <x v="0"/>
    <s v="blg_haca_scalp-sync_traffic_cons-consideration_ym00356548_all_2024_bcp_004_x"/>
    <s v="scalp-sync"/>
    <x v="3"/>
    <x v="2"/>
    <x v="0"/>
    <d v="2024-04-01T00:00:00"/>
    <d v="2024-04-30T00:00:00"/>
    <x v="44"/>
    <n v="1777.4257890000001"/>
    <n v="476770"/>
  </r>
  <r>
    <x v="0"/>
    <x v="2"/>
    <s v="blg_haca_hys_hydrasource_aw-aw-thruplay_none-none_x_x_ym00427700_q2_2025_bhs_006_x"/>
    <s v="hys"/>
    <x v="4"/>
    <x v="1"/>
    <x v="0"/>
    <d v="2025-04-01T00:00:00"/>
    <d v="2025-04-10T00:00:00"/>
    <x v="23"/>
    <n v="2163.6000010000002"/>
    <n v="270799"/>
  </r>
  <r>
    <x v="0"/>
    <x v="2"/>
    <s v="blg_haca_hys_hydrasource_aw-aw-thruplay_none-none_x_x_ym00427700_q2_2025_bhs_006_x"/>
    <s v="hys"/>
    <x v="4"/>
    <x v="1"/>
    <x v="1"/>
    <d v="2025-04-01T00:00:00"/>
    <d v="2025-04-13T00:00:00"/>
    <x v="36"/>
    <n v="321.60000000000002"/>
    <n v="12521"/>
  </r>
  <r>
    <x v="0"/>
    <x v="2"/>
    <s v="blg_haca_scalp_na_cons-tra-linkcli_none-none_na_na_ym00356549_q1-q2-lctr_2024_bcp_002_x"/>
    <s v="scalp"/>
    <x v="3"/>
    <x v="2"/>
    <x v="0"/>
    <d v="2024-03-01T00:00:00"/>
    <d v="2024-03-30T00:00:00"/>
    <x v="3"/>
    <n v="1547.46"/>
    <n v="240524"/>
  </r>
  <r>
    <x v="0"/>
    <x v="1"/>
    <s v="blg_haca_bfr_full-rescue_auc_aw-video-views_x_x_YM00458406_q2_2025_bfr_001_x"/>
    <s v="bfr"/>
    <x v="1"/>
    <x v="1"/>
    <x v="1"/>
    <d v="2025-06-01T00:00:00"/>
    <d v="2025-06-11T00:00:00"/>
    <x v="18"/>
    <n v="1747.53"/>
    <n v="258286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22T00:00:00"/>
    <x v="45"/>
    <n v="1926.9700030000008"/>
    <n v="115333"/>
  </r>
  <r>
    <x v="0"/>
    <x v="2"/>
    <s v="blg_haca_bfr_fullrescue_cons-tra-linkcli_website-none_x_x_ym00458406_q2-q3_2025_bfr_001_x"/>
    <s v="bfr"/>
    <x v="1"/>
    <x v="1"/>
    <x v="1"/>
    <d v="2025-06-01T00:00:00"/>
    <d v="2025-06-01T00:00:00"/>
    <x v="10"/>
    <n v="12.899998999999998"/>
    <n v="1470"/>
  </r>
  <r>
    <x v="0"/>
    <x v="1"/>
    <s v="blg_haca_hys_hydrasource_auc_aw-video-views_x_x_ym00427700_q2_2025_bhs_006_x"/>
    <s v="hys"/>
    <x v="4"/>
    <x v="1"/>
    <x v="0"/>
    <d v="2025-04-01T00:00:00"/>
    <d v="2025-04-15T00:00:00"/>
    <x v="36"/>
    <n v="2799.81"/>
    <n v="690023"/>
  </r>
  <r>
    <x v="0"/>
    <x v="2"/>
    <s v="blg_haca_mult_agile-boosting_cons-eng-thruplay_none-none_x_x_ym00437375_x_2025_blg_002_x"/>
    <s v="mult"/>
    <x v="0"/>
    <x v="1"/>
    <x v="1"/>
    <d v="2025-06-01T00:00:00"/>
    <d v="2025-06-16T00:00:00"/>
    <x v="16"/>
    <n v="1819.5400009999998"/>
    <n v="220636"/>
  </r>
  <r>
    <x v="0"/>
    <x v="2"/>
    <s v="blg_haca_mult_agile-boosting_aw-aw-thruplay_none-none_x_x_ym00437375_x_2025_blg_002_x"/>
    <s v="mult"/>
    <x v="0"/>
    <x v="1"/>
    <x v="0"/>
    <d v="2025-02-01T00:00:00"/>
    <d v="2025-02-22T00:00:00"/>
    <x v="67"/>
    <n v="7448.2299969999995"/>
    <n v="970763"/>
  </r>
  <r>
    <x v="0"/>
    <x v="2"/>
    <s v="blg_haca_bond-therapy_na_aw-aw-thruplay_none-viewcontent_na_na_ym87093418_vvr-q4_2023_x_x_x"/>
    <s v="bond-therapy"/>
    <x v="5"/>
    <x v="0"/>
    <x v="2"/>
    <d v="2023-11-01T00:00:00"/>
    <d v="2023-11-28T00:00:00"/>
    <x v="40"/>
    <n v="2966.5600019999997"/>
    <n v="423480"/>
  </r>
  <r>
    <x v="0"/>
    <x v="2"/>
    <s v="blg_haca_hys_hydrasource_aw-aw-thruplay_none-none_x_x_ym00427700_q2_2025_bhs_006_x"/>
    <s v="hys"/>
    <x v="4"/>
    <x v="1"/>
    <x v="1"/>
    <d v="2025-04-01T00:00:00"/>
    <d v="2025-04-04T00:00:00"/>
    <x v="26"/>
    <n v="724.88000199999988"/>
    <n v="60710"/>
  </r>
  <r>
    <x v="0"/>
    <x v="2"/>
    <s v="blg_haca_hydrasource_reelsonly_aw-aw-thruplay_none-none_na_na_ym00339376_q1-vvr_2024_bhs_001_x"/>
    <s v="hydrasource"/>
    <x v="4"/>
    <x v="2"/>
    <x v="0"/>
    <d v="2024-03-01T00:00:00"/>
    <d v="2024-03-03T00:00:00"/>
    <x v="6"/>
    <n v="944.2"/>
    <n v="206826"/>
  </r>
  <r>
    <x v="0"/>
    <x v="2"/>
    <s v="blg_haca_hydrasource_bau_aw-aw-thruplay_none-none_na_na_ym00339376_q1-vvr_2024_bhs_001_x"/>
    <s v="hydrasource"/>
    <x v="4"/>
    <x v="2"/>
    <x v="2"/>
    <d v="2024-02-01T00:00:00"/>
    <d v="2024-02-10T00:00:00"/>
    <x v="41"/>
    <n v="1183.789998"/>
    <n v="193883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9T00:00:00"/>
    <x v="40"/>
    <n v="1259.1100000000001"/>
    <n v="215896"/>
  </r>
  <r>
    <x v="0"/>
    <x v="2"/>
    <s v="blg_haca_mult_agile-boosting_cons-eng-thruplay_none-none_x_x_ym00437375_x_2025_blg_002_x"/>
    <s v="mult"/>
    <x v="0"/>
    <x v="1"/>
    <x v="0"/>
    <d v="2025-04-01T00:00:00"/>
    <d v="2025-04-20T00:00:00"/>
    <x v="11"/>
    <n v="986.03999999999985"/>
    <n v="238972"/>
  </r>
  <r>
    <x v="0"/>
    <x v="1"/>
    <s v="blg_haca_hys_hydrasource_auc_cons-traffic_x_x_ym00427700_q2_2025_bhs_006_x"/>
    <s v="hys"/>
    <x v="4"/>
    <x v="1"/>
    <x v="0"/>
    <d v="2025-04-01T00:00:00"/>
    <d v="2025-04-20T00:00:00"/>
    <x v="11"/>
    <n v="5324.16"/>
    <n v="1205943"/>
  </r>
  <r>
    <x v="0"/>
    <x v="1"/>
    <s v="blg_haca_bfr_full-rescue_auc_aw-video-views_x_x_YM00458406_q2_2025_bfr_001_x"/>
    <s v="bfr"/>
    <x v="1"/>
    <x v="1"/>
    <x v="1"/>
    <d v="2025-06-01T00:00:00"/>
    <d v="2025-06-06T00:00:00"/>
    <x v="10"/>
    <n v="1757.63"/>
    <n v="266441"/>
  </r>
  <r>
    <x v="0"/>
    <x v="0"/>
    <s v="blg_haca_scalp-sync_traffic_cons-consideration_ym00356548_all_2024_bcp_004_x"/>
    <s v="scalp-sync"/>
    <x v="3"/>
    <x v="2"/>
    <x v="0"/>
    <d v="2024-04-01T00:00:00"/>
    <d v="2024-04-29T00:00:00"/>
    <x v="44"/>
    <n v="1768.766832"/>
    <n v="455917"/>
  </r>
  <r>
    <x v="0"/>
    <x v="2"/>
    <s v="blg_haca_hydrasource_x_aw-aw-thruplay_none-none_x_x_ym00339376_q4_2024_bhs_001_x"/>
    <s v="hydrasource"/>
    <x v="4"/>
    <x v="2"/>
    <x v="0"/>
    <d v="2024-10-01T00:00:00"/>
    <d v="2024-10-16T00:00:00"/>
    <x v="32"/>
    <n v="3630.5099979999995"/>
    <n v="778171"/>
  </r>
  <r>
    <x v="0"/>
    <x v="0"/>
    <s v="blg_othr_na_na_84570334_2023_q2_conversion-non-promo_other_amazon+ulta+conversion_v2"/>
    <s v="na"/>
    <x v="0"/>
    <x v="0"/>
    <x v="0"/>
    <d v="2023-08-01T00:00:00"/>
    <d v="2023-08-02T00:00:00"/>
    <x v="2"/>
    <n v="186.43880200000001"/>
    <n v="49704"/>
  </r>
  <r>
    <x v="0"/>
    <x v="2"/>
    <s v="blg_haca_mult_agile-boosting_cons-eng-thruplay_none-none_x_x_ym00437375_x_2025_blg_002_x"/>
    <s v="mult"/>
    <x v="0"/>
    <x v="1"/>
    <x v="1"/>
    <d v="2025-05-01T00:00:00"/>
    <d v="2025-05-20T00:00:00"/>
    <x v="47"/>
    <n v="1360.4399999999998"/>
    <n v="216287"/>
  </r>
  <r>
    <x v="0"/>
    <x v="2"/>
    <s v="blg_haca_mult_agile-boosting_cons-eng-thruplay_none-none_x_x_ym00437375_x_2025_blg_002_x"/>
    <s v="mult"/>
    <x v="0"/>
    <x v="1"/>
    <x v="0"/>
    <d v="2025-03-01T00:00:00"/>
    <d v="2025-03-15T00:00:00"/>
    <x v="75"/>
    <n v="2776.7600000000007"/>
    <n v="507345"/>
  </r>
  <r>
    <x v="0"/>
    <x v="2"/>
    <s v="blg_haca_hydrasource_bau_aw-aw-thruplay_none-none_na_na_ym00339376_q1-vvr_2024_bhs_001_x"/>
    <s v="hydrasource"/>
    <x v="4"/>
    <x v="2"/>
    <x v="2"/>
    <d v="2024-01-01T00:00:00"/>
    <d v="2024-01-25T00:00:00"/>
    <x v="15"/>
    <n v="1428.2800059999997"/>
    <n v="294287"/>
  </r>
  <r>
    <x v="0"/>
    <x v="2"/>
    <s v="blg_haca_bfr_fullrescue_aw-aw-thruplay_none-none_x_x_ym00458406_q2-q3_2025_bfr_001_x"/>
    <s v="bfr"/>
    <x v="1"/>
    <x v="1"/>
    <x v="0"/>
    <d v="2025-06-01T00:00:00"/>
    <d v="2025-06-08T00:00:00"/>
    <x v="18"/>
    <n v="980.19000099999982"/>
    <n v="166746"/>
  </r>
  <r>
    <x v="0"/>
    <x v="0"/>
    <s v="blg_haca_scalp-sync_awareness_aw-awareness_ym00356548_all_2024_bcp_004_x"/>
    <s v="scalp-sync"/>
    <x v="3"/>
    <x v="2"/>
    <x v="2"/>
    <d v="2024-05-01T00:00:00"/>
    <d v="2024-05-13T00:00:00"/>
    <x v="56"/>
    <n v="3399.0721109999999"/>
    <n v="1474447"/>
  </r>
  <r>
    <x v="0"/>
    <x v="0"/>
    <s v="blg_othr_na_na_84570334_2023_q2_conversion-non-promo_other_amazon+ulta+conversion_v2"/>
    <s v="na"/>
    <x v="0"/>
    <x v="0"/>
    <x v="0"/>
    <d v="2023-07-01T00:00:00"/>
    <d v="2023-07-31T00:00:00"/>
    <x v="2"/>
    <n v="243.897535"/>
    <n v="74762"/>
  </r>
  <r>
    <x v="0"/>
    <x v="1"/>
    <s v="blg_haca_bfr_full-rescue_auc_aw-video-views_x_x_YM00458406_q2_2025_bfr_001_x"/>
    <s v="bfr"/>
    <x v="1"/>
    <x v="1"/>
    <x v="0"/>
    <d v="2025-06-01T00:00:00"/>
    <d v="2025-06-27T00:00:00"/>
    <x v="7"/>
    <n v="334.91999999999996"/>
    <n v="53682"/>
  </r>
  <r>
    <x v="0"/>
    <x v="2"/>
    <s v="blg_haca_bond-therapy_na_aw-aw-thruplay_none-viewcontent_na_na_ym87093418_vvr-q4_2023_x_x_x"/>
    <s v="bond-therapy"/>
    <x v="5"/>
    <x v="0"/>
    <x v="2"/>
    <d v="2023-11-01T00:00:00"/>
    <d v="2023-11-15T00:00:00"/>
    <x v="55"/>
    <n v="981.4899979999999"/>
    <n v="176413"/>
  </r>
  <r>
    <x v="0"/>
    <x v="1"/>
    <s v="blg_haca_bfr_full-rescue_auc_aw-video-views_x_x_YM00458406_q2_2025_bfr_001_x"/>
    <s v="bfr"/>
    <x v="1"/>
    <x v="1"/>
    <x v="0"/>
    <d v="2025-06-01T00:00:00"/>
    <d v="2025-06-12T00:00:00"/>
    <x v="18"/>
    <n v="21.960000000000004"/>
    <n v="3925"/>
  </r>
  <r>
    <x v="0"/>
    <x v="1"/>
    <s v="blg_haca_bfr_full-rescue_auc_cons-traffic_x_x_YM00458406_q2_2025_bfr_001_x"/>
    <s v="bfr"/>
    <x v="1"/>
    <x v="1"/>
    <x v="1"/>
    <d v="2025-06-01T00:00:00"/>
    <d v="2025-06-09T00:00:00"/>
    <x v="18"/>
    <n v="601.49"/>
    <n v="123472"/>
  </r>
  <r>
    <x v="0"/>
    <x v="2"/>
    <s v="blg_haca_mult_agile-boosting_cons-eng-thruplay_none-none_x_x_ym00437375_x_2025_blg_002_x"/>
    <s v="mult"/>
    <x v="0"/>
    <x v="1"/>
    <x v="1"/>
    <d v="2025-04-01T00:00:00"/>
    <d v="2025-04-11T00:00:00"/>
    <x v="23"/>
    <n v="633.66999799999985"/>
    <n v="134409"/>
  </r>
  <r>
    <x v="0"/>
    <x v="2"/>
    <s v="blg_haca_scalp_reels-only_aw-aw-thruplay_website-viewcontent_na_na_ym00356549_q1-q2-vvr_2024_bcp_002_x"/>
    <s v="scalp"/>
    <x v="3"/>
    <x v="2"/>
    <x v="0"/>
    <d v="2024-04-01T00:00:00"/>
    <d v="2024-04-11T00:00:00"/>
    <x v="34"/>
    <n v="712.61999899999989"/>
    <n v="176771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8T00:00:00"/>
    <x v="42"/>
    <n v="2247.6899969999999"/>
    <n v="359258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9T00:00:00"/>
    <x v="4"/>
    <n v="3974.130001999999"/>
    <n v="595967"/>
  </r>
  <r>
    <x v="0"/>
    <x v="1"/>
    <s v="blg_haca_hys_hydrasource_auc_cons-traffic_x_x_ym00427700_q2_2025_bhs_006_x"/>
    <s v="hys"/>
    <x v="4"/>
    <x v="1"/>
    <x v="1"/>
    <d v="2025-04-01T00:00:00"/>
    <d v="2025-04-17T00:00:00"/>
    <x v="36"/>
    <n v="103.33"/>
    <n v="38403"/>
  </r>
  <r>
    <x v="0"/>
    <x v="0"/>
    <s v="blg_othr_na_na_84570334_2023_q2_conversion-non-promo_other_amazon+ulta+conversion_v2"/>
    <s v="na"/>
    <x v="0"/>
    <x v="0"/>
    <x v="1"/>
    <d v="2023-08-01T00:00:00"/>
    <d v="2023-08-07T00:00:00"/>
    <x v="4"/>
    <n v="1493.2814169999999"/>
    <n v="178319"/>
  </r>
  <r>
    <x v="0"/>
    <x v="2"/>
    <s v="blg_haca_hys_hydrasource_aw-aw-thruplay_none-none_x_x_ym00427700_q2_2025_bhs_006_x"/>
    <s v="hys"/>
    <x v="4"/>
    <x v="1"/>
    <x v="0"/>
    <d v="2025-04-01T00:00:00"/>
    <d v="2025-04-19T00:00:00"/>
    <x v="36"/>
    <n v="2275.1099989999998"/>
    <n v="342011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2T00:00:00"/>
    <x v="35"/>
    <n v="3098.7099960000005"/>
    <n v="302984"/>
  </r>
  <r>
    <x v="0"/>
    <x v="2"/>
    <s v="blg_haca_bond-therapy_na_aw-aw-thruplay_none-viewcontent_na_na_ym87093418_vvr-q4_2023_x_x_x"/>
    <s v="bond-therapy"/>
    <x v="5"/>
    <x v="0"/>
    <x v="2"/>
    <d v="2023-12-01T00:00:00"/>
    <d v="2023-12-19T00:00:00"/>
    <x v="28"/>
    <n v="2878.979996"/>
    <n v="402514"/>
  </r>
  <r>
    <x v="0"/>
    <x v="2"/>
    <s v="blg_haca_bond-therapy_na_aw-aw-thruplay_none-viewcontent_na_na_ym87093418_vvr-q4_2023_x_x_x"/>
    <s v="bond-therapy"/>
    <x v="5"/>
    <x v="0"/>
    <x v="2"/>
    <d v="2023-11-01T00:00:00"/>
    <d v="2023-11-26T00:00:00"/>
    <x v="40"/>
    <n v="3098.3700009999998"/>
    <n v="474738"/>
  </r>
  <r>
    <x v="0"/>
    <x v="2"/>
    <s v="blg_haca_bfr_fullrescue_cons-tra-linkcli_website-none_x_x_ym00458406_q2-q3_2025_bfr_001_x"/>
    <s v="bfr"/>
    <x v="1"/>
    <x v="1"/>
    <x v="0"/>
    <d v="2025-05-01T00:00:00"/>
    <d v="2025-05-23T00:00:00"/>
    <x v="47"/>
    <n v="1716.1700000000003"/>
    <n v="128280"/>
  </r>
  <r>
    <x v="0"/>
    <x v="0"/>
    <s v="blg_othr_na_na_84570334_2023_q2_traffic_other_volumebloom-fulldensity+traffic_v2"/>
    <s v="na"/>
    <x v="0"/>
    <x v="0"/>
    <x v="2"/>
    <d v="2023-08-01T00:00:00"/>
    <d v="2023-08-20T00:00:00"/>
    <x v="0"/>
    <n v="748.33034199999997"/>
    <n v="285109"/>
  </r>
  <r>
    <x v="0"/>
    <x v="1"/>
    <s v="blg_haca_hys_hydrasource_auc_cons-traffic_x_x_ym00427700_q2_2025_bhs_006_x"/>
    <s v="hys"/>
    <x v="4"/>
    <x v="1"/>
    <x v="1"/>
    <d v="2025-04-01T00:00:00"/>
    <d v="2025-04-03T00:00:00"/>
    <x v="26"/>
    <n v="487.21000000000004"/>
    <n v="150110"/>
  </r>
  <r>
    <x v="0"/>
    <x v="0"/>
    <s v="blg_haca_bfr_fullrescue-bonus_aw-awareness_x_bonus-q2_2025_x_x_x"/>
    <s v="bfr"/>
    <x v="1"/>
    <x v="1"/>
    <x v="0"/>
    <d v="2025-06-01T00:00:00"/>
    <d v="2025-06-05T00:00:00"/>
    <x v="10"/>
    <n v="1305.249159"/>
    <n v="624900"/>
  </r>
  <r>
    <x v="0"/>
    <x v="2"/>
    <s v="blg_haca_mult_bf-cyber-dayofsale-bf_cons-tra-linkcli_website-none_promotion_x_ym00384930_q4_2024_blg_001_x"/>
    <s v="mult"/>
    <x v="0"/>
    <x v="2"/>
    <x v="0"/>
    <d v="2024-11-01T00:00:00"/>
    <d v="2024-11-27T00:00:00"/>
    <x v="51"/>
    <n v="14643.889996000004"/>
    <n v="1414461"/>
  </r>
  <r>
    <x v="0"/>
    <x v="2"/>
    <s v="blg_haca_bfr_fullrescue_cons-tra-linkcli_website-none_x_x_ym00458406_q2-q3_2025_bfr_001_x"/>
    <s v="bfr"/>
    <x v="1"/>
    <x v="1"/>
    <x v="1"/>
    <d v="2025-06-01T00:00:00"/>
    <d v="2025-06-04T00:00:00"/>
    <x v="10"/>
    <n v="42.949999999999996"/>
    <n v="4680"/>
  </r>
  <r>
    <x v="0"/>
    <x v="0"/>
    <s v="blg_othr_na_na_84570334_2023_q2_conversion-non-promo_other_amazon+ulta+conversion_v2"/>
    <s v="na"/>
    <x v="0"/>
    <x v="0"/>
    <x v="1"/>
    <d v="2023-07-01T00:00:00"/>
    <d v="2023-07-27T00:00:00"/>
    <x v="39"/>
    <n v="1238.2752379999999"/>
    <n v="126404"/>
  </r>
  <r>
    <x v="0"/>
    <x v="2"/>
    <s v="blg_haca_scalp_reels-only_aw-aw-thruplay_website-viewcontent_na_na_ym00356549_q1-q2-vvr_2024_bcp_002_x"/>
    <s v="scalp"/>
    <x v="3"/>
    <x v="2"/>
    <x v="1"/>
    <d v="2024-04-01T00:00:00"/>
    <d v="2024-04-20T00:00:00"/>
    <x v="24"/>
    <n v="186.10999999999999"/>
    <n v="44108"/>
  </r>
  <r>
    <x v="0"/>
    <x v="2"/>
    <s v="blg_haca_scalp_na_cons-tra-linkcli_none-none_na_na_ym00356549_q1-q2-lctr_2024_bcp_002_x"/>
    <s v="scalp"/>
    <x v="3"/>
    <x v="2"/>
    <x v="0"/>
    <d v="2024-04-01T00:00:00"/>
    <d v="2024-04-05T00:00:00"/>
    <x v="53"/>
    <n v="1313.629999"/>
    <n v="223300"/>
  </r>
  <r>
    <x v="0"/>
    <x v="2"/>
    <s v="blg_haca_scalp_reels-only_aw-aw-thruplay_website-viewcontent_na_na_ym00356549_q1-q2-vvr_2024_bcp_002_x"/>
    <s v="scalp"/>
    <x v="3"/>
    <x v="2"/>
    <x v="0"/>
    <d v="2024-04-01T00:00:00"/>
    <d v="2024-04-21T00:00:00"/>
    <x v="50"/>
    <n v="708.49000299999989"/>
    <n v="175984"/>
  </r>
  <r>
    <x v="0"/>
    <x v="2"/>
    <s v="blg_haca_hys_hydrasource_cons-tra-linkcli_website-none_x_x_ym00427700_q2_2025_bhs_006_x"/>
    <s v="hys"/>
    <x v="4"/>
    <x v="1"/>
    <x v="0"/>
    <d v="2025-04-01T00:00:00"/>
    <d v="2025-04-05T00:00:00"/>
    <x v="26"/>
    <n v="4025.0799990000014"/>
    <n v="510146"/>
  </r>
  <r>
    <x v="0"/>
    <x v="2"/>
    <s v="blg_haca_bond-therapy_na_aw-aw-thruplay_none-viewcontent_na_na_ym87093418_vvr-q4_2023_x_x_x"/>
    <s v="bond-therapy"/>
    <x v="5"/>
    <x v="0"/>
    <x v="2"/>
    <d v="2023-12-01T00:00:00"/>
    <d v="2023-12-20T00:00:00"/>
    <x v="28"/>
    <n v="2718.010002"/>
    <n v="388108"/>
  </r>
  <r>
    <x v="0"/>
    <x v="2"/>
    <s v="blg_haca_scalp_na_cons-tra-linkcli_none-none_na_na_ym00356549_q1-q2-lctr_2024_bcp_002_x"/>
    <s v="scalp"/>
    <x v="3"/>
    <x v="2"/>
    <x v="1"/>
    <d v="2024-04-01T00:00:00"/>
    <d v="2024-04-17T00:00:00"/>
    <x v="24"/>
    <n v="72.860000000000014"/>
    <n v="8785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6T00:00:00"/>
    <x v="43"/>
    <n v="2814.5000010000008"/>
    <n v="319214"/>
  </r>
  <r>
    <x v="0"/>
    <x v="1"/>
    <s v="blg_haca_hys_hydrasource_auc_cons-traffic_x_x_ym00427700_q2_2025_bhs_006_x"/>
    <s v="hys"/>
    <x v="4"/>
    <x v="1"/>
    <x v="1"/>
    <d v="2025-04-01T00:00:00"/>
    <d v="2025-04-08T00:00:00"/>
    <x v="23"/>
    <n v="122.29"/>
    <n v="38516"/>
  </r>
  <r>
    <x v="0"/>
    <x v="2"/>
    <s v="blg_haca_scalp_na_cons-tra-linkcli_none-none_na_na_ym00356549_q1-q2-lctr_2024_bcp_002_x"/>
    <s v="scalp"/>
    <x v="3"/>
    <x v="2"/>
    <x v="1"/>
    <d v="2024-03-01T00:00:00"/>
    <d v="2024-03-16T00:00:00"/>
    <x v="25"/>
    <n v="1634.1799979999998"/>
    <n v="234188"/>
  </r>
  <r>
    <x v="0"/>
    <x v="2"/>
    <s v="blg_haca_bfr_fullrescue_aw-aw-thruplay_none-none_x_x_ym00458406_q2-q3_2025_bfr_001_x"/>
    <s v="bfr"/>
    <x v="1"/>
    <x v="1"/>
    <x v="1"/>
    <d v="2025-06-01T00:00:00"/>
    <d v="2025-06-22T00:00:00"/>
    <x v="7"/>
    <n v="1481.2"/>
    <n v="253570"/>
  </r>
  <r>
    <x v="0"/>
    <x v="2"/>
    <s v="blg_haca_mult_agile-boosting_cons-eng-thruplay_none-none_x_x_ym00437375_x_2025_blg_002_x"/>
    <s v="mult"/>
    <x v="0"/>
    <x v="1"/>
    <x v="0"/>
    <d v="2025-05-01T00:00:00"/>
    <d v="2025-05-08T00:00:00"/>
    <x v="12"/>
    <n v="66.47999999999999"/>
    <n v="14264"/>
  </r>
  <r>
    <x v="0"/>
    <x v="2"/>
    <s v="blg_haca_bfr_fullrescue_cons-tra-linkcli_website-none_x_x_ym00458406_q2-q3_2025_bfr_001_x"/>
    <s v="bfr"/>
    <x v="1"/>
    <x v="1"/>
    <x v="1"/>
    <d v="2025-06-01T00:00:00"/>
    <d v="2025-06-29T00:00:00"/>
    <x v="1"/>
    <n v="296.17000400000001"/>
    <n v="30479"/>
  </r>
  <r>
    <x v="0"/>
    <x v="2"/>
    <s v="blg_haca_scalp_na_cons-tra-linkcli_none-none_na_na_ym00356549_q1-q2-lctr_2024_bcp_002_x"/>
    <s v="scalp"/>
    <x v="3"/>
    <x v="2"/>
    <x v="0"/>
    <d v="2024-04-01T00:00:00"/>
    <d v="2024-04-07T00:00:00"/>
    <x v="34"/>
    <n v="1555.5699979999997"/>
    <n v="252101"/>
  </r>
  <r>
    <x v="0"/>
    <x v="2"/>
    <s v="blg_haca_bfr_fullrescue_aw-aw-thruplay_none-none_x_x_ym00458406_q2-q3_2025_bfr_001_x"/>
    <s v="bfr"/>
    <x v="1"/>
    <x v="1"/>
    <x v="1"/>
    <d v="2025-05-01T00:00:00"/>
    <d v="2025-05-15T00:00:00"/>
    <x v="17"/>
    <n v="735.19999999999993"/>
    <n v="115592"/>
  </r>
  <r>
    <x v="0"/>
    <x v="2"/>
    <s v="blg_haca_scalp_reels-only_aw-aw-thruplay_website-viewcontent_na_na_ym00356549_q1-q2-vvr_2024_bcp_002_x"/>
    <s v="scalp"/>
    <x v="3"/>
    <x v="2"/>
    <x v="1"/>
    <d v="2024-04-01T00:00:00"/>
    <d v="2024-04-03T00:00:00"/>
    <x v="53"/>
    <n v="267.21999899999992"/>
    <n v="74004"/>
  </r>
  <r>
    <x v="0"/>
    <x v="2"/>
    <s v="blg_haca_mult_agile-boosting_cons-eng-thruplay_none-none_x_x_ym00437375_x_2025_blg_002_x"/>
    <s v="mult"/>
    <x v="0"/>
    <x v="1"/>
    <x v="1"/>
    <d v="2025-04-01T00:00:00"/>
    <d v="2025-04-24T00:00:00"/>
    <x v="11"/>
    <n v="750.63999999999987"/>
    <n v="153303"/>
  </r>
  <r>
    <x v="0"/>
    <x v="2"/>
    <s v="blg_haca_hydrasource_reelsonly_aw-aw-thruplay_none-none_na_na_ym00339376_q1-vvr_2024_bhs_001_x"/>
    <s v="hydrasource"/>
    <x v="4"/>
    <x v="2"/>
    <x v="0"/>
    <d v="2024-02-01T00:00:00"/>
    <d v="2024-02-16T00:00:00"/>
    <x v="20"/>
    <n v="899.65999600000009"/>
    <n v="192936"/>
  </r>
  <r>
    <x v="0"/>
    <x v="2"/>
    <s v="blg_haca_bfr_fullrescue_cons-tra-linkcli_website-none_x_x_ym00458406_q2-q3_2025_bfr_001_x"/>
    <s v="bfr"/>
    <x v="1"/>
    <x v="1"/>
    <x v="1"/>
    <d v="2025-06-01T00:00:00"/>
    <d v="2025-06-06T00:00:00"/>
    <x v="10"/>
    <n v="50.359998000000004"/>
    <n v="5141"/>
  </r>
  <r>
    <x v="0"/>
    <x v="2"/>
    <s v="blg_haca_hydrasource_na_cons-tra-linkcli_none-none_na_na_ym00339376_q1-lctr_2024_bhs_001_x"/>
    <s v="hydrasource"/>
    <x v="4"/>
    <x v="2"/>
    <x v="0"/>
    <d v="2024-01-01T00:00:00"/>
    <d v="2024-01-16T00:00:00"/>
    <x v="57"/>
    <n v="3116.3999999999996"/>
    <n v="640787"/>
  </r>
  <r>
    <x v="0"/>
    <x v="1"/>
    <s v="blg_haca_bfr_full-rescue_auc_cons-traffic_x_x_YM00458406_q2_2025_bfr_001_x"/>
    <s v="bfr"/>
    <x v="1"/>
    <x v="1"/>
    <x v="0"/>
    <d v="2025-06-01T00:00:00"/>
    <d v="2025-06-20T00:00:00"/>
    <x v="16"/>
    <n v="4541.5099999999993"/>
    <n v="767141"/>
  </r>
  <r>
    <x v="0"/>
    <x v="2"/>
    <s v="blg_haca_bfr_fullrescue_aw-aw-thruplay_none-none_x_x_ym00458406_q2-q3_2025_bfr_001_x"/>
    <s v="bfr"/>
    <x v="1"/>
    <x v="1"/>
    <x v="1"/>
    <d v="2025-06-01T00:00:00"/>
    <d v="2025-06-21T00:00:00"/>
    <x v="16"/>
    <n v="1078.17"/>
    <n v="176918"/>
  </r>
  <r>
    <x v="0"/>
    <x v="2"/>
    <s v="blg_haca_mult_agile-boosting_cons-eng-thruplay_none-none_x_x_ym00437375_x_2025_blg_002_x"/>
    <s v="mult"/>
    <x v="0"/>
    <x v="1"/>
    <x v="1"/>
    <d v="2025-06-01T00:00:00"/>
    <d v="2025-06-04T00:00:00"/>
    <x v="10"/>
    <n v="1335.31"/>
    <n v="217470"/>
  </r>
  <r>
    <x v="0"/>
    <x v="1"/>
    <s v="blg_haca_hys_hydrasource_auc_cons-traffic_x_x_ym00427700_q2_2025_bhs_006_x"/>
    <s v="hys"/>
    <x v="4"/>
    <x v="1"/>
    <x v="0"/>
    <d v="2025-04-01T00:00:00"/>
    <d v="2025-04-11T00:00:00"/>
    <x v="23"/>
    <n v="5416.73"/>
    <n v="1144407"/>
  </r>
  <r>
    <x v="0"/>
    <x v="0"/>
    <s v="blg_othr_na_na_84570334_2023_q2_conversion-non-promo_other_amazon+ulta+conversion_v2"/>
    <s v="na"/>
    <x v="0"/>
    <x v="0"/>
    <x v="0"/>
    <d v="2023-08-01T00:00:00"/>
    <d v="2023-08-03T00:00:00"/>
    <x v="2"/>
    <n v="245.25578200000001"/>
    <n v="103724"/>
  </r>
  <r>
    <x v="0"/>
    <x v="2"/>
    <s v="blg_haca_hydrasource_x_cons-tra-linkcli_none-none_x_x_ym00339376_q4-lctr_2024_bhs_001_x"/>
    <s v="hydrasource"/>
    <x v="4"/>
    <x v="2"/>
    <x v="0"/>
    <d v="2024-10-01T00:00:00"/>
    <d v="2024-10-14T00:00:00"/>
    <x v="32"/>
    <n v="2537.6200009999998"/>
    <n v="274264"/>
  </r>
  <r>
    <x v="0"/>
    <x v="2"/>
    <s v="blg_haca_mult_bf-cyber-dayofsale-bf_cons-tra-linkcli_website-none_promotion_x_ym00384930_q4_2024_blg_001_x"/>
    <s v="mult"/>
    <x v="0"/>
    <x v="2"/>
    <x v="0"/>
    <d v="2024-11-01T00:00:00"/>
    <d v="2024-11-25T00:00:00"/>
    <x v="51"/>
    <n v="15162.370006000003"/>
    <n v="1202929"/>
  </r>
  <r>
    <x v="0"/>
    <x v="2"/>
    <s v="blg_haca_scalp_na_cons-tra-linkcli_none-none_na_na_ym00356549_q1-q2-lctr_2024_bcp_002_x"/>
    <s v="scalp"/>
    <x v="3"/>
    <x v="2"/>
    <x v="1"/>
    <d v="2024-03-01T00:00:00"/>
    <d v="2024-03-23T00:00:00"/>
    <x v="64"/>
    <n v="1630.63"/>
    <n v="240822"/>
  </r>
  <r>
    <x v="0"/>
    <x v="1"/>
    <s v="blg_haca_mult_ao-boosting_auc_aw-video-views_x_x_ym00437375_x_2025_blg_002_x"/>
    <s v="mult"/>
    <x v="0"/>
    <x v="1"/>
    <x v="0"/>
    <d v="2025-04-01T00:00:00"/>
    <d v="2025-04-10T00:00:00"/>
    <x v="23"/>
    <n v="1.87"/>
    <n v="783"/>
  </r>
  <r>
    <x v="0"/>
    <x v="2"/>
    <s v="blg_haca_bond-therapy_na_aw-aw-thruplay_none-viewcontent_na_na_ym87093418_vvr-q4_2023_x_x_x"/>
    <s v="bond-therapy"/>
    <x v="5"/>
    <x v="0"/>
    <x v="2"/>
    <d v="2023-12-01T00:00:00"/>
    <d v="2023-12-27T00:00:00"/>
    <x v="43"/>
    <n v="2641.9200039999996"/>
    <n v="409688"/>
  </r>
  <r>
    <x v="0"/>
    <x v="2"/>
    <s v="blg_haca_hys_hydrasource_cons-tra-linkcli_website-none_x_x_ym00427700_q2_2025_bhs_006_x"/>
    <s v="hys"/>
    <x v="4"/>
    <x v="1"/>
    <x v="0"/>
    <d v="2025-04-01T00:00:00"/>
    <d v="2025-04-29T00:00:00"/>
    <x v="19"/>
    <n v="3602.4999990000001"/>
    <n v="345324"/>
  </r>
  <r>
    <x v="0"/>
    <x v="2"/>
    <s v="blg_haca_bfr_fullrescue_cons-tra-linkcli_website-none_x_x_ym00458406_q2-q3_2025_bfr_001_x"/>
    <s v="bfr"/>
    <x v="1"/>
    <x v="1"/>
    <x v="1"/>
    <d v="2025-05-01T00:00:00"/>
    <d v="2025-05-27T00:00:00"/>
    <x v="8"/>
    <n v="13.549999999999999"/>
    <n v="1621"/>
  </r>
  <r>
    <x v="0"/>
    <x v="2"/>
    <s v="blg_haca_mult_agile-boosting_cons-eng-thruplay_none-none_x_x_ym00437375_x_2025_blg_002_x"/>
    <s v="mult"/>
    <x v="0"/>
    <x v="1"/>
    <x v="0"/>
    <d v="2025-05-01T00:00:00"/>
    <d v="2025-05-27T00:00:00"/>
    <x v="8"/>
    <n v="263.37"/>
    <n v="46891"/>
  </r>
  <r>
    <x v="0"/>
    <x v="1"/>
    <s v="blg_haca_bfr_full-rescue_auc_cons-traffic_x_x_YM00458406_q2_2025_bfr_001_x"/>
    <s v="bfr"/>
    <x v="1"/>
    <x v="1"/>
    <x v="0"/>
    <d v="2025-06-01T00:00:00"/>
    <d v="2025-06-28T00:00:00"/>
    <x v="7"/>
    <n v="328.04999999999995"/>
    <n v="62287"/>
  </r>
  <r>
    <x v="0"/>
    <x v="2"/>
    <s v="blg_haca_hys_hydrasource_aw-aw-thruplay_none-none_x_x_ym00427700_q2_2025_bhs_006_x"/>
    <s v="hys"/>
    <x v="4"/>
    <x v="1"/>
    <x v="0"/>
    <d v="2025-04-01T00:00:00"/>
    <d v="2025-04-04T00:00:00"/>
    <x v="26"/>
    <n v="1902.0899970000003"/>
    <n v="274199"/>
  </r>
  <r>
    <x v="0"/>
    <x v="2"/>
    <s v="blg_haca_hydrasource_na_cons-tra-linkcli_none-none_na_na_ym00339376_q1-lctr_2024_bhs_001_x"/>
    <s v="hydrasource"/>
    <x v="4"/>
    <x v="2"/>
    <x v="0"/>
    <d v="2024-02-01T00:00:00"/>
    <d v="2024-02-16T00:00:00"/>
    <x v="20"/>
    <n v="2965.5000080000004"/>
    <n v="466312"/>
  </r>
  <r>
    <x v="0"/>
    <x v="2"/>
    <s v="blg_haca_hydrasource_reelsonly_aw-aw-thruplay_none-none_na_na_ym00339376_q1-vvr_2024_bhs_001_x"/>
    <s v="hydrasource"/>
    <x v="4"/>
    <x v="2"/>
    <x v="0"/>
    <d v="2024-02-01T00:00:00"/>
    <d v="2024-02-06T00:00:00"/>
    <x v="41"/>
    <n v="767.1599990000002"/>
    <n v="178374"/>
  </r>
  <r>
    <x v="0"/>
    <x v="1"/>
    <s v="blg_haca_bfr_full-rescue_auc_cons-traffic_x_x_YM00458406_q2_2025_bfr_001_x"/>
    <s v="bfr"/>
    <x v="1"/>
    <x v="1"/>
    <x v="0"/>
    <d v="2025-06-01T00:00:00"/>
    <d v="2025-06-08T00:00:00"/>
    <x v="18"/>
    <n v="5503.0300000000007"/>
    <n v="1220747"/>
  </r>
  <r>
    <x v="0"/>
    <x v="2"/>
    <s v="blg_haca_mult_agile-boosting_cons-eng-thruplay_none-none_x_x_ym00437375_x_2025_blg_002_x"/>
    <s v="mult"/>
    <x v="0"/>
    <x v="1"/>
    <x v="1"/>
    <d v="2025-05-01T00:00:00"/>
    <d v="2025-05-09T00:00:00"/>
    <x v="12"/>
    <n v="1450.96"/>
    <n v="274384"/>
  </r>
  <r>
    <x v="0"/>
    <x v="2"/>
    <s v="blg_haca_bfr_fullrescue_aw-aw-thruplay_none-none_x_x_ym00458406_q2-q3_2025_bfr_001_x"/>
    <s v="bfr"/>
    <x v="1"/>
    <x v="1"/>
    <x v="0"/>
    <d v="2025-05-01T00:00:00"/>
    <d v="2025-05-11T00:00:00"/>
    <x v="17"/>
    <n v="763.37999999999988"/>
    <n v="144714"/>
  </r>
  <r>
    <x v="0"/>
    <x v="2"/>
    <s v="blg_haca_hys_hydrasource_cons-tra-linkcli_website-none_x_x_ym00427700_q2_2025_bhs_006_x"/>
    <s v="hys"/>
    <x v="4"/>
    <x v="1"/>
    <x v="0"/>
    <d v="2025-04-01T00:00:00"/>
    <d v="2025-04-14T00:00:00"/>
    <x v="36"/>
    <n v="3970.1400009999998"/>
    <n v="361271"/>
  </r>
  <r>
    <x v="0"/>
    <x v="2"/>
    <s v="blg_haca_bfr_fullrescue_aw-aw-thruplay_none-none_x_x_ym00458406_q2-q3_2025_bfr_001_x"/>
    <s v="bfr"/>
    <x v="1"/>
    <x v="1"/>
    <x v="1"/>
    <d v="2025-05-01T00:00:00"/>
    <d v="2025-05-31T00:00:00"/>
    <x v="8"/>
    <n v="37.689997999999996"/>
    <n v="1678"/>
  </r>
  <r>
    <x v="0"/>
    <x v="1"/>
    <s v="blg_haca_bfr_full-rescue_auc_aw-video-views_x_x_YM00458406_q2_2025_bfr_001_x"/>
    <s v="bfr"/>
    <x v="1"/>
    <x v="1"/>
    <x v="1"/>
    <d v="2025-06-01T00:00:00"/>
    <d v="2025-06-09T00:00:00"/>
    <x v="18"/>
    <n v="1724.5299999999997"/>
    <n v="234891"/>
  </r>
  <r>
    <x v="0"/>
    <x v="1"/>
    <s v="blg_haca_mult_ao-boosting_auc_aw-video-views_x_x_ym00437375_x_2025_blg_002_x"/>
    <s v="mult"/>
    <x v="0"/>
    <x v="1"/>
    <x v="1"/>
    <d v="2025-04-01T00:00:00"/>
    <d v="2025-04-13T00:00:00"/>
    <x v="36"/>
    <n v="1323.5700000000002"/>
    <n v="373244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17T00:00:00"/>
    <x v="55"/>
    <n v="3027.4300000000007"/>
    <n v="245037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20T00:00:00"/>
    <x v="28"/>
    <n v="1730.0699979999999"/>
    <n v="145950"/>
  </r>
  <r>
    <x v="0"/>
    <x v="2"/>
    <s v="blg_haca_hys_hydrasource_aw-aw-thruplay_none-none_x_x_ym00427700_q2_2025_bhs_006_x"/>
    <s v="hys"/>
    <x v="4"/>
    <x v="1"/>
    <x v="0"/>
    <d v="2025-04-01T00:00:00"/>
    <d v="2025-04-06T00:00:00"/>
    <x v="23"/>
    <n v="1636.6500040000001"/>
    <n v="172352"/>
  </r>
  <r>
    <x v="0"/>
    <x v="1"/>
    <s v="blg_haca_mult_ao-boosting_auc_aw-video-views_x_x_ym00437375_x_2025_blg_002_x"/>
    <s v="mult"/>
    <x v="0"/>
    <x v="1"/>
    <x v="1"/>
    <d v="2025-04-01T00:00:00"/>
    <d v="2025-04-07T00:00:00"/>
    <x v="23"/>
    <n v="895.28"/>
    <n v="272273"/>
  </r>
  <r>
    <x v="0"/>
    <x v="2"/>
    <s v="blg_haca_hydrasource_na_cons-tra-linkcli_none-none_na_na_ym00339376_q1-lctr_2024_bhs_001_x"/>
    <s v="hydrasource"/>
    <x v="4"/>
    <x v="2"/>
    <x v="0"/>
    <d v="2024-01-01T00:00:00"/>
    <d v="2024-01-15T00:00:00"/>
    <x v="57"/>
    <n v="3469.709996999999"/>
    <n v="724043"/>
  </r>
  <r>
    <x v="0"/>
    <x v="2"/>
    <s v="blg_haca_hydrasource_bau_aw-aw-thruplay_none-none_na_na_ym00339376_q1-vvr_2024_bhs_001_x"/>
    <s v="hydrasource"/>
    <x v="4"/>
    <x v="2"/>
    <x v="2"/>
    <d v="2024-02-01T00:00:00"/>
    <d v="2024-02-29T00:00:00"/>
    <x v="29"/>
    <n v="1268.2099909999999"/>
    <n v="170413"/>
  </r>
  <r>
    <x v="0"/>
    <x v="2"/>
    <s v="blg_haca_bfr_fullrescue_cons-tra-linkcli_website-none_x_x_ym00458406_q2-q3_2025_bfr_001_x"/>
    <s v="bfr"/>
    <x v="1"/>
    <x v="1"/>
    <x v="0"/>
    <d v="2025-05-01T00:00:00"/>
    <d v="2025-05-14T00:00:00"/>
    <x v="17"/>
    <n v="1757.9500029999999"/>
    <n v="138455"/>
  </r>
  <r>
    <x v="0"/>
    <x v="2"/>
    <s v="blg_haca_hys_hydrasource_aw-aw-thruplay_none-none_x_x_ym00427700_q2_2025_bhs_006_x"/>
    <s v="hys"/>
    <x v="4"/>
    <x v="1"/>
    <x v="1"/>
    <d v="2025-04-01T00:00:00"/>
    <d v="2025-04-28T00:00:00"/>
    <x v="19"/>
    <n v="397.77"/>
    <n v="18029"/>
  </r>
  <r>
    <x v="0"/>
    <x v="2"/>
    <s v="blg_haca_hydrasource_bau_aw-aw-thruplay_none-none_na_na_ym00339376_q1-vvr_2024_bhs_001_x"/>
    <s v="hydrasource"/>
    <x v="4"/>
    <x v="2"/>
    <x v="2"/>
    <d v="2024-01-01T00:00:00"/>
    <d v="2024-01-28T00:00:00"/>
    <x v="5"/>
    <n v="1620.7999989999996"/>
    <n v="372274"/>
  </r>
  <r>
    <x v="0"/>
    <x v="0"/>
    <s v="blg_haca_bfr_fullrescue-bonus_aw-awareness_x_bonus-q2_2025_x_x_x"/>
    <s v="bfr"/>
    <x v="1"/>
    <x v="1"/>
    <x v="1"/>
    <d v="2025-06-01T00:00:00"/>
    <d v="2025-06-29T00:00:00"/>
    <x v="1"/>
    <n v="404.43541499999998"/>
    <n v="174572"/>
  </r>
  <r>
    <x v="0"/>
    <x v="0"/>
    <s v="blg_haca_bfr_fullrescue-bonus_aw-awareness_x_bonus-q2_2025_x_x_x"/>
    <s v="bfr"/>
    <x v="1"/>
    <x v="1"/>
    <x v="1"/>
    <d v="2025-06-01T00:00:00"/>
    <d v="2025-06-03T00:00:00"/>
    <x v="10"/>
    <n v="514.6858749999999"/>
    <n v="252085"/>
  </r>
  <r>
    <x v="0"/>
    <x v="2"/>
    <s v="blg_haca_mult_agile-boosting_cons-eng-thruplay_none-none_x_x_ym00437375_x_2025_blg_002_x"/>
    <s v="mult"/>
    <x v="0"/>
    <x v="1"/>
    <x v="1"/>
    <d v="2025-05-01T00:00:00"/>
    <d v="2025-05-13T00:00:00"/>
    <x v="17"/>
    <n v="1344.470002"/>
    <n v="237604"/>
  </r>
  <r>
    <x v="0"/>
    <x v="2"/>
    <s v="blg_haca_scalp_bau_aw-aw-thruplay_website-viewcontent_na_na_ym00356549_q1-q2-vvr_2024_bcp_002_x"/>
    <s v="scalp"/>
    <x v="3"/>
    <x v="2"/>
    <x v="1"/>
    <d v="2024-04-01T00:00:00"/>
    <d v="2024-04-15T00:00:00"/>
    <x v="24"/>
    <n v="2265.5699970000001"/>
    <n v="541997"/>
  </r>
  <r>
    <x v="0"/>
    <x v="2"/>
    <s v="blg_haca_hydrasource_bau_aw-aw-thruplay_none-none_na_na_ym00339376_q1-vvr_2024_bhs_001_x"/>
    <s v="hydrasource"/>
    <x v="4"/>
    <x v="2"/>
    <x v="2"/>
    <d v="2024-02-01T00:00:00"/>
    <d v="2024-02-05T00:00:00"/>
    <x v="41"/>
    <n v="1471.370007"/>
    <n v="295380"/>
  </r>
  <r>
    <x v="0"/>
    <x v="1"/>
    <s v="blg_haca_hys_hydrasource_auc_aw-video-views_x_x_ym00427700_q2_2025_bhs_006_x"/>
    <s v="hys"/>
    <x v="4"/>
    <x v="1"/>
    <x v="0"/>
    <d v="2025-04-01T00:00:00"/>
    <d v="2025-04-17T00:00:00"/>
    <x v="36"/>
    <n v="3695.72"/>
    <n v="883391"/>
  </r>
  <r>
    <x v="0"/>
    <x v="2"/>
    <s v="blg_haca_bfr_fullrescue_cons-tra-linkcli_website-none_x_x_ym00458406_q2-q3_2025_bfr_001_x"/>
    <s v="bfr"/>
    <x v="1"/>
    <x v="1"/>
    <x v="1"/>
    <d v="2025-06-01T00:00:00"/>
    <d v="2025-06-25T00:00:00"/>
    <x v="7"/>
    <n v="360.15999699999992"/>
    <n v="39104"/>
  </r>
  <r>
    <x v="0"/>
    <x v="2"/>
    <s v="blg_haca_bfr_fullrescue_cons-tra-linkcli_website-none_x_x_ym00458406_q2-q3_2025_bfr_001_x"/>
    <s v="bfr"/>
    <x v="1"/>
    <x v="1"/>
    <x v="0"/>
    <d v="2025-06-01T00:00:00"/>
    <d v="2025-06-21T00:00:00"/>
    <x v="16"/>
    <n v="1755.1199999999994"/>
    <n v="148579"/>
  </r>
  <r>
    <x v="0"/>
    <x v="2"/>
    <s v="blg_haca_scalp_na_cons-tra-linkcli_none-none_na_na_ym00356549_q1-q2-lctr_2024_bcp_002_x"/>
    <s v="scalp"/>
    <x v="3"/>
    <x v="2"/>
    <x v="1"/>
    <d v="2024-03-01T00:00:00"/>
    <d v="2024-03-18T00:00:00"/>
    <x v="64"/>
    <n v="1736.4199990000002"/>
    <n v="249202"/>
  </r>
  <r>
    <x v="0"/>
    <x v="2"/>
    <s v="blg_haca_hydrasource_na_cons-tra-linkcli_none-none_na_na_ym00339376_q1-lctr_2024_bhs_001_x"/>
    <s v="hydrasource"/>
    <x v="4"/>
    <x v="2"/>
    <x v="0"/>
    <d v="2024-02-01T00:00:00"/>
    <d v="2024-02-13T00:00:00"/>
    <x v="20"/>
    <n v="3086.6799979999992"/>
    <n v="457497"/>
  </r>
  <r>
    <x v="0"/>
    <x v="2"/>
    <s v="blg_haca_bfr_fullrescue_cons-tra-linkcli_website-none_x_x_ym00458406_q2-q3_2025_bfr_001_x"/>
    <s v="bfr"/>
    <x v="1"/>
    <x v="1"/>
    <x v="1"/>
    <d v="2025-05-01T00:00:00"/>
    <d v="2025-05-31T00:00:00"/>
    <x v="8"/>
    <n v="14.479999999999997"/>
    <n v="1714"/>
  </r>
  <r>
    <x v="0"/>
    <x v="2"/>
    <s v="blg_haca_hydrasource_bau_aw-aw-thruplay_none-none_na_na_ym00339376_q1-vvr_2024_bhs_001_x"/>
    <s v="hydrasource"/>
    <x v="4"/>
    <x v="2"/>
    <x v="2"/>
    <d v="2024-02-01T00:00:00"/>
    <d v="2024-02-02T00:00:00"/>
    <x v="5"/>
    <n v="1225.4200049999999"/>
    <n v="223415"/>
  </r>
  <r>
    <x v="0"/>
    <x v="2"/>
    <s v="blg_haca_mult_agile-boosting_cons-eng-thruplay_none-none_x_x_ym00437375_x_2025_blg_002_x"/>
    <s v="mult"/>
    <x v="0"/>
    <x v="1"/>
    <x v="0"/>
    <d v="2025-04-01T00:00:00"/>
    <d v="2025-04-11T00:00:00"/>
    <x v="23"/>
    <n v="1166.940002"/>
    <n v="255285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27T00:00:00"/>
    <x v="43"/>
    <n v="2477.09"/>
    <n v="274814"/>
  </r>
  <r>
    <x v="0"/>
    <x v="2"/>
    <s v="blg_haca_scalp_reels-only_aw-aw-thruplay_website-viewcontent_na_na_ym00356549_q1-q2-vvr_2024_bcp_002_x"/>
    <s v="scalp"/>
    <x v="3"/>
    <x v="2"/>
    <x v="0"/>
    <d v="2024-04-01T00:00:00"/>
    <d v="2024-04-09T00:00:00"/>
    <x v="34"/>
    <n v="777.09999900000003"/>
    <n v="200656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4T00:00:00"/>
    <x v="38"/>
    <n v="3011.8499980000015"/>
    <n v="298132"/>
  </r>
  <r>
    <x v="0"/>
    <x v="2"/>
    <s v="blg_haca_hydrasource_bau_aw-aw-thruplay_none-none_na_na_ym00339376_q1-vvr_2024_bhs_001_x"/>
    <s v="hydrasource"/>
    <x v="4"/>
    <x v="2"/>
    <x v="2"/>
    <d v="2024-02-01T00:00:00"/>
    <d v="2024-02-08T00:00:00"/>
    <x v="41"/>
    <n v="1123.359997"/>
    <n v="190217"/>
  </r>
  <r>
    <x v="0"/>
    <x v="2"/>
    <s v="blg_haca_mult_agile-boosting_cons-eng-thruplay_none-none_x_x_ym00437375_x_2025_blg_002_x"/>
    <s v="mult"/>
    <x v="0"/>
    <x v="1"/>
    <x v="1"/>
    <d v="2025-05-01T00:00:00"/>
    <d v="2025-05-29T00:00:00"/>
    <x v="8"/>
    <n v="927.1000019999999"/>
    <n v="144441"/>
  </r>
  <r>
    <x v="0"/>
    <x v="2"/>
    <s v="blg_haca_hydrasource_x_cons-tra-linkcli_none-none_x_x_ym00339376_q4-lctr_2024_bhs_001_x"/>
    <s v="hydrasource"/>
    <x v="4"/>
    <x v="2"/>
    <x v="0"/>
    <d v="2024-10-01T00:00:00"/>
    <d v="2024-10-18T00:00:00"/>
    <x v="32"/>
    <n v="2541.599999"/>
    <n v="258071"/>
  </r>
  <r>
    <x v="0"/>
    <x v="2"/>
    <s v="blg_haca_bfr_fullrescue_aw-aw-thruplay_none-none_x_x_ym00458406_q2-q3_2025_bfr_001_x"/>
    <s v="bfr"/>
    <x v="1"/>
    <x v="1"/>
    <x v="0"/>
    <d v="2025-06-01T00:00:00"/>
    <d v="2025-06-02T00:00:00"/>
    <x v="10"/>
    <n v="1695.6800010000002"/>
    <n v="281207"/>
  </r>
  <r>
    <x v="0"/>
    <x v="2"/>
    <s v="blg_haca_hydrasource_bau_aw-aw-thruplay_none-none_na_na_ym00339376_q1-vvr_2024_bhs_001_x"/>
    <s v="hydrasource"/>
    <x v="4"/>
    <x v="2"/>
    <x v="2"/>
    <d v="2024-01-01T00:00:00"/>
    <d v="2024-01-30T00:00:00"/>
    <x v="5"/>
    <n v="1469.3899960000001"/>
    <n v="293066"/>
  </r>
  <r>
    <x v="0"/>
    <x v="2"/>
    <s v="blg_haca_bfr_fullrescue_aw-aw-thruplay_none-none_x_x_ym00458406_q2-q3_2025_bfr_001_x"/>
    <s v="bfr"/>
    <x v="1"/>
    <x v="1"/>
    <x v="1"/>
    <d v="2025-05-01T00:00:00"/>
    <d v="2025-05-21T00:00:00"/>
    <x v="47"/>
    <n v="17.920000000000002"/>
    <n v="1189"/>
  </r>
  <r>
    <x v="0"/>
    <x v="2"/>
    <s v="blg_haca_bfr_fullrescue_aw-aw-thruplay_none-none_x_x_ym00458406_q2-q3_2025_bfr_001_x"/>
    <s v="bfr"/>
    <x v="1"/>
    <x v="1"/>
    <x v="1"/>
    <d v="2025-05-01T00:00:00"/>
    <d v="2025-05-25T00:00:00"/>
    <x v="8"/>
    <n v="17.05"/>
    <n v="699"/>
  </r>
  <r>
    <x v="0"/>
    <x v="1"/>
    <s v="blg_haca_bfr_full-rescue_auc_aw-video-views_x_x_YM00458406_q2_2025_bfr_001_x"/>
    <s v="bfr"/>
    <x v="1"/>
    <x v="1"/>
    <x v="0"/>
    <d v="2025-06-01T00:00:00"/>
    <d v="2025-06-06T00:00:00"/>
    <x v="10"/>
    <n v="2.72"/>
    <n v="613"/>
  </r>
  <r>
    <x v="0"/>
    <x v="2"/>
    <s v="blg_haca_scalp_reels-only_aw-aw-thruplay_website-viewcontent_na_na_ym00356549_q1-q2-vvr_2024_bcp_002_x"/>
    <s v="scalp"/>
    <x v="3"/>
    <x v="2"/>
    <x v="1"/>
    <d v="2024-04-01T00:00:00"/>
    <d v="2024-04-15T00:00:00"/>
    <x v="24"/>
    <n v="187.22"/>
    <n v="44527"/>
  </r>
  <r>
    <x v="0"/>
    <x v="0"/>
    <s v="blg_haca_scalp-sync_awareness_aw-awareness_ym00356548_all_2024_bcp_004_x"/>
    <s v="scalp-sync"/>
    <x v="3"/>
    <x v="2"/>
    <x v="2"/>
    <d v="2024-05-01T00:00:00"/>
    <d v="2024-05-04T00:00:00"/>
    <x v="44"/>
    <n v="3360.4204820000004"/>
    <n v="1553940"/>
  </r>
  <r>
    <x v="0"/>
    <x v="2"/>
    <s v="blg_haca_hydrasource_reelsonly_aw-aw-thruplay_none-none_na_na_ym00339376_q1-vvr_2024_bhs_001_x"/>
    <s v="hydrasource"/>
    <x v="4"/>
    <x v="2"/>
    <x v="0"/>
    <d v="2024-02-01T00:00:00"/>
    <d v="2024-02-03T00:00:00"/>
    <x v="5"/>
    <n v="665.04000000000008"/>
    <n v="154184"/>
  </r>
  <r>
    <x v="0"/>
    <x v="2"/>
    <s v="blg_haca_mult_bf-cyber-leadup_cons-tra-linkcli_website-none_promotion_x_ym00384930_q4_2024_blg_001_x"/>
    <s v="mult"/>
    <x v="0"/>
    <x v="2"/>
    <x v="0"/>
    <d v="2024-11-01T00:00:00"/>
    <d v="2024-11-20T00:00:00"/>
    <x v="58"/>
    <n v="4980.360001"/>
    <n v="599602"/>
  </r>
  <r>
    <x v="0"/>
    <x v="2"/>
    <s v="blg_haca_hydrasource_reelsonly_aw-aw-thruplay_none-none_na_na_ym00339376_q1-vvr_2024_bhs_001_x"/>
    <s v="hydrasource"/>
    <x v="4"/>
    <x v="2"/>
    <x v="0"/>
    <d v="2024-01-01T00:00:00"/>
    <d v="2024-01-16T00:00:00"/>
    <x v="57"/>
    <n v="627.26"/>
    <n v="168449"/>
  </r>
  <r>
    <x v="0"/>
    <x v="2"/>
    <s v="blg_haca_mult_agile-boosting_cons-eng-thruplay_none-none_x_x_ym00437375_x_2025_blg_002_x"/>
    <s v="mult"/>
    <x v="0"/>
    <x v="1"/>
    <x v="0"/>
    <d v="2025-04-01T00:00:00"/>
    <d v="2025-04-26T00:00:00"/>
    <x v="11"/>
    <n v="945.27999999999986"/>
    <n v="216168"/>
  </r>
  <r>
    <x v="0"/>
    <x v="2"/>
    <s v="blg_haca_bfr_fullrescue_aw-aw-thruplay_none-none_x_x_ym00458406_q2-q3_2025_bfr_001_x"/>
    <s v="bfr"/>
    <x v="1"/>
    <x v="1"/>
    <x v="1"/>
    <d v="2025-06-01T00:00:00"/>
    <d v="2025-06-07T00:00:00"/>
    <x v="10"/>
    <n v="1864.2700020000002"/>
    <n v="267920"/>
  </r>
  <r>
    <x v="0"/>
    <x v="0"/>
    <s v="blg_haca_scalp-sync_awareness_aw-awareness_ym00356548_all_2024_bcp_004_x"/>
    <s v="scalp-sync"/>
    <x v="3"/>
    <x v="2"/>
    <x v="2"/>
    <d v="2024-05-01T00:00:00"/>
    <d v="2024-05-15T00:00:00"/>
    <x v="56"/>
    <n v="3393.5012029999998"/>
    <n v="1480304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09T00:00:00"/>
    <x v="54"/>
    <n v="3522.229996"/>
    <n v="606502"/>
  </r>
  <r>
    <x v="0"/>
    <x v="2"/>
    <s v="blg_multi_na_elevate-me_cons-tra-linkcli_none-none_other_na_ym00329346_x_2023_x_x_"/>
    <s v="na"/>
    <x v="0"/>
    <x v="0"/>
    <x v="2"/>
    <d v="2023-11-01T00:00:00"/>
    <d v="2023-11-01T00:00:00"/>
    <x v="66"/>
    <n v="344.37000099999989"/>
    <n v="45181"/>
  </r>
  <r>
    <x v="0"/>
    <x v="2"/>
    <s v="blg_haca_bfr_fullrescue_cons-tra-linkcli_website-none_x_x_ym00458406_q2-q3_2025_bfr_001_x"/>
    <s v="bfr"/>
    <x v="1"/>
    <x v="1"/>
    <x v="0"/>
    <d v="2025-06-01T00:00:00"/>
    <d v="2025-06-25T00:00:00"/>
    <x v="7"/>
    <n v="1337.52"/>
    <n v="120039"/>
  </r>
  <r>
    <x v="0"/>
    <x v="2"/>
    <s v="blg_haca_hys_hydrasource_aw-aw-thruplay_none-none_x_x_ym00427700_q2_2025_bhs_006_x"/>
    <s v="hys"/>
    <x v="4"/>
    <x v="1"/>
    <x v="1"/>
    <d v="2025-04-01T00:00:00"/>
    <d v="2025-04-03T00:00:00"/>
    <x v="26"/>
    <n v="720.43999999999983"/>
    <n v="43835"/>
  </r>
  <r>
    <x v="0"/>
    <x v="2"/>
    <s v="blg_haca_hydrasource_bau_aw-aw-thruplay_none-none_na_na_ym00339376_q1-vvr_2024_bhs_001_x"/>
    <s v="hydrasource"/>
    <x v="4"/>
    <x v="2"/>
    <x v="2"/>
    <d v="2024-02-01T00:00:00"/>
    <d v="2024-02-13T00:00:00"/>
    <x v="20"/>
    <n v="1182.0300050000001"/>
    <n v="170729"/>
  </r>
  <r>
    <x v="0"/>
    <x v="2"/>
    <s v="blg_haca_mult_bf-cyber-leadup_cons-tra-linkcli_website-none_promotion_x_ym00384930_q4_2024_blg_001_x"/>
    <s v="mult"/>
    <x v="0"/>
    <x v="2"/>
    <x v="0"/>
    <d v="2024-11-01T00:00:00"/>
    <d v="2024-11-25T00:00:00"/>
    <x v="51"/>
    <n v="6467.0900009999996"/>
    <n v="435737"/>
  </r>
  <r>
    <x v="0"/>
    <x v="0"/>
    <s v="blg_othr_na_na_84570334_2023_q2_conversion-non-promo_other_amazon+ulta+conversion_v2"/>
    <s v="na"/>
    <x v="0"/>
    <x v="0"/>
    <x v="1"/>
    <d v="2023-08-01T00:00:00"/>
    <d v="2023-08-08T00:00:00"/>
    <x v="4"/>
    <n v="1153.7340899999999"/>
    <n v="150095"/>
  </r>
  <r>
    <x v="0"/>
    <x v="1"/>
    <s v="blg_haca_bfr_full-rescue_auc_cons-traffic_x_x_YM00458406_q2_2025_bfr_001_x"/>
    <s v="bfr"/>
    <x v="1"/>
    <x v="1"/>
    <x v="0"/>
    <d v="2025-06-01T00:00:00"/>
    <d v="2025-06-19T00:00:00"/>
    <x v="16"/>
    <n v="4198.53"/>
    <n v="746870"/>
  </r>
  <r>
    <x v="0"/>
    <x v="2"/>
    <s v="blg_haca_bfr_fullrescue_cons-tra-linkcli_website-none_x_x_ym00458406_q2-q3_2025_bfr_001_x"/>
    <s v="bfr"/>
    <x v="1"/>
    <x v="1"/>
    <x v="1"/>
    <d v="2025-05-01T00:00:00"/>
    <d v="2025-05-12T00:00:00"/>
    <x v="17"/>
    <n v="6.13"/>
    <n v="768"/>
  </r>
  <r>
    <x v="0"/>
    <x v="2"/>
    <s v="blg_haca_hydrasource_reelsonly_aw-aw-thruplay_none-none_na_na_ym00339376_q1-vvr_2024_bhs_001_x"/>
    <s v="hydrasource"/>
    <x v="4"/>
    <x v="2"/>
    <x v="0"/>
    <d v="2024-02-01T00:00:00"/>
    <d v="2024-02-04T00:00:00"/>
    <x v="41"/>
    <n v="690.92999899999984"/>
    <n v="171820"/>
  </r>
  <r>
    <x v="0"/>
    <x v="0"/>
    <s v="blg_haca_bfr_fullrescue-bonus_aw-awareness_x_bonus-q2_2025_x_x_x"/>
    <s v="bfr"/>
    <x v="1"/>
    <x v="1"/>
    <x v="1"/>
    <d v="2025-06-01T00:00:00"/>
    <d v="2025-06-11T00:00:00"/>
    <x v="18"/>
    <n v="430.898438"/>
    <n v="198122"/>
  </r>
  <r>
    <x v="0"/>
    <x v="1"/>
    <s v="blg_haca_bfr_full-rescue_auc_cons-traffic_x_x_YM00458406_q2_2025_bfr_001_x"/>
    <s v="bfr"/>
    <x v="1"/>
    <x v="1"/>
    <x v="1"/>
    <d v="2025-06-01T00:00:00"/>
    <d v="2025-06-11T00:00:00"/>
    <x v="18"/>
    <n v="487.86999999999995"/>
    <n v="99323"/>
  </r>
  <r>
    <x v="0"/>
    <x v="0"/>
    <s v="blg_haca_scalp-sync_awareness_aw-awareness_ym00356548_all_2024_bcp_004_x"/>
    <s v="scalp-sync"/>
    <x v="3"/>
    <x v="2"/>
    <x v="2"/>
    <d v="2024-05-01T00:00:00"/>
    <d v="2024-05-07T00:00:00"/>
    <x v="49"/>
    <n v="3370.5613399999997"/>
    <n v="1536687"/>
  </r>
  <r>
    <x v="0"/>
    <x v="1"/>
    <s v="blg_haca_bfr_full-rescue_auc_aw-video-views_x_x_YM00458406_q2_2025_bfr_001_x"/>
    <s v="bfr"/>
    <x v="1"/>
    <x v="1"/>
    <x v="1"/>
    <d v="2025-06-01T00:00:00"/>
    <d v="2025-06-16T00:00:00"/>
    <x v="16"/>
    <n v="1666.4599999999998"/>
    <n v="259310"/>
  </r>
  <r>
    <x v="0"/>
    <x v="2"/>
    <s v="blg_haca_mult_agile-boosting_cons-eng-thruplay_none-none_x_x_ym00437375_x_2025_blg_002_x"/>
    <s v="mult"/>
    <x v="0"/>
    <x v="1"/>
    <x v="0"/>
    <d v="2025-05-01T00:00:00"/>
    <d v="2025-05-29T00:00:00"/>
    <x v="8"/>
    <n v="263.30999999999989"/>
    <n v="45379"/>
  </r>
  <r>
    <x v="0"/>
    <x v="1"/>
    <s v="blg_haca_mult_ao-boosting_auc_aw-video-views_x_x_ym00437375_x_2025_blg_002_x"/>
    <s v="mult"/>
    <x v="0"/>
    <x v="1"/>
    <x v="0"/>
    <d v="2025-05-01T00:00:00"/>
    <d v="2025-05-08T00:00:00"/>
    <x v="12"/>
    <n v="773.65"/>
    <n v="262303"/>
  </r>
  <r>
    <x v="0"/>
    <x v="2"/>
    <s v="blg_haca_hydrasource_x_cons-tra-linkcli_none-none_x_x_ym00339376_q4-lctr_2024_bhs_001_x"/>
    <s v="hydrasource"/>
    <x v="4"/>
    <x v="2"/>
    <x v="0"/>
    <d v="2024-10-01T00:00:00"/>
    <d v="2024-10-09T00:00:00"/>
    <x v="27"/>
    <n v="2588.2099990000002"/>
    <n v="272361"/>
  </r>
  <r>
    <x v="0"/>
    <x v="1"/>
    <s v="blg_haca_hys_hydrasource_auc_cons-traffic_x_x_ym00427700_q2_2025_bhs_006_x"/>
    <s v="hys"/>
    <x v="4"/>
    <x v="1"/>
    <x v="0"/>
    <d v="2025-04-01T00:00:00"/>
    <d v="2025-04-04T00:00:00"/>
    <x v="26"/>
    <n v="5340.78"/>
    <n v="1252565"/>
  </r>
  <r>
    <x v="0"/>
    <x v="2"/>
    <s v="blg_haca_bfr_fullrescue_cons-tra-linkcli_website-none_x_x_ym00458406_q2-q3_2025_bfr_001_x"/>
    <s v="bfr"/>
    <x v="1"/>
    <x v="1"/>
    <x v="1"/>
    <d v="2025-05-01T00:00:00"/>
    <d v="2025-05-15T00:00:00"/>
    <x v="17"/>
    <n v="5.36"/>
    <n v="577"/>
  </r>
  <r>
    <x v="0"/>
    <x v="2"/>
    <s v="blg_haca_hys_hydrasource_aw-aw-thruplay_none-none_x_x_ym00427700_q2_2025_bhs_006_x"/>
    <s v="hys"/>
    <x v="4"/>
    <x v="1"/>
    <x v="1"/>
    <d v="2025-05-01T00:00:00"/>
    <d v="2025-05-02T00:00:00"/>
    <x v="19"/>
    <n v="371.01000000000005"/>
    <n v="14435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2T00:00:00"/>
    <x v="42"/>
    <n v="2232.85"/>
    <n v="325951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01T00:00:00"/>
    <x v="40"/>
    <n v="3114.4099959999999"/>
    <n v="321374"/>
  </r>
  <r>
    <x v="0"/>
    <x v="2"/>
    <s v="blg_haca_bfr_fullrescue_cons-tra-linkcli_website-none_x_x_ym00458406_q2-q3_2025_bfr_001_x"/>
    <s v="bfr"/>
    <x v="1"/>
    <x v="1"/>
    <x v="1"/>
    <d v="2025-05-01T00:00:00"/>
    <d v="2025-05-04T00:00:00"/>
    <x v="12"/>
    <n v="15.64"/>
    <n v="1798"/>
  </r>
  <r>
    <x v="0"/>
    <x v="0"/>
    <s v="blg_haca_scalp-sync_awareness_aw-awareness_ym00356548_all_2024_bcp_004_x"/>
    <s v="scalp-sync"/>
    <x v="3"/>
    <x v="2"/>
    <x v="2"/>
    <d v="2024-05-01T00:00:00"/>
    <d v="2024-05-22T00:00:00"/>
    <x v="14"/>
    <n v="3358.7889400000004"/>
    <n v="1390494"/>
  </r>
  <r>
    <x v="0"/>
    <x v="1"/>
    <s v="blg_haca_mult_ao-boosting_auc_aw-video-views_x_x_ym00437375_x_2025_blg_002_x"/>
    <s v="mult"/>
    <x v="0"/>
    <x v="1"/>
    <x v="1"/>
    <d v="2025-04-01T00:00:00"/>
    <d v="2025-04-26T00:00:00"/>
    <x v="11"/>
    <n v="1473.63"/>
    <n v="362737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11T00:00:00"/>
    <x v="54"/>
    <n v="3260.9799990000001"/>
    <n v="545383"/>
  </r>
  <r>
    <x v="0"/>
    <x v="1"/>
    <s v="blg_haca_bfr_full-rescue-pulse_res_aw-reach_x_x_ym00458406_q2_2025_bfr_001_x"/>
    <s v="bfr"/>
    <x v="1"/>
    <x v="1"/>
    <x v="1"/>
    <d v="2025-06-01T00:00:00"/>
    <d v="2025-06-08T00:00:00"/>
    <x v="18"/>
    <n v="14145.369999999999"/>
    <n v="1031735"/>
  </r>
  <r>
    <x v="0"/>
    <x v="0"/>
    <s v="blg_othr_na_na_84570334_2023_q2_conversion-non-promo_other_amazon+ulta+conversion_v2"/>
    <s v="na"/>
    <x v="0"/>
    <x v="0"/>
    <x v="1"/>
    <d v="2023-08-01T00:00:00"/>
    <d v="2023-08-13T00:00:00"/>
    <x v="30"/>
    <n v="1044.1317940000001"/>
    <n v="139736"/>
  </r>
  <r>
    <x v="0"/>
    <x v="2"/>
    <s v="blg_haca_scalp_na_cons-tra-linkcli_none-none_na_na_ym00356549_q1-q2-lctr_2024_bcp_002_x"/>
    <s v="scalp"/>
    <x v="3"/>
    <x v="2"/>
    <x v="1"/>
    <d v="2024-04-01T00:00:00"/>
    <d v="2024-04-12T00:00:00"/>
    <x v="34"/>
    <n v="110.10000299999999"/>
    <n v="17048"/>
  </r>
  <r>
    <x v="0"/>
    <x v="2"/>
    <s v="blg_haca_scalp_reels-only_aw-aw-thruplay_website-viewcontent_na_na_ym00356549_q1-q2-vvr_2024_bcp_002_x"/>
    <s v="scalp"/>
    <x v="3"/>
    <x v="2"/>
    <x v="1"/>
    <d v="2024-03-01T00:00:00"/>
    <d v="2024-03-06T00:00:00"/>
    <x v="6"/>
    <n v="993.27000099999998"/>
    <n v="207660"/>
  </r>
  <r>
    <x v="0"/>
    <x v="1"/>
    <s v="blg_haca_bfr_full-rescue_auc_cons-traffic_x_x_YM00458406_q2_2025_bfr_001_x"/>
    <s v="bfr"/>
    <x v="1"/>
    <x v="1"/>
    <x v="0"/>
    <d v="2025-06-01T00:00:00"/>
    <d v="2025-06-05T00:00:00"/>
    <x v="10"/>
    <n v="5452.3799999999992"/>
    <n v="1156588"/>
  </r>
  <r>
    <x v="0"/>
    <x v="2"/>
    <s v="blg_haca_hydrasource_na_cons-tra-linkcli_none-none_na_na_ym00339376_q1-lctr_2024_bhs_001_x"/>
    <s v="hydrasource"/>
    <x v="4"/>
    <x v="2"/>
    <x v="0"/>
    <d v="2024-01-01T00:00:00"/>
    <d v="2024-01-24T00:00:00"/>
    <x v="15"/>
    <n v="3219.5900050000005"/>
    <n v="555024"/>
  </r>
  <r>
    <x v="0"/>
    <x v="2"/>
    <s v="blg_haca_scalp_na_cons-tra-linkcli_none-none_na_na_ym00356549_q1-q2-lctr_2024_bcp_002_x"/>
    <s v="scalp"/>
    <x v="3"/>
    <x v="2"/>
    <x v="0"/>
    <d v="2024-04-01T00:00:00"/>
    <d v="2024-04-19T00:00:00"/>
    <x v="24"/>
    <n v="1550.3599990000002"/>
    <n v="249491"/>
  </r>
  <r>
    <x v="0"/>
    <x v="2"/>
    <s v="blg_haca_mult_agile-boosting_cons-eng-thruplay_none-none_x_x_ym00437375_x_2025_blg_002_x"/>
    <s v="mult"/>
    <x v="0"/>
    <x v="1"/>
    <x v="0"/>
    <d v="2025-05-01T00:00:00"/>
    <d v="2025-05-30T00:00:00"/>
    <x v="8"/>
    <n v="54.589999999999989"/>
    <n v="9181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3T00:00:00"/>
    <x v="38"/>
    <n v="1287.1100010000005"/>
    <n v="212718"/>
  </r>
  <r>
    <x v="0"/>
    <x v="1"/>
    <s v="blg_haca_bfr_full-rescue_auc_aw-video-views_x_x_YM00458406_q2_2025_bfr_001_x"/>
    <s v="bfr"/>
    <x v="1"/>
    <x v="1"/>
    <x v="1"/>
    <d v="2025-06-01T00:00:00"/>
    <d v="2025-06-24T00:00:00"/>
    <x v="7"/>
    <n v="1437.0300000000002"/>
    <n v="236921"/>
  </r>
  <r>
    <x v="0"/>
    <x v="2"/>
    <s v="blg_haca_prime-day_reminderads-cell-2_cons-eng-posteng_none-none_x_x_ym00384930_x_2024_blg_001_x"/>
    <s v="prime-day"/>
    <x v="6"/>
    <x v="2"/>
    <x v="2"/>
    <d v="2024-07-01T00:00:00"/>
    <d v="2024-07-12T00:00:00"/>
    <x v="54"/>
    <n v="9410.7699990000001"/>
    <n v="936876"/>
  </r>
  <r>
    <x v="0"/>
    <x v="0"/>
    <s v="blg_othr_na_na_84570334_2023_q2_conversion-non-promo_other_amazon+ulta+conversion"/>
    <s v="na"/>
    <x v="0"/>
    <x v="0"/>
    <x v="1"/>
    <d v="2023-07-01T00:00:00"/>
    <d v="2023-07-09T00:00:00"/>
    <x v="37"/>
    <n v="814.94076900000005"/>
    <n v="317003"/>
  </r>
  <r>
    <x v="0"/>
    <x v="2"/>
    <s v="blg_haca_bfr_fullrescue_cons-tra-linkcli_website-none_x_x_ym00458406_q2-q3_2025_bfr_001_x"/>
    <s v="bfr"/>
    <x v="1"/>
    <x v="1"/>
    <x v="1"/>
    <d v="2025-06-01T00:00:00"/>
    <d v="2025-06-22T00:00:00"/>
    <x v="7"/>
    <n v="126.52"/>
    <n v="16052"/>
  </r>
  <r>
    <x v="0"/>
    <x v="1"/>
    <s v="blg_haca_bfr_full-rescue_auc_aw-video-views_x_x_YM00458406_q2_2025_bfr_001_x"/>
    <s v="bfr"/>
    <x v="1"/>
    <x v="1"/>
    <x v="1"/>
    <d v="2025-06-01T00:00:00"/>
    <d v="2025-06-13T00:00:00"/>
    <x v="18"/>
    <n v="1708.7399999999996"/>
    <n v="263215"/>
  </r>
  <r>
    <x v="0"/>
    <x v="0"/>
    <s v="blg_othr_na_na_84570334_2023_q2_traffic_other_volumebloom-fulldensity+traffic"/>
    <s v="na"/>
    <x v="0"/>
    <x v="0"/>
    <x v="2"/>
    <d v="2023-07-01T00:00:00"/>
    <d v="2023-07-03T00:00:00"/>
    <x v="21"/>
    <n v="676.98911799999996"/>
    <n v="313044"/>
  </r>
  <r>
    <x v="0"/>
    <x v="0"/>
    <s v="blg_othr_na_na_84570334_2023_q2_traffic_other_volumebloom-fulldensity+traffic_v2"/>
    <s v="na"/>
    <x v="0"/>
    <x v="0"/>
    <x v="2"/>
    <d v="2023-07-01T00:00:00"/>
    <d v="2023-07-24T00:00:00"/>
    <x v="39"/>
    <n v="636.90991199999996"/>
    <n v="349835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9T00:00:00"/>
    <x v="40"/>
    <n v="3177.4700020000005"/>
    <n v="281973"/>
  </r>
  <r>
    <x v="0"/>
    <x v="2"/>
    <s v="blg_haca_mult_agile-boosting_cons-eng-thruplay_none-none_x_x_ym00437375_x_2025_blg_002_x"/>
    <s v="mult"/>
    <x v="0"/>
    <x v="1"/>
    <x v="1"/>
    <d v="2025-05-01T00:00:00"/>
    <d v="2025-05-15T00:00:00"/>
    <x v="17"/>
    <n v="1405.36"/>
    <n v="221648"/>
  </r>
  <r>
    <x v="0"/>
    <x v="2"/>
    <s v="blg_haca_scalp_na_cons-tra-linkcli_none-none_na_na_ym00356549_q1-q2-lctr_2024_bcp_002_x"/>
    <s v="scalp"/>
    <x v="3"/>
    <x v="2"/>
    <x v="1"/>
    <d v="2024-04-01T00:00:00"/>
    <d v="2024-04-03T00:00:00"/>
    <x v="53"/>
    <n v="182.75999700000003"/>
    <n v="29829"/>
  </r>
  <r>
    <x v="0"/>
    <x v="2"/>
    <s v="blg_haca_bfr_fullrescue_cons-tra-linkcli_website-none_x_x_ym00458406_q2-q3_2025_bfr_001_x"/>
    <s v="bfr"/>
    <x v="1"/>
    <x v="1"/>
    <x v="1"/>
    <d v="2025-06-01T00:00:00"/>
    <d v="2025-06-03T00:00:00"/>
    <x v="10"/>
    <n v="58.179999999999993"/>
    <n v="5928"/>
  </r>
  <r>
    <x v="0"/>
    <x v="2"/>
    <s v="blg_haca_hys_hydrasource_aw-aw-thruplay_none-none_x_x_ym00427700_q2_2025_bhs_006_x"/>
    <s v="hys"/>
    <x v="4"/>
    <x v="1"/>
    <x v="0"/>
    <d v="2025-04-01T00:00:00"/>
    <d v="2025-04-24T00:00:00"/>
    <x v="11"/>
    <n v="2099.87"/>
    <n v="345950"/>
  </r>
  <r>
    <x v="0"/>
    <x v="2"/>
    <s v="blg_haca_bfr_fullrescue_aw-aw-thruplay_none-none_x_x_ym00458406_q2-q3_2025_bfr_001_x"/>
    <s v="bfr"/>
    <x v="1"/>
    <x v="1"/>
    <x v="1"/>
    <d v="2025-05-01T00:00:00"/>
    <d v="2025-05-24T00:00:00"/>
    <x v="47"/>
    <n v="20.239999999999998"/>
    <n v="801"/>
  </r>
  <r>
    <x v="0"/>
    <x v="2"/>
    <s v="blg_haca_hydrasource_x_aw-aw-thruplay_none-none_x_x_ym00339376_q4_2024_bhs_001_x"/>
    <s v="hydrasource"/>
    <x v="4"/>
    <x v="2"/>
    <x v="0"/>
    <d v="2024-09-01T00:00:00"/>
    <d v="2024-09-28T00:00:00"/>
    <x v="60"/>
    <n v="3675.0800030000005"/>
    <n v="600191"/>
  </r>
  <r>
    <x v="0"/>
    <x v="2"/>
    <s v="blg_haca_scalp_na_cons-tra-linkcli_none-none_na_na_ym00356549_q1-q2-lctr_2024_bcp_002_x"/>
    <s v="scalp"/>
    <x v="3"/>
    <x v="2"/>
    <x v="1"/>
    <d v="2024-03-01T00:00:00"/>
    <d v="2024-03-15T00:00:00"/>
    <x v="25"/>
    <n v="1540.0800040000004"/>
    <n v="218743"/>
  </r>
  <r>
    <x v="0"/>
    <x v="1"/>
    <s v="blg_haca_mult_ao-boosting_auc_aw-video-views_x_x_ym00437375_x_2025_blg_002_x"/>
    <s v="mult"/>
    <x v="0"/>
    <x v="1"/>
    <x v="0"/>
    <d v="2025-03-01T00:00:00"/>
    <d v="2025-03-30T00:00:00"/>
    <x v="26"/>
    <n v="2040.79"/>
    <n v="548140"/>
  </r>
  <r>
    <x v="0"/>
    <x v="2"/>
    <s v="blg_haca_mult_bf-cyber-leadup_cons-tra-linkcli_website-none_promotion_x_ym00384930_q4_2024_blg_001_x"/>
    <s v="mult"/>
    <x v="0"/>
    <x v="2"/>
    <x v="0"/>
    <d v="2024-11-01T00:00:00"/>
    <d v="2024-11-24T00:00:00"/>
    <x v="51"/>
    <n v="6747.3099989999992"/>
    <n v="433718"/>
  </r>
  <r>
    <x v="0"/>
    <x v="1"/>
    <s v="blg_haca_mult_ao-boosting_auc_aw-video-views_x_x_ym00437375_x_2025_blg_002_x"/>
    <s v="mult"/>
    <x v="0"/>
    <x v="1"/>
    <x v="0"/>
    <d v="2025-04-01T00:00:00"/>
    <d v="2025-04-19T00:00:00"/>
    <x v="36"/>
    <n v="7.0000000000000007E-2"/>
    <n v="41"/>
  </r>
  <r>
    <x v="0"/>
    <x v="2"/>
    <s v="blg_haca_scalp_na_cons-tra-linkcli_none-none_na_na_ym00356549_q1-q2-lctr_2024_bcp_002_x"/>
    <s v="scalp"/>
    <x v="3"/>
    <x v="2"/>
    <x v="1"/>
    <d v="2024-04-01T00:00:00"/>
    <d v="2024-04-10T00:00:00"/>
    <x v="34"/>
    <n v="174.90000200000006"/>
    <n v="27215"/>
  </r>
  <r>
    <x v="0"/>
    <x v="2"/>
    <s v="blg_haca_hydrasource_na_cons-tra-linkcli_none-none_na_na_ym00339376_q1-lctr_2024_bhs_001_x"/>
    <s v="hydrasource"/>
    <x v="4"/>
    <x v="2"/>
    <x v="0"/>
    <d v="2024-03-01T00:00:00"/>
    <d v="2024-03-05T00:00:00"/>
    <x v="6"/>
    <n v="2991.0900009999996"/>
    <n v="407635"/>
  </r>
  <r>
    <x v="0"/>
    <x v="0"/>
    <s v="blg_haca_scalp-sync_awareness_aw-awareness_ym00356548_all_2024_bcp_004_x"/>
    <s v="scalp-sync"/>
    <x v="3"/>
    <x v="2"/>
    <x v="2"/>
    <d v="2024-04-01T00:00:00"/>
    <d v="2024-04-22T00:00:00"/>
    <x v="50"/>
    <n v="3362.2390650000007"/>
    <n v="1582924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1T00:00:00"/>
    <x v="4"/>
    <n v="3850.5899980000004"/>
    <n v="556656"/>
  </r>
  <r>
    <x v="0"/>
    <x v="2"/>
    <s v="blg_haca_mult_agile-boosting_cons-eng-thruplay_none-none_x_x_ym00437375_x_2025_blg_002_x"/>
    <s v="mult"/>
    <x v="0"/>
    <x v="1"/>
    <x v="1"/>
    <d v="2025-05-01T00:00:00"/>
    <d v="2025-05-23T00:00:00"/>
    <x v="47"/>
    <n v="1511.79"/>
    <n v="235457"/>
  </r>
  <r>
    <x v="0"/>
    <x v="1"/>
    <s v="blg_haca_bfr_full-rescue_auc_aw-video-views_x_x_YM00458406_q2_2025_bfr_001_x"/>
    <s v="bfr"/>
    <x v="1"/>
    <x v="1"/>
    <x v="0"/>
    <d v="2025-06-01T00:00:00"/>
    <d v="2025-06-21T00:00:00"/>
    <x v="16"/>
    <n v="68.63"/>
    <n v="12114"/>
  </r>
  <r>
    <x v="0"/>
    <x v="1"/>
    <s v="blg_haca_mult_ao-boosting_auc_aw-video-views_x_x_ym00437375_x_2025_blg_002_x"/>
    <s v="mult"/>
    <x v="0"/>
    <x v="1"/>
    <x v="1"/>
    <d v="2025-04-01T00:00:00"/>
    <d v="2025-04-27T00:00:00"/>
    <x v="19"/>
    <n v="1490.3700000000001"/>
    <n v="372497"/>
  </r>
  <r>
    <x v="0"/>
    <x v="2"/>
    <s v="blg_haca_prime-day_lead-up-cell-2_cons-tra-linkcli_none-viewcontent_x_lla_ym00384930_x_2024_blg_001_x"/>
    <s v="prime-day"/>
    <x v="6"/>
    <x v="2"/>
    <x v="1"/>
    <d v="2024-07-01T00:00:00"/>
    <d v="2024-07-14T00:00:00"/>
    <x v="46"/>
    <n v="3565.8600000000006"/>
    <n v="634507"/>
  </r>
  <r>
    <x v="0"/>
    <x v="0"/>
    <s v="blg_othr_na_na_84570334_2023_q2_traffic_other_volumebloom-fulldensity+traffic"/>
    <s v="na"/>
    <x v="0"/>
    <x v="0"/>
    <x v="2"/>
    <d v="2023-07-01T00:00:00"/>
    <d v="2023-07-10T00:00:00"/>
    <x v="37"/>
    <n v="677.68456099999992"/>
    <n v="371619"/>
  </r>
  <r>
    <x v="0"/>
    <x v="2"/>
    <s v="blg_haca_hydrasource_x_cons-tra-linkcli_none-none_x_x_ym00339376_q4-lctr_2024_bhs_001_x"/>
    <s v="hydrasource"/>
    <x v="4"/>
    <x v="2"/>
    <x v="0"/>
    <d v="2024-10-01T00:00:00"/>
    <d v="2024-10-05T00:00:00"/>
    <x v="31"/>
    <n v="2720.5800020000001"/>
    <n v="313267"/>
  </r>
  <r>
    <x v="0"/>
    <x v="1"/>
    <s v="blg_haca_hys_hydrasource_auc_cons-traffic_x_x_ym00427700_q2_2025_bhs_006_x"/>
    <s v="hys"/>
    <x v="4"/>
    <x v="1"/>
    <x v="1"/>
    <d v="2025-04-01T00:00:00"/>
    <d v="2025-04-05T00:00:00"/>
    <x v="26"/>
    <n v="224.75"/>
    <n v="77886"/>
  </r>
  <r>
    <x v="0"/>
    <x v="2"/>
    <s v="blg_haca_hys_hydrasource_cons-tra-linkcli_website-none_x_x_ym00427700_q2_2025_bhs_006_x"/>
    <s v="hys"/>
    <x v="4"/>
    <x v="1"/>
    <x v="0"/>
    <d v="2025-04-01T00:00:00"/>
    <d v="2025-04-06T00:00:00"/>
    <x v="23"/>
    <n v="4003.590004000001"/>
    <n v="520969"/>
  </r>
  <r>
    <x v="0"/>
    <x v="0"/>
    <s v="blg_haca_scalp-sync_awareness_aw-awareness_ym00356548_all_2024_bcp_004_x"/>
    <s v="scalp-sync"/>
    <x v="3"/>
    <x v="2"/>
    <x v="2"/>
    <d v="2024-04-01T00:00:00"/>
    <d v="2024-04-17T00:00:00"/>
    <x v="24"/>
    <n v="3365.4851259999996"/>
    <n v="1499268"/>
  </r>
  <r>
    <x v="0"/>
    <x v="2"/>
    <s v="blg_haca_hys_hydrasource_aw-aw-thruplay_none-none_x_x_ym00427700_q2_2025_bhs_006_x"/>
    <s v="hys"/>
    <x v="4"/>
    <x v="1"/>
    <x v="0"/>
    <d v="2025-04-01T00:00:00"/>
    <d v="2025-04-07T00:00:00"/>
    <x v="23"/>
    <n v="1621.0699979999999"/>
    <n v="170680"/>
  </r>
  <r>
    <x v="0"/>
    <x v="2"/>
    <s v="blg_haca_scalp_na_cons-tra-linkcli_none-none_na_na_ym00356549_q1-q2-lctr_2024_bcp_002_x"/>
    <s v="scalp"/>
    <x v="3"/>
    <x v="2"/>
    <x v="1"/>
    <d v="2024-04-01T00:00:00"/>
    <d v="2024-04-18T00:00:00"/>
    <x v="24"/>
    <n v="116.13999699999999"/>
    <n v="13294"/>
  </r>
  <r>
    <x v="0"/>
    <x v="2"/>
    <s v="blg_haca_mult_agile-boosting_cons-eng-thruplay_none-none_x_x_ym00437375_x_2025_blg_002_x"/>
    <s v="mult"/>
    <x v="0"/>
    <x v="1"/>
    <x v="0"/>
    <d v="2025-04-01T00:00:00"/>
    <d v="2025-04-15T00:00:00"/>
    <x v="36"/>
    <n v="1124.5699999999997"/>
    <n v="259230"/>
  </r>
  <r>
    <x v="0"/>
    <x v="2"/>
    <s v="blg_haca_mult_agile-boosting_cons-eng-thruplay_none-none_x_x_ym00437375_x_2025_blg_002_x"/>
    <s v="mult"/>
    <x v="0"/>
    <x v="1"/>
    <x v="1"/>
    <d v="2025-04-01T00:00:00"/>
    <d v="2025-04-15T00:00:00"/>
    <x v="36"/>
    <n v="670.09"/>
    <n v="141235"/>
  </r>
  <r>
    <x v="0"/>
    <x v="2"/>
    <s v="blg_haca_mult_agile-boosting_cons-eng-thruplay_none-none_x_x_ym00437375_x_2025_blg_002_x"/>
    <s v="mult"/>
    <x v="0"/>
    <x v="1"/>
    <x v="0"/>
    <d v="2025-05-01T00:00:00"/>
    <d v="2025-05-14T00:00:00"/>
    <x v="17"/>
    <n v="288.99999999999994"/>
    <n v="49697"/>
  </r>
  <r>
    <x v="0"/>
    <x v="2"/>
    <s v="blg_haca_bfr_fullrescue_cons-tra-linkcli_website-none_x_x_ym00458406_q2-q3_2025_bfr_001_x"/>
    <s v="bfr"/>
    <x v="1"/>
    <x v="1"/>
    <x v="0"/>
    <d v="2025-05-01T00:00:00"/>
    <d v="2025-05-27T00:00:00"/>
    <x v="8"/>
    <n v="1726.5099999999998"/>
    <n v="139002"/>
  </r>
  <r>
    <x v="0"/>
    <x v="2"/>
    <s v="blg_haca_mult_agile-boosting_cons-eng-thruplay_none-none_x_x_ym00437375_x_2025_blg_002_x"/>
    <s v="mult"/>
    <x v="0"/>
    <x v="1"/>
    <x v="1"/>
    <d v="2025-06-01T00:00:00"/>
    <d v="2025-06-02T00:00:00"/>
    <x v="10"/>
    <n v="956.43999799999983"/>
    <n v="184279"/>
  </r>
  <r>
    <x v="0"/>
    <x v="0"/>
    <s v="blg_haca_scalp-sync_awareness_aw-awareness_ym00356548_all_2024_bcp_004_x"/>
    <s v="scalp-sync"/>
    <x v="3"/>
    <x v="2"/>
    <x v="2"/>
    <d v="2024-05-01T00:00:00"/>
    <d v="2024-05-23T00:00:00"/>
    <x v="14"/>
    <n v="3349.4126130000009"/>
    <n v="1374011"/>
  </r>
  <r>
    <x v="0"/>
    <x v="0"/>
    <s v="blg_haca_scalp-sync_traffic_cons-consideration_ym00356548_all_2024_bcp_004_x"/>
    <s v="scalp-sync"/>
    <x v="3"/>
    <x v="2"/>
    <x v="0"/>
    <d v="2024-05-01T00:00:00"/>
    <d v="2024-05-28T00:00:00"/>
    <x v="65"/>
    <n v="1628.955915"/>
    <n v="443021"/>
  </r>
  <r>
    <x v="0"/>
    <x v="2"/>
    <s v="blg_haca_mult_agile-boosting_cons-eng-thruplay_none-none_x_x_ym00437375_x_2025_blg_002_x"/>
    <s v="mult"/>
    <x v="0"/>
    <x v="1"/>
    <x v="0"/>
    <d v="2025-05-01T00:00:00"/>
    <d v="2025-05-21T00:00:00"/>
    <x v="47"/>
    <n v="230.58999799999992"/>
    <n v="38955"/>
  </r>
  <r>
    <x v="0"/>
    <x v="0"/>
    <s v="blg_othr_na_na_84570334_2023_q2_conversion-non-promo_other_amazon+ulta+conversion_v2"/>
    <s v="na"/>
    <x v="0"/>
    <x v="0"/>
    <x v="0"/>
    <d v="2023-07-01T00:00:00"/>
    <d v="2023-07-14T00:00:00"/>
    <x v="37"/>
    <n v="907.139544"/>
    <n v="166354"/>
  </r>
  <r>
    <x v="0"/>
    <x v="2"/>
    <s v="blg_haca_bfr_fullrescue_cons-tra-linkcli_website-none_x_x_ym00458406_q2-q3_2025_bfr_001_x"/>
    <s v="bfr"/>
    <x v="1"/>
    <x v="1"/>
    <x v="0"/>
    <d v="2025-05-01T00:00:00"/>
    <d v="2025-05-04T00:00:00"/>
    <x v="12"/>
    <n v="1867.4899999999998"/>
    <n v="116567"/>
  </r>
  <r>
    <x v="0"/>
    <x v="2"/>
    <s v="blg_haca_bond-therapy_na_aw-aw-thruplay_none-viewcontent_na_na_ym87093418_vvr-q4_2023_x_x_x"/>
    <s v="bond-therapy"/>
    <x v="5"/>
    <x v="0"/>
    <x v="2"/>
    <d v="2023-12-01T00:00:00"/>
    <d v="2023-12-21T00:00:00"/>
    <x v="28"/>
    <n v="2712.6900009999999"/>
    <n v="390179"/>
  </r>
  <r>
    <x v="0"/>
    <x v="0"/>
    <s v="blg_haca_scalp-sync_awareness_aw-awareness_ym00356548_all_2024_bcp_004_x"/>
    <s v="scalp-sync"/>
    <x v="3"/>
    <x v="2"/>
    <x v="2"/>
    <d v="2024-05-01T00:00:00"/>
    <d v="2024-05-06T00:00:00"/>
    <x v="49"/>
    <n v="3356.3960549999997"/>
    <n v="1520238"/>
  </r>
  <r>
    <x v="0"/>
    <x v="0"/>
    <s v="blg_haca_scalp-sync_traffic_cons-consideration_ym00356548_all_2024_bcp_004_x"/>
    <s v="scalp-sync"/>
    <x v="3"/>
    <x v="2"/>
    <x v="0"/>
    <d v="2024-05-01T00:00:00"/>
    <d v="2024-05-25T00:00:00"/>
    <x v="14"/>
    <n v="1601.553711"/>
    <n v="368101"/>
  </r>
  <r>
    <x v="0"/>
    <x v="2"/>
    <s v="blg_haca_mult_agile-boosting_aw-aw-thruplay_none-none_x_x_ym00437375_x_2025_blg_002_x"/>
    <s v="mult"/>
    <x v="0"/>
    <x v="1"/>
    <x v="0"/>
    <d v="2025-02-01T00:00:00"/>
    <d v="2025-02-23T00:00:00"/>
    <x v="71"/>
    <n v="7740.9700019999973"/>
    <n v="959906"/>
  </r>
  <r>
    <x v="0"/>
    <x v="1"/>
    <s v="blg_haca_bfr_full-rescue_auc_cons-traffic_x_x_YM00458406_q2_2025_bfr_001_x"/>
    <s v="bfr"/>
    <x v="1"/>
    <x v="1"/>
    <x v="0"/>
    <d v="2025-06-01T00:00:00"/>
    <d v="2025-06-18T00:00:00"/>
    <x v="16"/>
    <n v="5054.58"/>
    <n v="940618"/>
  </r>
  <r>
    <x v="0"/>
    <x v="0"/>
    <s v="blg_haca_scalp-sync_traffic_cons-consideration_ym00356548_all_2024_bcp_004_x"/>
    <s v="scalp-sync"/>
    <x v="3"/>
    <x v="2"/>
    <x v="0"/>
    <d v="2024-04-01T00:00:00"/>
    <d v="2024-04-28T00:00:00"/>
    <x v="44"/>
    <n v="1741.6472679999997"/>
    <n v="475993"/>
  </r>
  <r>
    <x v="0"/>
    <x v="2"/>
    <s v="blg_haca_hydrasource_reelsonly_aw-aw-thruplay_none-none_na_na_ym00339376_q1-vvr_2024_bhs_001_x"/>
    <s v="hydrasource"/>
    <x v="4"/>
    <x v="2"/>
    <x v="0"/>
    <d v="2024-01-01T00:00:00"/>
    <d v="2024-01-26T00:00:00"/>
    <x v="15"/>
    <n v="638.20999900000004"/>
    <n v="151737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5T00:00:00"/>
    <x v="37"/>
    <n v="2587.4599990000006"/>
    <n v="322971"/>
  </r>
  <r>
    <x v="0"/>
    <x v="0"/>
    <s v="blg_othr_na_na_84570334_2023_q2_traffic_other_volumebloom-fulldensity+traffic_JBP"/>
    <s v="na"/>
    <x v="0"/>
    <x v="0"/>
    <x v="2"/>
    <d v="2023-09-01T00:00:00"/>
    <d v="2023-09-02T00:00:00"/>
    <x v="52"/>
    <n v="1756.247582"/>
    <n v="547465"/>
  </r>
  <r>
    <x v="0"/>
    <x v="2"/>
    <s v="blg_haca_hydrasource_x_cons-tra-linkcli_none-none_x_x_ym00339376_q4-lctr_2024_bhs_001_x"/>
    <s v="hydrasource"/>
    <x v="4"/>
    <x v="2"/>
    <x v="0"/>
    <d v="2024-10-01T00:00:00"/>
    <d v="2024-10-21T00:00:00"/>
    <x v="68"/>
    <n v="2515.7700059999997"/>
    <n v="256624"/>
  </r>
  <r>
    <x v="0"/>
    <x v="2"/>
    <s v="blg_haca_bfr_fullrescue_aw-aw-thruplay_none-none_x_x_ym00458406_q2-q3_2025_bfr_001_x"/>
    <s v="bfr"/>
    <x v="1"/>
    <x v="1"/>
    <x v="1"/>
    <d v="2025-05-01T00:00:00"/>
    <d v="2025-05-09T00:00:00"/>
    <x v="12"/>
    <n v="1356.360003"/>
    <n v="330050"/>
  </r>
  <r>
    <x v="0"/>
    <x v="1"/>
    <s v="blg_haca_mult_ao-boosting_auc_aw-video-views_x_x_ym00437375_x_2025_blg_002_x"/>
    <s v="mult"/>
    <x v="0"/>
    <x v="1"/>
    <x v="0"/>
    <d v="2025-04-01T00:00:00"/>
    <d v="2025-04-27T00:00:00"/>
    <x v="19"/>
    <n v="1.9100000000000001"/>
    <n v="811"/>
  </r>
  <r>
    <x v="0"/>
    <x v="2"/>
    <s v="blg_haca_bfr_fullrescue_cons-tra-linkcli_website-none_x_x_ym00458406_q2-q3_2025_bfr_001_x"/>
    <s v="bfr"/>
    <x v="1"/>
    <x v="1"/>
    <x v="1"/>
    <d v="2025-06-01T00:00:00"/>
    <d v="2025-06-23T00:00:00"/>
    <x v="7"/>
    <n v="153.14000000000001"/>
    <n v="18951"/>
  </r>
  <r>
    <x v="0"/>
    <x v="0"/>
    <s v="blg_othr_na_na_84570334_2023_q2_conversion-non-promo_other_amazon+ulta+conversion"/>
    <s v="na"/>
    <x v="0"/>
    <x v="0"/>
    <x v="1"/>
    <d v="2023-07-01T00:00:00"/>
    <d v="2023-07-01T00:00:00"/>
    <x v="48"/>
    <n v="33.569313000000001"/>
    <n v="12647"/>
  </r>
  <r>
    <x v="0"/>
    <x v="1"/>
    <s v="blg_haca_bfr_full-rescue_auc_aw-video-views_x_x_YM00458406_q2_2025_bfr_001_x"/>
    <s v="bfr"/>
    <x v="1"/>
    <x v="1"/>
    <x v="1"/>
    <d v="2025-06-01T00:00:00"/>
    <d v="2025-06-05T00:00:00"/>
    <x v="10"/>
    <n v="1746.96"/>
    <n v="251365"/>
  </r>
  <r>
    <x v="0"/>
    <x v="0"/>
    <s v="blg_haca_bfr_fullrescue-bonus_aw-awareness_x_bonus-q2_2025_x_x_x"/>
    <s v="bfr"/>
    <x v="1"/>
    <x v="1"/>
    <x v="1"/>
    <d v="2025-06-01T00:00:00"/>
    <d v="2025-06-30T00:00:00"/>
    <x v="1"/>
    <n v="344.23743100000002"/>
    <n v="196499"/>
  </r>
  <r>
    <x v="0"/>
    <x v="2"/>
    <s v="blg_haca_scalp_na_cons-tra-linkcli_none-none_na_na_ym00356549_q1-q2-lctr_2024_bcp_002_x"/>
    <s v="scalp"/>
    <x v="3"/>
    <x v="2"/>
    <x v="0"/>
    <d v="2024-03-01T00:00:00"/>
    <d v="2024-03-27T00:00:00"/>
    <x v="3"/>
    <n v="1217.200004"/>
    <n v="150502"/>
  </r>
  <r>
    <x v="0"/>
    <x v="1"/>
    <s v="blg_haca_mult_ao-boosting_auc_aw-video-views_x_x_ym00437375_x_2025_blg_002_x"/>
    <s v="mult"/>
    <x v="0"/>
    <x v="1"/>
    <x v="0"/>
    <d v="2025-04-01T00:00:00"/>
    <d v="2025-04-11T00:00:00"/>
    <x v="23"/>
    <n v="1.32"/>
    <n v="486"/>
  </r>
  <r>
    <x v="0"/>
    <x v="1"/>
    <s v="blg_haca_mult_ao-boosting_auc_aw-video-views_x_x_ym00437375_x_2025_blg_002_x"/>
    <s v="mult"/>
    <x v="0"/>
    <x v="1"/>
    <x v="1"/>
    <d v="2025-05-01T00:00:00"/>
    <d v="2025-05-30T00:00:00"/>
    <x v="8"/>
    <n v="575.77"/>
    <n v="116950"/>
  </r>
  <r>
    <x v="0"/>
    <x v="1"/>
    <s v="blg_haca_bfr_full-rescue_auc_aw-video-views_x_x_YM00458406_q2_2025_bfr_001_x"/>
    <s v="bfr"/>
    <x v="1"/>
    <x v="1"/>
    <x v="1"/>
    <d v="2025-06-01T00:00:00"/>
    <d v="2025-06-19T00:00:00"/>
    <x v="16"/>
    <n v="1655.3899999999999"/>
    <n v="278581"/>
  </r>
  <r>
    <x v="0"/>
    <x v="2"/>
    <s v="blg_haca_scalp_bau_aw-aw-thruplay_website-viewcontent_na_na_ym00356549_q1-q2-vvr_2024_bcp_002_x"/>
    <s v="scalp"/>
    <x v="3"/>
    <x v="2"/>
    <x v="1"/>
    <d v="2024-04-01T00:00:00"/>
    <d v="2024-04-17T00:00:00"/>
    <x v="24"/>
    <n v="2170.6900099999998"/>
    <n v="463549"/>
  </r>
  <r>
    <x v="0"/>
    <x v="2"/>
    <s v="blg_haca_hydrasource_na_cons-tra-linkcli_none-none_na_na_ym00339376_q1-lctr_2024_bhs_001_x"/>
    <s v="hydrasource"/>
    <x v="4"/>
    <x v="2"/>
    <x v="0"/>
    <d v="2024-03-01T00:00:00"/>
    <d v="2024-03-04T00:00:00"/>
    <x v="6"/>
    <n v="3402.3799960000001"/>
    <n v="547570"/>
  </r>
  <r>
    <x v="0"/>
    <x v="0"/>
    <s v="blg_othr_na_na_84570334_2023_q2_conversion-non-promo_other_amazon+ulta+conversion"/>
    <s v="na"/>
    <x v="0"/>
    <x v="0"/>
    <x v="1"/>
    <d v="2023-07-01T00:00:00"/>
    <d v="2023-07-03T00:00:00"/>
    <x v="21"/>
    <n v="114.679074"/>
    <n v="76600"/>
  </r>
  <r>
    <x v="0"/>
    <x v="1"/>
    <s v="blg_haca_mult_ao-boosting_auc_aw-video-views_x_x_ym00437375_x_2025_blg_002_x"/>
    <s v="mult"/>
    <x v="0"/>
    <x v="1"/>
    <x v="0"/>
    <d v="2025-04-01T00:00:00"/>
    <d v="2025-04-24T00:00:00"/>
    <x v="11"/>
    <n v="4.1399999999999997"/>
    <n v="1370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5T00:00:00"/>
    <x v="33"/>
    <n v="2857.0000049999999"/>
    <n v="208763"/>
  </r>
  <r>
    <x v="0"/>
    <x v="2"/>
    <s v="blg_haca_bfr_fullrescue_cons-tra-linkcli_website-none_x_x_ym00458406_q2-q3_2025_bfr_001_x"/>
    <s v="bfr"/>
    <x v="1"/>
    <x v="1"/>
    <x v="0"/>
    <d v="2025-06-01T00:00:00"/>
    <d v="2025-06-06T00:00:00"/>
    <x v="10"/>
    <n v="1698.3299980000002"/>
    <n v="126341"/>
  </r>
  <r>
    <x v="0"/>
    <x v="2"/>
    <s v="blg_haca_hydrasource_na_cons-tra-linkcli_none-none_na_na_ym00339376_q1-lctr_2024_bhs_001_x"/>
    <s v="hydrasource"/>
    <x v="4"/>
    <x v="2"/>
    <x v="0"/>
    <d v="2024-02-01T00:00:00"/>
    <d v="2024-02-18T00:00:00"/>
    <x v="59"/>
    <n v="3214.8500020000006"/>
    <n v="529529"/>
  </r>
  <r>
    <x v="0"/>
    <x v="0"/>
    <s v="blg_othr_na_na_84570334_2023_q2_conversion-non-promo_other_amazon+ulta+conversion"/>
    <s v="na"/>
    <x v="0"/>
    <x v="0"/>
    <x v="1"/>
    <d v="2023-07-01T00:00:00"/>
    <d v="2023-07-14T00:00:00"/>
    <x v="37"/>
    <n v="288.05044400000003"/>
    <n v="24597"/>
  </r>
  <r>
    <x v="0"/>
    <x v="2"/>
    <s v="blg_haca_hydrasource_reelsonly_aw-aw-thruplay_none-none_na_na_ym00339376_q1-vvr_2024_bhs_001_x"/>
    <s v="hydrasource"/>
    <x v="4"/>
    <x v="2"/>
    <x v="0"/>
    <d v="2024-02-01T00:00:00"/>
    <d v="2024-02-05T00:00:00"/>
    <x v="41"/>
    <n v="632.38000299999999"/>
    <n v="155828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11T00:00:00"/>
    <x v="37"/>
    <n v="2475.8099990000001"/>
    <n v="232283"/>
  </r>
  <r>
    <x v="0"/>
    <x v="1"/>
    <s v="blg_haca_mult_ao-boosting_auc_aw-video-views_x_x_ym00437375_x_2025_blg_002_x"/>
    <s v="mult"/>
    <x v="0"/>
    <x v="1"/>
    <x v="0"/>
    <d v="2025-05-01T00:00:00"/>
    <d v="2025-05-16T00:00:00"/>
    <x v="17"/>
    <n v="2180.4599999999996"/>
    <n v="531066"/>
  </r>
  <r>
    <x v="0"/>
    <x v="2"/>
    <s v="blg_haca_hydrasource_x_cons-tra-linkcli_none-none_x_x_ym00339376_q4-lctr_2024_bhs_001_x"/>
    <s v="hydrasource"/>
    <x v="4"/>
    <x v="2"/>
    <x v="0"/>
    <d v="2024-10-01T00:00:00"/>
    <d v="2024-10-04T00:00:00"/>
    <x v="31"/>
    <n v="2628.9400020000003"/>
    <n v="285164"/>
  </r>
  <r>
    <x v="0"/>
    <x v="2"/>
    <s v="blg_haca_prime-day_reminderads-cell-2_cons-eng-posteng_none-none_x_x_ym00384930_x_2024_blg_001_x"/>
    <s v="prime-day"/>
    <x v="6"/>
    <x v="2"/>
    <x v="2"/>
    <d v="2024-07-01T00:00:00"/>
    <d v="2024-07-14T00:00:00"/>
    <x v="46"/>
    <n v="10553.430001000001"/>
    <n v="1102619"/>
  </r>
  <r>
    <x v="0"/>
    <x v="2"/>
    <s v="blg_haca_hys_hydrasource_aw-aw-thruplay_none-none_x_x_ym00427700_q2_2025_bhs_006_x"/>
    <s v="hys"/>
    <x v="4"/>
    <x v="1"/>
    <x v="1"/>
    <d v="2025-04-01T00:00:00"/>
    <d v="2025-04-09T00:00:00"/>
    <x v="23"/>
    <n v="781.59000400000002"/>
    <n v="46343"/>
  </r>
  <r>
    <x v="0"/>
    <x v="2"/>
    <s v="blg_haca_bfr_fullrescue_cons-tra-linkcli_website-none_x_x_ym00458406_q2-q3_2025_bfr_001_x"/>
    <s v="bfr"/>
    <x v="1"/>
    <x v="1"/>
    <x v="0"/>
    <d v="2025-05-01T00:00:00"/>
    <d v="2025-05-22T00:00:00"/>
    <x v="47"/>
    <n v="1652.5699990000001"/>
    <n v="122878"/>
  </r>
  <r>
    <x v="0"/>
    <x v="2"/>
    <s v="blg_haca_bfr_fullrescue_aw-aw-thruplay_none-none_x_x_ym00458406_q2-q3_2025_bfr_001_x"/>
    <s v="bfr"/>
    <x v="1"/>
    <x v="1"/>
    <x v="1"/>
    <d v="2025-06-01T00:00:00"/>
    <d v="2025-06-05T00:00:00"/>
    <x v="10"/>
    <n v="2037.1500039999996"/>
    <n v="301339"/>
  </r>
  <r>
    <x v="0"/>
    <x v="2"/>
    <s v="blg_haca_bfr_fullrescue_aw-aw-thruplay_none-none_x_x_ym00458406_q2-q3_2025_bfr_001_x"/>
    <s v="bfr"/>
    <x v="1"/>
    <x v="1"/>
    <x v="0"/>
    <d v="2025-05-01T00:00:00"/>
    <d v="2025-05-31T00:00:00"/>
    <x v="8"/>
    <n v="2630.1100040000001"/>
    <n v="406730"/>
  </r>
  <r>
    <x v="0"/>
    <x v="1"/>
    <s v="blg_haca_mult_ao-boosting_auc_aw-video-views_x_x_ym00437375_x_2025_blg_002_x"/>
    <s v="mult"/>
    <x v="0"/>
    <x v="1"/>
    <x v="1"/>
    <d v="2025-05-01T00:00:00"/>
    <d v="2025-05-31T00:00:00"/>
    <x v="8"/>
    <n v="919.42"/>
    <n v="228325"/>
  </r>
  <r>
    <x v="0"/>
    <x v="2"/>
    <s v="blg_haca_bond-therapy_na_aw-aw-thruplay_none-viewcontent_na_na_ym87093418_vvr-q4_2023_x_x_x"/>
    <s v="bond-therapy"/>
    <x v="5"/>
    <x v="0"/>
    <x v="2"/>
    <d v="2023-11-01T00:00:00"/>
    <d v="2023-11-20T00:00:00"/>
    <x v="35"/>
    <n v="2943.0399960000009"/>
    <n v="488928"/>
  </r>
  <r>
    <x v="0"/>
    <x v="2"/>
    <s v="blg_haca_scalp_reels-only_aw-aw-thruplay_website-viewcontent_na_na_ym00356549_q1-q2-vvr_2024_bcp_002_x"/>
    <s v="scalp"/>
    <x v="3"/>
    <x v="2"/>
    <x v="1"/>
    <d v="2024-03-01T00:00:00"/>
    <d v="2024-03-29T00:00:00"/>
    <x v="3"/>
    <n v="148.39000000000001"/>
    <n v="37095"/>
  </r>
  <r>
    <x v="0"/>
    <x v="2"/>
    <s v="blg_haca_hydrasource_na_cons-tra-linkcli_none-none_na_na_ym00339376_q1-lctr_2024_bhs_001_x"/>
    <s v="hydrasource"/>
    <x v="4"/>
    <x v="2"/>
    <x v="0"/>
    <d v="2024-02-01T00:00:00"/>
    <d v="2024-02-14T00:00:00"/>
    <x v="20"/>
    <n v="3344.8200029999998"/>
    <n v="563216"/>
  </r>
  <r>
    <x v="0"/>
    <x v="2"/>
    <s v="blg_haca_mult_agile-boosting_cons-eng-thruplay_none-none_x_x_ym00437375_x_2025_blg_002_x"/>
    <s v="mult"/>
    <x v="0"/>
    <x v="1"/>
    <x v="1"/>
    <d v="2025-05-01T00:00:00"/>
    <d v="2025-05-12T00:00:00"/>
    <x v="17"/>
    <n v="1349.549998"/>
    <n v="242888"/>
  </r>
  <r>
    <x v="0"/>
    <x v="1"/>
    <s v="blg_haca_hys_hydrasource_auc_cons-traffic_x_x_ym00427700_q2_2025_bhs_006_x"/>
    <s v="hys"/>
    <x v="4"/>
    <x v="1"/>
    <x v="1"/>
    <d v="2025-04-01T00:00:00"/>
    <d v="2025-04-06T00:00:00"/>
    <x v="23"/>
    <n v="194.5"/>
    <n v="63055"/>
  </r>
  <r>
    <x v="0"/>
    <x v="2"/>
    <s v="blg_othr_blowdrycream_leadgen-cpl-q3_cons-lea-leads_instantforms-customother_other_x_ym93789674_sweeps_2023_x_x_x"/>
    <s v="blowdrycream"/>
    <x v="7"/>
    <x v="0"/>
    <x v="2"/>
    <d v="2023-09-01T00:00:00"/>
    <d v="2023-09-18T00:00:00"/>
    <x v="45"/>
    <n v="2029.9600040000003"/>
    <n v="134337"/>
  </r>
  <r>
    <x v="0"/>
    <x v="1"/>
    <s v="blg_haca_mult_ao-boosting_auc_aw-video-views_x_x_ym00437375_x_2025_blg_002_x"/>
    <s v="mult"/>
    <x v="0"/>
    <x v="1"/>
    <x v="0"/>
    <d v="2025-04-01T00:00:00"/>
    <d v="2025-04-15T00:00:00"/>
    <x v="36"/>
    <n v="0.48"/>
    <n v="132"/>
  </r>
  <r>
    <x v="0"/>
    <x v="2"/>
    <s v="blg_haca_scalp_na_cons-tra-linkcli_none-none_na_na_ym00356549_q1-q2-lctr_2024_bcp_002_x"/>
    <s v="scalp"/>
    <x v="3"/>
    <x v="2"/>
    <x v="0"/>
    <d v="2024-04-01T00:00:00"/>
    <d v="2024-04-14T00:00:00"/>
    <x v="24"/>
    <n v="1548.7200020000002"/>
    <n v="275296"/>
  </r>
  <r>
    <x v="0"/>
    <x v="2"/>
    <s v="blg_haca_bfr_fullrescue_aw-aw-thruplay_none-none_x_x_ym00458406_q2-q3_2025_bfr_001_x"/>
    <s v="bfr"/>
    <x v="1"/>
    <x v="1"/>
    <x v="0"/>
    <d v="2025-06-01T00:00:00"/>
    <d v="2025-06-16T00:00:00"/>
    <x v="16"/>
    <n v="1678.020002"/>
    <n v="264596"/>
  </r>
  <r>
    <x v="0"/>
    <x v="0"/>
    <s v="blg_othr_na_na_84570334_2023_q2_traffic_other_volumebloom-fulldensity+traffic"/>
    <s v="na"/>
    <x v="0"/>
    <x v="0"/>
    <x v="2"/>
    <d v="2023-07-01T00:00:00"/>
    <d v="2023-07-04T00:00:00"/>
    <x v="21"/>
    <n v="678.13426800000002"/>
    <n v="377683"/>
  </r>
  <r>
    <x v="0"/>
    <x v="0"/>
    <s v="blg_haca_scalp-sync_traffic_cons-consideration_ym00356548_all_2024_bcp_004_x"/>
    <s v="scalp-sync"/>
    <x v="3"/>
    <x v="2"/>
    <x v="0"/>
    <d v="2024-05-01T00:00:00"/>
    <d v="2024-05-12T00:00:00"/>
    <x v="56"/>
    <n v="1650.4744230000001"/>
    <n v="417330"/>
  </r>
  <r>
    <x v="0"/>
    <x v="2"/>
    <s v="blg_haca_scalp_na_cons-tra-linkcli_none-none_na_na_ym00356549_q1-q2-lctr_2024_bcp_002_x"/>
    <s v="scalp"/>
    <x v="3"/>
    <x v="2"/>
    <x v="0"/>
    <d v="2024-04-01T00:00:00"/>
    <d v="2024-04-06T00:00:00"/>
    <x v="53"/>
    <n v="1386.7599930000001"/>
    <n v="235466"/>
  </r>
  <r>
    <x v="0"/>
    <x v="2"/>
    <s v="blg_haca_hys_hydrasource_aw-aw-thruplay_none-none_x_x_ym00427700_q2_2025_bhs_006_x"/>
    <s v="hys"/>
    <x v="4"/>
    <x v="1"/>
    <x v="0"/>
    <d v="2025-04-01T00:00:00"/>
    <d v="2025-04-20T00:00:00"/>
    <x v="11"/>
    <n v="2229.7799999999993"/>
    <n v="327691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2T00:00:00"/>
    <x v="42"/>
    <n v="2576.8599999999997"/>
    <n v="351034"/>
  </r>
  <r>
    <x v="0"/>
    <x v="2"/>
    <s v="blg_haca_mult_agile-boosting_cons-eng-thruplay_none-none_x_x_ym00437375_x_2025_blg_002_x"/>
    <s v="mult"/>
    <x v="0"/>
    <x v="1"/>
    <x v="0"/>
    <d v="2025-04-01T00:00:00"/>
    <d v="2025-04-23T00:00:00"/>
    <x v="11"/>
    <n v="1012.5600000000001"/>
    <n v="243387"/>
  </r>
  <r>
    <x v="0"/>
    <x v="2"/>
    <s v="blg_haca_bfr_fullrescue_cons-tra-linkcli_website-none_x_x_ym00458406_q2-q3_2025_bfr_001_x"/>
    <s v="bfr"/>
    <x v="1"/>
    <x v="1"/>
    <x v="1"/>
    <d v="2025-05-01T00:00:00"/>
    <d v="2025-05-10T00:00:00"/>
    <x v="12"/>
    <n v="8.5699999999999985"/>
    <n v="954"/>
  </r>
  <r>
    <x v="0"/>
    <x v="1"/>
    <s v="blg_haca_hys_hydrasource_auc_aw-video-views_x_x_ym00427700_q2_2025_bhs_006_x"/>
    <s v="hys"/>
    <x v="4"/>
    <x v="1"/>
    <x v="1"/>
    <d v="2025-04-01T00:00:00"/>
    <d v="2025-04-12T00:00:00"/>
    <x v="23"/>
    <n v="1049.6099999999999"/>
    <n v="261807"/>
  </r>
  <r>
    <x v="0"/>
    <x v="2"/>
    <s v="blg_haca_mult_agile-boosting_cons-eng-thruplay_none-none_x_x_ym00437375_x_2025_blg_002_x"/>
    <s v="mult"/>
    <x v="0"/>
    <x v="1"/>
    <x v="1"/>
    <d v="2025-06-01T00:00:00"/>
    <d v="2025-06-15T00:00:00"/>
    <x v="16"/>
    <n v="1836.5299999999997"/>
    <n v="227150"/>
  </r>
  <r>
    <x v="0"/>
    <x v="2"/>
    <s v="blg_haca_hydrasource_reelsonly_aw-aw-thruplay_none-none_na_na_ym00339376_q1-vvr_2024_bhs_001_x"/>
    <s v="hydrasource"/>
    <x v="4"/>
    <x v="2"/>
    <x v="0"/>
    <d v="2024-02-01T00:00:00"/>
    <d v="2024-02-20T00:00:00"/>
    <x v="59"/>
    <n v="230.37000100000003"/>
    <n v="47658"/>
  </r>
  <r>
    <x v="0"/>
    <x v="0"/>
    <s v="blg_haca_scalp-sync_traffic_cons-consideration_ym00356548_all_2024_bcp_004_x"/>
    <s v="scalp-sync"/>
    <x v="3"/>
    <x v="2"/>
    <x v="0"/>
    <d v="2024-05-01T00:00:00"/>
    <d v="2024-05-18T00:00:00"/>
    <x v="56"/>
    <n v="1660.5762030000001"/>
    <n v="407897"/>
  </r>
  <r>
    <x v="0"/>
    <x v="0"/>
    <s v="blg_othr_na_na_84570334_2023_q2_conversion-non-promo_other_amazon+ulta+conversion"/>
    <s v="na"/>
    <x v="0"/>
    <x v="0"/>
    <x v="1"/>
    <d v="2023-07-01T00:00:00"/>
    <d v="2023-07-07T00:00:00"/>
    <x v="21"/>
    <n v="189.46358999999998"/>
    <n v="132795"/>
  </r>
  <r>
    <x v="0"/>
    <x v="2"/>
    <s v="blg_haca_hydrasource_reelsonly_aw-aw-thruplay_none-none_na_na_ym00339376_q1-vvr_2024_bhs_001_x"/>
    <s v="hydrasource"/>
    <x v="4"/>
    <x v="2"/>
    <x v="0"/>
    <d v="2024-02-01T00:00:00"/>
    <d v="2024-02-27T00:00:00"/>
    <x v="29"/>
    <n v="976.68000200000006"/>
    <n v="199401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5T00:00:00"/>
    <x v="39"/>
    <n v="2215.610001"/>
    <n v="316709"/>
  </r>
  <r>
    <x v="0"/>
    <x v="2"/>
    <s v="blg_haca_hys_hydrasource_aw-aw-thruplay_none-none_x_x_ym00427700_q2_2025_bhs_006_x"/>
    <s v="hys"/>
    <x v="4"/>
    <x v="1"/>
    <x v="0"/>
    <d v="2025-04-01T00:00:00"/>
    <d v="2025-04-18T00:00:00"/>
    <x v="36"/>
    <n v="2148.1999999999998"/>
    <n v="300069"/>
  </r>
  <r>
    <x v="0"/>
    <x v="0"/>
    <s v="blg_othr_na_na_84570334_2023_q2_traffic_other_volumebloom-fulldensity+traffic"/>
    <s v="na"/>
    <x v="0"/>
    <x v="0"/>
    <x v="2"/>
    <d v="2023-07-01T00:00:00"/>
    <d v="2023-07-08T00:00:00"/>
    <x v="21"/>
    <n v="675.88490400000001"/>
    <n v="327661"/>
  </r>
  <r>
    <x v="0"/>
    <x v="1"/>
    <s v="blg_haca_mult_ao-boosting_auc_aw-video-views_x_x_ym00437375_x_2025_blg_002_x"/>
    <s v="mult"/>
    <x v="0"/>
    <x v="1"/>
    <x v="0"/>
    <d v="2025-04-01T00:00:00"/>
    <d v="2025-04-26T00:00:00"/>
    <x v="11"/>
    <n v="1.57"/>
    <n v="570"/>
  </r>
  <r>
    <x v="0"/>
    <x v="2"/>
    <s v="blg_haca_prime-day_lead-up-cell-1_aw-aw-thruplay_none-viewcontent_x_lla_ym00384930_x_2024_blg_001_x"/>
    <s v="prime-day"/>
    <x v="6"/>
    <x v="2"/>
    <x v="1"/>
    <d v="2024-07-01T00:00:00"/>
    <d v="2024-07-10T00:00:00"/>
    <x v="54"/>
    <n v="2416.0900029999998"/>
    <n v="219039"/>
  </r>
  <r>
    <x v="0"/>
    <x v="2"/>
    <s v="blg_haca_bfr_fullrescue_aw-aw-thruplay_none-none_x_x_ym00458406_q2-q3_2025_bfr_001_x"/>
    <s v="bfr"/>
    <x v="1"/>
    <x v="1"/>
    <x v="0"/>
    <d v="2025-05-01T00:00:00"/>
    <d v="2025-05-03T00:00:00"/>
    <x v="19"/>
    <n v="1755.98"/>
    <n v="365701"/>
  </r>
  <r>
    <x v="0"/>
    <x v="2"/>
    <s v="blg_haca_bfr_fullrescue_cons-tra-linkcli_website-none_x_x_ym00458406_q2-q3_2025_bfr_001_x"/>
    <s v="bfr"/>
    <x v="1"/>
    <x v="1"/>
    <x v="1"/>
    <d v="2025-05-01T00:00:00"/>
    <d v="2025-05-03T00:00:00"/>
    <x v="19"/>
    <n v="4.04"/>
    <n v="549"/>
  </r>
  <r>
    <x v="0"/>
    <x v="0"/>
    <s v="blg_othr_na_na_84570334_2023_q2_conversion-non-promo_other_amazon+ulta+conversion_v2"/>
    <s v="na"/>
    <x v="0"/>
    <x v="0"/>
    <x v="1"/>
    <d v="2023-07-01T00:00:00"/>
    <d v="2023-07-20T00:00:00"/>
    <x v="42"/>
    <n v="1328.571872"/>
    <n v="144078"/>
  </r>
  <r>
    <x v="0"/>
    <x v="2"/>
    <s v="blg_haca_hydrasource_na_cons-tra-linkcli_none-none_na_na_ym00339376_q1-lctr_2024_bhs_001_x"/>
    <s v="hydrasource"/>
    <x v="4"/>
    <x v="2"/>
    <x v="0"/>
    <d v="2024-01-01T00:00:00"/>
    <d v="2024-01-26T00:00:00"/>
    <x v="15"/>
    <n v="3194.4899990000008"/>
    <n v="550045"/>
  </r>
  <r>
    <x v="0"/>
    <x v="2"/>
    <s v="blg_haca_hydrasource_na_cons-tra-linkcli_none-none_na_na_ym00339376_q1-lctr_2024_bhs_001_x"/>
    <s v="hydrasource"/>
    <x v="4"/>
    <x v="2"/>
    <x v="0"/>
    <d v="2024-03-01T00:00:00"/>
    <d v="2024-03-06T00:00:00"/>
    <x v="6"/>
    <n v="3323.5399940000002"/>
    <n v="502647"/>
  </r>
  <r>
    <x v="0"/>
    <x v="0"/>
    <s v="blg_haca_bfr_fullrescue-bonus_aw-awareness_x_bonus-q2_2025_x_x_x"/>
    <s v="bfr"/>
    <x v="1"/>
    <x v="1"/>
    <x v="1"/>
    <d v="2025-06-01T00:00:00"/>
    <d v="2025-06-23T00:00:00"/>
    <x v="7"/>
    <n v="331.25041599999997"/>
    <n v="150308"/>
  </r>
  <r>
    <x v="0"/>
    <x v="2"/>
    <s v="blg_haca_hydrasource_x_cons-tra-linkcli_none-none_x_x_ym00339376_q4-lctr_2024_bhs_001_x"/>
    <s v="hydrasource"/>
    <x v="4"/>
    <x v="2"/>
    <x v="0"/>
    <d v="2024-10-01T00:00:00"/>
    <d v="2024-10-29T00:00:00"/>
    <x v="22"/>
    <n v="2562.5800019999992"/>
    <n v="258043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6T00:00:00"/>
    <x v="38"/>
    <n v="1213.5771989999998"/>
    <n v="200557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3T00:00:00"/>
    <x v="35"/>
    <n v="3039.9800009999999"/>
    <n v="305923"/>
  </r>
  <r>
    <x v="0"/>
    <x v="2"/>
    <s v="blg_haca_hys_hydrasource_aw-aw-thruplay_none-none_x_x_ym00427700_q2_2025_bhs_006_x"/>
    <s v="hys"/>
    <x v="4"/>
    <x v="1"/>
    <x v="1"/>
    <d v="2025-04-01T00:00:00"/>
    <d v="2025-04-08T00:00:00"/>
    <x v="23"/>
    <n v="1064.0099999999998"/>
    <n v="50325"/>
  </r>
  <r>
    <x v="0"/>
    <x v="0"/>
    <s v="blg_othr_na_na_84570334_2023_q2_conversion-non-promo_other_amazon+ulta+conversion_v2"/>
    <s v="na"/>
    <x v="0"/>
    <x v="0"/>
    <x v="1"/>
    <d v="2023-08-01T00:00:00"/>
    <d v="2023-08-19T00:00:00"/>
    <x v="30"/>
    <n v="1140.7148889999999"/>
    <n v="119633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6T00:00:00"/>
    <x v="4"/>
    <n v="2638.94"/>
    <n v="456014"/>
  </r>
  <r>
    <x v="0"/>
    <x v="0"/>
    <s v="blg_haca_bfr_fullrescue-bonus_aw-awareness_x_bonus-q2_2025_x_x_x"/>
    <s v="bfr"/>
    <x v="1"/>
    <x v="1"/>
    <x v="1"/>
    <d v="2025-06-01T00:00:00"/>
    <d v="2025-06-02T00:00:00"/>
    <x v="10"/>
    <n v="451.47259899999995"/>
    <n v="165637"/>
  </r>
  <r>
    <x v="0"/>
    <x v="1"/>
    <s v="blg_haca_hys_hydrasource_auc_aw-video-views_x_x_ym00427700_q2_2025_bhs_006_x"/>
    <s v="hys"/>
    <x v="4"/>
    <x v="1"/>
    <x v="1"/>
    <d v="2025-04-01T00:00:00"/>
    <d v="2025-04-04T00:00:00"/>
    <x v="26"/>
    <n v="2258.5499999999997"/>
    <n v="479194"/>
  </r>
  <r>
    <x v="0"/>
    <x v="2"/>
    <s v="blg_haca_scalp_reels-only_aw-aw-thruplay_website-viewcontent_na_na_ym00356549_q1-q2-vvr_2024_bcp_002_x"/>
    <s v="scalp"/>
    <x v="3"/>
    <x v="2"/>
    <x v="0"/>
    <d v="2024-04-01T00:00:00"/>
    <d v="2024-04-07T00:00:00"/>
    <x v="34"/>
    <n v="818.84999999999991"/>
    <n v="201405"/>
  </r>
  <r>
    <x v="0"/>
    <x v="2"/>
    <s v="blg_haca_hys_hydrasource_cons-tra-linkcli_website-none_x_x_ym00427700_q2_2025_bhs_006_x"/>
    <s v="hys"/>
    <x v="4"/>
    <x v="1"/>
    <x v="0"/>
    <d v="2025-04-01T00:00:00"/>
    <d v="2025-04-21T00:00:00"/>
    <x v="11"/>
    <n v="3910.3100000000009"/>
    <n v="376358"/>
  </r>
  <r>
    <x v="0"/>
    <x v="2"/>
    <s v="blg_haca_mult_agile-boosting_cons-eng-thruplay_none-none_x_x_ym00437375_x_2025_blg_002_x"/>
    <s v="mult"/>
    <x v="0"/>
    <x v="1"/>
    <x v="0"/>
    <d v="2025-04-01T00:00:00"/>
    <d v="2025-04-12T00:00:00"/>
    <x v="23"/>
    <n v="1182.01"/>
    <n v="259315"/>
  </r>
  <r>
    <x v="0"/>
    <x v="0"/>
    <s v="blg_othr_na_na_84570334_2023_q2_conversion-non-promo_other_amazon+ulta+conversion_v2"/>
    <s v="na"/>
    <x v="0"/>
    <x v="0"/>
    <x v="1"/>
    <d v="2023-07-01T00:00:00"/>
    <d v="2023-07-14T00:00:00"/>
    <x v="37"/>
    <n v="510.41502700000001"/>
    <n v="82904"/>
  </r>
  <r>
    <x v="0"/>
    <x v="2"/>
    <s v="blg_haca_hydrasource_x_aw-aw-thruplay_none-none_x_x_ym00339376_q4_2024_bhs_001_x"/>
    <s v="hydrasource"/>
    <x v="4"/>
    <x v="2"/>
    <x v="0"/>
    <d v="2024-10-01T00:00:00"/>
    <d v="2024-10-23T00:00:00"/>
    <x v="68"/>
    <n v="3474.9100100000005"/>
    <n v="751971"/>
  </r>
  <r>
    <x v="0"/>
    <x v="2"/>
    <s v="blg_haca_scalp_na_cons-tra-linkcli_none-none_na_na_ym00356549_q1-q2-lctr_2024_bcp_002_x"/>
    <s v="scalp"/>
    <x v="3"/>
    <x v="2"/>
    <x v="1"/>
    <d v="2024-03-01T00:00:00"/>
    <d v="2024-03-28T00:00:00"/>
    <x v="3"/>
    <n v="56.639999999999993"/>
    <n v="8891"/>
  </r>
  <r>
    <x v="0"/>
    <x v="0"/>
    <s v="blg_othr_na_na_84570334_2023_q2_conversion-non-promo_other_amazon+ulta+conversion_v2"/>
    <s v="na"/>
    <x v="0"/>
    <x v="0"/>
    <x v="0"/>
    <d v="2023-08-01T00:00:00"/>
    <d v="2023-08-18T00:00:00"/>
    <x v="30"/>
    <n v="318.229581"/>
    <n v="83794"/>
  </r>
  <r>
    <x v="0"/>
    <x v="2"/>
    <s v="blg_haca_scalp_bau_aw-aw-thruplay_website-viewcontent_na_na_ym00356549_q1-q2-vvr_2024_bcp_002_x"/>
    <s v="scalp"/>
    <x v="3"/>
    <x v="2"/>
    <x v="1"/>
    <d v="2024-03-01T00:00:00"/>
    <d v="2024-03-08T00:00:00"/>
    <x v="6"/>
    <n v="2269.5000090000003"/>
    <n v="528334"/>
  </r>
  <r>
    <x v="0"/>
    <x v="1"/>
    <s v="blg_haca_mult_ao-boosting_auc_aw-video-views_x_x_ym00437375_x_2025_blg_002_x"/>
    <s v="mult"/>
    <x v="0"/>
    <x v="1"/>
    <x v="1"/>
    <d v="2025-06-01T00:00:00"/>
    <d v="2025-06-07T00:00:00"/>
    <x v="10"/>
    <n v="0.08"/>
    <n v="21"/>
  </r>
  <r>
    <x v="0"/>
    <x v="2"/>
    <s v="blg_haca_mult_agile-boosting_cons-eng-thruplay_none-none_x_x_ym00437375_x_2025_blg_002_x"/>
    <s v="mult"/>
    <x v="0"/>
    <x v="1"/>
    <x v="1"/>
    <d v="2025-05-01T00:00:00"/>
    <d v="2025-05-16T00:00:00"/>
    <x v="17"/>
    <n v="1139.6399999999996"/>
    <n v="182196"/>
  </r>
  <r>
    <x v="0"/>
    <x v="0"/>
    <s v="blg_othr_na_na_84570334_2023_q2_traffic_other_volumebloom-fulldensity+traffic_v2"/>
    <s v="na"/>
    <x v="0"/>
    <x v="0"/>
    <x v="2"/>
    <d v="2023-07-01T00:00:00"/>
    <d v="2023-07-15T00:00:00"/>
    <x v="37"/>
    <n v="640.07726100000002"/>
    <n v="378067"/>
  </r>
  <r>
    <x v="0"/>
    <x v="2"/>
    <s v="blg_haca_hydrasource_reelsonly_aw-aw-thruplay_none-none_na_na_ym00339376_q1-vvr_2024_bhs_001_x"/>
    <s v="hydrasource"/>
    <x v="4"/>
    <x v="2"/>
    <x v="0"/>
    <d v="2024-03-01T00:00:00"/>
    <d v="2024-03-06T00:00:00"/>
    <x v="6"/>
    <n v="940.69000299999993"/>
    <n v="164451"/>
  </r>
  <r>
    <x v="0"/>
    <x v="2"/>
    <s v="blg_haca_bfr_fullrescue_aw-aw-thruplay_none-none_x_x_ym00458406_q2-q3_2025_bfr_001_x"/>
    <s v="bfr"/>
    <x v="1"/>
    <x v="1"/>
    <x v="1"/>
    <d v="2025-06-01T00:00:00"/>
    <d v="2025-06-23T00:00:00"/>
    <x v="7"/>
    <n v="1636.8899999999999"/>
    <n v="291748"/>
  </r>
  <r>
    <x v="0"/>
    <x v="0"/>
    <s v="blg_haca_bfr_fullrescue-bonus_aw-awareness_x_bonus-q2_2025_x_x_x"/>
    <s v="bfr"/>
    <x v="1"/>
    <x v="1"/>
    <x v="1"/>
    <d v="2025-06-01T00:00:00"/>
    <d v="2025-06-05T00:00:00"/>
    <x v="10"/>
    <n v="433.67715700000002"/>
    <n v="208607"/>
  </r>
  <r>
    <x v="0"/>
    <x v="2"/>
    <s v="blg_haca_scalp_na_cons-tra-linkcli_none-none_na_na_ym00356549_q1-q2-lctr_2024_bcp_002_x"/>
    <s v="scalp"/>
    <x v="3"/>
    <x v="2"/>
    <x v="1"/>
    <d v="2024-04-01T00:00:00"/>
    <d v="2024-04-05T00:00:00"/>
    <x v="53"/>
    <n v="205.86000299999998"/>
    <n v="31798"/>
  </r>
  <r>
    <x v="0"/>
    <x v="1"/>
    <s v="blg_haca_bfr_full-rescue_auc_aw-video-views_x_x_YM00458406_q2_2025_bfr_001_x"/>
    <s v="bfr"/>
    <x v="1"/>
    <x v="1"/>
    <x v="0"/>
    <d v="2025-06-01T00:00:00"/>
    <d v="2025-06-11T00:00:00"/>
    <x v="18"/>
    <n v="14.34"/>
    <n v="2576"/>
  </r>
  <r>
    <x v="0"/>
    <x v="0"/>
    <s v="blg_haca_scalp-sync_traffic_cons-consideration_ym00356548_all_2024_bcp_004_x"/>
    <s v="scalp-sync"/>
    <x v="3"/>
    <x v="2"/>
    <x v="0"/>
    <d v="2024-05-01T00:00:00"/>
    <d v="2024-05-03T00:00:00"/>
    <x v="44"/>
    <n v="1722.7106850000002"/>
    <n v="472139"/>
  </r>
  <r>
    <x v="0"/>
    <x v="2"/>
    <s v="blg_haca_scalp_na_cons-tra-linkcli_none-none_na_na_ym00356549_q1-q2-lctr_2024_bcp_002_x"/>
    <s v="scalp"/>
    <x v="3"/>
    <x v="2"/>
    <x v="1"/>
    <d v="2024-04-01T00:00:00"/>
    <d v="2024-04-14T00:00:00"/>
    <x v="24"/>
    <n v="121.56"/>
    <n v="20358"/>
  </r>
  <r>
    <x v="0"/>
    <x v="2"/>
    <s v="blg_haca_hydrasource_x_aw-aw-thruplay_none-none_x_x_ym00339376_q4_2024_bhs_001_x"/>
    <s v="hydrasource"/>
    <x v="4"/>
    <x v="2"/>
    <x v="0"/>
    <d v="2024-10-01T00:00:00"/>
    <d v="2024-10-22T00:00:00"/>
    <x v="68"/>
    <n v="3333.3899939999997"/>
    <n v="733757"/>
  </r>
  <r>
    <x v="0"/>
    <x v="0"/>
    <s v="blg_othr_na_na_84570334_2023_q2_conversion-non-promo_other_amazon+ulta+conversion"/>
    <s v="na"/>
    <x v="0"/>
    <x v="0"/>
    <x v="1"/>
    <d v="2023-07-01T00:00:00"/>
    <d v="2023-07-04T00:00:00"/>
    <x v="21"/>
    <n v="107.753517"/>
    <n v="69474"/>
  </r>
  <r>
    <x v="0"/>
    <x v="2"/>
    <s v="blg_haca_bfr_fullrescue_cons-tra-linkcli_website-none_x_x_ym00458406_q2-q3_2025_bfr_001_x"/>
    <s v="bfr"/>
    <x v="1"/>
    <x v="1"/>
    <x v="1"/>
    <d v="2025-06-01T00:00:00"/>
    <d v="2025-06-02T00:00:00"/>
    <x v="10"/>
    <n v="34.14"/>
    <n v="4083"/>
  </r>
  <r>
    <x v="0"/>
    <x v="2"/>
    <s v="blg_haca_hydrasource_bau_aw-aw-thruplay_none-none_na_na_ym00339376_q1-vvr_2024_bhs_001_x"/>
    <s v="hydrasource"/>
    <x v="4"/>
    <x v="2"/>
    <x v="2"/>
    <d v="2024-01-01T00:00:00"/>
    <d v="2024-01-19T00:00:00"/>
    <x v="57"/>
    <n v="1498.3499979999997"/>
    <n v="456359"/>
  </r>
  <r>
    <x v="0"/>
    <x v="2"/>
    <s v="blg_haca_scalp_reels-only_aw-aw-thruplay_website-viewcontent_na_na_ym00356549_q1-q2-vvr_2024_bcp_002_x"/>
    <s v="scalp"/>
    <x v="3"/>
    <x v="2"/>
    <x v="1"/>
    <d v="2024-04-01T00:00:00"/>
    <d v="2024-04-06T00:00:00"/>
    <x v="53"/>
    <n v="231.74000100000001"/>
    <n v="58061"/>
  </r>
  <r>
    <x v="0"/>
    <x v="2"/>
    <s v="blg_haca_hydrasource_x_aw-aw-thruplay_none-none_x_x_ym00339376_q4_2024_bhs_001_x"/>
    <s v="hydrasource"/>
    <x v="4"/>
    <x v="2"/>
    <x v="0"/>
    <d v="2024-10-01T00:00:00"/>
    <d v="2024-10-08T00:00:00"/>
    <x v="27"/>
    <n v="3586.7199929999983"/>
    <n v="688694"/>
  </r>
  <r>
    <x v="0"/>
    <x v="2"/>
    <s v="blg_haca_hydrasource_reelsonly_aw-aw-thruplay_none-none_na_na_ym00339376_q1-vvr_2024_bhs_001_x"/>
    <s v="hydrasource"/>
    <x v="4"/>
    <x v="2"/>
    <x v="0"/>
    <d v="2024-02-01T00:00:00"/>
    <d v="2024-02-18T00:00:00"/>
    <x v="59"/>
    <n v="975.89999899999998"/>
    <n v="218413"/>
  </r>
  <r>
    <x v="0"/>
    <x v="0"/>
    <s v="blg_othr_na_na_84570334_2023_q2_conversion-non-promo_other_amazon+ulta+conversion_v2"/>
    <s v="na"/>
    <x v="0"/>
    <x v="0"/>
    <x v="1"/>
    <d v="2023-07-01T00:00:00"/>
    <d v="2023-07-30T00:00:00"/>
    <x v="2"/>
    <n v="1192.9732759999999"/>
    <n v="115602"/>
  </r>
  <r>
    <x v="0"/>
    <x v="2"/>
    <s v="blg_haca_scalp_reels-only_aw-aw-thruplay_website-viewcontent_na_na_ym00356549_q1-q2-vvr_2024_bcp_002_x"/>
    <s v="scalp"/>
    <x v="3"/>
    <x v="2"/>
    <x v="1"/>
    <d v="2024-03-01T00:00:00"/>
    <d v="2024-03-15T00:00:00"/>
    <x v="25"/>
    <n v="987.35999900000002"/>
    <n v="230354"/>
  </r>
  <r>
    <x v="0"/>
    <x v="2"/>
    <s v="blg_haca_hys_hydrasource_cons-tra-linkcli_website-none_x_x_ym00427700_q2_2025_bhs_006_x"/>
    <s v="hys"/>
    <x v="4"/>
    <x v="1"/>
    <x v="0"/>
    <d v="2025-05-01T00:00:00"/>
    <d v="2025-05-01T00:00:00"/>
    <x v="19"/>
    <n v="3420.1800010000002"/>
    <n v="346872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1T00:00:00"/>
    <x v="37"/>
    <n v="2095.2900020000002"/>
    <n v="314378"/>
  </r>
  <r>
    <x v="0"/>
    <x v="1"/>
    <s v="blg_haca_hys_hydrasource_auc_aw-video-views_x_x_ym00427700_q2_2025_bhs_006_x"/>
    <s v="hys"/>
    <x v="4"/>
    <x v="1"/>
    <x v="1"/>
    <d v="2025-04-01T00:00:00"/>
    <d v="2025-04-17T00:00:00"/>
    <x v="36"/>
    <n v="51.52"/>
    <n v="13593"/>
  </r>
  <r>
    <x v="0"/>
    <x v="2"/>
    <s v="blg_haca_scalp_bau_aw-aw-thruplay_website-viewcontent_na_na_ym00356549_q1-q2-vvr_2024_bcp_002_x"/>
    <s v="scalp"/>
    <x v="3"/>
    <x v="2"/>
    <x v="1"/>
    <d v="2024-03-01T00:00:00"/>
    <d v="2024-03-22T00:00:00"/>
    <x v="64"/>
    <n v="2141.48"/>
    <n v="484303"/>
  </r>
  <r>
    <x v="0"/>
    <x v="0"/>
    <s v="blg_othr_na_na_84570334_2023_q2_traffic_other_volumebloom-fulldensity+traffic_v2"/>
    <s v="na"/>
    <x v="0"/>
    <x v="0"/>
    <x v="2"/>
    <d v="2023-07-01T00:00:00"/>
    <d v="2023-07-20T00:00:00"/>
    <x v="42"/>
    <n v="635.57075199999997"/>
    <n v="405135"/>
  </r>
  <r>
    <x v="0"/>
    <x v="2"/>
    <s v="blg_haca_bond-therapy_na_aw-aw-thruplay_none-viewcontent_na_na_ym87093418_vvr-q4_2023_x_x_x"/>
    <s v="bond-therapy"/>
    <x v="5"/>
    <x v="0"/>
    <x v="2"/>
    <d v="2023-11-01T00:00:00"/>
    <d v="2023-11-24T00:00:00"/>
    <x v="35"/>
    <n v="2767.3300039999999"/>
    <n v="400019"/>
  </r>
  <r>
    <x v="0"/>
    <x v="2"/>
    <s v="blg_haca_scalp_bau_aw-aw-thruplay_website-viewcontent_na_na_ym00356549_q1-q2-vvr_2024_bcp_002_x"/>
    <s v="scalp"/>
    <x v="3"/>
    <x v="2"/>
    <x v="1"/>
    <d v="2024-04-01T00:00:00"/>
    <d v="2024-04-08T00:00:00"/>
    <x v="34"/>
    <n v="2367.1500040000001"/>
    <n v="566712"/>
  </r>
  <r>
    <x v="0"/>
    <x v="1"/>
    <s v="blg_haca_bfr_full-rescue_auc_cons-traffic_x_x_YM00458406_q2_2025_bfr_001_x"/>
    <s v="bfr"/>
    <x v="1"/>
    <x v="1"/>
    <x v="1"/>
    <d v="2025-06-01T00:00:00"/>
    <d v="2025-06-25T00:00:00"/>
    <x v="7"/>
    <n v="5650.42"/>
    <n v="952491"/>
  </r>
  <r>
    <x v="0"/>
    <x v="2"/>
    <s v="blg_multi_na_elevate-me_cons-tra-linkcli_none-none_other_na_ym00329346_x_2023_x_x_"/>
    <s v="na"/>
    <x v="0"/>
    <x v="0"/>
    <x v="2"/>
    <d v="2023-11-01T00:00:00"/>
    <d v="2023-11-07T00:00:00"/>
    <x v="63"/>
    <n v="331.98999999999995"/>
    <n v="40831"/>
  </r>
  <r>
    <x v="0"/>
    <x v="2"/>
    <s v="blg_haca_bfr_fullrescue_aw-aw-thruplay_none-none_x_x_ym00458406_q2-q3_2025_bfr_001_x"/>
    <s v="bfr"/>
    <x v="1"/>
    <x v="1"/>
    <x v="0"/>
    <d v="2025-05-01T00:00:00"/>
    <d v="2025-05-22T00:00:00"/>
    <x v="47"/>
    <n v="2418.98"/>
    <n v="381755"/>
  </r>
  <r>
    <x v="0"/>
    <x v="0"/>
    <s v="blg_haca_scalp-sync_traffic_cons-consideration_ym00356548_all_2024_bcp_004_x"/>
    <s v="scalp-sync"/>
    <x v="3"/>
    <x v="2"/>
    <x v="0"/>
    <d v="2024-05-01T00:00:00"/>
    <d v="2024-05-17T00:00:00"/>
    <x v="56"/>
    <n v="1688.6713340000001"/>
    <n v="419387"/>
  </r>
  <r>
    <x v="0"/>
    <x v="0"/>
    <s v="blg_othr_na_na_84570334_2023_q2_conversion-non-promo_other_amazon+ulta+conversion_v2"/>
    <s v="na"/>
    <x v="0"/>
    <x v="0"/>
    <x v="1"/>
    <d v="2023-07-01T00:00:00"/>
    <d v="2023-07-16T00:00:00"/>
    <x v="42"/>
    <n v="952.54618300000004"/>
    <n v="165240"/>
  </r>
  <r>
    <x v="0"/>
    <x v="0"/>
    <s v="blg_haca_bfr_fullrescue-bonus_aw-awareness_x_bonus-q2_2025_x_x_x"/>
    <s v="bfr"/>
    <x v="1"/>
    <x v="1"/>
    <x v="1"/>
    <d v="2025-06-01T00:00:00"/>
    <d v="2025-06-09T00:00:00"/>
    <x v="18"/>
    <n v="437.09902599999998"/>
    <n v="198186"/>
  </r>
  <r>
    <x v="0"/>
    <x v="2"/>
    <s v="blg_haca_scalp_reels-only_aw-aw-thruplay_website-viewcontent_na_na_ym00356549_q1-q2-vvr_2024_bcp_002_x"/>
    <s v="scalp"/>
    <x v="3"/>
    <x v="2"/>
    <x v="1"/>
    <d v="2024-03-01T00:00:00"/>
    <d v="2024-03-27T00:00:00"/>
    <x v="3"/>
    <n v="361.68000000000006"/>
    <n v="75577"/>
  </r>
  <r>
    <x v="0"/>
    <x v="1"/>
    <s v="blg_haca_hys_hydrasource_auc_aw-video-views_x_x_ym00427700_q2_2025_bhs_006_x"/>
    <s v="hys"/>
    <x v="4"/>
    <x v="1"/>
    <x v="1"/>
    <d v="2025-04-01T00:00:00"/>
    <d v="2025-04-11T00:00:00"/>
    <x v="23"/>
    <n v="1013.5500000000001"/>
    <n v="236843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3T00:00:00"/>
    <x v="2"/>
    <n v="2508.58"/>
    <n v="400011"/>
  </r>
  <r>
    <x v="0"/>
    <x v="2"/>
    <s v="blg_haca_bfr_fullrescue_cons-tra-linkcli_website-none_x_x_ym00458406_q2-q3_2025_bfr_001_x"/>
    <s v="bfr"/>
    <x v="1"/>
    <x v="1"/>
    <x v="0"/>
    <d v="2025-06-01T00:00:00"/>
    <d v="2025-06-24T00:00:00"/>
    <x v="7"/>
    <n v="1446.79"/>
    <n v="120775"/>
  </r>
  <r>
    <x v="0"/>
    <x v="1"/>
    <s v="blg_haca_hys_hydrasource_auc_aw-video-views_x_x_ym00427700_q2_2025_bhs_006_x"/>
    <s v="hys"/>
    <x v="4"/>
    <x v="1"/>
    <x v="1"/>
    <d v="2025-04-01T00:00:00"/>
    <d v="2025-04-10T00:00:00"/>
    <x v="23"/>
    <n v="1409.04"/>
    <n v="309678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16T00:00:00"/>
    <x v="55"/>
    <n v="1262.630001"/>
    <n v="200012"/>
  </r>
  <r>
    <x v="0"/>
    <x v="2"/>
    <s v="blg_haca_prime-day_lead-up-cell-1_aw-aw-thruplay_none-viewcontent_x_lla_ym00384930_x_2024_blg_001_x"/>
    <s v="prime-day"/>
    <x v="6"/>
    <x v="2"/>
    <x v="1"/>
    <d v="2024-07-01T00:00:00"/>
    <d v="2024-07-12T00:00:00"/>
    <x v="54"/>
    <n v="2430.0099959999993"/>
    <n v="195763"/>
  </r>
  <r>
    <x v="0"/>
    <x v="2"/>
    <s v="blg_multi_na_elevate-me_cons-tra-linkcli_none-none_other_na_ym00329346_x_2023_x_x_"/>
    <s v="na"/>
    <x v="0"/>
    <x v="0"/>
    <x v="2"/>
    <d v="2023-11-01T00:00:00"/>
    <d v="2023-11-10T00:00:00"/>
    <x v="63"/>
    <n v="291.95999999999998"/>
    <n v="29167"/>
  </r>
  <r>
    <x v="0"/>
    <x v="2"/>
    <s v="blg_haca_hydrasource_x_aw-aw-thruplay_none-none_x_x_ym00339376_q4_2024_bhs_001_x"/>
    <s v="hydrasource"/>
    <x v="4"/>
    <x v="2"/>
    <x v="0"/>
    <d v="2024-10-01T00:00:00"/>
    <d v="2024-10-13T00:00:00"/>
    <x v="32"/>
    <n v="3833.6000040000004"/>
    <n v="719202"/>
  </r>
  <r>
    <x v="0"/>
    <x v="1"/>
    <s v="blg_haca_bfr_full-rescue_auc_cons-traffic_x_x_YM00458406_q2_2025_bfr_001_x"/>
    <s v="bfr"/>
    <x v="1"/>
    <x v="1"/>
    <x v="0"/>
    <d v="2025-06-01T00:00:00"/>
    <d v="2025-06-02T00:00:00"/>
    <x v="10"/>
    <n v="4033.5299999999997"/>
    <n v="1002994"/>
  </r>
  <r>
    <x v="0"/>
    <x v="2"/>
    <s v="blg_haca_bfr_fullrescue_aw-aw-thruplay_none-none_x_x_ym00458406_q2-q3_2025_bfr_001_x"/>
    <s v="bfr"/>
    <x v="1"/>
    <x v="1"/>
    <x v="1"/>
    <d v="2025-06-01T00:00:00"/>
    <d v="2025-06-02T00:00:00"/>
    <x v="10"/>
    <n v="1396.7399949999999"/>
    <n v="215210"/>
  </r>
  <r>
    <x v="0"/>
    <x v="2"/>
    <s v="blg_haca_scalp_na_cons-tra-linkcli_none-none_na_na_ym00356549_q1-q2-lctr_2024_bcp_002_x"/>
    <s v="scalp"/>
    <x v="3"/>
    <x v="2"/>
    <x v="0"/>
    <d v="2024-04-01T00:00:00"/>
    <d v="2024-04-03T00:00:00"/>
    <x v="53"/>
    <n v="1229.3599949999998"/>
    <n v="214539"/>
  </r>
  <r>
    <x v="0"/>
    <x v="2"/>
    <s v="blg_haca_hys_hydrasource_cons-tra-linkcli_website-none_x_x_ym00427700_q2_2025_bhs_006_x"/>
    <s v="hys"/>
    <x v="4"/>
    <x v="1"/>
    <x v="0"/>
    <d v="2025-04-01T00:00:00"/>
    <d v="2025-04-23T00:00:00"/>
    <x v="11"/>
    <n v="3752.9800000000014"/>
    <n v="346277"/>
  </r>
  <r>
    <x v="0"/>
    <x v="2"/>
    <s v="blg_haca_scalp_na_cons-tra-linkcli_none-none_na_na_ym00356549_q1-q2-lctr_2024_bcp_002_x"/>
    <s v="scalp"/>
    <x v="3"/>
    <x v="2"/>
    <x v="1"/>
    <d v="2024-04-01T00:00:00"/>
    <d v="2024-04-04T00:00:00"/>
    <x v="53"/>
    <n v="169.95000099999999"/>
    <n v="26576"/>
  </r>
  <r>
    <x v="0"/>
    <x v="0"/>
    <s v="blg_othr_na_na_84570334_2023_q2_conversion-non-promo_other_amazon+ulta+conversion"/>
    <s v="na"/>
    <x v="0"/>
    <x v="0"/>
    <x v="0"/>
    <d v="2023-07-01T00:00:00"/>
    <d v="2023-07-07T00:00:00"/>
    <x v="21"/>
    <n v="1278.15986"/>
    <n v="348854"/>
  </r>
  <r>
    <x v="0"/>
    <x v="2"/>
    <s v="blg_haca_mult_agile-boosting_cons-eng-thruplay_none-none_x_x_ym00437375_x_2025_blg_002_x"/>
    <s v="mult"/>
    <x v="0"/>
    <x v="1"/>
    <x v="1"/>
    <d v="2025-04-01T00:00:00"/>
    <d v="2025-04-26T00:00:00"/>
    <x v="11"/>
    <n v="811.50999999999976"/>
    <n v="160156"/>
  </r>
  <r>
    <x v="0"/>
    <x v="2"/>
    <s v="blg_haca_hys_hydrasource_cons-tra-linkcli_website-none_x_x_ym00427700_q2_2025_bhs_006_x"/>
    <s v="hys"/>
    <x v="4"/>
    <x v="1"/>
    <x v="0"/>
    <d v="2025-04-01T00:00:00"/>
    <d v="2025-04-30T00:00:00"/>
    <x v="19"/>
    <n v="3562.1699960000001"/>
    <n v="348695"/>
  </r>
  <r>
    <x v="0"/>
    <x v="2"/>
    <s v="blg_haca_prime-day_lead-up-cell-2_aw-aw-thruplay_none-viewcontent_x_lla_ym00384930_x_2024_blg_001_x"/>
    <s v="prime-day"/>
    <x v="6"/>
    <x v="2"/>
    <x v="1"/>
    <d v="2024-07-01T00:00:00"/>
    <d v="2024-07-13T00:00:00"/>
    <x v="54"/>
    <n v="2470.1199799999999"/>
    <n v="201545"/>
  </r>
  <r>
    <x v="0"/>
    <x v="2"/>
    <s v="blg_haca_hys_hydrasource_aw-aw-thruplay_none-none_x_x_ym00427700_q2_2025_bhs_006_x"/>
    <s v="hys"/>
    <x v="4"/>
    <x v="1"/>
    <x v="0"/>
    <d v="2025-04-01T00:00:00"/>
    <d v="2025-04-16T00:00:00"/>
    <x v="36"/>
    <n v="2244.9600009999999"/>
    <n v="306230"/>
  </r>
  <r>
    <x v="0"/>
    <x v="2"/>
    <s v="blg_haca_scalp_bau_aw-aw-thruplay_website-viewcontent_na_na_ym00356549_q1-q2-vvr_2024_bcp_002_x"/>
    <s v="scalp"/>
    <x v="3"/>
    <x v="2"/>
    <x v="1"/>
    <d v="2024-03-01T00:00:00"/>
    <d v="2024-03-17T00:00:00"/>
    <x v="64"/>
    <n v="2425.8100000000004"/>
    <n v="586294"/>
  </r>
  <r>
    <x v="0"/>
    <x v="2"/>
    <s v="blg_haca_scalp_reels-only_aw-aw-thruplay_website-viewcontent_na_na_ym00356549_q1-q2-vvr_2024_bcp_002_x"/>
    <s v="scalp"/>
    <x v="3"/>
    <x v="2"/>
    <x v="1"/>
    <d v="2024-03-01T00:00:00"/>
    <d v="2024-03-18T00:00:00"/>
    <x v="64"/>
    <n v="974.50999700000011"/>
    <n v="246564"/>
  </r>
  <r>
    <x v="0"/>
    <x v="1"/>
    <s v="blg_haca_mult_ao-boosting_auc_aw-video-views_x_x_ym00437375_x_2025_blg_002_x"/>
    <s v="mult"/>
    <x v="0"/>
    <x v="1"/>
    <x v="1"/>
    <d v="2025-04-01T00:00:00"/>
    <d v="2025-04-09T00:00:00"/>
    <x v="23"/>
    <n v="1342.41"/>
    <n v="361193"/>
  </r>
  <r>
    <x v="0"/>
    <x v="0"/>
    <s v="blg_haca_bfr_fullrescue-bonus_aw-awareness_x_bonus-q2_2025_x_x_x"/>
    <s v="bfr"/>
    <x v="1"/>
    <x v="1"/>
    <x v="1"/>
    <d v="2025-06-01T00:00:00"/>
    <d v="2025-06-26T00:00:00"/>
    <x v="7"/>
    <n v="313.50305300000002"/>
    <n v="148679"/>
  </r>
  <r>
    <x v="0"/>
    <x v="1"/>
    <s v="blg_haca_bfr_full-rescue_auc_aw-video-views_x_x_YM00458406_q2_2025_bfr_001_x"/>
    <s v="bfr"/>
    <x v="1"/>
    <x v="1"/>
    <x v="1"/>
    <d v="2025-06-01T00:00:00"/>
    <d v="2025-06-30T00:00:00"/>
    <x v="1"/>
    <n v="1563.95"/>
    <n v="333084"/>
  </r>
  <r>
    <x v="0"/>
    <x v="0"/>
    <s v="blg_othr_na_na_84570334_2023_q2_conversion-non-promo_other_amazon+ulta+conversion_v2"/>
    <s v="na"/>
    <x v="0"/>
    <x v="0"/>
    <x v="1"/>
    <d v="2023-07-01T00:00:00"/>
    <d v="2023-07-29T00:00:00"/>
    <x v="39"/>
    <n v="1213.9360160000001"/>
    <n v="125733"/>
  </r>
  <r>
    <x v="0"/>
    <x v="2"/>
    <s v="blg_haca_hydrasource_bau_aw-aw-thruplay_none-none_na_na_ym00339376_q1-vvr_2024_bhs_001_x"/>
    <s v="hydrasource"/>
    <x v="4"/>
    <x v="2"/>
    <x v="2"/>
    <d v="2024-01-01T00:00:00"/>
    <d v="2024-01-24T00:00:00"/>
    <x v="15"/>
    <n v="1453.9400069999997"/>
    <n v="301987"/>
  </r>
  <r>
    <x v="0"/>
    <x v="2"/>
    <s v="blg_haca_scalp_na_cons-tra-linkcli_none-none_na_na_ym00356549_q1-q2-lctr_2024_bcp_002_x"/>
    <s v="scalp"/>
    <x v="3"/>
    <x v="2"/>
    <x v="1"/>
    <d v="2024-04-01T00:00:00"/>
    <d v="2024-04-19T00:00:00"/>
    <x v="24"/>
    <n v="80.94"/>
    <n v="9484"/>
  </r>
  <r>
    <x v="0"/>
    <x v="2"/>
    <s v="blg_haca_bfr_fullrescue_cons-tra-linkcli_website-none_x_x_ym00458406_q2-q3_2025_bfr_001_x"/>
    <s v="bfr"/>
    <x v="1"/>
    <x v="1"/>
    <x v="0"/>
    <d v="2025-06-01T00:00:00"/>
    <d v="2025-06-09T00:00:00"/>
    <x v="18"/>
    <n v="1691.3200040000002"/>
    <n v="125251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7T00:00:00"/>
    <x v="39"/>
    <n v="2168.3000029999998"/>
    <n v="285587"/>
  </r>
  <r>
    <x v="0"/>
    <x v="2"/>
    <s v="blg_haca_mult_ulta-liter_cons-tra-linkcli_website-none_promotion_x_ym00437375_q1_2025_blg_002_x"/>
    <s v="mult"/>
    <x v="0"/>
    <x v="1"/>
    <x v="0"/>
    <d v="2025-01-01T00:00:00"/>
    <d v="2025-01-19T00:00:00"/>
    <x v="70"/>
    <n v="3776.8399970000005"/>
    <n v="657926"/>
  </r>
  <r>
    <x v="0"/>
    <x v="2"/>
    <s v="blg_haca_scalp_reels-only_aw-aw-thruplay_website-viewcontent_na_na_ym00356549_q1-q2-vvr_2024_bcp_002_x"/>
    <s v="scalp"/>
    <x v="3"/>
    <x v="2"/>
    <x v="1"/>
    <d v="2024-03-01T00:00:00"/>
    <d v="2024-03-23T00:00:00"/>
    <x v="64"/>
    <n v="1007.369998"/>
    <n v="227670"/>
  </r>
  <r>
    <x v="0"/>
    <x v="2"/>
    <s v="blg_haca_hydrasource_na_cons-tra-linkcli_none-none_na_na_ym00339376_q1-lctr_2024_bhs_001_x"/>
    <s v="hydrasource"/>
    <x v="4"/>
    <x v="2"/>
    <x v="0"/>
    <d v="2024-02-01T00:00:00"/>
    <d v="2024-02-09T00:00:00"/>
    <x v="41"/>
    <n v="3051.8499970000003"/>
    <n v="437274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2T00:00:00"/>
    <x v="40"/>
    <n v="1220.2199980000003"/>
    <n v="192835"/>
  </r>
  <r>
    <x v="0"/>
    <x v="0"/>
    <s v="blg_othr_na_na_84570334_2023_q2_conversion-non-promo_other_amazon+ulta+conversion_v2"/>
    <s v="na"/>
    <x v="0"/>
    <x v="0"/>
    <x v="0"/>
    <d v="2023-08-01T00:00:00"/>
    <d v="2023-08-09T00:00:00"/>
    <x v="4"/>
    <n v="374.51571899999999"/>
    <n v="137876"/>
  </r>
  <r>
    <x v="0"/>
    <x v="0"/>
    <s v="blg_haca_bfr_fullrescue-bonus_aw-awareness_x_bonus-q2_2025_x_x_x"/>
    <s v="bfr"/>
    <x v="1"/>
    <x v="1"/>
    <x v="0"/>
    <d v="2025-06-01T00:00:00"/>
    <d v="2025-06-13T00:00:00"/>
    <x v="18"/>
    <n v="1318.9717479999999"/>
    <n v="614471"/>
  </r>
  <r>
    <x v="0"/>
    <x v="1"/>
    <s v="blg_haca_mult_ao-boosting_auc_aw-video-views_x_x_ym00437375_x_2025_blg_002_x"/>
    <s v="mult"/>
    <x v="0"/>
    <x v="1"/>
    <x v="0"/>
    <d v="2025-06-01T00:00:00"/>
    <d v="2025-06-16T00:00:00"/>
    <x v="16"/>
    <n v="1655.29"/>
    <n v="322016"/>
  </r>
  <r>
    <x v="0"/>
    <x v="0"/>
    <s v="blg_haca_scalp-sync_awareness_aw-awareness_ym00356548_all_2024_bcp_004_x"/>
    <s v="scalp-sync"/>
    <x v="3"/>
    <x v="2"/>
    <x v="2"/>
    <d v="2024-05-01T00:00:00"/>
    <d v="2024-05-20T00:00:00"/>
    <x v="14"/>
    <n v="3384.5862830000005"/>
    <n v="1395327"/>
  </r>
  <r>
    <x v="0"/>
    <x v="1"/>
    <s v="blg_haca_mult_ao-boosting_auc_aw-video-views_x_x_ym00437375_x_2025_blg_002_x"/>
    <s v="mult"/>
    <x v="0"/>
    <x v="1"/>
    <x v="0"/>
    <d v="2025-04-01T00:00:00"/>
    <d v="2025-04-25T00:00:00"/>
    <x v="11"/>
    <n v="2.84"/>
    <n v="646"/>
  </r>
  <r>
    <x v="0"/>
    <x v="1"/>
    <s v="blg_haca_bfr_full-rescue_auc_aw-video-views_x_x_YM00458406_q2_2025_bfr_001_x"/>
    <s v="bfr"/>
    <x v="1"/>
    <x v="1"/>
    <x v="0"/>
    <d v="2025-06-01T00:00:00"/>
    <d v="2025-06-02T00:00:00"/>
    <x v="10"/>
    <n v="154.24999999999997"/>
    <n v="22204"/>
  </r>
  <r>
    <x v="0"/>
    <x v="0"/>
    <s v="blg_haca_bfr_fullrescue-bonus_aw-awareness_x_bonus-q2_2025_x_x_x"/>
    <s v="bfr"/>
    <x v="1"/>
    <x v="1"/>
    <x v="0"/>
    <d v="2025-06-01T00:00:00"/>
    <d v="2025-06-02T00:00:00"/>
    <x v="10"/>
    <n v="924.12972400000001"/>
    <n v="336776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08T00:00:00"/>
    <x v="54"/>
    <n v="3265.6599979999996"/>
    <n v="576619"/>
  </r>
  <r>
    <x v="0"/>
    <x v="2"/>
    <s v="blg_haca_bfr_fullrescue_cons-tra-linkcli_website-none_x_x_ym00458406_q2-q3_2025_bfr_001_x"/>
    <s v="bfr"/>
    <x v="1"/>
    <x v="1"/>
    <x v="0"/>
    <d v="2025-05-01T00:00:00"/>
    <d v="2025-05-02T00:00:00"/>
    <x v="19"/>
    <n v="1706.6099990000002"/>
    <n v="137668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8T00:00:00"/>
    <x v="39"/>
    <n v="2128.6200000000003"/>
    <n v="291592"/>
  </r>
  <r>
    <x v="0"/>
    <x v="2"/>
    <s v="blg_haca_scalp_bau_aw-aw-thruplay_website-viewcontent_na_na_ym00356549_q1-q2-vvr_2024_bcp_002_x"/>
    <s v="scalp"/>
    <x v="3"/>
    <x v="2"/>
    <x v="1"/>
    <d v="2024-04-01T00:00:00"/>
    <d v="2024-04-04T00:00:00"/>
    <x v="53"/>
    <n v="2270.0500050000001"/>
    <n v="524103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5T00:00:00"/>
    <x v="35"/>
    <n v="3230.8100010000003"/>
    <n v="276221"/>
  </r>
  <r>
    <x v="0"/>
    <x v="2"/>
    <s v="blg_haca_scalp_na_cons-tra-linkcli_none-none_na_na_ym00356549_q1-q2-lctr_2024_bcp_002_x"/>
    <s v="scalp"/>
    <x v="3"/>
    <x v="2"/>
    <x v="0"/>
    <d v="2024-03-01T00:00:00"/>
    <d v="2024-03-28T00:00:00"/>
    <x v="3"/>
    <n v="1547.9299979999998"/>
    <n v="202237"/>
  </r>
  <r>
    <x v="0"/>
    <x v="0"/>
    <s v="blg_othr_na_na_84570334_2023_q2_traffic_other_volumebloom-fulldensity+traffic_v2"/>
    <s v="na"/>
    <x v="0"/>
    <x v="0"/>
    <x v="2"/>
    <d v="2023-07-01T00:00:00"/>
    <d v="2023-07-26T00:00:00"/>
    <x v="39"/>
    <n v="638.2330199999999"/>
    <n v="400137"/>
  </r>
  <r>
    <x v="0"/>
    <x v="1"/>
    <s v="blg_haca_hys_hydrasource_auc_cons-traffic_x_x_ym00427700_q2_2025_bhs_006_x"/>
    <s v="hys"/>
    <x v="4"/>
    <x v="1"/>
    <x v="0"/>
    <d v="2025-04-01T00:00:00"/>
    <d v="2025-04-18T00:00:00"/>
    <x v="36"/>
    <n v="5550.14"/>
    <n v="1200502"/>
  </r>
  <r>
    <x v="0"/>
    <x v="2"/>
    <s v="blg_haca_scalp_bau_aw-aw-thruplay_website-viewcontent_na_na_ym00356549_q1-q2-vvr_2024_bcp_002_x"/>
    <s v="scalp"/>
    <x v="3"/>
    <x v="2"/>
    <x v="1"/>
    <d v="2024-03-01T00:00:00"/>
    <d v="2024-03-13T00:00:00"/>
    <x v="25"/>
    <n v="2201.1899990000002"/>
    <n v="466667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3T00:00:00"/>
    <x v="39"/>
    <n v="2695.8899990000004"/>
    <n v="410581"/>
  </r>
  <r>
    <x v="0"/>
    <x v="2"/>
    <s v="blg_haca_bfr_fullrescue_cons-tra-linkcli_website-none_x_x_ym00458406_q2-q3_2025_bfr_001_x"/>
    <s v="bfr"/>
    <x v="1"/>
    <x v="1"/>
    <x v="0"/>
    <d v="2025-05-01T00:00:00"/>
    <d v="2025-05-03T00:00:00"/>
    <x v="19"/>
    <n v="1890.4599999999996"/>
    <n v="125562"/>
  </r>
  <r>
    <x v="0"/>
    <x v="1"/>
    <s v="blg_haca_hys_hydrasource_auc_cons-traffic_x_x_ym00427700_q2_2025_bhs_006_x"/>
    <s v="hys"/>
    <x v="4"/>
    <x v="1"/>
    <x v="1"/>
    <d v="2025-04-01T00:00:00"/>
    <d v="2025-04-16T00:00:00"/>
    <x v="36"/>
    <n v="111.91"/>
    <n v="40100"/>
  </r>
  <r>
    <x v="0"/>
    <x v="2"/>
    <s v="blg_haca_hydrasource_reelsonly_aw-aw-thruplay_none-none_na_na_ym00339376_q1-vvr_2024_bhs_001_x"/>
    <s v="hydrasource"/>
    <x v="4"/>
    <x v="2"/>
    <x v="0"/>
    <d v="2024-02-01T00:00:00"/>
    <d v="2024-02-26T00:00:00"/>
    <x v="29"/>
    <n v="969.86000300000012"/>
    <n v="201576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31T00:00:00"/>
    <x v="2"/>
    <n v="2256.7999950000003"/>
    <n v="307612"/>
  </r>
  <r>
    <x v="0"/>
    <x v="0"/>
    <s v="blg_othr_na_na_84570334_2023_q2_traffic_other_volumebloom-fulldensity+traffic_v2"/>
    <s v="na"/>
    <x v="0"/>
    <x v="0"/>
    <x v="2"/>
    <d v="2023-07-01T00:00:00"/>
    <d v="2023-07-31T00:00:00"/>
    <x v="2"/>
    <n v="733.76724000000002"/>
    <n v="399408"/>
  </r>
  <r>
    <x v="0"/>
    <x v="2"/>
    <s v="blg_haca_scalp_reels-only_aw-aw-thruplay_website-viewcontent_na_na_ym00356549_q1-q2-vvr_2024_bcp_002_x"/>
    <s v="scalp"/>
    <x v="3"/>
    <x v="2"/>
    <x v="0"/>
    <d v="2024-04-01T00:00:00"/>
    <d v="2024-04-10T00:00:00"/>
    <x v="34"/>
    <n v="742.01000299999998"/>
    <n v="183979"/>
  </r>
  <r>
    <x v="0"/>
    <x v="2"/>
    <s v="blg_haca_hydrasource_x_aw-aw-thruplay_none-none_x_x_ym00339376_q4_2024_bhs_001_x"/>
    <s v="hydrasource"/>
    <x v="4"/>
    <x v="2"/>
    <x v="0"/>
    <d v="2024-10-01T00:00:00"/>
    <d v="2024-10-26T00:00:00"/>
    <x v="68"/>
    <n v="3721.8800059999999"/>
    <n v="753751"/>
  </r>
  <r>
    <x v="0"/>
    <x v="2"/>
    <s v="blg_haca_hydrasource_na_cons-tra-linkcli_none-none_na_na_ym00339376_q1-lctr_2024_bhs_001_x"/>
    <s v="hydrasource"/>
    <x v="4"/>
    <x v="2"/>
    <x v="0"/>
    <d v="2024-02-01T00:00:00"/>
    <d v="2024-02-19T00:00:00"/>
    <x v="59"/>
    <n v="2984.0800010000003"/>
    <n v="494496"/>
  </r>
  <r>
    <x v="0"/>
    <x v="2"/>
    <s v="blg_haca_bfr_fullrescue_cons-tra-linkcli_website-none_x_x_ym00458406_q2-q3_2025_bfr_001_x"/>
    <s v="bfr"/>
    <x v="1"/>
    <x v="1"/>
    <x v="1"/>
    <d v="2025-05-01T00:00:00"/>
    <d v="2025-05-11T00:00:00"/>
    <x v="17"/>
    <n v="7.1"/>
    <n v="825"/>
  </r>
  <r>
    <x v="0"/>
    <x v="0"/>
    <s v="blg_haca_scalp-sync_traffic_cons-consideration_ym00356548_all_2024_bcp_004_x"/>
    <s v="scalp-sync"/>
    <x v="3"/>
    <x v="2"/>
    <x v="0"/>
    <d v="2024-05-01T00:00:00"/>
    <d v="2024-05-30T00:00:00"/>
    <x v="65"/>
    <n v="1576.3422090000001"/>
    <n v="433364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1T00:00:00"/>
    <x v="2"/>
    <n v="2097.7300009999999"/>
    <n v="342916"/>
  </r>
  <r>
    <x v="0"/>
    <x v="0"/>
    <s v="blg_othr_na_na_84570334_2023_q2_conversion-non-promo_other_amazon+ulta+conversion_v2"/>
    <s v="na"/>
    <x v="0"/>
    <x v="0"/>
    <x v="0"/>
    <d v="2023-07-01T00:00:00"/>
    <d v="2023-07-18T00:00:00"/>
    <x v="42"/>
    <n v="244.31611000000001"/>
    <n v="101325"/>
  </r>
  <r>
    <x v="0"/>
    <x v="2"/>
    <s v="blg_haca_scalp_bau_aw-aw-thruplay_website-viewcontent_na_na_ym00356549_q1-q2-vvr_2024_bcp_002_x"/>
    <s v="scalp"/>
    <x v="3"/>
    <x v="2"/>
    <x v="1"/>
    <d v="2024-04-01T00:00:00"/>
    <d v="2024-04-21T00:00:00"/>
    <x v="50"/>
    <n v="2329.6400020000001"/>
    <n v="494650"/>
  </r>
  <r>
    <x v="0"/>
    <x v="2"/>
    <s v="blg_haca_hys_hydrasource_aw-aw-thruplay_none-none_x_x_ym00427700_q2_2025_bhs_006_x"/>
    <s v="hys"/>
    <x v="4"/>
    <x v="1"/>
    <x v="1"/>
    <d v="2025-04-01T00:00:00"/>
    <d v="2025-04-05T00:00:00"/>
    <x v="26"/>
    <n v="1133.05"/>
    <n v="58777"/>
  </r>
  <r>
    <x v="0"/>
    <x v="1"/>
    <s v="blg_haca_hys_hydrasource_auc_cons-traffic_x_x_ym00427700_q2_2025_bhs_006_x"/>
    <s v="hys"/>
    <x v="4"/>
    <x v="1"/>
    <x v="0"/>
    <d v="2025-04-01T00:00:00"/>
    <d v="2025-04-15T00:00:00"/>
    <x v="36"/>
    <n v="5418.8"/>
    <n v="1195417"/>
  </r>
  <r>
    <x v="0"/>
    <x v="0"/>
    <s v="blg_othr_na_na_84570334_2023_q2_conversion-non-promo_other_amazon+ulta+conversion"/>
    <s v="na"/>
    <x v="0"/>
    <x v="0"/>
    <x v="0"/>
    <d v="2023-07-01T00:00:00"/>
    <d v="2023-07-03T00:00:00"/>
    <x v="21"/>
    <n v="1353.3895750000001"/>
    <n v="249255"/>
  </r>
  <r>
    <x v="0"/>
    <x v="2"/>
    <s v="blg_haca_hydrasource_bau_aw-aw-thruplay_none-none_na_na_ym00339376_q1-vvr_2024_bhs_001_x"/>
    <s v="hydrasource"/>
    <x v="4"/>
    <x v="2"/>
    <x v="2"/>
    <d v="2024-01-01T00:00:00"/>
    <d v="2024-01-23T00:00:00"/>
    <x v="15"/>
    <n v="1429.430008"/>
    <n v="366288"/>
  </r>
  <r>
    <x v="0"/>
    <x v="2"/>
    <s v="blg_haca_hydrasource_na_cons-tra-linkcli_none-none_na_na_ym00339376_q1-lctr_2024_bhs_001_x"/>
    <s v="hydrasource"/>
    <x v="4"/>
    <x v="2"/>
    <x v="0"/>
    <d v="2024-01-01T00:00:00"/>
    <d v="2024-01-29T00:00:00"/>
    <x v="5"/>
    <n v="3199.7200000000003"/>
    <n v="550478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4T00:00:00"/>
    <x v="2"/>
    <n v="2460.0200000000004"/>
    <n v="403022"/>
  </r>
  <r>
    <x v="0"/>
    <x v="0"/>
    <s v="blg_haca_scalp-sync_awareness_aw-awareness_ym00356548_all_2024_bcp_004_x"/>
    <s v="scalp-sync"/>
    <x v="3"/>
    <x v="2"/>
    <x v="2"/>
    <d v="2024-05-01T00:00:00"/>
    <d v="2024-05-12T00:00:00"/>
    <x v="56"/>
    <n v="3400.5716510000002"/>
    <n v="1440838"/>
  </r>
  <r>
    <x v="0"/>
    <x v="2"/>
    <s v="blg_haca_hys_hydrasource_aw-aw-thruplay_none-none_x_x_ym00427700_q2_2025_bhs_006_x"/>
    <s v="hys"/>
    <x v="4"/>
    <x v="1"/>
    <x v="1"/>
    <d v="2025-04-01T00:00:00"/>
    <d v="2025-04-20T00:00:00"/>
    <x v="11"/>
    <n v="456.38"/>
    <n v="18106"/>
  </r>
  <r>
    <x v="0"/>
    <x v="2"/>
    <s v="blg_haca_mult_agile-boosting_cons-eng-thruplay_none-none_x_x_ym00437375_x_2025_blg_002_x"/>
    <s v="mult"/>
    <x v="0"/>
    <x v="1"/>
    <x v="1"/>
    <d v="2025-04-01T00:00:00"/>
    <d v="2025-04-20T00:00:00"/>
    <x v="11"/>
    <n v="868.50000000000011"/>
    <n v="190304"/>
  </r>
  <r>
    <x v="0"/>
    <x v="2"/>
    <s v="blg_haca_scalp_bau_aw-aw-thruplay_website-viewcontent_na_na_ym00356549_q1-q2-vvr_2024_bcp_002_x"/>
    <s v="scalp"/>
    <x v="3"/>
    <x v="2"/>
    <x v="1"/>
    <d v="2024-04-01T00:00:00"/>
    <d v="2024-04-03T00:00:00"/>
    <x v="53"/>
    <n v="1983.1999990000002"/>
    <n v="466639"/>
  </r>
  <r>
    <x v="0"/>
    <x v="2"/>
    <s v="blg_haca_mult_agile-boosting_cons-eng-thruplay_none-none_x_x_ym00437375_x_2025_blg_002_x"/>
    <s v="mult"/>
    <x v="0"/>
    <x v="1"/>
    <x v="1"/>
    <d v="2025-05-01T00:00:00"/>
    <d v="2025-05-19T00:00:00"/>
    <x v="47"/>
    <n v="1441.8"/>
    <n v="230501"/>
  </r>
  <r>
    <x v="0"/>
    <x v="1"/>
    <s v="blg_haca_mult_ao-boosting_auc_aw-video-views_x_x_ym00437375_x_2025_blg_002_x"/>
    <s v="mult"/>
    <x v="0"/>
    <x v="1"/>
    <x v="1"/>
    <d v="2025-06-01T00:00:00"/>
    <d v="2025-06-03T00:00:00"/>
    <x v="10"/>
    <n v="945.15000000000009"/>
    <n v="276166"/>
  </r>
  <r>
    <x v="0"/>
    <x v="1"/>
    <s v="blg_haca_mult_ao-boosting_auc_aw-video-views_x_x_ym00437375_x_2025_blg_002_x"/>
    <s v="mult"/>
    <x v="0"/>
    <x v="1"/>
    <x v="0"/>
    <d v="2025-03-01T00:00:00"/>
    <d v="2025-03-28T00:00:00"/>
    <x v="9"/>
    <n v="1970.18"/>
    <n v="440628"/>
  </r>
  <r>
    <x v="0"/>
    <x v="1"/>
    <s v="blg_haca_bfr_full-rescue_auc_aw-video-views_x_x_YM00458406_q2_2025_bfr_001_x"/>
    <s v="bfr"/>
    <x v="1"/>
    <x v="1"/>
    <x v="1"/>
    <d v="2025-06-01T00:00:00"/>
    <d v="2025-06-15T00:00:00"/>
    <x v="16"/>
    <n v="1716.25"/>
    <n v="257419"/>
  </r>
  <r>
    <x v="0"/>
    <x v="0"/>
    <s v="blg_othr_na_na_84570334_2023_q2_conversion-non-promo_other_amazon+ulta+conversion_v2"/>
    <s v="na"/>
    <x v="0"/>
    <x v="0"/>
    <x v="1"/>
    <d v="2023-07-01T00:00:00"/>
    <d v="2023-07-26T00:00:00"/>
    <x v="39"/>
    <n v="1262.861185"/>
    <n v="136896"/>
  </r>
  <r>
    <x v="0"/>
    <x v="2"/>
    <s v="blg_haca_hys_hydrasource_aw-aw-thruplay_none-none_x_x_ym00427700_q2_2025_bhs_006_x"/>
    <s v="hys"/>
    <x v="4"/>
    <x v="1"/>
    <x v="0"/>
    <d v="2025-05-01T00:00:00"/>
    <d v="2025-05-01T00:00:00"/>
    <x v="19"/>
    <n v="1824.6300019999999"/>
    <n v="273609"/>
  </r>
  <r>
    <x v="0"/>
    <x v="2"/>
    <s v="blg_haca_scalp_reels-only_aw-aw-thruplay_website-viewcontent_na_na_ym00356549_q1-q2-vvr_2024_bcp_002_x"/>
    <s v="scalp"/>
    <x v="3"/>
    <x v="2"/>
    <x v="1"/>
    <d v="2024-03-01T00:00:00"/>
    <d v="2024-03-13T00:00:00"/>
    <x v="25"/>
    <n v="923.47999900000002"/>
    <n v="201435"/>
  </r>
  <r>
    <x v="0"/>
    <x v="2"/>
    <s v="blg_haca_hydrasource_na_cons-tra-linkcli_none-none_na_na_ym00339376_q1-lctr_2024_bhs_001_x"/>
    <s v="hydrasource"/>
    <x v="4"/>
    <x v="2"/>
    <x v="0"/>
    <d v="2024-02-01T00:00:00"/>
    <d v="2024-02-26T00:00:00"/>
    <x v="29"/>
    <n v="3204.2200009999992"/>
    <n v="508201"/>
  </r>
  <r>
    <x v="0"/>
    <x v="1"/>
    <s v="blg_haca_bfr_full-rescue_auc_cons-traffic_x_x_YM00458406_q2_2025_bfr_001_x"/>
    <s v="bfr"/>
    <x v="1"/>
    <x v="1"/>
    <x v="0"/>
    <d v="2025-06-01T00:00:00"/>
    <d v="2025-06-27T00:00:00"/>
    <x v="7"/>
    <n v="186.23000000000005"/>
    <n v="33916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15T00:00:00"/>
    <x v="55"/>
    <n v="1499.5499970000001"/>
    <n v="113656"/>
  </r>
  <r>
    <x v="0"/>
    <x v="1"/>
    <s v="blg_haca_bfr_full-rescue_auc_aw-video-views_x_x_YM00458406_q2_2025_bfr_001_x"/>
    <s v="bfr"/>
    <x v="1"/>
    <x v="1"/>
    <x v="1"/>
    <d v="2025-06-01T00:00:00"/>
    <d v="2025-06-25T00:00:00"/>
    <x v="7"/>
    <n v="1377.0900000000001"/>
    <n v="235758"/>
  </r>
  <r>
    <x v="0"/>
    <x v="2"/>
    <s v="blg_haca_prime-day_lead-up-cell-2_aw-aw-thruplay_none-viewcontent_x_lla_ym00384930_x_2024_blg_001_x"/>
    <s v="prime-day"/>
    <x v="6"/>
    <x v="2"/>
    <x v="1"/>
    <d v="2024-07-01T00:00:00"/>
    <d v="2024-07-05T00:00:00"/>
    <x v="61"/>
    <n v="2358.0900080000001"/>
    <n v="289136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1T00:00:00"/>
    <x v="35"/>
    <n v="1257.8700000000001"/>
    <n v="224104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8T00:00:00"/>
    <x v="28"/>
    <n v="3124.3900119999998"/>
    <n v="275544"/>
  </r>
  <r>
    <x v="0"/>
    <x v="2"/>
    <s v="blg_haca_prime-day_reminderads-cell-2_cons-eng-posteng_none-none_x_x_ym00384930_x_2024_blg_001_x"/>
    <s v="prime-day"/>
    <x v="6"/>
    <x v="2"/>
    <x v="2"/>
    <d v="2024-07-01T00:00:00"/>
    <d v="2024-07-15T00:00:00"/>
    <x v="46"/>
    <n v="9282.0299989999985"/>
    <n v="964834"/>
  </r>
  <r>
    <x v="0"/>
    <x v="1"/>
    <s v="blg_haca_mult_ao-boosting_auc_aw-video-views_x_x_ym00437375_x_2025_blg_002_x"/>
    <s v="mult"/>
    <x v="0"/>
    <x v="1"/>
    <x v="0"/>
    <d v="2025-03-01T00:00:00"/>
    <d v="2025-03-19T00:00:00"/>
    <x v="13"/>
    <n v="1987.4099999999999"/>
    <n v="473320"/>
  </r>
  <r>
    <x v="0"/>
    <x v="1"/>
    <s v="blg_haca_hys_hydrasource_auc_cons-traffic_x_x_ym00427700_q2_2025_bhs_006_x"/>
    <s v="hys"/>
    <x v="4"/>
    <x v="1"/>
    <x v="0"/>
    <d v="2025-04-01T00:00:00"/>
    <d v="2025-04-06T00:00:00"/>
    <x v="23"/>
    <n v="5342.57"/>
    <n v="1391010"/>
  </r>
  <r>
    <x v="0"/>
    <x v="2"/>
    <s v="blg_haca_hydrasource_x_aw-aw-thruplay_none-none_x_x_ym00339376_q4_2024_bhs_001_x"/>
    <s v="hydrasource"/>
    <x v="4"/>
    <x v="2"/>
    <x v="0"/>
    <d v="2024-09-01T00:00:00"/>
    <d v="2024-09-24T00:00:00"/>
    <x v="60"/>
    <n v="3510.1500020000003"/>
    <n v="559273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17T00:00:00"/>
    <x v="28"/>
    <n v="1300.9399980000001"/>
    <n v="215719"/>
  </r>
  <r>
    <x v="0"/>
    <x v="1"/>
    <s v="blg_haca_hys_hydrasource_auc_aw-video-views_x_x_ym00427700_q2_2025_bhs_006_x"/>
    <s v="hys"/>
    <x v="4"/>
    <x v="1"/>
    <x v="1"/>
    <d v="2025-04-01T00:00:00"/>
    <d v="2025-04-20T00:00:00"/>
    <x v="11"/>
    <n v="40.53"/>
    <n v="13269"/>
  </r>
  <r>
    <x v="0"/>
    <x v="1"/>
    <s v="blg_haca_bfr_full-rescue_auc_cons-traffic_x_x_YM00458406_q2_2025_bfr_001_x"/>
    <s v="bfr"/>
    <x v="1"/>
    <x v="1"/>
    <x v="1"/>
    <d v="2025-06-01T00:00:00"/>
    <d v="2025-06-03T00:00:00"/>
    <x v="10"/>
    <n v="250.43"/>
    <n v="58114"/>
  </r>
  <r>
    <x v="0"/>
    <x v="2"/>
    <s v="blg_haca_hys_hydrasource_cons-tra-linkcli_website-none_x_x_ym00427700_q2_2025_bhs_006_x"/>
    <s v="hys"/>
    <x v="4"/>
    <x v="1"/>
    <x v="0"/>
    <d v="2025-04-01T00:00:00"/>
    <d v="2025-04-24T00:00:00"/>
    <x v="11"/>
    <n v="3644.7200000000007"/>
    <n v="340747"/>
  </r>
  <r>
    <x v="0"/>
    <x v="0"/>
    <s v="blg_othr_na_na_84570334_2023_q2_traffic_other_volumebloom-fulldensity+traffic_v2"/>
    <s v="na"/>
    <x v="0"/>
    <x v="0"/>
    <x v="2"/>
    <d v="2023-07-01T00:00:00"/>
    <d v="2023-07-22T00:00:00"/>
    <x v="42"/>
    <n v="637.38028500000007"/>
    <n v="350673"/>
  </r>
  <r>
    <x v="0"/>
    <x v="2"/>
    <s v="blg_haca_hys_hydrasource_aw-aw-thruplay_none-none_x_x_ym00427700_q2_2025_bhs_006_x"/>
    <s v="hys"/>
    <x v="4"/>
    <x v="1"/>
    <x v="1"/>
    <d v="2025-04-01T00:00:00"/>
    <d v="2025-04-23T00:00:00"/>
    <x v="11"/>
    <n v="435.66999999999996"/>
    <n v="20175"/>
  </r>
  <r>
    <x v="0"/>
    <x v="2"/>
    <s v="blg_haca_bfr_fullrescue_aw-aw-thruplay_none-none_x_x_ym00458406_q2-q3_2025_bfr_001_x"/>
    <s v="bfr"/>
    <x v="1"/>
    <x v="1"/>
    <x v="0"/>
    <d v="2025-05-01T00:00:00"/>
    <d v="2025-05-13T00:00:00"/>
    <x v="17"/>
    <n v="407.18000000000006"/>
    <n v="73303"/>
  </r>
  <r>
    <x v="0"/>
    <x v="2"/>
    <s v="blg_haca_bfr_fullrescue_cons-tra-linkcli_website-none_x_x_ym00458406_q2-q3_2025_bfr_001_x"/>
    <s v="bfr"/>
    <x v="1"/>
    <x v="1"/>
    <x v="0"/>
    <d v="2025-05-01T00:00:00"/>
    <d v="2025-05-24T00:00:00"/>
    <x v="47"/>
    <n v="1816.3099979999997"/>
    <n v="138413"/>
  </r>
  <r>
    <x v="0"/>
    <x v="2"/>
    <s v="blg_haca_scalp_na_cons-tra-linkcli_none-none_na_na_ym00356549_q1-q2-lctr_2024_bcp_002_x"/>
    <s v="scalp"/>
    <x v="3"/>
    <x v="2"/>
    <x v="0"/>
    <d v="2024-04-01T00:00:00"/>
    <d v="2024-04-15T00:00:00"/>
    <x v="24"/>
    <n v="1503.3300069999998"/>
    <n v="240874"/>
  </r>
  <r>
    <x v="0"/>
    <x v="2"/>
    <s v="blg_haca_mult_bf-cyber-leadup_cons-tra-linkcli_website-none_promotion_x_ym00384930_q4_2024_blg_001_x"/>
    <s v="mult"/>
    <x v="0"/>
    <x v="2"/>
    <x v="0"/>
    <d v="2024-11-01T00:00:00"/>
    <d v="2024-11-29T00:00:00"/>
    <x v="51"/>
    <n v="5719.9400009999999"/>
    <n v="403834"/>
  </r>
  <r>
    <x v="0"/>
    <x v="2"/>
    <s v="blg_multi_na_elevate-me_cons-tra-linkcli_none-none_other_na_ym00329346_x_2023_x_x_"/>
    <s v="na"/>
    <x v="0"/>
    <x v="0"/>
    <x v="2"/>
    <d v="2023-11-01T00:00:00"/>
    <d v="2023-11-02T00:00:00"/>
    <x v="66"/>
    <n v="323.85000099999996"/>
    <n v="40330"/>
  </r>
  <r>
    <x v="0"/>
    <x v="0"/>
    <s v="blg_othr_na_na_84570334_2023_q2_traffic_other_volumebloom-fulldensity+traffic_JBP"/>
    <s v="na"/>
    <x v="0"/>
    <x v="0"/>
    <x v="2"/>
    <d v="2023-08-01T00:00:00"/>
    <d v="2023-08-30T00:00:00"/>
    <x v="52"/>
    <n v="1770.854662"/>
    <n v="507152"/>
  </r>
  <r>
    <x v="0"/>
    <x v="2"/>
    <s v="blg_haca_hydrasource_bau_aw-aw-thruplay_none-none_na_na_ym00339376_q1-vvr_2024_bhs_001_x"/>
    <s v="hydrasource"/>
    <x v="4"/>
    <x v="2"/>
    <x v="2"/>
    <d v="2024-03-01T00:00:00"/>
    <d v="2024-03-06T00:00:00"/>
    <x v="6"/>
    <n v="1309.6999989999999"/>
    <n v="128697"/>
  </r>
  <r>
    <x v="0"/>
    <x v="2"/>
    <s v="blg_haca_hydrasource_reelsonly_aw-aw-thruplay_none-none_na_na_ym00339376_q1-vvr_2024_bhs_001_x"/>
    <s v="hydrasource"/>
    <x v="4"/>
    <x v="2"/>
    <x v="0"/>
    <d v="2024-02-01T00:00:00"/>
    <d v="2024-02-21T00:00:00"/>
    <x v="59"/>
    <n v="891.870002"/>
    <n v="186550"/>
  </r>
  <r>
    <x v="0"/>
    <x v="2"/>
    <s v="blg_haca_hydrasource_bau_aw-aw-thruplay_none-none_na_na_ym00339376_q1-vvr_2024_bhs_001_x"/>
    <s v="hydrasource"/>
    <x v="4"/>
    <x v="2"/>
    <x v="2"/>
    <d v="2024-02-01T00:00:00"/>
    <d v="2024-02-19T00:00:00"/>
    <x v="59"/>
    <n v="1177.1100010000002"/>
    <n v="188475"/>
  </r>
  <r>
    <x v="0"/>
    <x v="2"/>
    <s v="blg_haca_hys_hydrasource_aw-aw-thruplay_none-none_x_x_ym00427700_q2_2025_bhs_006_x"/>
    <s v="hys"/>
    <x v="4"/>
    <x v="1"/>
    <x v="0"/>
    <d v="2025-04-01T00:00:00"/>
    <d v="2025-04-03T00:00:00"/>
    <x v="26"/>
    <n v="1725.9800009999999"/>
    <n v="250552"/>
  </r>
  <r>
    <x v="0"/>
    <x v="1"/>
    <s v="blg_haca_hys_hydrasource_auc_aw-video-views_x_x_ym00427700_q2_2025_bhs_006_x"/>
    <s v="hys"/>
    <x v="4"/>
    <x v="1"/>
    <x v="0"/>
    <d v="2025-04-01T00:00:00"/>
    <d v="2025-04-09T00:00:00"/>
    <x v="23"/>
    <n v="1363.9399999999996"/>
    <n v="294261"/>
  </r>
  <r>
    <x v="0"/>
    <x v="1"/>
    <s v="blg_haca_bfr_full-rescue_auc_aw-video-views_x_x_YM00458406_q2_2025_bfr_001_x"/>
    <s v="bfr"/>
    <x v="1"/>
    <x v="1"/>
    <x v="1"/>
    <d v="2025-06-01T00:00:00"/>
    <d v="2025-06-12T00:00:00"/>
    <x v="18"/>
    <n v="1709.6599999999999"/>
    <n v="269430"/>
  </r>
  <r>
    <x v="0"/>
    <x v="1"/>
    <s v="blg_haca_bfr_full-rescue-pulse_res_aw-reach_x_x_ym00458406_q2_2025_bfr_001_x"/>
    <s v="bfr"/>
    <x v="1"/>
    <x v="1"/>
    <x v="0"/>
    <d v="2025-06-01T00:00:00"/>
    <d v="2025-06-05T00:00:00"/>
    <x v="10"/>
    <n v="7156.35"/>
    <n v="518575"/>
  </r>
  <r>
    <x v="0"/>
    <x v="2"/>
    <s v="blg_haca_hydrasource_na_cons-tra-linkcli_none-none_na_na_ym00339376_q1-lctr_2024_bhs_001_x"/>
    <s v="hydrasource"/>
    <x v="4"/>
    <x v="2"/>
    <x v="0"/>
    <d v="2024-02-01T00:00:00"/>
    <d v="2024-02-02T00:00:00"/>
    <x v="5"/>
    <n v="2629.2200000000003"/>
    <n v="413143"/>
  </r>
  <r>
    <x v="0"/>
    <x v="2"/>
    <s v="blg_haca_mult_agile-boosting_cons-eng-thruplay_none-none_x_x_ym00437375_x_2025_blg_002_x"/>
    <s v="mult"/>
    <x v="0"/>
    <x v="1"/>
    <x v="0"/>
    <d v="2025-05-01T00:00:00"/>
    <d v="2025-05-17T00:00:00"/>
    <x v="17"/>
    <n v="226.68999999999997"/>
    <n v="37845"/>
  </r>
  <r>
    <x v="0"/>
    <x v="2"/>
    <s v="blg_haca_bfr_fullrescue_cons-tra-linkcli_website-none_x_x_ym00458406_q2-q3_2025_bfr_001_x"/>
    <s v="bfr"/>
    <x v="1"/>
    <x v="1"/>
    <x v="0"/>
    <d v="2025-05-01T00:00:00"/>
    <d v="2025-05-12T00:00:00"/>
    <x v="17"/>
    <n v="1858.0200010000001"/>
    <n v="147830"/>
  </r>
  <r>
    <x v="0"/>
    <x v="2"/>
    <s v="blg_haca_hydrasource_na_cons-tra-linkcli_none-none_na_na_ym00339376_q1-lctr_2024_bhs_001_x"/>
    <s v="hydrasource"/>
    <x v="4"/>
    <x v="2"/>
    <x v="0"/>
    <d v="2024-02-01T00:00:00"/>
    <d v="2024-02-04T00:00:00"/>
    <x v="41"/>
    <n v="3376.3100050000012"/>
    <n v="576676"/>
  </r>
  <r>
    <x v="0"/>
    <x v="2"/>
    <s v="blg_haca_hydrasource_reelsonly_aw-aw-thruplay_none-none_na_na_ym00339376_q1-vvr_2024_bhs_001_x"/>
    <s v="hydrasource"/>
    <x v="4"/>
    <x v="2"/>
    <x v="0"/>
    <d v="2024-02-01T00:00:00"/>
    <d v="2024-02-29T00:00:00"/>
    <x v="29"/>
    <n v="932.26999999999987"/>
    <n v="182513"/>
  </r>
  <r>
    <x v="0"/>
    <x v="2"/>
    <s v="blg_haca_mult_agile-boosting_cons-eng-thruplay_none-none_x_x_ym00437375_x_2025_blg_002_x"/>
    <s v="mult"/>
    <x v="0"/>
    <x v="1"/>
    <x v="1"/>
    <d v="2025-05-01T00:00:00"/>
    <d v="2025-05-08T00:00:00"/>
    <x v="12"/>
    <n v="1416.0699970000001"/>
    <n v="277277"/>
  </r>
  <r>
    <x v="0"/>
    <x v="2"/>
    <s v="blg_haca_hydrasource_x_aw-aw-thruplay_none-none_x_x_ym00339376_q4_2024_bhs_001_x"/>
    <s v="hydrasource"/>
    <x v="4"/>
    <x v="2"/>
    <x v="0"/>
    <d v="2024-10-01T00:00:00"/>
    <d v="2024-10-30T00:00:00"/>
    <x v="22"/>
    <n v="3443.4699969999992"/>
    <n v="693435"/>
  </r>
  <r>
    <x v="0"/>
    <x v="2"/>
    <s v="blg_haca_oct-prime-day_x_cons-tra-linkcli_website-none_x_x_ym00384930_x_2024_blg_001_x"/>
    <s v="oct-prime-day"/>
    <x v="6"/>
    <x v="2"/>
    <x v="1"/>
    <d v="2024-10-01T00:00:00"/>
    <d v="2024-10-09T00:00:00"/>
    <x v="27"/>
    <n v="7742.8000059999995"/>
    <n v="1478914"/>
  </r>
  <r>
    <x v="0"/>
    <x v="2"/>
    <s v="blg_haca_bfr_fullrescue_aw-aw-thruplay_none-none_x_x_ym00458406_q2-q3_2025_bfr_001_x"/>
    <s v="bfr"/>
    <x v="1"/>
    <x v="1"/>
    <x v="1"/>
    <d v="2025-06-01T00:00:00"/>
    <d v="2025-06-29T00:00:00"/>
    <x v="1"/>
    <n v="945.53999799999997"/>
    <n v="137051"/>
  </r>
  <r>
    <x v="0"/>
    <x v="0"/>
    <s v="blg_haca_scalp-sync_awareness_aw-awareness_ym00356548_all_2024_bcp_004_x"/>
    <s v="scalp-sync"/>
    <x v="3"/>
    <x v="2"/>
    <x v="2"/>
    <d v="2024-05-01T00:00:00"/>
    <d v="2024-05-28T00:00:00"/>
    <x v="65"/>
    <n v="3321.7988830000004"/>
    <n v="1352170"/>
  </r>
  <r>
    <x v="0"/>
    <x v="2"/>
    <s v="blg_haca_hydrasource_reelsonly_aw-aw-thruplay_none-none_na_na_ym00339376_q1-vvr_2024_bhs_001_x"/>
    <s v="hydrasource"/>
    <x v="4"/>
    <x v="2"/>
    <x v="0"/>
    <d v="2024-01-01T00:00:00"/>
    <d v="2024-01-30T00:00:00"/>
    <x v="5"/>
    <n v="628.2299999999999"/>
    <n v="153112"/>
  </r>
  <r>
    <x v="0"/>
    <x v="1"/>
    <s v="blg_haca_mult_ao-boosting_auc_aw-video-views_x_x_ym00437375_x_2025_blg_002_x"/>
    <s v="mult"/>
    <x v="0"/>
    <x v="1"/>
    <x v="1"/>
    <d v="2025-04-01T00:00:00"/>
    <d v="2025-04-20T00:00:00"/>
    <x v="11"/>
    <n v="1549.0500000000002"/>
    <n v="423607"/>
  </r>
  <r>
    <x v="0"/>
    <x v="1"/>
    <s v="blg_haca_mult_ao-boosting_auc_aw-video-views_x_x_ym00437375_x_2025_blg_002_x"/>
    <s v="mult"/>
    <x v="0"/>
    <x v="1"/>
    <x v="0"/>
    <d v="2025-04-01T00:00:00"/>
    <d v="2025-04-20T00:00:00"/>
    <x v="11"/>
    <n v="0.05"/>
    <n v="32"/>
  </r>
  <r>
    <x v="0"/>
    <x v="0"/>
    <s v="blg_haca_scalp-sync_awareness_aw-awareness_ym00356548_all_2024_bcp_004_x"/>
    <s v="scalp-sync"/>
    <x v="3"/>
    <x v="2"/>
    <x v="2"/>
    <d v="2024-05-01T00:00:00"/>
    <d v="2024-05-05T00:00:00"/>
    <x v="49"/>
    <n v="3357.1667479999992"/>
    <n v="1542018"/>
  </r>
  <r>
    <x v="0"/>
    <x v="1"/>
    <s v="blg_haca_hys_hydrasource_auc_aw-video-views_x_x_ym00427700_q2_2025_bhs_006_x"/>
    <s v="hys"/>
    <x v="4"/>
    <x v="1"/>
    <x v="1"/>
    <d v="2025-04-01T00:00:00"/>
    <d v="2025-04-21T00:00:00"/>
    <x v="11"/>
    <n v="10.379999999999999"/>
    <n v="2323"/>
  </r>
  <r>
    <x v="0"/>
    <x v="2"/>
    <s v="blg_haca_mult_agile-boosting_cons-eng-thruplay_none-none_x_x_ym00437375_x_2025_blg_002_x"/>
    <s v="mult"/>
    <x v="0"/>
    <x v="1"/>
    <x v="0"/>
    <d v="2025-05-01T00:00:00"/>
    <d v="2025-05-19T00:00:00"/>
    <x v="47"/>
    <n v="230.26999999999998"/>
    <n v="38818"/>
  </r>
  <r>
    <x v="0"/>
    <x v="2"/>
    <s v="blg_haca_mult_agile-boosting_cons-eng-thruplay_none-none_x_x_ym00437375_x_2025_blg_002_x"/>
    <s v="mult"/>
    <x v="0"/>
    <x v="1"/>
    <x v="0"/>
    <d v="2025-03-01T00:00:00"/>
    <d v="2025-03-31T00:00:00"/>
    <x v="26"/>
    <n v="790.2700000000001"/>
    <n v="35021"/>
  </r>
  <r>
    <x v="0"/>
    <x v="2"/>
    <s v="blg_multi_na_elevate-me_cons-tra-linkcli_none-none_other_na_ym00329346_x_2023_x_x_"/>
    <s v="na"/>
    <x v="0"/>
    <x v="0"/>
    <x v="2"/>
    <d v="2023-10-01T00:00:00"/>
    <d v="2023-10-29T00:00:00"/>
    <x v="66"/>
    <n v="369.11000499999989"/>
    <n v="43125"/>
  </r>
  <r>
    <x v="0"/>
    <x v="2"/>
    <s v="blg_haca_bfr_fullrescue_cons-tra-linkcli_website-none_x_x_ym00458406_q2-q3_2025_bfr_001_x"/>
    <s v="bfr"/>
    <x v="1"/>
    <x v="1"/>
    <x v="0"/>
    <d v="2025-05-01T00:00:00"/>
    <d v="2025-05-13T00:00:00"/>
    <x v="17"/>
    <n v="1724.320001"/>
    <n v="139547"/>
  </r>
  <r>
    <x v="0"/>
    <x v="2"/>
    <s v="blg_haca_scalp_na_cons-tra-linkcli_none-none_na_na_ym00356549_q1-q2-lctr_2024_bcp_002_x"/>
    <s v="scalp"/>
    <x v="3"/>
    <x v="2"/>
    <x v="1"/>
    <d v="2024-04-01T00:00:00"/>
    <d v="2024-04-16T00:00:00"/>
    <x v="24"/>
    <n v="129.1"/>
    <n v="17820"/>
  </r>
  <r>
    <x v="0"/>
    <x v="0"/>
    <s v="blg_haca_scalp-sync_traffic_cons-consideration_ym00356548_all_2024_bcp_004_x"/>
    <s v="scalp-sync"/>
    <x v="3"/>
    <x v="2"/>
    <x v="0"/>
    <d v="2024-04-01T00:00:00"/>
    <d v="2024-04-27T00:00:00"/>
    <x v="50"/>
    <n v="1762.7529809999996"/>
    <n v="481792"/>
  </r>
  <r>
    <x v="0"/>
    <x v="1"/>
    <s v="blg_haca_mult_ao-boosting_auc_aw-video-views_x_x_ym00437375_x_2025_blg_002_x"/>
    <s v="mult"/>
    <x v="0"/>
    <x v="1"/>
    <x v="0"/>
    <d v="2025-06-01T00:00:00"/>
    <d v="2025-06-18T00:00:00"/>
    <x v="16"/>
    <n v="1714.55"/>
    <n v="289664"/>
  </r>
  <r>
    <x v="0"/>
    <x v="2"/>
    <s v="blg_haca_mult_ulta-liter_cons-tra-linkcli_website-none_promotion_x_ym00437375_q1_2025_blg_002_x"/>
    <s v="mult"/>
    <x v="0"/>
    <x v="1"/>
    <x v="0"/>
    <d v="2025-01-01T00:00:00"/>
    <d v="2025-01-23T00:00:00"/>
    <x v="70"/>
    <n v="3802.4199979999999"/>
    <n v="540296"/>
  </r>
  <r>
    <x v="0"/>
    <x v="2"/>
    <s v="blg_haca_bfr_fullrescue_aw-aw-thruplay_none-none_x_x_ym00458406_q2-q3_2025_bfr_001_x"/>
    <s v="bfr"/>
    <x v="1"/>
    <x v="1"/>
    <x v="1"/>
    <d v="2025-05-01T00:00:00"/>
    <d v="2025-05-03T00:00:00"/>
    <x v="19"/>
    <n v="937.04"/>
    <n v="259600"/>
  </r>
  <r>
    <x v="0"/>
    <x v="0"/>
    <s v="blg_othr_na_na_84570334_2023_q2_conversion-non-promo_other_amazon+ulta+conversion"/>
    <s v="na"/>
    <x v="0"/>
    <x v="0"/>
    <x v="0"/>
    <d v="2023-07-01T00:00:00"/>
    <d v="2023-07-15T00:00:00"/>
    <x v="37"/>
    <n v="0.1714"/>
    <n v="18"/>
  </r>
  <r>
    <x v="0"/>
    <x v="0"/>
    <s v="blg_othr_na_na_84570334_2023_q2_conversion-non-promo_other_amazon+ulta+conversion_v2"/>
    <s v="na"/>
    <x v="0"/>
    <x v="0"/>
    <x v="0"/>
    <d v="2023-08-01T00:00:00"/>
    <d v="2023-08-11T00:00:00"/>
    <x v="4"/>
    <n v="378.284423"/>
    <n v="109204"/>
  </r>
  <r>
    <x v="0"/>
    <x v="2"/>
    <s v="blg_haca_hydrasource_na_cons-tra-linkcli_none-none_na_na_ym00339376_q1-lctr_2024_bhs_001_x"/>
    <s v="hydrasource"/>
    <x v="4"/>
    <x v="2"/>
    <x v="0"/>
    <d v="2024-02-01T00:00:00"/>
    <d v="2024-02-25T00:00:00"/>
    <x v="29"/>
    <n v="3382.5800040000004"/>
    <n v="556128"/>
  </r>
  <r>
    <x v="0"/>
    <x v="2"/>
    <s v="blg_haca_hys_hydrasource_cons-tra-linkcli_website-none_x_x_ym00427700_q2_2025_bhs_006_x"/>
    <s v="hys"/>
    <x v="4"/>
    <x v="1"/>
    <x v="0"/>
    <d v="2025-04-01T00:00:00"/>
    <d v="2025-04-03T00:00:00"/>
    <x v="26"/>
    <n v="3763.5000019999998"/>
    <n v="459726"/>
  </r>
  <r>
    <x v="0"/>
    <x v="1"/>
    <s v="blg_haca_bfr_full-rescue_auc_cons-traffic_x_x_YM00458406_q2_2025_bfr_001_x"/>
    <s v="bfr"/>
    <x v="1"/>
    <x v="1"/>
    <x v="1"/>
    <d v="2025-06-01T00:00:00"/>
    <d v="2025-06-05T00:00:00"/>
    <x v="10"/>
    <n v="478.57999999999993"/>
    <n v="96527"/>
  </r>
  <r>
    <x v="0"/>
    <x v="2"/>
    <s v="blg_haca_scalp_bau_aw-aw-thruplay_website-viewcontent_na_na_ym00356549_q1-q2-vvr_2024_bcp_002_x"/>
    <s v="scalp"/>
    <x v="3"/>
    <x v="2"/>
    <x v="1"/>
    <d v="2024-03-01T00:00:00"/>
    <d v="2024-03-12T00:00:00"/>
    <x v="25"/>
    <n v="2322.6399980000006"/>
    <n v="484543"/>
  </r>
  <r>
    <x v="0"/>
    <x v="2"/>
    <s v="blg_haca_hys_hydrasource_cons-tra-linkcli_website-none_x_x_ym00427700_q2_2025_bhs_006_x"/>
    <s v="hys"/>
    <x v="4"/>
    <x v="1"/>
    <x v="0"/>
    <d v="2025-04-01T00:00:00"/>
    <d v="2025-04-10T00:00:00"/>
    <x v="23"/>
    <n v="3810.3200010000014"/>
    <n v="399429"/>
  </r>
  <r>
    <x v="0"/>
    <x v="2"/>
    <s v="blg_haca_mult_agile-boosting_cons-eng-thruplay_none-none_x_x_ym00437375_x_2025_blg_002_x"/>
    <s v="mult"/>
    <x v="0"/>
    <x v="1"/>
    <x v="0"/>
    <d v="2025-05-01T00:00:00"/>
    <d v="2025-05-06T00:00:00"/>
    <x v="12"/>
    <n v="15.66"/>
    <n v="3687"/>
  </r>
  <r>
    <x v="0"/>
    <x v="2"/>
    <s v="blg_haca_mult_agile-boosting_cons-eng-thruplay_none-none_x_x_ym00437375_x_2025_blg_002_x"/>
    <s v="mult"/>
    <x v="0"/>
    <x v="1"/>
    <x v="1"/>
    <d v="2025-04-01T00:00:00"/>
    <d v="2025-04-29T00:00:00"/>
    <x v="19"/>
    <n v="900.13999899999999"/>
    <n v="175956"/>
  </r>
  <r>
    <x v="0"/>
    <x v="2"/>
    <s v="blg_haca_bfr_fullrescue_aw-aw-thruplay_none-none_x_x_ym00458406_q2-q3_2025_bfr_001_x"/>
    <s v="bfr"/>
    <x v="1"/>
    <x v="1"/>
    <x v="0"/>
    <d v="2025-05-01T00:00:00"/>
    <d v="2025-05-12T00:00:00"/>
    <x v="17"/>
    <n v="510.52"/>
    <n v="93582"/>
  </r>
  <r>
    <x v="0"/>
    <x v="2"/>
    <s v="blg_haca_scalp_reels-only_aw-aw-thruplay_website-viewcontent_na_na_ym00356549_q1-q2-vvr_2024_bcp_002_x"/>
    <s v="scalp"/>
    <x v="3"/>
    <x v="2"/>
    <x v="1"/>
    <d v="2024-03-01T00:00:00"/>
    <d v="2024-03-11T00:00:00"/>
    <x v="25"/>
    <n v="993.72999899999991"/>
    <n v="229950"/>
  </r>
  <r>
    <x v="0"/>
    <x v="2"/>
    <s v="blg_haca_scalp_bau_aw-aw-thruplay_website-viewcontent_na_na_ym00356549_q1-q2-vvr_2024_bcp_002_x"/>
    <s v="scalp"/>
    <x v="3"/>
    <x v="2"/>
    <x v="1"/>
    <d v="2024-04-01T00:00:00"/>
    <d v="2024-04-18T00:00:00"/>
    <x v="24"/>
    <n v="2280.1500010000004"/>
    <n v="485929"/>
  </r>
  <r>
    <x v="0"/>
    <x v="1"/>
    <s v="blg_haca_mult_ao-boosting_auc_aw-video-views_x_x_ym00437375_x_2025_blg_002_x"/>
    <s v="mult"/>
    <x v="0"/>
    <x v="1"/>
    <x v="1"/>
    <d v="2025-06-01T00:00:00"/>
    <d v="2025-06-01T00:00:00"/>
    <x v="10"/>
    <n v="946.32"/>
    <n v="283062"/>
  </r>
  <r>
    <x v="0"/>
    <x v="2"/>
    <s v="blg_haca_hydrasource_reelsonly_aw-aw-thruplay_none-none_na_na_ym00339376_q1-vvr_2024_bhs_001_x"/>
    <s v="hydrasource"/>
    <x v="4"/>
    <x v="2"/>
    <x v="0"/>
    <d v="2024-01-01T00:00:00"/>
    <d v="2024-01-21T00:00:00"/>
    <x v="15"/>
    <n v="675.67999699999996"/>
    <n v="184093"/>
  </r>
  <r>
    <x v="0"/>
    <x v="0"/>
    <s v="blg_haca_scalp-sync_traffic_cons-consideration_ym00356548_all_2024_bcp_004_x"/>
    <s v="scalp-sync"/>
    <x v="3"/>
    <x v="2"/>
    <x v="0"/>
    <d v="2024-05-01T00:00:00"/>
    <d v="2024-05-20T00:00:00"/>
    <x v="14"/>
    <n v="1683.8945019999996"/>
    <n v="431146"/>
  </r>
  <r>
    <x v="0"/>
    <x v="2"/>
    <s v="blg_haca_bond-therapy_na_aw-aw-thruplay_none-viewcontent_na_na_ym87093418_vvr-q4_2023_x_x_x"/>
    <s v="bond-therapy"/>
    <x v="5"/>
    <x v="0"/>
    <x v="2"/>
    <d v="2023-12-01T00:00:00"/>
    <d v="2023-12-10T00:00:00"/>
    <x v="33"/>
    <n v="3035.8600070000007"/>
    <n v="522953"/>
  </r>
  <r>
    <x v="0"/>
    <x v="2"/>
    <s v="blg_haca_hys_hydrasource_aw-aw-thruplay_none-none_x_x_ym00427700_q2_2025_bhs_006_x"/>
    <s v="hys"/>
    <x v="4"/>
    <x v="1"/>
    <x v="0"/>
    <d v="2025-04-01T00:00:00"/>
    <d v="2025-04-25T00:00:00"/>
    <x v="11"/>
    <n v="2059.100003"/>
    <n v="298346"/>
  </r>
  <r>
    <x v="0"/>
    <x v="2"/>
    <s v="blg_haca_bond-therapy_na_cons-tra-linkcli_website-customother_na_na_ym87093418_lctr-q4_2023_x_x_x"/>
    <s v="bond-therapy"/>
    <x v="5"/>
    <x v="0"/>
    <x v="0"/>
    <d v="2023-11-01T00:00:00"/>
    <d v="2023-11-28T00:00:00"/>
    <x v="40"/>
    <n v="3150.5499930000005"/>
    <n v="246104"/>
  </r>
  <r>
    <x v="0"/>
    <x v="2"/>
    <s v="blg_haca_mult_agile-boosting_aw-aw-thruplay_none-none_x_x_ym00437375_x_2025_blg_002_x"/>
    <s v="mult"/>
    <x v="0"/>
    <x v="1"/>
    <x v="0"/>
    <d v="2025-02-01T00:00:00"/>
    <d v="2025-02-28T00:00:00"/>
    <x v="71"/>
    <n v="6504.570001"/>
    <n v="860658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4T00:00:00"/>
    <x v="39"/>
    <n v="2660.8599980000004"/>
    <n v="420437"/>
  </r>
  <r>
    <x v="0"/>
    <x v="2"/>
    <s v="blg_haca_bfr_fullrescue_cons-tra-linkcli_website-none_x_x_ym00458406_q2-q3_2025_bfr_001_x"/>
    <s v="bfr"/>
    <x v="1"/>
    <x v="1"/>
    <x v="1"/>
    <d v="2025-05-01T00:00:00"/>
    <d v="2025-05-24T00:00:00"/>
    <x v="47"/>
    <n v="11.71"/>
    <n v="1171"/>
  </r>
  <r>
    <x v="0"/>
    <x v="1"/>
    <s v="blg_haca_bfr_full-rescue_auc_cons-traffic_x_x_YM00458406_q2_2025_bfr_001_x"/>
    <s v="bfr"/>
    <x v="1"/>
    <x v="1"/>
    <x v="0"/>
    <d v="2025-06-01T00:00:00"/>
    <d v="2025-06-15T00:00:00"/>
    <x v="16"/>
    <n v="5355.36"/>
    <n v="1082939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02T00:00:00"/>
    <x v="2"/>
    <n v="2413.6300029999998"/>
    <n v="401953"/>
  </r>
  <r>
    <x v="0"/>
    <x v="1"/>
    <s v="blg_haca_bfr_full-rescue_auc_cons-traffic_x_x_YM00458406_q2_2025_bfr_001_x"/>
    <s v="bfr"/>
    <x v="1"/>
    <x v="1"/>
    <x v="1"/>
    <d v="2025-06-01T00:00:00"/>
    <d v="2025-06-18T00:00:00"/>
    <x v="16"/>
    <n v="1047.8"/>
    <n v="201314"/>
  </r>
  <r>
    <x v="0"/>
    <x v="2"/>
    <s v="blg_haca_prime-day_lead-up-cell-1_aw-aw-thruplay_none-viewcontent_x_lla_ym00384930_x_2024_blg_001_x"/>
    <s v="prime-day"/>
    <x v="6"/>
    <x v="2"/>
    <x v="1"/>
    <d v="2024-07-01T00:00:00"/>
    <d v="2024-07-09T00:00:00"/>
    <x v="54"/>
    <n v="2554.6600079999998"/>
    <n v="256882"/>
  </r>
  <r>
    <x v="0"/>
    <x v="2"/>
    <s v="blg_haca_bfr_fullrescue_aw-aw-thruplay_none-none_x_x_ym00458406_q2-q3_2025_bfr_001_x"/>
    <s v="bfr"/>
    <x v="1"/>
    <x v="1"/>
    <x v="0"/>
    <d v="2025-06-01T00:00:00"/>
    <d v="2025-06-14T00:00:00"/>
    <x v="18"/>
    <n v="1503.1399999999999"/>
    <n v="231521"/>
  </r>
  <r>
    <x v="0"/>
    <x v="2"/>
    <s v="blg_haca_bfr_fullrescue_cons-tra-linkcli_website-none_x_x_ym00458406_q2-q3_2025_bfr_001_x"/>
    <s v="bfr"/>
    <x v="1"/>
    <x v="1"/>
    <x v="0"/>
    <d v="2025-05-01T00:00:00"/>
    <d v="2025-05-09T00:00:00"/>
    <x v="12"/>
    <n v="1776.2499999999995"/>
    <n v="122210"/>
  </r>
  <r>
    <x v="0"/>
    <x v="2"/>
    <s v="blg_haca_hys_hydrasource_aw-aw-thruplay_none-none_x_x_ym00427700_q2_2025_bhs_006_x"/>
    <s v="hys"/>
    <x v="4"/>
    <x v="1"/>
    <x v="0"/>
    <d v="2025-04-01T00:00:00"/>
    <d v="2025-04-27T00:00:00"/>
    <x v="19"/>
    <n v="2247.29"/>
    <n v="331663"/>
  </r>
  <r>
    <x v="0"/>
    <x v="1"/>
    <s v="blg_haca_bfr_full-rescue_auc_aw-video-views_x_x_YM00458406_q2_2025_bfr_001_x"/>
    <s v="bfr"/>
    <x v="1"/>
    <x v="1"/>
    <x v="0"/>
    <d v="2025-06-01T00:00:00"/>
    <d v="2025-06-26T00:00:00"/>
    <x v="7"/>
    <n v="345.17"/>
    <n v="55315"/>
  </r>
  <r>
    <x v="0"/>
    <x v="2"/>
    <s v="blg_haca_hydrasource_na_cons-tra-linkcli_none-none_na_na_ym00339376_q1-lctr_2024_bhs_001_x"/>
    <s v="hydrasource"/>
    <x v="4"/>
    <x v="2"/>
    <x v="0"/>
    <d v="2024-02-01T00:00:00"/>
    <d v="2024-02-15T00:00:00"/>
    <x v="20"/>
    <n v="3323.0800019999992"/>
    <n v="572747"/>
  </r>
  <r>
    <x v="0"/>
    <x v="0"/>
    <s v="blg_othr_na_na_84570334_2023_q2_conversion-non-promo_other_amazon+ulta+conversion_v2"/>
    <s v="na"/>
    <x v="0"/>
    <x v="0"/>
    <x v="0"/>
    <d v="2023-07-01T00:00:00"/>
    <d v="2023-07-16T00:00:00"/>
    <x v="42"/>
    <n v="485.95960300000002"/>
    <n v="146748"/>
  </r>
  <r>
    <x v="0"/>
    <x v="2"/>
    <s v="blg_haca_scalp_reels-only_aw-aw-thruplay_website-viewcontent_na_na_ym00356549_q1-q2-vvr_2024_bcp_002_x"/>
    <s v="scalp"/>
    <x v="3"/>
    <x v="2"/>
    <x v="0"/>
    <d v="2024-04-01T00:00:00"/>
    <d v="2024-04-19T00:00:00"/>
    <x v="24"/>
    <n v="677.81000099999994"/>
    <n v="168090"/>
  </r>
  <r>
    <x v="0"/>
    <x v="0"/>
    <s v="blg_haca_bfr_fullrescue-bonus_aw-awareness_x_bonus-q2_2025_x_x_x"/>
    <s v="bfr"/>
    <x v="1"/>
    <x v="1"/>
    <x v="1"/>
    <d v="2025-06-01T00:00:00"/>
    <d v="2025-06-19T00:00:00"/>
    <x v="16"/>
    <n v="309.37939399999999"/>
    <n v="147542"/>
  </r>
  <r>
    <x v="0"/>
    <x v="2"/>
    <s v="blg_haca_scalp_na_cons-tra-linkcli_none-none_na_na_ym00356549_q1-q2-lctr_2024_bcp_002_x"/>
    <s v="scalp"/>
    <x v="3"/>
    <x v="2"/>
    <x v="1"/>
    <d v="2024-04-01T00:00:00"/>
    <d v="2024-04-21T00:00:00"/>
    <x v="50"/>
    <n v="45.679998999999995"/>
    <n v="5895"/>
  </r>
  <r>
    <x v="0"/>
    <x v="2"/>
    <s v="blg_haca_bfr_fullrescue_cons-tra-linkcli_website-none_x_x_ym00458406_q2-q3_2025_bfr_001_x"/>
    <s v="bfr"/>
    <x v="1"/>
    <x v="1"/>
    <x v="1"/>
    <d v="2025-05-01T00:00:00"/>
    <d v="2025-05-06T00:00:00"/>
    <x v="12"/>
    <n v="10.030000000000001"/>
    <n v="1294"/>
  </r>
  <r>
    <x v="0"/>
    <x v="2"/>
    <s v="blg_haca_hydrasource_na_cons-tra-linkcli_none-none_na_na_ym00339376_q1-lctr_2024_bhs_001_x"/>
    <s v="hydrasource"/>
    <x v="4"/>
    <x v="2"/>
    <x v="0"/>
    <d v="2024-01-01T00:00:00"/>
    <d v="2024-01-21T00:00:00"/>
    <x v="15"/>
    <n v="3407.7700030000005"/>
    <n v="641341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13T00:00:00"/>
    <x v="37"/>
    <n v="2199.7200000000003"/>
    <n v="410464"/>
  </r>
  <r>
    <x v="0"/>
    <x v="2"/>
    <s v="blg_haca_prime-day_lead-up-cell-1_aw-aw-thruplay_none-viewcontent_x_lla_ym00384930_x_2024_blg_001_x"/>
    <s v="prime-day"/>
    <x v="6"/>
    <x v="2"/>
    <x v="1"/>
    <d v="2024-07-01T00:00:00"/>
    <d v="2024-07-08T00:00:00"/>
    <x v="54"/>
    <n v="2471.4099919999999"/>
    <n v="267959"/>
  </r>
  <r>
    <x v="0"/>
    <x v="0"/>
    <s v="blg_othr_na_na_84570334_2023_q2_conversion-non-promo_other_amazon+ulta+conversion"/>
    <s v="na"/>
    <x v="0"/>
    <x v="0"/>
    <x v="0"/>
    <d v="2023-07-01T00:00:00"/>
    <d v="2023-07-12T00:00:00"/>
    <x v="37"/>
    <n v="652.15072699999996"/>
    <n v="177059"/>
  </r>
  <r>
    <x v="0"/>
    <x v="2"/>
    <s v="blg_othr_bondtherapy_leadgen-cpl-q4_cons-lea-leads_instantforms-customother_other_na_ym93789674_sweeps_2023_x_x_x"/>
    <s v="bondtherapy"/>
    <x v="5"/>
    <x v="0"/>
    <x v="2"/>
    <d v="2023-12-01T00:00:00"/>
    <d v="2023-12-15T00:00:00"/>
    <x v="33"/>
    <n v="1900.3700060000003"/>
    <n v="134996"/>
  </r>
  <r>
    <x v="0"/>
    <x v="0"/>
    <s v="blg_othr_na_na_84570334_2023_q2_conversion-non-promo_other_amazon+ulta+conversion_v2"/>
    <s v="na"/>
    <x v="0"/>
    <x v="0"/>
    <x v="0"/>
    <d v="2023-07-01T00:00:00"/>
    <d v="2023-07-28T00:00:00"/>
    <x v="39"/>
    <n v="226.11711700000001"/>
    <n v="55297"/>
  </r>
  <r>
    <x v="0"/>
    <x v="2"/>
    <s v="blg_haca_hydrasource_bau_aw-aw-thruplay_none-none_na_na_ym00339376_q1-vvr_2024_bhs_001_x"/>
    <s v="hydrasource"/>
    <x v="4"/>
    <x v="2"/>
    <x v="2"/>
    <d v="2024-02-01T00:00:00"/>
    <d v="2024-02-24T00:00:00"/>
    <x v="59"/>
    <n v="1267.1500000000001"/>
    <n v="187491"/>
  </r>
  <r>
    <x v="0"/>
    <x v="1"/>
    <s v="blg_haca_mult_ao-boosting_auc_aw-video-views_x_x_ym00437375_x_2025_blg_002_x"/>
    <s v="mult"/>
    <x v="0"/>
    <x v="1"/>
    <x v="1"/>
    <d v="2025-04-01T00:00:00"/>
    <d v="2025-04-12T00:00:00"/>
    <x v="23"/>
    <n v="1361.7600000000002"/>
    <n v="387677"/>
  </r>
  <r>
    <x v="0"/>
    <x v="2"/>
    <s v="blg_haca_bond-therapy_na_aw-aw-thruplay_none-viewcontent_na_na_ym87093418_vvr-q4_2023_x_x_x"/>
    <s v="bond-therapy"/>
    <x v="5"/>
    <x v="0"/>
    <x v="2"/>
    <d v="2023-12-01T00:00:00"/>
    <d v="2023-12-16T00:00:00"/>
    <x v="33"/>
    <n v="2887.9100050000002"/>
    <n v="493370"/>
  </r>
  <r>
    <x v="0"/>
    <x v="2"/>
    <s v="blg_haca_hydrasource_x_aw-aw-thruplay_none-none_x_x_ym00339376_q4_2024_bhs_001_x"/>
    <s v="hydrasource"/>
    <x v="4"/>
    <x v="2"/>
    <x v="0"/>
    <d v="2024-10-01T00:00:00"/>
    <d v="2024-10-28T00:00:00"/>
    <x v="22"/>
    <n v="3507.5600030000001"/>
    <n v="729433"/>
  </r>
  <r>
    <x v="0"/>
    <x v="2"/>
    <s v="blg_haca_bfr_fullrescue_cons-tra-linkcli_website-none_x_x_ym00458406_q2-q3_2025_bfr_001_x"/>
    <s v="bfr"/>
    <x v="1"/>
    <x v="1"/>
    <x v="0"/>
    <d v="2025-05-01T00:00:00"/>
    <d v="2025-05-20T00:00:00"/>
    <x v="47"/>
    <n v="1760.04"/>
    <n v="124953"/>
  </r>
  <r>
    <x v="0"/>
    <x v="2"/>
    <s v="blg_haca_hydrasource_reelsonly_aw-aw-thruplay_none-none_na_na_ym00339376_q1-vvr_2024_bhs_001_x"/>
    <s v="hydrasource"/>
    <x v="4"/>
    <x v="2"/>
    <x v="0"/>
    <d v="2024-01-01T00:00:00"/>
    <d v="2024-01-22T00:00:00"/>
    <x v="15"/>
    <n v="672.46999899999992"/>
    <n v="173259"/>
  </r>
  <r>
    <x v="0"/>
    <x v="1"/>
    <s v="blg_haca_mult_ao-boosting_auc_aw-video-views_x_x_ym00437375_x_2025_blg_002_x"/>
    <s v="mult"/>
    <x v="0"/>
    <x v="1"/>
    <x v="0"/>
    <d v="2025-06-01T00:00:00"/>
    <d v="2025-06-07T00:00:00"/>
    <x v="10"/>
    <n v="1682.82"/>
    <n v="347646"/>
  </r>
  <r>
    <x v="0"/>
    <x v="2"/>
    <s v="blg_othr_haca-colorlast-q3_vvr-awareness_aw-aw-thruplay_none-customother_na_na_ym87093420_bcl_2023_bcl_x_x"/>
    <s v="haca-colorlast-q3"/>
    <x v="2"/>
    <x v="0"/>
    <x v="1"/>
    <d v="2023-07-01T00:00:00"/>
    <d v="2023-07-21T00:00:00"/>
    <x v="42"/>
    <n v="2256.9500009999997"/>
    <n v="334611"/>
  </r>
  <r>
    <x v="0"/>
    <x v="1"/>
    <s v="blg_haca_bfr_full-rescue_auc_cons-traffic_x_x_YM00458406_q2_2025_bfr_001_x"/>
    <s v="bfr"/>
    <x v="1"/>
    <x v="1"/>
    <x v="0"/>
    <d v="2025-06-01T00:00:00"/>
    <d v="2025-06-14T00:00:00"/>
    <x v="18"/>
    <n v="5388.9"/>
    <n v="1088387"/>
  </r>
  <r>
    <x v="0"/>
    <x v="1"/>
    <s v="blg_haca_hys_hydrasource_auc_cons-traffic_x_x_ym00427700_q2_2025_bhs_006_x"/>
    <s v="hys"/>
    <x v="4"/>
    <x v="1"/>
    <x v="0"/>
    <d v="2025-04-01T00:00:00"/>
    <d v="2025-04-16T00:00:00"/>
    <x v="36"/>
    <n v="5421.25"/>
    <n v="1186103"/>
  </r>
  <r>
    <x v="0"/>
    <x v="0"/>
    <s v="blg_haca_scalp-sync_traffic_cons-consideration_ym00356548_all_2024_bcp_004_x"/>
    <s v="scalp-sync"/>
    <x v="3"/>
    <x v="2"/>
    <x v="0"/>
    <d v="2024-05-01T00:00:00"/>
    <d v="2024-05-27T00:00:00"/>
    <x v="65"/>
    <n v="1633.0847680000002"/>
    <n v="424137"/>
  </r>
  <r>
    <x v="0"/>
    <x v="2"/>
    <s v="blg_haca_hydrasource_x_aw-aw-thruplay_none-none_x_x_ym00339376_q4_2024_bhs_001_x"/>
    <s v="hydrasource"/>
    <x v="4"/>
    <x v="2"/>
    <x v="0"/>
    <d v="2024-10-01T00:00:00"/>
    <d v="2024-10-01T00:00:00"/>
    <x v="31"/>
    <n v="3724.4399929999995"/>
    <n v="691426"/>
  </r>
  <r>
    <x v="0"/>
    <x v="1"/>
    <s v="blg_haca_bfr_full-rescue_auc_aw-video-views_x_x_YM00458406_q2_2025_bfr_001_x"/>
    <s v="bfr"/>
    <x v="1"/>
    <x v="1"/>
    <x v="1"/>
    <d v="2025-06-01T00:00:00"/>
    <d v="2025-06-21T00:00:00"/>
    <x v="16"/>
    <n v="1635.4900000000002"/>
    <n v="261203"/>
  </r>
  <r>
    <x v="0"/>
    <x v="2"/>
    <s v="blg_haca_hydrasource_na_cons-tra-linkcli_none-none_na_na_ym00339376_q1-lctr_2024_bhs_001_x"/>
    <s v="hydrasource"/>
    <x v="4"/>
    <x v="2"/>
    <x v="0"/>
    <d v="2024-02-01T00:00:00"/>
    <d v="2024-02-17T00:00:00"/>
    <x v="20"/>
    <n v="3067.5200030000005"/>
    <n v="496321"/>
  </r>
  <r>
    <x v="0"/>
    <x v="2"/>
    <s v="blg_haca_mult_agile-boosting_cons-eng-thruplay_none-none_x_x_ym00437375_x_2025_blg_002_x"/>
    <s v="mult"/>
    <x v="0"/>
    <x v="1"/>
    <x v="0"/>
    <d v="2025-04-01T00:00:00"/>
    <d v="2025-04-09T00:00:00"/>
    <x v="23"/>
    <n v="628.02999800000009"/>
    <n v="132780"/>
  </r>
  <r>
    <x v="0"/>
    <x v="2"/>
    <s v="blg_haca_bfr_fullrescue_aw-aw-thruplay_none-none_x_x_ym00458406_q2-q3_2025_bfr_001_x"/>
    <s v="bfr"/>
    <x v="1"/>
    <x v="1"/>
    <x v="1"/>
    <d v="2025-05-01T00:00:00"/>
    <d v="2025-05-22T00:00:00"/>
    <x v="47"/>
    <n v="12.969999999999999"/>
    <n v="760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07T00:00:00"/>
    <x v="54"/>
    <n v="3560.1500040000005"/>
    <n v="554958"/>
  </r>
  <r>
    <x v="0"/>
    <x v="2"/>
    <s v="blg_haca_bfr_fullrescue_aw-aw-thruplay_none-none_x_x_ym00458406_q2-q3_2025_bfr_001_x"/>
    <s v="bfr"/>
    <x v="1"/>
    <x v="1"/>
    <x v="0"/>
    <d v="2025-06-01T00:00:00"/>
    <d v="2025-06-26T00:00:00"/>
    <x v="7"/>
    <n v="1160.6599980000001"/>
    <n v="170856"/>
  </r>
  <r>
    <x v="0"/>
    <x v="2"/>
    <s v="blg_haca_hydrasource_x_aw-aw-thruplay_none-none_x_x_ym00339376_q4_2024_bhs_001_x"/>
    <s v="hydrasource"/>
    <x v="4"/>
    <x v="2"/>
    <x v="0"/>
    <d v="2024-10-01T00:00:00"/>
    <d v="2024-10-29T00:00:00"/>
    <x v="22"/>
    <n v="3640.0900040000001"/>
    <n v="743917"/>
  </r>
  <r>
    <x v="0"/>
    <x v="2"/>
    <s v="blg_haca_scalp_bau_aw-aw-thruplay_website-viewcontent_na_na_ym00356549_q1-q2-vvr_2024_bcp_002_x"/>
    <s v="scalp"/>
    <x v="3"/>
    <x v="2"/>
    <x v="1"/>
    <d v="2024-04-01T00:00:00"/>
    <d v="2024-04-20T00:00:00"/>
    <x v="24"/>
    <n v="2362.5600020000006"/>
    <n v="492667"/>
  </r>
  <r>
    <x v="0"/>
    <x v="2"/>
    <s v="blg_othr_haca-colorlast-q3_vvr-awareness_aw-aw-thruplay_none-customother_na_na_ym87093420_bcl_2023_bcl_x_x"/>
    <s v="haca-colorlast-q3"/>
    <x v="2"/>
    <x v="0"/>
    <x v="1"/>
    <d v="2023-08-01T00:00:00"/>
    <d v="2023-08-08T00:00:00"/>
    <x v="4"/>
    <n v="635.9899989999999"/>
    <n v="107480"/>
  </r>
  <r>
    <x v="0"/>
    <x v="2"/>
    <s v="blg_haca_hys_hydrasource_aw-aw-thruplay_none-none_x_x_ym00427700_q2_2025_bhs_006_x"/>
    <s v="hys"/>
    <x v="4"/>
    <x v="1"/>
    <x v="0"/>
    <d v="2025-04-01T00:00:00"/>
    <d v="2025-04-28T00:00:00"/>
    <x v="19"/>
    <n v="2085.6400009999998"/>
    <n v="293708"/>
  </r>
  <r>
    <x v="0"/>
    <x v="2"/>
    <s v="blg_haca_hydrasource_reelsonly_aw-aw-thruplay_none-none_na_na_ym00339376_q1-vvr_2024_bhs_001_x"/>
    <s v="hydrasource"/>
    <x v="4"/>
    <x v="2"/>
    <x v="0"/>
    <d v="2024-01-01T00:00:00"/>
    <d v="2024-01-19T00:00:00"/>
    <x v="57"/>
    <n v="636.09000099999992"/>
    <n v="165790"/>
  </r>
  <r>
    <x v="0"/>
    <x v="2"/>
    <s v="blg_haca_hydrasource_x_cons-tra-linkcli_none-none_x_x_ym00339376_q4-lctr_2024_bhs_001_x"/>
    <s v="hydrasource"/>
    <x v="4"/>
    <x v="2"/>
    <x v="0"/>
    <d v="2024-10-01T00:00:00"/>
    <d v="2024-10-19T00:00:00"/>
    <x v="32"/>
    <n v="2673.1099950000003"/>
    <n v="285179"/>
  </r>
  <r>
    <x v="0"/>
    <x v="0"/>
    <s v="blg_haca_bfr_fullrescue-bonus_aw-awareness_x_bonus-q2_2025_x_x_x"/>
    <s v="bfr"/>
    <x v="1"/>
    <x v="1"/>
    <x v="0"/>
    <d v="2025-06-01T00:00:00"/>
    <d v="2025-06-29T00:00:00"/>
    <x v="1"/>
    <n v="1354.7081830000002"/>
    <n v="582313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7T00:00:00"/>
    <x v="28"/>
    <n v="3172.2400000000002"/>
    <n v="280278"/>
  </r>
  <r>
    <x v="0"/>
    <x v="2"/>
    <s v="blg_haca_bond-therapy_na_aw-aw-thruplay_none-viewcontent_na_na_ym87093418_vvr-q4_2023_x_x_x"/>
    <s v="bond-therapy"/>
    <x v="5"/>
    <x v="0"/>
    <x v="2"/>
    <d v="2023-12-01T00:00:00"/>
    <d v="2023-12-13T00:00:00"/>
    <x v="33"/>
    <n v="2724.8900020000001"/>
    <n v="486183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16T00:00:00"/>
    <x v="30"/>
    <n v="3966.7799969999996"/>
    <n v="583721"/>
  </r>
  <r>
    <x v="0"/>
    <x v="1"/>
    <s v="blg_haca_hys_hydrasource_auc_cons-traffic_x_x_ym00427700_q2_2025_bhs_006_x"/>
    <s v="hys"/>
    <x v="4"/>
    <x v="1"/>
    <x v="0"/>
    <d v="2025-04-01T00:00:00"/>
    <d v="2025-04-12T00:00:00"/>
    <x v="23"/>
    <n v="5396.75"/>
    <n v="1201507"/>
  </r>
  <r>
    <x v="0"/>
    <x v="2"/>
    <s v="blg_haca_scalp_bau_aw-aw-thruplay_website-viewcontent_na_na_ym00356549_q1-q2-vvr_2024_bcp_002_x"/>
    <s v="scalp"/>
    <x v="3"/>
    <x v="2"/>
    <x v="1"/>
    <d v="2024-03-01T00:00:00"/>
    <d v="2024-03-25T00:00:00"/>
    <x v="3"/>
    <n v="2103.0100019999995"/>
    <n v="487015"/>
  </r>
  <r>
    <x v="0"/>
    <x v="2"/>
    <s v="blg_othr_q3-haca-colorlast_traffic-lctr_cons-tra-linkcli_none-customother_na_na_ym87093420_bcl_2023_bcl_x_x"/>
    <s v="q3-haca-colorlast"/>
    <x v="2"/>
    <x v="0"/>
    <x v="1"/>
    <d v="2023-07-01T00:00:00"/>
    <d v="2023-07-26T00:00:00"/>
    <x v="39"/>
    <n v="2157.4299960000003"/>
    <n v="312399"/>
  </r>
  <r>
    <x v="0"/>
    <x v="0"/>
    <s v="blg_othr_na_na_84570334_2023_q2_conversion-non-promo_other_amazon+ulta+conversion"/>
    <s v="na"/>
    <x v="0"/>
    <x v="0"/>
    <x v="0"/>
    <d v="2023-07-01T00:00:00"/>
    <d v="2023-07-08T00:00:00"/>
    <x v="21"/>
    <n v="1186.18291"/>
    <n v="390191"/>
  </r>
  <r>
    <x v="0"/>
    <x v="0"/>
    <s v="blg_othr_na_na_84570334_2023_q2_traffic_other_volumebloom-fulldensity+traffic"/>
    <s v="na"/>
    <x v="0"/>
    <x v="0"/>
    <x v="2"/>
    <d v="2023-07-01T00:00:00"/>
    <d v="2023-07-11T00:00:00"/>
    <x v="37"/>
    <n v="676.78776400000004"/>
    <n v="360677"/>
  </r>
  <r>
    <x v="0"/>
    <x v="2"/>
    <s v="blg_haca_scalp_na_cons-tra-linkcli_none-none_na_na_ym00356549_q1-q2-lctr_2024_bcp_002_x"/>
    <s v="scalp"/>
    <x v="3"/>
    <x v="2"/>
    <x v="1"/>
    <d v="2024-03-01T00:00:00"/>
    <d v="2024-03-13T00:00:00"/>
    <x v="25"/>
    <n v="1638.8000050000005"/>
    <n v="240297"/>
  </r>
  <r>
    <x v="0"/>
    <x v="2"/>
    <s v="blg_haca_bfr_fullrescue_aw-aw-thruplay_none-none_x_x_ym00458406_q2-q3_2025_bfr_001_x"/>
    <s v="bfr"/>
    <x v="1"/>
    <x v="1"/>
    <x v="1"/>
    <d v="2025-06-01T00:00:00"/>
    <d v="2025-06-14T00:00:00"/>
    <x v="18"/>
    <n v="1125.270002"/>
    <n v="151470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2T00:00:00"/>
    <x v="35"/>
    <n v="1206.0200009999999"/>
    <n v="201491"/>
  </r>
  <r>
    <x v="0"/>
    <x v="2"/>
    <s v="blg_haca_scalp_na_cons-tra-linkcli_none-none_na_na_ym00356549_q1-q2-lctr_2024_bcp_002_x"/>
    <s v="scalp"/>
    <x v="3"/>
    <x v="2"/>
    <x v="1"/>
    <d v="2024-03-01T00:00:00"/>
    <d v="2024-03-31T00:00:00"/>
    <x v="53"/>
    <n v="77.310001"/>
    <n v="13510"/>
  </r>
  <r>
    <x v="0"/>
    <x v="0"/>
    <s v="blg_haca_bfr_fullrescue-bonus_aw-awareness_x_bonus-q2_2025_x_x_x"/>
    <s v="bfr"/>
    <x v="1"/>
    <x v="1"/>
    <x v="1"/>
    <d v="2025-06-01T00:00:00"/>
    <d v="2025-06-21T00:00:00"/>
    <x v="16"/>
    <n v="348.08277600000002"/>
    <n v="153815"/>
  </r>
  <r>
    <x v="0"/>
    <x v="2"/>
    <s v="blg_haca_scalp_bau_aw-aw-thruplay_website-viewcontent_na_na_ym00356549_q1-q2-vvr_2024_bcp_002_x"/>
    <s v="scalp"/>
    <x v="3"/>
    <x v="2"/>
    <x v="1"/>
    <d v="2024-03-01T00:00:00"/>
    <d v="2024-03-18T00:00:00"/>
    <x v="64"/>
    <n v="2253.8900009999998"/>
    <n v="543135"/>
  </r>
  <r>
    <x v="0"/>
    <x v="2"/>
    <s v="blg_haca_prime-day_lead-up-cell-1_cons-tra-linkcli_none-viewcontent_x_lla_ym00384930_x_2024_blg_001_x"/>
    <s v="prime-day"/>
    <x v="6"/>
    <x v="2"/>
    <x v="1"/>
    <d v="2024-07-01T00:00:00"/>
    <d v="2024-07-05T00:00:00"/>
    <x v="61"/>
    <n v="3439.4000139999998"/>
    <n v="570369"/>
  </r>
  <r>
    <x v="0"/>
    <x v="0"/>
    <s v="blg_haca_bfr_fullrescue-bonus_aw-awareness_x_bonus-q2_2025_x_x_x"/>
    <s v="bfr"/>
    <x v="1"/>
    <x v="1"/>
    <x v="1"/>
    <d v="2025-06-01T00:00:00"/>
    <d v="2025-06-12T00:00:00"/>
    <x v="18"/>
    <n v="439.59872299999995"/>
    <n v="204028"/>
  </r>
  <r>
    <x v="0"/>
    <x v="1"/>
    <s v="blg_haca_bfr_full-rescue_auc_cons-traffic_x_x_YM00458406_q2_2025_bfr_001_x"/>
    <s v="bfr"/>
    <x v="1"/>
    <x v="1"/>
    <x v="0"/>
    <d v="2025-06-01T00:00:00"/>
    <d v="2025-06-26T00:00:00"/>
    <x v="7"/>
    <n v="673.1"/>
    <n v="130354"/>
  </r>
  <r>
    <x v="0"/>
    <x v="2"/>
    <s v="blg_haca_hydrasource_reelsonly_aw-aw-thruplay_none-none_na_na_ym00339376_q1-vvr_2024_bhs_001_x"/>
    <s v="hydrasource"/>
    <x v="4"/>
    <x v="2"/>
    <x v="0"/>
    <d v="2024-01-01T00:00:00"/>
    <d v="2024-01-24T00:00:00"/>
    <x v="15"/>
    <n v="649.65999900000008"/>
    <n v="159786"/>
  </r>
  <r>
    <x v="0"/>
    <x v="0"/>
    <s v="blg_othr_na_na_84570334_2023_q2_traffic_other_volumebloom-fulldensity+traffic_v2"/>
    <s v="na"/>
    <x v="0"/>
    <x v="0"/>
    <x v="2"/>
    <d v="2023-07-01T00:00:00"/>
    <d v="2023-07-16T00:00:00"/>
    <x v="42"/>
    <n v="641.37330299999996"/>
    <n v="374964"/>
  </r>
  <r>
    <x v="0"/>
    <x v="2"/>
    <s v="blg_haca_hydrasource_x_cons-tra-linkcli_none-none_x_x_ym00339376_q4-lctr_2024_bhs_001_x"/>
    <s v="hydrasource"/>
    <x v="4"/>
    <x v="2"/>
    <x v="0"/>
    <d v="2024-10-01T00:00:00"/>
    <d v="2024-10-02T00:00:00"/>
    <x v="31"/>
    <n v="2649.9399960000001"/>
    <n v="301645"/>
  </r>
  <r>
    <x v="0"/>
    <x v="1"/>
    <s v="blg_haca_mult_ao-boosting_auc_aw-video-views_x_x_ym00437375_x_2025_blg_002_x"/>
    <s v="mult"/>
    <x v="0"/>
    <x v="1"/>
    <x v="1"/>
    <d v="2025-04-01T00:00:00"/>
    <d v="2025-04-10T00:00:00"/>
    <x v="23"/>
    <n v="1400.75"/>
    <n v="372965"/>
  </r>
  <r>
    <x v="0"/>
    <x v="1"/>
    <s v="blg_haca_bfr_full-rescue_auc_cons-traffic_x_x_YM00458406_q2_2025_bfr_001_x"/>
    <s v="bfr"/>
    <x v="1"/>
    <x v="1"/>
    <x v="1"/>
    <d v="2025-06-01T00:00:00"/>
    <d v="2025-06-19T00:00:00"/>
    <x v="16"/>
    <n v="1987.3300000000002"/>
    <n v="377373"/>
  </r>
  <r>
    <x v="0"/>
    <x v="1"/>
    <s v="blg_haca_hys_hydrasource_auc_aw-video-views_x_x_ym00427700_q2_2025_bhs_006_x"/>
    <s v="hys"/>
    <x v="4"/>
    <x v="1"/>
    <x v="0"/>
    <d v="2025-04-01T00:00:00"/>
    <d v="2025-04-01T00:00:00"/>
    <x v="26"/>
    <n v="103.02"/>
    <n v="28522"/>
  </r>
  <r>
    <x v="0"/>
    <x v="0"/>
    <s v="blg_othr_na_na_84570334_2023_q2_traffic_other_volumebloom-fulldensity+traffic"/>
    <s v="na"/>
    <x v="0"/>
    <x v="0"/>
    <x v="2"/>
    <d v="2023-07-01T00:00:00"/>
    <d v="2023-07-09T00:00:00"/>
    <x v="37"/>
    <n v="677.42532900000003"/>
    <n v="327996"/>
  </r>
  <r>
    <x v="0"/>
    <x v="0"/>
    <s v="blg_haca_bfr_fullrescue-bonus_aw-awareness_x_bonus-q2_2025_x_x_x"/>
    <s v="bfr"/>
    <x v="1"/>
    <x v="1"/>
    <x v="0"/>
    <d v="2025-06-01T00:00:00"/>
    <d v="2025-06-22T00:00:00"/>
    <x v="7"/>
    <n v="1382.2712330000002"/>
    <n v="574859"/>
  </r>
  <r>
    <x v="0"/>
    <x v="1"/>
    <s v="blg_haca_mult_ao-boosting_auc_aw-video-views_x_x_ym00437375_x_2025_blg_002_x"/>
    <s v="mult"/>
    <x v="0"/>
    <x v="1"/>
    <x v="0"/>
    <d v="2025-05-01T00:00:00"/>
    <d v="2025-05-05T00:00:00"/>
    <x v="12"/>
    <n v="589.98"/>
    <n v="203213"/>
  </r>
  <r>
    <x v="0"/>
    <x v="0"/>
    <s v="blg_othr_na_na_84570334_2023_q2_conversion-non-promo_other_amazon+ulta+conversion_v2"/>
    <s v="na"/>
    <x v="0"/>
    <x v="0"/>
    <x v="1"/>
    <d v="2023-07-01T00:00:00"/>
    <d v="2023-07-17T00:00:00"/>
    <x v="42"/>
    <n v="944.48899500000005"/>
    <n v="186270"/>
  </r>
  <r>
    <x v="0"/>
    <x v="2"/>
    <s v="blg_haca_hys_hydrasource_cons-tra-linkcli_website-none_x_x_ym00427700_q2_2025_bhs_006_x"/>
    <s v="hys"/>
    <x v="4"/>
    <x v="1"/>
    <x v="0"/>
    <d v="2025-04-01T00:00:00"/>
    <d v="2025-04-04T00:00:00"/>
    <x v="26"/>
    <n v="3758.8800030000007"/>
    <n v="451693"/>
  </r>
  <r>
    <x v="0"/>
    <x v="2"/>
    <s v="blg_haca_bond-therapy_na_cons-tra-linkcli_website-customother_na_na_ym87093418_lctr-q4_2023_x_x_x"/>
    <s v="bond-therapy"/>
    <x v="5"/>
    <x v="0"/>
    <x v="0"/>
    <d v="2023-12-01T00:00:00"/>
    <d v="2023-12-13T00:00:00"/>
    <x v="33"/>
    <n v="3025.7300020000002"/>
    <n v="284016"/>
  </r>
  <r>
    <x v="0"/>
    <x v="2"/>
    <s v="blg_haca_mult_agile-boosting_cons-eng-thruplay_none-none_x_x_ym00437375_x_2025_blg_002_x"/>
    <s v="mult"/>
    <x v="0"/>
    <x v="1"/>
    <x v="0"/>
    <d v="2025-03-01T00:00:00"/>
    <d v="2025-03-22T00:00:00"/>
    <x v="13"/>
    <n v="2745.8900000000008"/>
    <n v="492915"/>
  </r>
  <r>
    <x v="0"/>
    <x v="2"/>
    <s v="blg_haca_hydrasource_na_cons-tra-linkcli_none-none_na_na_ym00339376_q1-lctr_2024_bhs_001_x"/>
    <s v="hydrasource"/>
    <x v="4"/>
    <x v="2"/>
    <x v="0"/>
    <d v="2024-01-01T00:00:00"/>
    <d v="2024-01-22T00:00:00"/>
    <x v="15"/>
    <n v="3279.3199919999997"/>
    <n v="590536"/>
  </r>
  <r>
    <x v="0"/>
    <x v="0"/>
    <s v="blg_haca_scalp-sync_awareness_aw-awareness_ym00356548_all_2024_bcp_004_x"/>
    <s v="scalp-sync"/>
    <x v="3"/>
    <x v="2"/>
    <x v="2"/>
    <d v="2024-04-01T00:00:00"/>
    <d v="2024-04-27T00:00:00"/>
    <x v="50"/>
    <n v="3355.7211179999999"/>
    <n v="1579075"/>
  </r>
  <r>
    <x v="0"/>
    <x v="1"/>
    <s v="blg_haca_mult_ao-boosting_auc_aw-video-views_x_x_ym00437375_x_2025_blg_002_x"/>
    <s v="mult"/>
    <x v="0"/>
    <x v="1"/>
    <x v="1"/>
    <d v="2025-06-01T00:00:00"/>
    <d v="2025-06-08T00:00:00"/>
    <x v="18"/>
    <n v="0.34"/>
    <n v="30"/>
  </r>
  <r>
    <x v="0"/>
    <x v="2"/>
    <s v="blg_haca_bfr_fullrescue_cons-tra-linkcli_website-none_x_x_ym00458406_q2-q3_2025_bfr_001_x"/>
    <s v="bfr"/>
    <x v="1"/>
    <x v="1"/>
    <x v="1"/>
    <d v="2025-06-01T00:00:00"/>
    <d v="2025-06-18T00:00:00"/>
    <x v="16"/>
    <n v="49.620000000000005"/>
    <n v="7196"/>
  </r>
  <r>
    <x v="0"/>
    <x v="2"/>
    <s v="blg_haca_bond-therapy_na_aw-aw-thruplay_none-viewcontent_na_na_ym87093418_vvr-q4_2023_x_x_x"/>
    <s v="bond-therapy"/>
    <x v="5"/>
    <x v="0"/>
    <x v="2"/>
    <d v="2023-12-01T00:00:00"/>
    <d v="2023-12-22T00:00:00"/>
    <x v="28"/>
    <n v="2657.7899969999999"/>
    <n v="376214"/>
  </r>
  <r>
    <x v="0"/>
    <x v="0"/>
    <s v="blg_haca_scalp-sync_awareness_aw-awareness_ym00356548_all_2024_bcp_004_x"/>
    <s v="scalp-sync"/>
    <x v="3"/>
    <x v="2"/>
    <x v="2"/>
    <d v="2024-05-01T00:00:00"/>
    <d v="2024-05-09T00:00:00"/>
    <x v="49"/>
    <n v="3359.9452889999989"/>
    <n v="1472635"/>
  </r>
  <r>
    <x v="0"/>
    <x v="2"/>
    <s v="blg_haca_scalp_na_cons-tra-linkcli_none-none_na_na_ym00356549_q1-q2-lctr_2024_bcp_002_x"/>
    <s v="scalp"/>
    <x v="3"/>
    <x v="2"/>
    <x v="0"/>
    <d v="2024-04-01T00:00:00"/>
    <d v="2024-04-08T00:00:00"/>
    <x v="34"/>
    <n v="1472.0900000000001"/>
    <n v="251389"/>
  </r>
  <r>
    <x v="0"/>
    <x v="2"/>
    <s v="blg_haca_scalp_bau_aw-aw-thruplay_website-viewcontent_na_na_ym00356549_q1-q2-vvr_2024_bcp_002_x"/>
    <s v="scalp"/>
    <x v="3"/>
    <x v="2"/>
    <x v="1"/>
    <d v="2024-03-01T00:00:00"/>
    <d v="2024-03-20T00:00:00"/>
    <x v="64"/>
    <n v="2222.8700030000009"/>
    <n v="506908"/>
  </r>
  <r>
    <x v="0"/>
    <x v="2"/>
    <s v="blg_othr_q3-haca-colorlast_traffic-lctr_cons-tra-linkcli_none-customother_na_na_ym87093420_bcl_2023_bcl_x_x"/>
    <s v="q3-haca-colorlast"/>
    <x v="2"/>
    <x v="0"/>
    <x v="1"/>
    <d v="2023-08-01T00:00:00"/>
    <d v="2023-08-20T00:00:00"/>
    <x v="0"/>
    <n v="3604.5899999999997"/>
    <n v="566879"/>
  </r>
  <r>
    <x v="0"/>
    <x v="2"/>
    <s v="blg_haca_bond-therapy_reelsonly_aw-aw-thruplay_none-viewcontent_na_na_ym87093418_vvr-q4_2023_x_x_"/>
    <s v="bond-therapy"/>
    <x v="5"/>
    <x v="0"/>
    <x v="2"/>
    <d v="2023-12-01T00:00:00"/>
    <d v="2023-12-09T00:00:00"/>
    <x v="38"/>
    <n v="1202.1100020000001"/>
    <n v="197837"/>
  </r>
  <r>
    <x v="0"/>
    <x v="2"/>
    <s v="blg_haca_hydrasource_x_aw-aw-thruplay_none-none_x_x_ym00339376_q4_2024_bhs_001_x"/>
    <s v="hydrasource"/>
    <x v="4"/>
    <x v="2"/>
    <x v="0"/>
    <d v="2024-10-01T00:00:00"/>
    <d v="2024-10-14T00:00:00"/>
    <x v="32"/>
    <n v="3550.0000100000002"/>
    <n v="664839"/>
  </r>
  <r>
    <x v="0"/>
    <x v="0"/>
    <s v="blg_haca_scalp-sync_traffic_cons-consideration_ym00356548_all_2024_bcp_004_x"/>
    <s v="scalp-sync"/>
    <x v="3"/>
    <x v="2"/>
    <x v="0"/>
    <d v="2024-05-01T00:00:00"/>
    <d v="2024-05-08T00:00:00"/>
    <x v="49"/>
    <n v="1732.4525249999997"/>
    <n v="509525"/>
  </r>
  <r>
    <x v="0"/>
    <x v="2"/>
    <s v="blg_haca_scalp_reels-only_aw-aw-thruplay_website-viewcontent_na_na_ym00356549_q1-q2-vvr_2024_bcp_002_x"/>
    <s v="scalp"/>
    <x v="3"/>
    <x v="2"/>
    <x v="1"/>
    <d v="2024-03-01T00:00:00"/>
    <d v="2024-03-30T00:00:00"/>
    <x v="3"/>
    <n v="169.77999899999998"/>
    <n v="41108"/>
  </r>
  <r>
    <x v="0"/>
    <x v="0"/>
    <s v="blg_othr_na_na_84570334_2023_q2_traffic_other_volumebloom-fulldensity+traffic_v2"/>
    <s v="na"/>
    <x v="0"/>
    <x v="0"/>
    <x v="2"/>
    <d v="2023-08-01T00:00:00"/>
    <d v="2023-08-09T00:00:00"/>
    <x v="4"/>
    <n v="769.43815400000005"/>
    <n v="382400"/>
  </r>
  <r>
    <x v="0"/>
    <x v="0"/>
    <s v="blg_othr_na_na_84570334_2023_q2_conversion-non-promo_other_amazon+ulta+conversion_v2"/>
    <s v="na"/>
    <x v="0"/>
    <x v="0"/>
    <x v="1"/>
    <d v="2023-08-01T00:00:00"/>
    <d v="2023-08-06T00:00:00"/>
    <x v="4"/>
    <n v="1175.852897"/>
    <n v="135087"/>
  </r>
  <r>
    <x v="0"/>
    <x v="1"/>
    <s v="blg_haca_mult_ao-boosting_auc_aw-video-views_x_x_ym00437375_x_2025_blg_002_x"/>
    <s v="mult"/>
    <x v="0"/>
    <x v="1"/>
    <x v="1"/>
    <d v="2025-04-01T00:00:00"/>
    <d v="2025-04-25T00:00:00"/>
    <x v="11"/>
    <n v="1537.55"/>
    <n v="383602"/>
  </r>
  <r>
    <x v="0"/>
    <x v="2"/>
    <s v="blg_haca_bfr_fullrescue_aw-aw-thruplay_none-none_x_x_ym00458406_q2-q3_2025_bfr_001_x"/>
    <s v="bfr"/>
    <x v="1"/>
    <x v="1"/>
    <x v="1"/>
    <d v="2025-05-01T00:00:00"/>
    <d v="2025-05-26T00:00:00"/>
    <x v="8"/>
    <n v="24.09"/>
    <n v="969"/>
  </r>
  <r>
    <x v="0"/>
    <x v="1"/>
    <s v="blg_haca_bfr_full-rescue_auc_aw-video-views_x_x_YM00458406_q2_2025_bfr_001_x"/>
    <s v="bfr"/>
    <x v="1"/>
    <x v="1"/>
    <x v="1"/>
    <d v="2025-06-01T00:00:00"/>
    <d v="2025-06-03T00:00:00"/>
    <x v="10"/>
    <n v="1734.95"/>
    <n v="264562"/>
  </r>
  <r>
    <x v="0"/>
    <x v="1"/>
    <s v="blg_haca_bfr_full-rescue_auc_cons-traffic_x_x_YM00458406_q2_2025_bfr_001_x"/>
    <s v="bfr"/>
    <x v="1"/>
    <x v="1"/>
    <x v="1"/>
    <d v="2025-06-01T00:00:00"/>
    <d v="2025-06-06T00:00:00"/>
    <x v="10"/>
    <n v="738.05"/>
    <n v="145761"/>
  </r>
  <r>
    <x v="0"/>
    <x v="2"/>
    <s v="blg_multi_na_elevate-me_cons-tra-linkcli_none-none_other_na_ym00329346_x_2023_x_x_"/>
    <s v="na"/>
    <x v="0"/>
    <x v="0"/>
    <x v="2"/>
    <d v="2023-11-01T00:00:00"/>
    <d v="2023-11-03T00:00:00"/>
    <x v="66"/>
    <n v="340.9800029999999"/>
    <n v="38739"/>
  </r>
  <r>
    <x v="0"/>
    <x v="1"/>
    <s v="blg_haca_bfr_full-rescue_auc_cons-traffic_x_x_YM00458406_q2_2025_bfr_001_x"/>
    <s v="bfr"/>
    <x v="1"/>
    <x v="1"/>
    <x v="1"/>
    <d v="2025-06-01T00:00:00"/>
    <d v="2025-06-15T00:00:00"/>
    <x v="16"/>
    <n v="670.1"/>
    <n v="139721"/>
  </r>
  <r>
    <x v="0"/>
    <x v="0"/>
    <s v="blg_haca_bfr_fullrescue-bonus_aw-awareness_x_bonus-q2_2025_x_x_x"/>
    <s v="bfr"/>
    <x v="1"/>
    <x v="1"/>
    <x v="1"/>
    <d v="2025-06-01T00:00:00"/>
    <d v="2025-06-15T00:00:00"/>
    <x v="16"/>
    <n v="353.02917200000002"/>
    <n v="161318"/>
  </r>
  <r>
    <x v="0"/>
    <x v="2"/>
    <s v="blg_haca_bond-therapy_reelsonly_aw-aw-thruplay_none-viewcontent_na_na_ym87093418_vvr-q4_2023_x_x_"/>
    <s v="bond-therapy"/>
    <x v="5"/>
    <x v="0"/>
    <x v="2"/>
    <d v="2023-11-01T00:00:00"/>
    <d v="2023-11-25T00:00:00"/>
    <x v="35"/>
    <n v="1271.4100000000003"/>
    <n v="209097"/>
  </r>
  <r>
    <x v="0"/>
    <x v="2"/>
    <s v="blg_haca_hys_hydrasource_aw-aw-thruplay_none-none_x_x_ym00427700_q2_2025_bhs_006_x"/>
    <s v="hys"/>
    <x v="4"/>
    <x v="1"/>
    <x v="1"/>
    <d v="2025-04-01T00:00:00"/>
    <d v="2025-04-18T00:00:00"/>
    <x v="36"/>
    <n v="325.40999999999991"/>
    <n v="12536"/>
  </r>
  <r>
    <x v="0"/>
    <x v="2"/>
    <s v="blg_haca_hydrasource_reelsonly_aw-aw-thruplay_none-none_na_na_ym00339376_q1-vvr_2024_bhs_001_x"/>
    <s v="hydrasource"/>
    <x v="4"/>
    <x v="2"/>
    <x v="0"/>
    <d v="2024-02-01T00:00:00"/>
    <d v="2024-02-12T00:00:00"/>
    <x v="20"/>
    <n v="895.51999899999987"/>
    <n v="204557"/>
  </r>
  <r>
    <x v="0"/>
    <x v="2"/>
    <s v="blg_haca_scalp_reels-only_aw-aw-thruplay_website-viewcontent_na_na_ym00356549_q1-q2-vvr_2024_bcp_002_x"/>
    <s v="scalp"/>
    <x v="3"/>
    <x v="2"/>
    <x v="1"/>
    <d v="2024-03-01T00:00:00"/>
    <d v="2024-03-17T00:00:00"/>
    <x v="64"/>
    <n v="1058.3099989999998"/>
    <n v="263212"/>
  </r>
  <r>
    <x v="0"/>
    <x v="2"/>
    <s v="blg_haca_scalp_reels-only_aw-aw-thruplay_website-viewcontent_na_na_ym00356549_q1-q2-vvr_2024_bcp_002_x"/>
    <s v="scalp"/>
    <x v="3"/>
    <x v="2"/>
    <x v="1"/>
    <d v="2024-03-01T00:00:00"/>
    <d v="2024-03-31T00:00:00"/>
    <x v="53"/>
    <n v="225.44000199999999"/>
    <n v="60132"/>
  </r>
  <r>
    <x v="0"/>
    <x v="2"/>
    <s v="blg_haca_mult_agile-boosting_cons-eng-thruplay_none-none_x_x_ym00437375_x_2025_blg_002_x"/>
    <s v="mult"/>
    <x v="0"/>
    <x v="1"/>
    <x v="1"/>
    <d v="2025-04-01T00:00:00"/>
    <d v="2025-04-27T00:00:00"/>
    <x v="19"/>
    <n v="876.35000000000014"/>
    <n v="17696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">
  <r>
    <x v="0"/>
    <x v="0"/>
    <x v="0"/>
    <x v="0"/>
    <d v="2025-06-02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994.54"/>
    <n v="49727"/>
  </r>
  <r>
    <x v="0"/>
    <x v="0"/>
    <x v="0"/>
    <x v="0"/>
    <d v="2025-06-02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57.94"/>
    <n v="2897"/>
  </r>
  <r>
    <x v="0"/>
    <x v="0"/>
    <x v="0"/>
    <x v="0"/>
    <d v="2025-06-02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4.8"/>
    <n v="240"/>
  </r>
  <r>
    <x v="0"/>
    <x v="0"/>
    <x v="0"/>
    <x v="0"/>
    <d v="2025-06-02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21317"/>
  </r>
  <r>
    <x v="0"/>
    <x v="0"/>
    <x v="0"/>
    <x v="0"/>
    <d v="2025-06-02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4602"/>
  </r>
  <r>
    <x v="0"/>
    <x v="0"/>
    <x v="0"/>
    <x v="0"/>
    <d v="2025-06-03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11.8200000000002"/>
    <n v="120591"/>
  </r>
  <r>
    <x v="0"/>
    <x v="0"/>
    <x v="0"/>
    <x v="0"/>
    <d v="2025-06-03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86.62"/>
    <n v="9331"/>
  </r>
  <r>
    <x v="0"/>
    <x v="0"/>
    <x v="0"/>
    <x v="0"/>
    <d v="2025-06-03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1.8"/>
    <n v="590"/>
  </r>
  <r>
    <x v="0"/>
    <x v="0"/>
    <x v="0"/>
    <x v="0"/>
    <d v="2025-06-03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69097"/>
  </r>
  <r>
    <x v="0"/>
    <x v="0"/>
    <x v="0"/>
    <x v="0"/>
    <d v="2025-06-03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4525"/>
  </r>
  <r>
    <x v="0"/>
    <x v="0"/>
    <x v="0"/>
    <x v="0"/>
    <d v="2025-06-04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508.52"/>
    <n v="125426"/>
  </r>
  <r>
    <x v="0"/>
    <x v="0"/>
    <x v="0"/>
    <x v="0"/>
    <d v="2025-06-04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87.66"/>
    <n v="9383"/>
  </r>
  <r>
    <x v="0"/>
    <x v="0"/>
    <x v="0"/>
    <x v="0"/>
    <d v="2025-06-04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9.5399999999999991"/>
    <n v="477"/>
  </r>
  <r>
    <x v="0"/>
    <x v="0"/>
    <x v="0"/>
    <x v="0"/>
    <d v="2025-06-04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67138"/>
  </r>
  <r>
    <x v="0"/>
    <x v="0"/>
    <x v="0"/>
    <x v="0"/>
    <d v="2025-06-04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5167"/>
  </r>
  <r>
    <x v="0"/>
    <x v="0"/>
    <x v="0"/>
    <x v="0"/>
    <d v="2025-06-05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28.52"/>
    <n v="121426"/>
  </r>
  <r>
    <x v="0"/>
    <x v="0"/>
    <x v="0"/>
    <x v="0"/>
    <d v="2025-06-05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64.72"/>
    <n v="8236"/>
  </r>
  <r>
    <x v="0"/>
    <x v="0"/>
    <x v="0"/>
    <x v="0"/>
    <d v="2025-06-05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0.64"/>
    <n v="532"/>
  </r>
  <r>
    <x v="0"/>
    <x v="0"/>
    <x v="0"/>
    <x v="0"/>
    <d v="2025-06-05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62250"/>
  </r>
  <r>
    <x v="0"/>
    <x v="0"/>
    <x v="0"/>
    <x v="0"/>
    <d v="2025-06-05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3855"/>
  </r>
  <r>
    <x v="0"/>
    <x v="0"/>
    <x v="0"/>
    <x v="0"/>
    <d v="2025-06-06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381.12"/>
    <n v="119056"/>
  </r>
  <r>
    <x v="0"/>
    <x v="0"/>
    <x v="0"/>
    <x v="0"/>
    <d v="2025-06-06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06.04"/>
    <n v="10302"/>
  </r>
  <r>
    <x v="0"/>
    <x v="0"/>
    <x v="0"/>
    <x v="0"/>
    <d v="2025-06-06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9.4600000000000009"/>
    <n v="473"/>
  </r>
  <r>
    <x v="0"/>
    <x v="0"/>
    <x v="0"/>
    <x v="0"/>
    <d v="2025-06-06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27615"/>
  </r>
  <r>
    <x v="0"/>
    <x v="0"/>
    <x v="0"/>
    <x v="0"/>
    <d v="2025-06-06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420"/>
  </r>
  <r>
    <x v="0"/>
    <x v="0"/>
    <x v="0"/>
    <x v="0"/>
    <d v="2025-06-07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352.1999999999998"/>
    <n v="117610"/>
  </r>
  <r>
    <x v="0"/>
    <x v="0"/>
    <x v="0"/>
    <x v="0"/>
    <d v="2025-06-07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62.58000000000001"/>
    <n v="8129"/>
  </r>
  <r>
    <x v="0"/>
    <x v="0"/>
    <x v="0"/>
    <x v="0"/>
    <d v="2025-06-07T00:00:00"/>
    <x v="0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5.0199999999999996"/>
    <n v="251"/>
  </r>
  <r>
    <x v="0"/>
    <x v="0"/>
    <x v="0"/>
    <x v="0"/>
    <d v="2025-06-07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39580"/>
  </r>
  <r>
    <x v="0"/>
    <x v="0"/>
    <x v="0"/>
    <x v="0"/>
    <d v="2025-06-07T00:00:00"/>
    <x v="0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273"/>
  </r>
  <r>
    <x v="0"/>
    <x v="0"/>
    <x v="0"/>
    <x v="0"/>
    <d v="2025-06-08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45.44"/>
    <n v="122272"/>
  </r>
  <r>
    <x v="0"/>
    <x v="0"/>
    <x v="0"/>
    <x v="0"/>
    <d v="2025-06-08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39.02000000000001"/>
    <n v="6951"/>
  </r>
  <r>
    <x v="0"/>
    <x v="0"/>
    <x v="0"/>
    <x v="0"/>
    <d v="2025-06-08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4.58"/>
    <n v="229"/>
  </r>
  <r>
    <x v="0"/>
    <x v="0"/>
    <x v="0"/>
    <x v="0"/>
    <d v="2025-06-08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43054"/>
  </r>
  <r>
    <x v="0"/>
    <x v="0"/>
    <x v="0"/>
    <x v="0"/>
    <d v="2025-06-08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2081"/>
  </r>
  <r>
    <x v="0"/>
    <x v="0"/>
    <x v="0"/>
    <x v="0"/>
    <d v="2025-06-03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57.5"/>
    <n v="1292"/>
  </r>
  <r>
    <x v="0"/>
    <x v="0"/>
    <x v="0"/>
    <x v="0"/>
    <d v="2025-06-03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22.5"/>
    <n v="315"/>
  </r>
  <r>
    <x v="0"/>
    <x v="0"/>
    <x v="0"/>
    <x v="0"/>
    <d v="2025-06-03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62.5"/>
    <n v="1693"/>
  </r>
  <r>
    <x v="0"/>
    <x v="0"/>
    <x v="0"/>
    <x v="0"/>
    <d v="2025-06-04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3.75"/>
    <n v="624"/>
  </r>
  <r>
    <x v="0"/>
    <x v="0"/>
    <x v="0"/>
    <x v="0"/>
    <d v="2025-06-04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568.75"/>
    <n v="2972"/>
  </r>
  <r>
    <x v="0"/>
    <x v="0"/>
    <x v="0"/>
    <x v="0"/>
    <d v="2025-06-04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55"/>
    <n v="1821"/>
  </r>
  <r>
    <x v="0"/>
    <x v="0"/>
    <x v="0"/>
    <x v="0"/>
    <d v="2025-06-05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520"/>
    <n v="2908"/>
  </r>
  <r>
    <x v="0"/>
    <x v="0"/>
    <x v="0"/>
    <x v="0"/>
    <d v="2025-06-05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25"/>
    <n v="1888"/>
  </r>
  <r>
    <x v="0"/>
    <x v="0"/>
    <x v="0"/>
    <x v="0"/>
    <d v="2025-06-05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115"/>
    <n v="1086"/>
  </r>
  <r>
    <x v="0"/>
    <x v="0"/>
    <x v="0"/>
    <x v="0"/>
    <d v="2025-06-06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20"/>
    <n v="1828"/>
  </r>
  <r>
    <x v="0"/>
    <x v="0"/>
    <x v="0"/>
    <x v="0"/>
    <d v="2025-06-06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37.5"/>
    <n v="2439"/>
  </r>
  <r>
    <x v="0"/>
    <x v="0"/>
    <x v="0"/>
    <x v="0"/>
    <d v="2025-06-06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0"/>
    <n v="571"/>
  </r>
  <r>
    <x v="0"/>
    <x v="0"/>
    <x v="0"/>
    <x v="0"/>
    <d v="2025-06-07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83.75"/>
    <n v="3274"/>
  </r>
  <r>
    <x v="0"/>
    <x v="0"/>
    <x v="0"/>
    <x v="0"/>
    <d v="2025-06-07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6.25"/>
    <n v="649"/>
  </r>
  <r>
    <x v="0"/>
    <x v="0"/>
    <x v="0"/>
    <x v="0"/>
    <d v="2025-06-07T00:00:00"/>
    <x v="0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20"/>
    <n v="1881"/>
  </r>
  <r>
    <x v="0"/>
    <x v="0"/>
    <x v="0"/>
    <x v="0"/>
    <d v="2025-06-09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22.1999999999998"/>
    <n v="121110"/>
  </r>
  <r>
    <x v="0"/>
    <x v="0"/>
    <x v="0"/>
    <x v="0"/>
    <d v="2025-06-09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67.18"/>
    <n v="8359"/>
  </r>
  <r>
    <x v="0"/>
    <x v="0"/>
    <x v="0"/>
    <x v="0"/>
    <d v="2025-06-09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3.36"/>
    <n v="168"/>
  </r>
  <r>
    <x v="0"/>
    <x v="0"/>
    <x v="0"/>
    <x v="0"/>
    <d v="2025-06-09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64150"/>
  </r>
  <r>
    <x v="0"/>
    <x v="0"/>
    <x v="0"/>
    <x v="0"/>
    <d v="2025-06-09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3080"/>
  </r>
  <r>
    <x v="0"/>
    <x v="0"/>
    <x v="0"/>
    <x v="0"/>
    <d v="2025-06-10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97"/>
    <n v="124850"/>
  </r>
  <r>
    <x v="0"/>
    <x v="0"/>
    <x v="0"/>
    <x v="0"/>
    <d v="2025-06-10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72.94"/>
    <n v="8647"/>
  </r>
  <r>
    <x v="0"/>
    <x v="0"/>
    <x v="0"/>
    <x v="0"/>
    <d v="2025-06-10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0.96"/>
    <n v="548"/>
  </r>
  <r>
    <x v="0"/>
    <x v="0"/>
    <x v="0"/>
    <x v="0"/>
    <d v="2025-06-10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71957"/>
  </r>
  <r>
    <x v="0"/>
    <x v="0"/>
    <x v="0"/>
    <x v="0"/>
    <d v="2025-06-10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3842"/>
  </r>
  <r>
    <x v="0"/>
    <x v="0"/>
    <x v="0"/>
    <x v="0"/>
    <d v="2025-06-11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257.88"/>
    <n v="112894"/>
  </r>
  <r>
    <x v="0"/>
    <x v="0"/>
    <x v="0"/>
    <x v="0"/>
    <d v="2025-06-11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38.7"/>
    <n v="11935"/>
  </r>
  <r>
    <x v="0"/>
    <x v="0"/>
    <x v="0"/>
    <x v="0"/>
    <d v="2025-06-11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3.96"/>
    <n v="198"/>
  </r>
  <r>
    <x v="0"/>
    <x v="0"/>
    <x v="0"/>
    <x v="0"/>
    <d v="2025-06-11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47052"/>
  </r>
  <r>
    <x v="0"/>
    <x v="0"/>
    <x v="0"/>
    <x v="0"/>
    <d v="2025-06-11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952"/>
  </r>
  <r>
    <x v="0"/>
    <x v="0"/>
    <x v="0"/>
    <x v="0"/>
    <d v="2025-06-12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61.7199999999998"/>
    <n v="123086"/>
  </r>
  <r>
    <x v="0"/>
    <x v="0"/>
    <x v="0"/>
    <x v="0"/>
    <d v="2025-06-12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13.78"/>
    <n v="10689"/>
  </r>
  <r>
    <x v="0"/>
    <x v="0"/>
    <x v="0"/>
    <x v="0"/>
    <d v="2025-06-12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3.38"/>
    <n v="169"/>
  </r>
  <r>
    <x v="0"/>
    <x v="0"/>
    <x v="0"/>
    <x v="0"/>
    <d v="2025-06-12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48078"/>
  </r>
  <r>
    <x v="0"/>
    <x v="0"/>
    <x v="0"/>
    <x v="0"/>
    <d v="2025-06-12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683"/>
  </r>
  <r>
    <x v="0"/>
    <x v="0"/>
    <x v="0"/>
    <x v="0"/>
    <d v="2025-06-13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3502.2"/>
    <n v="175110"/>
  </r>
  <r>
    <x v="0"/>
    <x v="0"/>
    <x v="0"/>
    <x v="0"/>
    <d v="2025-06-13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364.16"/>
    <n v="18208"/>
  </r>
  <r>
    <x v="0"/>
    <x v="0"/>
    <x v="0"/>
    <x v="0"/>
    <d v="2025-06-13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96"/>
    <n v="98"/>
  </r>
  <r>
    <x v="0"/>
    <x v="0"/>
    <x v="0"/>
    <x v="0"/>
    <d v="2025-06-13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55026"/>
  </r>
  <r>
    <x v="0"/>
    <x v="0"/>
    <x v="0"/>
    <x v="0"/>
    <d v="2025-06-13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989"/>
  </r>
  <r>
    <x v="0"/>
    <x v="0"/>
    <x v="0"/>
    <x v="0"/>
    <d v="2025-06-14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866.88"/>
    <n v="143344"/>
  </r>
  <r>
    <x v="0"/>
    <x v="0"/>
    <x v="0"/>
    <x v="0"/>
    <d v="2025-06-14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67.4"/>
    <n v="8370"/>
  </r>
  <r>
    <x v="0"/>
    <x v="0"/>
    <x v="0"/>
    <x v="0"/>
    <d v="2025-06-14T00:00:00"/>
    <x v="1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2.2599999999999998"/>
    <n v="113"/>
  </r>
  <r>
    <x v="0"/>
    <x v="0"/>
    <x v="0"/>
    <x v="0"/>
    <d v="2025-06-14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47795"/>
  </r>
  <r>
    <x v="0"/>
    <x v="0"/>
    <x v="0"/>
    <x v="0"/>
    <d v="2025-06-14T00:00:00"/>
    <x v="1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058"/>
  </r>
  <r>
    <x v="0"/>
    <x v="0"/>
    <x v="0"/>
    <x v="0"/>
    <d v="2025-06-15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336.56"/>
    <n v="116828"/>
  </r>
  <r>
    <x v="0"/>
    <x v="0"/>
    <x v="0"/>
    <x v="0"/>
    <d v="2025-06-15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05.88"/>
    <n v="10294"/>
  </r>
  <r>
    <x v="0"/>
    <x v="0"/>
    <x v="0"/>
    <x v="0"/>
    <d v="2025-06-15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2.2799999999999998"/>
    <n v="114"/>
  </r>
  <r>
    <x v="0"/>
    <x v="0"/>
    <x v="0"/>
    <x v="0"/>
    <d v="2025-06-15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49003"/>
  </r>
  <r>
    <x v="0"/>
    <x v="0"/>
    <x v="0"/>
    <x v="0"/>
    <d v="2025-06-15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2097"/>
  </r>
  <r>
    <x v="0"/>
    <x v="0"/>
    <x v="0"/>
    <x v="0"/>
    <d v="2025-06-08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6.25"/>
    <n v="179"/>
  </r>
  <r>
    <x v="0"/>
    <x v="0"/>
    <x v="0"/>
    <x v="0"/>
    <d v="2025-06-08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66.25"/>
    <n v="521"/>
  </r>
  <r>
    <x v="0"/>
    <x v="0"/>
    <x v="0"/>
    <x v="0"/>
    <d v="2025-06-08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16.25"/>
    <n v="116"/>
  </r>
  <r>
    <x v="0"/>
    <x v="0"/>
    <x v="0"/>
    <x v="0"/>
    <d v="2025-06-09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11.25"/>
    <n v="1653"/>
  </r>
  <r>
    <x v="0"/>
    <x v="0"/>
    <x v="0"/>
    <x v="0"/>
    <d v="2025-06-09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3.75"/>
    <n v="746"/>
  </r>
  <r>
    <x v="0"/>
    <x v="0"/>
    <x v="0"/>
    <x v="0"/>
    <d v="2025-06-09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36.25"/>
    <n v="2683"/>
  </r>
  <r>
    <x v="0"/>
    <x v="0"/>
    <x v="0"/>
    <x v="0"/>
    <d v="2025-06-10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38.75"/>
    <n v="1557"/>
  </r>
  <r>
    <x v="0"/>
    <x v="0"/>
    <x v="0"/>
    <x v="0"/>
    <d v="2025-06-10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7.5"/>
    <n v="778"/>
  </r>
  <r>
    <x v="0"/>
    <x v="0"/>
    <x v="0"/>
    <x v="0"/>
    <d v="2025-06-10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347.5"/>
    <n v="1700"/>
  </r>
  <r>
    <x v="0"/>
    <x v="0"/>
    <x v="0"/>
    <x v="0"/>
    <d v="2025-06-11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1.25"/>
    <n v="640"/>
  </r>
  <r>
    <x v="0"/>
    <x v="0"/>
    <x v="0"/>
    <x v="0"/>
    <d v="2025-06-11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328.75"/>
    <n v="1727"/>
  </r>
  <r>
    <x v="0"/>
    <x v="0"/>
    <x v="0"/>
    <x v="0"/>
    <d v="2025-06-11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45"/>
    <n v="1740"/>
  </r>
  <r>
    <x v="0"/>
    <x v="0"/>
    <x v="0"/>
    <x v="0"/>
    <d v="2025-06-12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00"/>
    <n v="1589"/>
  </r>
  <r>
    <x v="0"/>
    <x v="0"/>
    <x v="0"/>
    <x v="0"/>
    <d v="2025-06-12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350"/>
    <n v="1844"/>
  </r>
  <r>
    <x v="0"/>
    <x v="0"/>
    <x v="0"/>
    <x v="0"/>
    <d v="2025-06-12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6.25"/>
    <n v="683"/>
  </r>
  <r>
    <x v="0"/>
    <x v="0"/>
    <x v="0"/>
    <x v="0"/>
    <d v="2025-06-13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56.25"/>
    <n v="434"/>
  </r>
  <r>
    <x v="0"/>
    <x v="0"/>
    <x v="0"/>
    <x v="0"/>
    <d v="2025-06-13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275"/>
    <n v="1582"/>
  </r>
  <r>
    <x v="0"/>
    <x v="0"/>
    <x v="0"/>
    <x v="0"/>
    <d v="2025-06-13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335"/>
    <n v="1921"/>
  </r>
  <r>
    <x v="0"/>
    <x v="0"/>
    <x v="0"/>
    <x v="0"/>
    <d v="2025-06-14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6.25"/>
    <n v="689"/>
  </r>
  <r>
    <x v="0"/>
    <x v="0"/>
    <x v="0"/>
    <x v="0"/>
    <d v="2025-06-14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303.75"/>
    <n v="1583"/>
  </r>
  <r>
    <x v="0"/>
    <x v="0"/>
    <x v="0"/>
    <x v="0"/>
    <d v="2025-06-14T00:00:00"/>
    <x v="1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10"/>
    <n v="1653"/>
  </r>
  <r>
    <x v="0"/>
    <x v="0"/>
    <x v="0"/>
    <x v="0"/>
    <d v="2025-06-16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69.3200000000002"/>
    <n v="123466"/>
  </r>
  <r>
    <x v="0"/>
    <x v="0"/>
    <x v="0"/>
    <x v="0"/>
    <d v="2025-06-16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78.78"/>
    <n v="8939"/>
  </r>
  <r>
    <x v="0"/>
    <x v="0"/>
    <x v="0"/>
    <x v="0"/>
    <d v="2025-06-16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4"/>
    <n v="200"/>
  </r>
  <r>
    <x v="0"/>
    <x v="0"/>
    <x v="0"/>
    <x v="0"/>
    <d v="2025-06-16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124320"/>
  </r>
  <r>
    <x v="0"/>
    <x v="0"/>
    <x v="0"/>
    <x v="0"/>
    <d v="2025-06-16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0145"/>
  </r>
  <r>
    <x v="0"/>
    <x v="0"/>
    <x v="0"/>
    <x v="0"/>
    <d v="2025-06-17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00.1799999999998"/>
    <n v="120009"/>
  </r>
  <r>
    <x v="0"/>
    <x v="0"/>
    <x v="0"/>
    <x v="0"/>
    <d v="2025-06-17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17.5"/>
    <n v="10875"/>
  </r>
  <r>
    <x v="0"/>
    <x v="0"/>
    <x v="0"/>
    <x v="0"/>
    <d v="2025-06-17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3.92"/>
    <n v="196"/>
  </r>
  <r>
    <x v="0"/>
    <x v="0"/>
    <x v="0"/>
    <x v="0"/>
    <d v="2025-06-17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395793"/>
  </r>
  <r>
    <x v="0"/>
    <x v="0"/>
    <x v="0"/>
    <x v="0"/>
    <d v="2025-06-17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36295"/>
  </r>
  <r>
    <x v="0"/>
    <x v="0"/>
    <x v="0"/>
    <x v="0"/>
    <d v="2025-06-18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691.28"/>
    <n v="134564"/>
  </r>
  <r>
    <x v="0"/>
    <x v="0"/>
    <x v="0"/>
    <x v="0"/>
    <d v="2025-06-18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12.5"/>
    <n v="10625"/>
  </r>
  <r>
    <x v="0"/>
    <x v="0"/>
    <x v="0"/>
    <x v="0"/>
    <d v="2025-06-18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36"/>
    <n v="68"/>
  </r>
  <r>
    <x v="0"/>
    <x v="0"/>
    <x v="0"/>
    <x v="0"/>
    <d v="2025-06-18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198453"/>
  </r>
  <r>
    <x v="0"/>
    <x v="0"/>
    <x v="0"/>
    <x v="0"/>
    <d v="2025-06-18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3788"/>
  </r>
  <r>
    <x v="0"/>
    <x v="0"/>
    <x v="0"/>
    <x v="0"/>
    <d v="2025-06-19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126.16"/>
    <n v="106308"/>
  </r>
  <r>
    <x v="0"/>
    <x v="0"/>
    <x v="0"/>
    <x v="0"/>
    <d v="2025-06-19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52.96"/>
    <n v="12648"/>
  </r>
  <r>
    <x v="0"/>
    <x v="0"/>
    <x v="0"/>
    <x v="0"/>
    <d v="2025-06-19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64"/>
    <n v="82"/>
  </r>
  <r>
    <x v="0"/>
    <x v="0"/>
    <x v="0"/>
    <x v="0"/>
    <d v="2025-06-19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53033"/>
  </r>
  <r>
    <x v="0"/>
    <x v="0"/>
    <x v="0"/>
    <x v="0"/>
    <d v="2025-06-19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3407"/>
  </r>
  <r>
    <x v="0"/>
    <x v="0"/>
    <x v="0"/>
    <x v="0"/>
    <d v="2025-06-20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267.6"/>
    <n v="113380"/>
  </r>
  <r>
    <x v="0"/>
    <x v="0"/>
    <x v="0"/>
    <x v="0"/>
    <d v="2025-06-20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27.5"/>
    <n v="11375"/>
  </r>
  <r>
    <x v="0"/>
    <x v="0"/>
    <x v="0"/>
    <x v="0"/>
    <d v="2025-06-20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34"/>
    <n v="67"/>
  </r>
  <r>
    <x v="0"/>
    <x v="0"/>
    <x v="0"/>
    <x v="0"/>
    <d v="2025-06-20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33224"/>
  </r>
  <r>
    <x v="0"/>
    <x v="0"/>
    <x v="0"/>
    <x v="0"/>
    <d v="2025-06-20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966"/>
  </r>
  <r>
    <x v="0"/>
    <x v="0"/>
    <x v="0"/>
    <x v="0"/>
    <d v="2025-06-21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324.04"/>
    <n v="116202"/>
  </r>
  <r>
    <x v="0"/>
    <x v="0"/>
    <x v="0"/>
    <x v="0"/>
    <d v="2025-06-21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210.58"/>
    <n v="10529"/>
  </r>
  <r>
    <x v="0"/>
    <x v="0"/>
    <x v="0"/>
    <x v="0"/>
    <d v="2025-06-21T00:00:00"/>
    <x v="2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56"/>
    <n v="78"/>
  </r>
  <r>
    <x v="0"/>
    <x v="0"/>
    <x v="0"/>
    <x v="0"/>
    <d v="2025-06-21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35436"/>
  </r>
  <r>
    <x v="0"/>
    <x v="0"/>
    <x v="0"/>
    <x v="0"/>
    <d v="2025-06-21T00:00:00"/>
    <x v="2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898"/>
  </r>
  <r>
    <x v="0"/>
    <x v="0"/>
    <x v="0"/>
    <x v="0"/>
    <d v="2025-06-22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31.08"/>
    <n v="121554"/>
  </r>
  <r>
    <x v="0"/>
    <x v="0"/>
    <x v="0"/>
    <x v="0"/>
    <d v="2025-06-22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56"/>
    <n v="7800"/>
  </r>
  <r>
    <x v="0"/>
    <x v="0"/>
    <x v="0"/>
    <x v="0"/>
    <d v="2025-06-22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24"/>
    <n v="62"/>
  </r>
  <r>
    <x v="0"/>
    <x v="0"/>
    <x v="0"/>
    <x v="0"/>
    <d v="2025-06-22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35122"/>
  </r>
  <r>
    <x v="0"/>
    <x v="0"/>
    <x v="0"/>
    <x v="0"/>
    <d v="2025-06-22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223"/>
  </r>
  <r>
    <x v="0"/>
    <x v="0"/>
    <x v="0"/>
    <x v="0"/>
    <d v="2025-06-15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27.5"/>
    <n v="2274"/>
  </r>
  <r>
    <x v="0"/>
    <x v="0"/>
    <x v="0"/>
    <x v="0"/>
    <d v="2025-06-15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86.25"/>
    <n v="2426"/>
  </r>
  <r>
    <x v="0"/>
    <x v="0"/>
    <x v="0"/>
    <x v="0"/>
    <d v="2025-06-15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106.25"/>
    <n v="889"/>
  </r>
  <r>
    <x v="0"/>
    <x v="0"/>
    <x v="0"/>
    <x v="0"/>
    <d v="2025-06-16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67.5"/>
    <n v="2592"/>
  </r>
  <r>
    <x v="0"/>
    <x v="0"/>
    <x v="0"/>
    <x v="0"/>
    <d v="2025-06-16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547.5"/>
    <n v="2786"/>
  </r>
  <r>
    <x v="0"/>
    <x v="0"/>
    <x v="0"/>
    <x v="0"/>
    <d v="2025-06-16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3.75"/>
    <n v="725"/>
  </r>
  <r>
    <x v="0"/>
    <x v="0"/>
    <x v="0"/>
    <x v="0"/>
    <d v="2025-06-17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07.5"/>
    <n v="3206"/>
  </r>
  <r>
    <x v="0"/>
    <x v="0"/>
    <x v="0"/>
    <x v="0"/>
    <d v="2025-06-17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2.5"/>
    <n v="671"/>
  </r>
  <r>
    <x v="0"/>
    <x v="0"/>
    <x v="0"/>
    <x v="0"/>
    <d v="2025-06-17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67.5"/>
    <n v="2644"/>
  </r>
  <r>
    <x v="0"/>
    <x v="0"/>
    <x v="0"/>
    <x v="0"/>
    <d v="2025-06-18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65"/>
    <n v="3616"/>
  </r>
  <r>
    <x v="0"/>
    <x v="0"/>
    <x v="0"/>
    <x v="0"/>
    <d v="2025-06-18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96.25"/>
    <n v="2626"/>
  </r>
  <r>
    <x v="0"/>
    <x v="0"/>
    <x v="0"/>
    <x v="0"/>
    <d v="2025-06-18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2.5"/>
    <n v="597"/>
  </r>
  <r>
    <x v="0"/>
    <x v="0"/>
    <x v="0"/>
    <x v="0"/>
    <d v="2025-06-19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75"/>
    <n v="2387"/>
  </r>
  <r>
    <x v="0"/>
    <x v="0"/>
    <x v="0"/>
    <x v="0"/>
    <d v="2025-06-19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48.75"/>
    <n v="2222"/>
  </r>
  <r>
    <x v="0"/>
    <x v="0"/>
    <x v="0"/>
    <x v="0"/>
    <d v="2025-06-19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6.25"/>
    <n v="652"/>
  </r>
  <r>
    <x v="0"/>
    <x v="0"/>
    <x v="0"/>
    <x v="0"/>
    <d v="2025-06-20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15"/>
    <n v="2248"/>
  </r>
  <r>
    <x v="0"/>
    <x v="0"/>
    <x v="0"/>
    <x v="0"/>
    <d v="2025-06-20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7.5"/>
    <n v="696"/>
  </r>
  <r>
    <x v="0"/>
    <x v="0"/>
    <x v="0"/>
    <x v="0"/>
    <d v="2025-06-20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92.5"/>
    <n v="2358"/>
  </r>
  <r>
    <x v="0"/>
    <x v="0"/>
    <x v="0"/>
    <x v="0"/>
    <d v="2025-06-21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5"/>
    <n v="633"/>
  </r>
  <r>
    <x v="0"/>
    <x v="0"/>
    <x v="0"/>
    <x v="0"/>
    <d v="2025-06-21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83.75"/>
    <n v="2179"/>
  </r>
  <r>
    <x v="0"/>
    <x v="0"/>
    <x v="0"/>
    <x v="0"/>
    <d v="2025-06-21T00:00:00"/>
    <x v="2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98.75"/>
    <n v="2572"/>
  </r>
  <r>
    <x v="0"/>
    <x v="0"/>
    <x v="0"/>
    <x v="0"/>
    <d v="2025-06-23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465.2399999999998"/>
    <n v="123262"/>
  </r>
  <r>
    <x v="0"/>
    <x v="0"/>
    <x v="0"/>
    <x v="0"/>
    <d v="2025-06-23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42.04"/>
    <n v="7102"/>
  </r>
  <r>
    <x v="0"/>
    <x v="0"/>
    <x v="0"/>
    <x v="0"/>
    <d v="2025-06-23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22"/>
    <n v="61"/>
  </r>
  <r>
    <x v="0"/>
    <x v="0"/>
    <x v="0"/>
    <x v="0"/>
    <d v="2025-06-23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41965"/>
  </r>
  <r>
    <x v="0"/>
    <x v="0"/>
    <x v="0"/>
    <x v="0"/>
    <d v="2025-06-23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2043"/>
  </r>
  <r>
    <x v="0"/>
    <x v="0"/>
    <x v="0"/>
    <x v="0"/>
    <d v="2025-06-24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2861.78"/>
    <n v="143089"/>
  </r>
  <r>
    <x v="0"/>
    <x v="0"/>
    <x v="0"/>
    <x v="0"/>
    <d v="2025-06-24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318.58"/>
    <n v="15929"/>
  </r>
  <r>
    <x v="0"/>
    <x v="0"/>
    <x v="0"/>
    <x v="0"/>
    <d v="2025-06-24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56"/>
    <n v="78"/>
  </r>
  <r>
    <x v="0"/>
    <x v="0"/>
    <x v="0"/>
    <x v="0"/>
    <d v="2025-06-24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39697"/>
  </r>
  <r>
    <x v="0"/>
    <x v="0"/>
    <x v="0"/>
    <x v="0"/>
    <d v="2025-06-24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803"/>
  </r>
  <r>
    <x v="0"/>
    <x v="0"/>
    <x v="0"/>
    <x v="0"/>
    <d v="2025-06-25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7215.6"/>
    <n v="360780"/>
  </r>
  <r>
    <x v="0"/>
    <x v="0"/>
    <x v="0"/>
    <x v="0"/>
    <d v="2025-06-25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244.0999999999999"/>
    <n v="62205"/>
  </r>
  <r>
    <x v="0"/>
    <x v="0"/>
    <x v="0"/>
    <x v="0"/>
    <d v="2025-06-25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0.9"/>
    <n v="45"/>
  </r>
  <r>
    <x v="0"/>
    <x v="0"/>
    <x v="0"/>
    <x v="0"/>
    <d v="2025-06-25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293875"/>
  </r>
  <r>
    <x v="0"/>
    <x v="0"/>
    <x v="0"/>
    <x v="0"/>
    <d v="2025-06-25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805"/>
  </r>
  <r>
    <x v="0"/>
    <x v="0"/>
    <x v="0"/>
    <x v="0"/>
    <d v="2025-06-26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1563.2"/>
    <n v="78160"/>
  </r>
  <r>
    <x v="0"/>
    <x v="0"/>
    <x v="0"/>
    <x v="0"/>
    <d v="2025-06-26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167.92"/>
    <n v="8396"/>
  </r>
  <r>
    <x v="0"/>
    <x v="0"/>
    <x v="0"/>
    <x v="0"/>
    <d v="2025-06-26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22"/>
    <n v="61"/>
  </r>
  <r>
    <x v="0"/>
    <x v="0"/>
    <x v="0"/>
    <x v="0"/>
    <d v="2025-06-26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29695"/>
  </r>
  <r>
    <x v="0"/>
    <x v="0"/>
    <x v="0"/>
    <x v="0"/>
    <d v="2025-06-26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527"/>
  </r>
  <r>
    <x v="0"/>
    <x v="0"/>
    <x v="0"/>
    <x v="0"/>
    <d v="2025-06-27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6.48"/>
    <n v="324"/>
  </r>
  <r>
    <x v="0"/>
    <x v="0"/>
    <x v="0"/>
    <x v="0"/>
    <d v="2025-06-27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0.24"/>
    <n v="12"/>
  </r>
  <r>
    <x v="0"/>
    <x v="0"/>
    <x v="0"/>
    <x v="0"/>
    <d v="2025-06-27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28"/>
    <n v="64"/>
  </r>
  <r>
    <x v="0"/>
    <x v="0"/>
    <x v="0"/>
    <x v="0"/>
    <d v="2025-06-27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14500"/>
  </r>
  <r>
    <x v="0"/>
    <x v="0"/>
    <x v="0"/>
    <x v="0"/>
    <d v="2025-06-27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594"/>
  </r>
  <r>
    <x v="0"/>
    <x v="0"/>
    <x v="0"/>
    <x v="0"/>
    <d v="2025-06-28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8.02"/>
    <n v="401"/>
  </r>
  <r>
    <x v="0"/>
    <x v="0"/>
    <x v="0"/>
    <x v="0"/>
    <d v="2025-06-28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0.34"/>
    <n v="17"/>
  </r>
  <r>
    <x v="0"/>
    <x v="0"/>
    <x v="0"/>
    <x v="0"/>
    <d v="2025-06-28T00:00:00"/>
    <x v="3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46"/>
    <n v="73"/>
  </r>
  <r>
    <x v="0"/>
    <x v="0"/>
    <x v="0"/>
    <x v="0"/>
    <d v="2025-06-28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8227"/>
  </r>
  <r>
    <x v="0"/>
    <x v="0"/>
    <x v="0"/>
    <x v="0"/>
    <d v="2025-06-28T00:00:00"/>
    <x v="3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667"/>
  </r>
  <r>
    <x v="0"/>
    <x v="0"/>
    <x v="0"/>
    <x v="0"/>
    <d v="2025-06-29T00:00:00"/>
    <x v="4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7.32"/>
    <n v="366"/>
  </r>
  <r>
    <x v="0"/>
    <x v="0"/>
    <x v="0"/>
    <x v="0"/>
    <d v="2025-06-29T00:00:00"/>
    <x v="4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0.16"/>
    <n v="8"/>
  </r>
  <r>
    <x v="0"/>
    <x v="0"/>
    <x v="0"/>
    <x v="0"/>
    <d v="2025-06-29T00:00:00"/>
    <x v="4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34"/>
    <n v="67"/>
  </r>
  <r>
    <x v="0"/>
    <x v="0"/>
    <x v="0"/>
    <x v="0"/>
    <d v="2025-06-29T00:00:00"/>
    <x v="4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33152"/>
  </r>
  <r>
    <x v="0"/>
    <x v="0"/>
    <x v="0"/>
    <x v="0"/>
    <d v="2025-06-29T00:00:00"/>
    <x v="4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3606"/>
  </r>
  <r>
    <x v="0"/>
    <x v="0"/>
    <x v="0"/>
    <x v="0"/>
    <d v="2025-06-30T00:00:00"/>
    <x v="4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cr_dir_all_flf_p34xlw8_summer-hair-editorial-medium-rectangle_x_arch_300x250_tbd_x_x_x"/>
    <s v="full-rescue_local_300x250_x_shop-now_e-amazon_bfr_x"/>
    <n v="6.9"/>
    <n v="345"/>
  </r>
  <r>
    <x v="0"/>
    <x v="0"/>
    <x v="0"/>
    <x v="0"/>
    <d v="2025-06-30T00:00:00"/>
    <x v="4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dsk_dir_all_flf_p34xlw2_summer-hair-editorial-desktop-leaderboard_x_arch_728x90_tbd_x_x_x"/>
    <s v="full-rescue_local_728x90_x_shop-now_e-amazon_bfr_x"/>
    <n v="0.2"/>
    <n v="10"/>
  </r>
  <r>
    <x v="0"/>
    <x v="0"/>
    <x v="0"/>
    <x v="0"/>
    <d v="2025-06-30T00:00:00"/>
    <x v="4"/>
    <x v="0"/>
    <x v="0"/>
    <s v="blg_haca_bfr_2025-direct_00469647_pmc_direct_2025_bfr_001_x"/>
    <s v="blg_haca_bfr_2025-direct_dis-aw-flf_00469647_direct-people-summer-hair-editorial-content-package-plus-4x-articles-package-plus-related-content_ddmer_ros_x"/>
    <s v="dotdash-meredith_dis_3p-audiences_x_ct_m-w_2-+_en_mt_dir_all_flf_p34xlwj_summer-hair-editorial-static-smartphone-ad_x_arch_320x50_tbd_x_x_x"/>
    <s v="full-rescue_local_320x50_x_shop-now_e-amazon_bfr_x"/>
    <n v="1.24"/>
    <n v="62"/>
  </r>
  <r>
    <x v="0"/>
    <x v="0"/>
    <x v="0"/>
    <x v="0"/>
    <d v="2025-06-30T00:00:00"/>
    <x v="4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cr_dir_all_vad_p34xlxh_added-value-run-of-network-medium-rectangle_x_arch_300x250_tbd_x_x_x"/>
    <s v="full-rescue_local_300x250_x_shop-now_e-amazon_bfr_x"/>
    <n v="0"/>
    <n v="64036"/>
  </r>
  <r>
    <x v="0"/>
    <x v="0"/>
    <x v="0"/>
    <x v="0"/>
    <d v="2025-06-30T00:00:00"/>
    <x v="4"/>
    <x v="0"/>
    <x v="0"/>
    <s v="blg_haca_bfr_2025-direct_00469647_pmc_direct_2025_bfr_001_x"/>
    <s v="blg_haca_bfr_2025-direct_dis-aw-vad_00469647_direct-ddm-portfolio-added-value-run-of-network-media-package_ddmer_ron_x"/>
    <s v="dotdash-meredith_dis_3p-audiences_x_x_m-w_2-+_en_dsk_dir_all_vad_p34xlxd_added-value-network-media-desktop-leaderboard_x_arch_728x90_tbd_x_x_x"/>
    <s v="full-rescue_local_728x90_x_shop-now_e-amazon_bfr_x"/>
    <n v="0"/>
    <n v="10000"/>
  </r>
  <r>
    <x v="0"/>
    <x v="0"/>
    <x v="0"/>
    <x v="0"/>
    <d v="2025-06-22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72.5"/>
    <n v="2962"/>
  </r>
  <r>
    <x v="0"/>
    <x v="0"/>
    <x v="0"/>
    <x v="0"/>
    <d v="2025-06-22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61.25"/>
    <n v="2869"/>
  </r>
  <r>
    <x v="0"/>
    <x v="0"/>
    <x v="0"/>
    <x v="0"/>
    <d v="2025-06-22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91.25"/>
    <n v="895"/>
  </r>
  <r>
    <x v="0"/>
    <x v="0"/>
    <x v="0"/>
    <x v="0"/>
    <d v="2025-06-23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433.75"/>
    <n v="2739"/>
  </r>
  <r>
    <x v="0"/>
    <x v="0"/>
    <x v="0"/>
    <x v="0"/>
    <d v="2025-06-23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8.75"/>
    <n v="775"/>
  </r>
  <r>
    <x v="0"/>
    <x v="0"/>
    <x v="0"/>
    <x v="0"/>
    <d v="2025-06-23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86.25"/>
    <n v="2925"/>
  </r>
  <r>
    <x v="0"/>
    <x v="0"/>
    <x v="0"/>
    <x v="0"/>
    <d v="2025-06-24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55"/>
    <n v="359"/>
  </r>
  <r>
    <x v="0"/>
    <x v="0"/>
    <x v="0"/>
    <x v="0"/>
    <d v="2025-06-24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7.5"/>
    <n v="130"/>
  </r>
  <r>
    <x v="0"/>
    <x v="0"/>
    <x v="0"/>
    <x v="0"/>
    <d v="2025-06-24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87.5"/>
    <n v="502"/>
  </r>
  <r>
    <x v="0"/>
    <x v="0"/>
    <x v="0"/>
    <x v="0"/>
    <d v="2025-06-25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3.75"/>
    <n v="808"/>
  </r>
  <r>
    <x v="0"/>
    <x v="0"/>
    <x v="0"/>
    <x v="0"/>
    <d v="2025-06-25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56.25"/>
    <n v="2294"/>
  </r>
  <r>
    <x v="0"/>
    <x v="0"/>
    <x v="0"/>
    <x v="0"/>
    <d v="2025-06-25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506.25"/>
    <n v="3113"/>
  </r>
  <r>
    <x v="0"/>
    <x v="0"/>
    <x v="0"/>
    <x v="0"/>
    <d v="2025-06-26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67.5"/>
    <n v="747"/>
  </r>
  <r>
    <x v="0"/>
    <x v="0"/>
    <x v="0"/>
    <x v="0"/>
    <d v="2025-06-26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61.25"/>
    <n v="2314"/>
  </r>
  <r>
    <x v="0"/>
    <x v="0"/>
    <x v="0"/>
    <x v="0"/>
    <d v="2025-06-26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40"/>
    <n v="2979"/>
  </r>
  <r>
    <x v="0"/>
    <x v="0"/>
    <x v="0"/>
    <x v="0"/>
    <d v="2025-06-27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03.75"/>
    <n v="2293"/>
  </r>
  <r>
    <x v="0"/>
    <x v="0"/>
    <x v="0"/>
    <x v="0"/>
    <d v="2025-06-27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56.25"/>
    <n v="3037"/>
  </r>
  <r>
    <x v="0"/>
    <x v="0"/>
    <x v="0"/>
    <x v="0"/>
    <d v="2025-06-27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76.25"/>
    <n v="647"/>
  </r>
  <r>
    <x v="0"/>
    <x v="0"/>
    <x v="0"/>
    <x v="0"/>
    <d v="2025-06-28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280"/>
    <n v="1808"/>
  </r>
  <r>
    <x v="0"/>
    <x v="0"/>
    <x v="0"/>
    <x v="0"/>
    <d v="2025-06-28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83.75"/>
    <n v="2828"/>
  </r>
  <r>
    <x v="0"/>
    <x v="0"/>
    <x v="0"/>
    <x v="0"/>
    <d v="2025-06-28T00:00:00"/>
    <x v="3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2.5"/>
    <n v="668"/>
  </r>
  <r>
    <x v="0"/>
    <x v="0"/>
    <x v="0"/>
    <x v="0"/>
    <d v="2025-06-29T00:00:00"/>
    <x v="4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61.25"/>
    <n v="3057"/>
  </r>
  <r>
    <x v="0"/>
    <x v="0"/>
    <x v="0"/>
    <x v="0"/>
    <d v="2025-06-29T00:00:00"/>
    <x v="4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88.75"/>
    <n v="828"/>
  </r>
  <r>
    <x v="0"/>
    <x v="0"/>
    <x v="0"/>
    <x v="0"/>
    <d v="2025-06-29T00:00:00"/>
    <x v="4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81.25"/>
    <n v="2642"/>
  </r>
  <r>
    <x v="0"/>
    <x v="0"/>
    <x v="0"/>
    <x v="0"/>
    <d v="2025-06-30T00:00:00"/>
    <x v="4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318.75"/>
    <n v="2374"/>
  </r>
  <r>
    <x v="0"/>
    <x v="0"/>
    <x v="0"/>
    <x v="0"/>
    <d v="2025-06-30T00:00:00"/>
    <x v="4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IG Feed_biolage-exclusive-interview_v1"/>
    <n v="430"/>
    <n v="3021"/>
  </r>
  <r>
    <x v="0"/>
    <x v="0"/>
    <x v="0"/>
    <x v="0"/>
    <d v="2025-06-30T00:00:00"/>
    <x v="4"/>
    <x v="0"/>
    <x v="0"/>
    <s v="blg_haca_bfr_2025-direct_00469647_pmc_direct_2025_bfr_001_x"/>
    <s v="dotdash-meredith_soc_3p-audiences_x_bh_m-w_2-+_en_cr_dir_all_cpe_p34xltq_people-edit-credit-amplify-social-dark-post-driving-to-brand-spokes-announcement-article_x_arch_1x1_tbd_x_x_x"/>
    <s v="dotdash-meredith_soc_3p-audiences_x_bh_m-w_2-+_en_cr_dir_all_cpe_p34xltq_people-edit-credit-amplify-social-dark-post-driving-to-brand-spokes-announcement-article_x_arch_1x1_tbd_x_x_x"/>
    <s v="Biolage_PEO_FB Feed_biolage-exclusive-interview_v1"/>
    <n v="98.75"/>
    <n v="74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1">
  <r>
    <s v="Biolage"/>
    <s v="Biolage - Brand"/>
    <s v="Social"/>
    <x v="0"/>
    <s v="Amazon"/>
    <d v="2025-04-12T00:00:00"/>
    <x v="0"/>
    <n v="4942.9600009999995"/>
    <n v="1050863"/>
  </r>
  <r>
    <s v="Biolage"/>
    <s v="Biolage - Brand"/>
    <s v="Social"/>
    <x v="0"/>
    <s v="Amazon"/>
    <d v="2025-04-19T00:00:00"/>
    <x v="0"/>
    <n v="5373.9300010000006"/>
    <n v="1140281"/>
  </r>
  <r>
    <s v="Biolage"/>
    <s v="Biolage - Brand"/>
    <s v="Social"/>
    <x v="0"/>
    <s v="Amazon"/>
    <d v="2025-04-26T00:00:00"/>
    <x v="0"/>
    <n v="5650.3099989999992"/>
    <n v="1197599"/>
  </r>
  <r>
    <s v="Biolage"/>
    <s v="Biolage - Brand"/>
    <s v="Social"/>
    <x v="0"/>
    <s v="Amazon"/>
    <d v="2025-05-03T00:00:00"/>
    <x v="0"/>
    <n v="3226.4100000000008"/>
    <n v="644320"/>
  </r>
  <r>
    <s v="Biolage"/>
    <s v="Biolage - Brand"/>
    <s v="Social"/>
    <x v="0"/>
    <s v="Amazon"/>
    <d v="2025-05-10T00:00:00"/>
    <x v="0"/>
    <n v="8820.0599899999997"/>
    <n v="1753731"/>
  </r>
  <r>
    <s v="Biolage"/>
    <s v="Biolage - Brand"/>
    <s v="Social"/>
    <x v="0"/>
    <s v="Amazon"/>
    <d v="2025-05-17T00:00:00"/>
    <x v="0"/>
    <n v="9400.390003999999"/>
    <n v="1598978"/>
  </r>
  <r>
    <s v="Biolage"/>
    <s v="Biolage - Brand"/>
    <s v="Social"/>
    <x v="0"/>
    <s v="Amazon"/>
    <d v="2025-05-24T00:00:00"/>
    <x v="0"/>
    <n v="10024.770003999998"/>
    <n v="1577712"/>
  </r>
  <r>
    <s v="Biolage"/>
    <s v="Biolage - Brand"/>
    <s v="Social"/>
    <x v="0"/>
    <s v="Amazon"/>
    <d v="2025-05-31T00:00:00"/>
    <x v="0"/>
    <n v="8309.740006"/>
    <n v="1366302"/>
  </r>
  <r>
    <s v="Biolage"/>
    <s v="Biolage - Brand"/>
    <s v="Social"/>
    <x v="0"/>
    <s v="Amazon"/>
    <d v="2025-06-07T00:00:00"/>
    <x v="0"/>
    <n v="8981.6999919999998"/>
    <n v="1381280"/>
  </r>
  <r>
    <s v="Biolage"/>
    <s v="Biolage - Brand"/>
    <s v="Social"/>
    <x v="0"/>
    <s v="Amazon"/>
    <d v="2025-06-14T00:00:00"/>
    <x v="0"/>
    <n v="12282.270001999999"/>
    <n v="1482114"/>
  </r>
  <r>
    <s v="Biolage"/>
    <s v="Biolage - Brand"/>
    <s v="Social"/>
    <x v="0"/>
    <s v="Amazon"/>
    <d v="2025-06-21T00:00:00"/>
    <x v="0"/>
    <n v="7078.0999970000003"/>
    <n v="886913"/>
  </r>
  <r>
    <s v="Biolage"/>
    <s v="Biolage - Brand"/>
    <s v="Social"/>
    <x v="0"/>
    <s v="Other"/>
    <d v="2023-10-28T00:00:00"/>
    <x v="1"/>
    <n v="596.14000099999998"/>
    <n v="52281"/>
  </r>
  <r>
    <s v="Biolage"/>
    <s v="Biolage - Brand"/>
    <s v="Social"/>
    <x v="0"/>
    <s v="Other"/>
    <d v="2023-11-04T00:00:00"/>
    <x v="1"/>
    <n v="2426.3100099999992"/>
    <n v="283976"/>
  </r>
  <r>
    <s v="Biolage"/>
    <s v="Biolage - Brand"/>
    <s v="Social"/>
    <x v="0"/>
    <s v="Other"/>
    <d v="2023-11-11T00:00:00"/>
    <x v="1"/>
    <n v="1977.1199929999998"/>
    <n v="222673"/>
  </r>
  <r>
    <s v="Biolage"/>
    <s v="Biolage - Brand"/>
    <s v="Social"/>
    <x v="0"/>
    <s v="Other"/>
    <d v="2024-11-23T00:00:00"/>
    <x v="2"/>
    <n v="50000.000008000003"/>
    <n v="4751674"/>
  </r>
  <r>
    <s v="Biolage"/>
    <s v="Biolage - Brand"/>
    <s v="Social"/>
    <x v="0"/>
    <s v="Ulta"/>
    <d v="2024-11-23T00:00:00"/>
    <x v="2"/>
    <n v="23975.640006000001"/>
    <n v="2064790"/>
  </r>
  <r>
    <s v="Biolage"/>
    <s v="Biolage - Brand"/>
    <s v="Social"/>
    <x v="0"/>
    <s v="Ulta"/>
    <d v="2024-11-30T00:00:00"/>
    <x v="2"/>
    <n v="145455.050013"/>
    <n v="12920521"/>
  </r>
  <r>
    <s v="Biolage"/>
    <s v="Biolage - Brand"/>
    <s v="Social"/>
    <x v="0"/>
    <s v="Ulta"/>
    <d v="2024-12-07T00:00:00"/>
    <x v="2"/>
    <n v="51993.73000499999"/>
    <n v="5969554"/>
  </r>
  <r>
    <s v="Biolage"/>
    <s v="Biolage - Brand"/>
    <s v="Social"/>
    <x v="0"/>
    <s v="Ulta"/>
    <d v="2025-01-18T00:00:00"/>
    <x v="0"/>
    <n v="5804.4600050000008"/>
    <n v="1003384"/>
  </r>
  <r>
    <s v="Biolage"/>
    <s v="Biolage - Brand"/>
    <s v="Social"/>
    <x v="0"/>
    <s v="Ulta"/>
    <d v="2025-01-25T00:00:00"/>
    <x v="0"/>
    <n v="24195.509997000001"/>
    <n v="3776336"/>
  </r>
  <r>
    <s v="Biolage"/>
    <s v="Biolage - Brand"/>
    <s v="Social"/>
    <x v="0"/>
    <s v="Ulta"/>
    <d v="2025-02-22T00:00:00"/>
    <x v="0"/>
    <n v="26652.779999000002"/>
    <n v="3787287"/>
  </r>
  <r>
    <s v="Biolage"/>
    <s v="Biolage - Brand"/>
    <s v="Social"/>
    <x v="0"/>
    <s v="Ulta"/>
    <d v="2025-03-01T00:00:00"/>
    <x v="0"/>
    <n v="43347.220003999995"/>
    <n v="5214614"/>
  </r>
  <r>
    <s v="Biolage"/>
    <s v="Biolage - Brand"/>
    <s v="Social"/>
    <x v="0"/>
    <s v="Ulta"/>
    <d v="2025-03-15T00:00:00"/>
    <x v="0"/>
    <n v="7546.5899999999983"/>
    <n v="1370912"/>
  </r>
  <r>
    <s v="Biolage"/>
    <s v="Biolage - Brand"/>
    <s v="Social"/>
    <x v="0"/>
    <s v="Ulta"/>
    <d v="2025-03-22T00:00:00"/>
    <x v="0"/>
    <n v="18925.250002999997"/>
    <n v="3502057"/>
  </r>
  <r>
    <s v="Biolage"/>
    <s v="Biolage - Brand"/>
    <s v="Social"/>
    <x v="0"/>
    <s v="Ulta"/>
    <d v="2025-03-29T00:00:00"/>
    <x v="0"/>
    <n v="18260.460003"/>
    <n v="2690512"/>
  </r>
  <r>
    <s v="Biolage"/>
    <s v="Biolage - Brand"/>
    <s v="Social"/>
    <x v="0"/>
    <s v="Ulta"/>
    <d v="2025-04-05T00:00:00"/>
    <x v="0"/>
    <n v="3644.5400000000004"/>
    <n v="226723"/>
  </r>
  <r>
    <s v="Biolage"/>
    <s v="Biolage - Brand"/>
    <s v="Social"/>
    <x v="0"/>
    <s v="Ulta"/>
    <d v="2025-04-12T00:00:00"/>
    <x v="0"/>
    <n v="5154.8000030000003"/>
    <n v="1128016"/>
  </r>
  <r>
    <s v="Biolage"/>
    <s v="Biolage - Brand"/>
    <s v="Social"/>
    <x v="0"/>
    <s v="Ulta"/>
    <d v="2025-04-19T00:00:00"/>
    <x v="0"/>
    <n v="7308.6299969999982"/>
    <n v="1688612"/>
  </r>
  <r>
    <s v="Biolage"/>
    <s v="Biolage - Brand"/>
    <s v="Social"/>
    <x v="0"/>
    <s v="Ulta"/>
    <d v="2025-04-26T00:00:00"/>
    <x v="0"/>
    <n v="6649.5000030000001"/>
    <n v="1573947"/>
  </r>
  <r>
    <s v="Biolage"/>
    <s v="Biolage - Brand"/>
    <s v="Social"/>
    <x v="0"/>
    <s v="Ulta"/>
    <d v="2025-05-03T00:00:00"/>
    <x v="0"/>
    <n v="3316.6100040000001"/>
    <n v="746214"/>
  </r>
  <r>
    <s v="Biolage"/>
    <s v="Biolage - Brand"/>
    <s v="Social"/>
    <x v="0"/>
    <s v="Ulta"/>
    <d v="2025-05-10T00:00:00"/>
    <x v="0"/>
    <n v="646.54000299999996"/>
    <n v="131682"/>
  </r>
  <r>
    <s v="Biolage"/>
    <s v="Biolage - Brand"/>
    <s v="Social"/>
    <x v="0"/>
    <s v="Ulta"/>
    <d v="2025-05-17T00:00:00"/>
    <x v="0"/>
    <n v="1895.3499980000001"/>
    <n v="337849"/>
  </r>
  <r>
    <s v="Biolage"/>
    <s v="Biolage - Brand"/>
    <s v="Social"/>
    <x v="0"/>
    <s v="Ulta"/>
    <d v="2025-05-24T00:00:00"/>
    <x v="0"/>
    <n v="1296.4499979999998"/>
    <n v="216258"/>
  </r>
  <r>
    <s v="Biolage"/>
    <s v="Biolage - Brand"/>
    <s v="Social"/>
    <x v="0"/>
    <s v="Ulta"/>
    <d v="2025-05-31T00:00:00"/>
    <x v="0"/>
    <n v="1263.8499999999997"/>
    <n v="218948"/>
  </r>
  <r>
    <s v="Biolage"/>
    <s v="Biolage - Brand"/>
    <s v="Social"/>
    <x v="1"/>
    <s v="Amazon"/>
    <d v="2023-07-01T00:00:00"/>
    <x v="1"/>
    <n v="33.569313000000001"/>
    <n v="12647"/>
  </r>
  <r>
    <s v="Biolage"/>
    <s v="Biolage - Brand"/>
    <s v="Social"/>
    <x v="1"/>
    <s v="Amazon"/>
    <d v="2023-07-08T00:00:00"/>
    <x v="1"/>
    <n v="999.85672"/>
    <n v="656796"/>
  </r>
  <r>
    <s v="Biolage"/>
    <s v="Biolage - Brand"/>
    <s v="Social"/>
    <x v="1"/>
    <s v="Amazon"/>
    <d v="2023-07-15T00:00:00"/>
    <x v="1"/>
    <n v="5655.9730740000005"/>
    <n v="1323770"/>
  </r>
  <r>
    <s v="Biolage"/>
    <s v="Biolage - Brand"/>
    <s v="Social"/>
    <x v="1"/>
    <s v="Amazon"/>
    <d v="2023-07-22T00:00:00"/>
    <x v="1"/>
    <n v="8305.2923260000007"/>
    <n v="1067550"/>
  </r>
  <r>
    <s v="Biolage"/>
    <s v="Biolage - Brand"/>
    <s v="Social"/>
    <x v="1"/>
    <s v="Amazon"/>
    <d v="2023-07-29T00:00:00"/>
    <x v="1"/>
    <n v="8664.595331999999"/>
    <n v="903828"/>
  </r>
  <r>
    <s v="Biolage"/>
    <s v="Biolage - Brand"/>
    <s v="Social"/>
    <x v="1"/>
    <s v="Amazon"/>
    <d v="2023-08-05T00:00:00"/>
    <x v="1"/>
    <n v="7389.390907"/>
    <n v="769110"/>
  </r>
  <r>
    <s v="Biolage"/>
    <s v="Biolage - Brand"/>
    <s v="Social"/>
    <x v="1"/>
    <s v="Amazon"/>
    <d v="2023-08-12T00:00:00"/>
    <x v="1"/>
    <n v="8215.789721000001"/>
    <n v="1111682"/>
  </r>
  <r>
    <s v="Biolage"/>
    <s v="Biolage - Brand"/>
    <s v="Social"/>
    <x v="1"/>
    <s v="Amazon"/>
    <d v="2023-08-19T00:00:00"/>
    <x v="1"/>
    <n v="7907.9364459999997"/>
    <n v="940923"/>
  </r>
  <r>
    <s v="Biolage"/>
    <s v="Biolage - Brand"/>
    <s v="Social"/>
    <x v="1"/>
    <s v="Amazon"/>
    <d v="2023-08-26T00:00:00"/>
    <x v="1"/>
    <n v="1106.513954"/>
    <n v="100107"/>
  </r>
  <r>
    <s v="Biolage"/>
    <s v="Biolage - Brand"/>
    <s v="Social"/>
    <x v="1"/>
    <s v="Other"/>
    <d v="2023-07-01T00:00:00"/>
    <x v="1"/>
    <n v="673.32786600000009"/>
    <n v="319241"/>
  </r>
  <r>
    <s v="Biolage"/>
    <s v="Biolage - Brand"/>
    <s v="Social"/>
    <x v="1"/>
    <s v="Other"/>
    <d v="2023-07-08T00:00:00"/>
    <x v="1"/>
    <n v="4737.6254869999993"/>
    <n v="2358886"/>
  </r>
  <r>
    <s v="Biolage"/>
    <s v="Biolage - Brand"/>
    <s v="Social"/>
    <x v="1"/>
    <s v="Other"/>
    <d v="2023-07-15T00:00:00"/>
    <x v="1"/>
    <n v="5037.4189039999992"/>
    <n v="2664362"/>
  </r>
  <r>
    <s v="Biolage"/>
    <s v="Biolage - Brand"/>
    <s v="Social"/>
    <x v="1"/>
    <s v="Other"/>
    <d v="2023-07-22T00:00:00"/>
    <x v="1"/>
    <n v="4364.9173510000001"/>
    <n v="2662776"/>
  </r>
  <r>
    <s v="Biolage"/>
    <s v="Biolage - Brand"/>
    <s v="Social"/>
    <x v="1"/>
    <s v="Other"/>
    <d v="2023-07-29T00:00:00"/>
    <x v="1"/>
    <n v="4655.8757210000003"/>
    <n v="2613774"/>
  </r>
  <r>
    <s v="Biolage"/>
    <s v="Biolage - Brand"/>
    <s v="Social"/>
    <x v="1"/>
    <s v="Other"/>
    <d v="2023-08-05T00:00:00"/>
    <x v="1"/>
    <n v="4551.2395979999992"/>
    <n v="2431409"/>
  </r>
  <r>
    <s v="Biolage"/>
    <s v="Biolage - Brand"/>
    <s v="Social"/>
    <x v="1"/>
    <s v="Other"/>
    <d v="2023-08-12T00:00:00"/>
    <x v="1"/>
    <n v="5394.2591620000012"/>
    <n v="2606318"/>
  </r>
  <r>
    <s v="Biolage"/>
    <s v="Biolage - Brand"/>
    <s v="Social"/>
    <x v="1"/>
    <s v="Other"/>
    <d v="2023-08-19T00:00:00"/>
    <x v="1"/>
    <n v="5355.2110149999999"/>
    <n v="2268015"/>
  </r>
  <r>
    <s v="Biolage"/>
    <s v="Biolage - Brand"/>
    <s v="Social"/>
    <x v="1"/>
    <s v="Other"/>
    <d v="2023-08-26T00:00:00"/>
    <x v="1"/>
    <n v="11104.198451"/>
    <n v="3483250"/>
  </r>
  <r>
    <s v="Biolage"/>
    <s v="Biolage - Brand"/>
    <s v="Social"/>
    <x v="1"/>
    <s v="Other"/>
    <d v="2023-09-02T00:00:00"/>
    <x v="1"/>
    <n v="12364.026618"/>
    <n v="3661982"/>
  </r>
  <r>
    <s v="Biolage"/>
    <s v="Biolage - Brand"/>
    <s v="Social"/>
    <x v="1"/>
    <s v="Other"/>
    <d v="2023-09-09T00:00:00"/>
    <x v="1"/>
    <n v="3480.1052730000001"/>
    <n v="1082526"/>
  </r>
  <r>
    <s v="Biolage"/>
    <s v="Biolage - Brand"/>
    <s v="Social"/>
    <x v="1"/>
    <s v="Ulta"/>
    <d v="2023-07-01T00:00:00"/>
    <x v="1"/>
    <n v="1431.8508470000002"/>
    <n v="145797"/>
  </r>
  <r>
    <s v="Biolage"/>
    <s v="Biolage - Brand"/>
    <s v="Social"/>
    <x v="1"/>
    <s v="Ulta"/>
    <d v="2023-07-08T00:00:00"/>
    <x v="1"/>
    <n v="9275.4324950000009"/>
    <n v="2234097"/>
  </r>
  <r>
    <s v="Biolage"/>
    <s v="Biolage - Brand"/>
    <s v="Social"/>
    <x v="1"/>
    <s v="Ulta"/>
    <d v="2023-07-15T00:00:00"/>
    <x v="1"/>
    <n v="5353.4812869999996"/>
    <n v="1219258"/>
  </r>
  <r>
    <s v="Biolage"/>
    <s v="Biolage - Brand"/>
    <s v="Social"/>
    <x v="1"/>
    <s v="Ulta"/>
    <d v="2023-07-22T00:00:00"/>
    <x v="1"/>
    <n v="1758.2325850000002"/>
    <n v="634400"/>
  </r>
  <r>
    <s v="Biolage"/>
    <s v="Biolage - Brand"/>
    <s v="Social"/>
    <x v="1"/>
    <s v="Ulta"/>
    <d v="2023-07-29T00:00:00"/>
    <x v="1"/>
    <n v="1325.620359"/>
    <n v="403494"/>
  </r>
  <r>
    <s v="Biolage"/>
    <s v="Biolage - Brand"/>
    <s v="Social"/>
    <x v="1"/>
    <s v="Ulta"/>
    <d v="2023-08-05T00:00:00"/>
    <x v="1"/>
    <n v="1480.8282359999998"/>
    <n v="516226"/>
  </r>
  <r>
    <s v="Biolage"/>
    <s v="Biolage - Brand"/>
    <s v="Social"/>
    <x v="1"/>
    <s v="Ulta"/>
    <d v="2023-08-12T00:00:00"/>
    <x v="1"/>
    <n v="2257.8540680000001"/>
    <n v="748193"/>
  </r>
  <r>
    <s v="Biolage"/>
    <s v="Biolage - Brand"/>
    <s v="Social"/>
    <x v="1"/>
    <s v="Ulta"/>
    <d v="2023-08-19T00:00:00"/>
    <x v="1"/>
    <n v="2433.0227869999999"/>
    <n v="691033"/>
  </r>
  <r>
    <s v="Biolage"/>
    <s v="Biolage - Brand"/>
    <s v="Social"/>
    <x v="1"/>
    <s v="Ulta"/>
    <d v="2023-08-26T00:00:00"/>
    <x v="1"/>
    <n v="304.294445"/>
    <n v="70891"/>
  </r>
  <r>
    <s v="Biolage"/>
    <s v="Biolage - Brand"/>
    <s v="Social"/>
    <x v="2"/>
    <s v="Amazon"/>
    <d v="2025-04-12T00:00:00"/>
    <x v="0"/>
    <n v="7626.22"/>
    <n v="2104100"/>
  </r>
  <r>
    <s v="Biolage"/>
    <s v="Biolage - Brand"/>
    <s v="Social"/>
    <x v="2"/>
    <s v="Amazon"/>
    <d v="2025-04-19T00:00:00"/>
    <x v="0"/>
    <n v="9972.65"/>
    <n v="2634706"/>
  </r>
  <r>
    <s v="Biolage"/>
    <s v="Biolage - Brand"/>
    <s v="Social"/>
    <x v="2"/>
    <s v="Amazon"/>
    <d v="2025-04-26T00:00:00"/>
    <x v="0"/>
    <n v="10644.05"/>
    <n v="2784382"/>
  </r>
  <r>
    <s v="Biolage"/>
    <s v="Biolage - Brand"/>
    <s v="Social"/>
    <x v="2"/>
    <s v="Amazon"/>
    <d v="2025-05-03T00:00:00"/>
    <x v="0"/>
    <n v="2939.98"/>
    <n v="707774"/>
  </r>
  <r>
    <s v="Biolage"/>
    <s v="Biolage - Brand"/>
    <s v="Social"/>
    <x v="2"/>
    <s v="Amazon"/>
    <d v="2025-05-31T00:00:00"/>
    <x v="0"/>
    <n v="1495.19"/>
    <n v="345275"/>
  </r>
  <r>
    <s v="Biolage"/>
    <s v="Biolage - Brand"/>
    <s v="Social"/>
    <x v="2"/>
    <s v="Amazon"/>
    <d v="2025-06-07T00:00:00"/>
    <x v="0"/>
    <n v="5354.1999999999989"/>
    <n v="1448678"/>
  </r>
  <r>
    <s v="Biolage"/>
    <s v="Biolage - Brand"/>
    <s v="Social"/>
    <x v="2"/>
    <s v="Amazon"/>
    <d v="2025-06-14T00:00:00"/>
    <x v="0"/>
    <n v="0.41000000000000003"/>
    <n v="39"/>
  </r>
  <r>
    <s v="Biolage"/>
    <s v="Biolage - Brand"/>
    <s v="Social"/>
    <x v="2"/>
    <s v="Amazon"/>
    <d v="2025-06-21T00:00:00"/>
    <x v="0"/>
    <n v="0.11"/>
    <n v="14"/>
  </r>
  <r>
    <s v="Biolage"/>
    <s v="Biolage - Brand"/>
    <s v="Social"/>
    <x v="2"/>
    <s v="Ulta"/>
    <d v="2025-03-22T00:00:00"/>
    <x v="0"/>
    <n v="11760.94"/>
    <n v="2857659"/>
  </r>
  <r>
    <s v="Biolage"/>
    <s v="Biolage - Brand"/>
    <s v="Social"/>
    <x v="2"/>
    <s v="Ulta"/>
    <d v="2025-03-29T00:00:00"/>
    <x v="0"/>
    <n v="14221.56"/>
    <n v="3488612"/>
  </r>
  <r>
    <s v="Biolage"/>
    <s v="Biolage - Brand"/>
    <s v="Social"/>
    <x v="2"/>
    <s v="Ulta"/>
    <d v="2025-04-05T00:00:00"/>
    <x v="0"/>
    <n v="2789.37"/>
    <n v="747517"/>
  </r>
  <r>
    <s v="Biolage"/>
    <s v="Biolage - Brand"/>
    <s v="Social"/>
    <x v="2"/>
    <s v="Ulta"/>
    <d v="2025-04-12T00:00:00"/>
    <x v="0"/>
    <n v="12.309999999999999"/>
    <n v="4888"/>
  </r>
  <r>
    <s v="Biolage"/>
    <s v="Biolage - Brand"/>
    <s v="Social"/>
    <x v="2"/>
    <s v="Ulta"/>
    <d v="2025-04-19T00:00:00"/>
    <x v="0"/>
    <n v="2.4"/>
    <n v="676"/>
  </r>
  <r>
    <s v="Biolage"/>
    <s v="Biolage - Brand"/>
    <s v="Social"/>
    <x v="2"/>
    <s v="Ulta"/>
    <d v="2025-04-26T00:00:00"/>
    <x v="0"/>
    <n v="12.120000000000001"/>
    <n v="3731"/>
  </r>
  <r>
    <s v="Biolage"/>
    <s v="Biolage - Brand"/>
    <s v="Social"/>
    <x v="2"/>
    <s v="Ulta"/>
    <d v="2025-05-03T00:00:00"/>
    <x v="0"/>
    <n v="8.01"/>
    <n v="2643"/>
  </r>
  <r>
    <s v="Biolage"/>
    <s v="Biolage - Brand"/>
    <s v="Social"/>
    <x v="2"/>
    <s v="Ulta"/>
    <d v="2025-05-10T00:00:00"/>
    <x v="0"/>
    <n v="4403.91"/>
    <n v="1469491"/>
  </r>
  <r>
    <s v="Biolage"/>
    <s v="Biolage - Brand"/>
    <s v="Social"/>
    <x v="2"/>
    <s v="Ulta"/>
    <d v="2025-05-17T00:00:00"/>
    <x v="0"/>
    <n v="13499.82"/>
    <n v="3456088"/>
  </r>
  <r>
    <s v="Biolage"/>
    <s v="Biolage - Brand"/>
    <s v="Social"/>
    <x v="2"/>
    <s v="Ulta"/>
    <d v="2025-05-24T00:00:00"/>
    <x v="0"/>
    <n v="2106.66"/>
    <n v="514820"/>
  </r>
  <r>
    <s v="Biolage"/>
    <s v="Biolage - Brand"/>
    <s v="Social"/>
    <x v="2"/>
    <s v="Ulta"/>
    <d v="2025-06-07T00:00:00"/>
    <x v="0"/>
    <n v="4319.22"/>
    <n v="956796"/>
  </r>
  <r>
    <s v="Biolage"/>
    <s v="Biolage - Brand"/>
    <s v="Social"/>
    <x v="2"/>
    <s v="Ulta"/>
    <d v="2025-06-14T00:00:00"/>
    <x v="0"/>
    <n v="12040.789999999999"/>
    <n v="2367185"/>
  </r>
  <r>
    <s v="Biolage"/>
    <s v="Biolage - Brand"/>
    <s v="Social"/>
    <x v="2"/>
    <s v="Ulta"/>
    <d v="2025-06-21T00:00:00"/>
    <x v="0"/>
    <n v="6790.08"/>
    <n v="1232039"/>
  </r>
  <r>
    <s v="Biolage"/>
    <s v="Blowdry Cream"/>
    <s v="Social"/>
    <x v="0"/>
    <s v="Other"/>
    <d v="2023-09-16T00:00:00"/>
    <x v="1"/>
    <n v="3288.6699899999999"/>
    <n v="218398"/>
  </r>
  <r>
    <s v="Biolage"/>
    <s v="Blowdry Cream"/>
    <s v="Social"/>
    <x v="0"/>
    <s v="Other"/>
    <d v="2023-09-23T00:00:00"/>
    <x v="1"/>
    <n v="14175.450015"/>
    <n v="893066"/>
  </r>
  <r>
    <s v="Biolage"/>
    <s v="Blowdry Cream"/>
    <s v="Social"/>
    <x v="0"/>
    <s v="Other"/>
    <d v="2023-09-30T00:00:00"/>
    <x v="1"/>
    <n v="6168.8799960000015"/>
    <n v="329275"/>
  </r>
  <r>
    <s v="Biolage"/>
    <s v="Bond Therapy"/>
    <s v="Social"/>
    <x v="0"/>
    <s v="Other"/>
    <d v="2023-11-18T00:00:00"/>
    <x v="1"/>
    <n v="13939.809993000001"/>
    <n v="2233752"/>
  </r>
  <r>
    <s v="Biolage"/>
    <s v="Bond Therapy"/>
    <s v="Social"/>
    <x v="0"/>
    <s v="Other"/>
    <d v="2023-11-25T00:00:00"/>
    <x v="1"/>
    <n v="28949.560006"/>
    <n v="4666059"/>
  </r>
  <r>
    <s v="Biolage"/>
    <s v="Bond Therapy"/>
    <s v="Social"/>
    <x v="0"/>
    <s v="Other"/>
    <d v="2023-12-02T00:00:00"/>
    <x v="1"/>
    <n v="29383.910003000001"/>
    <n v="4657170"/>
  </r>
  <r>
    <s v="Biolage"/>
    <s v="Bond Therapy"/>
    <s v="Social"/>
    <x v="0"/>
    <s v="Other"/>
    <d v="2023-12-09T00:00:00"/>
    <x v="1"/>
    <n v="28620.652752000005"/>
    <n v="5005073"/>
  </r>
  <r>
    <s v="Biolage"/>
    <s v="Bond Therapy"/>
    <s v="Social"/>
    <x v="0"/>
    <s v="Other"/>
    <d v="2023-12-16T00:00:00"/>
    <x v="1"/>
    <n v="38450.740008999994"/>
    <n v="5500117"/>
  </r>
  <r>
    <s v="Biolage"/>
    <s v="Bond Therapy"/>
    <s v="Social"/>
    <x v="0"/>
    <s v="Other"/>
    <d v="2023-12-23T00:00:00"/>
    <x v="1"/>
    <n v="37767.739996000004"/>
    <n v="5158282"/>
  </r>
  <r>
    <s v="Biolage"/>
    <s v="Bond Therapy"/>
    <s v="Social"/>
    <x v="0"/>
    <s v="Other"/>
    <d v="2023-12-30T00:00:00"/>
    <x v="1"/>
    <n v="15955.130007"/>
    <n v="2704263"/>
  </r>
  <r>
    <s v="Biolage"/>
    <s v="Bond Therapy"/>
    <s v="Social"/>
    <x v="0"/>
    <s v="Ulta"/>
    <d v="2023-11-18T00:00:00"/>
    <x v="1"/>
    <n v="10922.359995000001"/>
    <n v="887014"/>
  </r>
  <r>
    <s v="Biolage"/>
    <s v="Bond Therapy"/>
    <s v="Social"/>
    <x v="0"/>
    <s v="Ulta"/>
    <d v="2023-11-25T00:00:00"/>
    <x v="1"/>
    <n v="22008.550004000004"/>
    <n v="2108359"/>
  </r>
  <r>
    <s v="Biolage"/>
    <s v="Bond Therapy"/>
    <s v="Social"/>
    <x v="0"/>
    <s v="Ulta"/>
    <d v="2023-12-02T00:00:00"/>
    <x v="1"/>
    <n v="22200.819997000002"/>
    <n v="1976115"/>
  </r>
  <r>
    <s v="Biolage"/>
    <s v="Bond Therapy"/>
    <s v="Social"/>
    <x v="0"/>
    <s v="Ulta"/>
    <d v="2023-12-09T00:00:00"/>
    <x v="1"/>
    <n v="21655.697800000002"/>
    <n v="2271169"/>
  </r>
  <r>
    <s v="Biolage"/>
    <s v="Bond Therapy"/>
    <s v="Social"/>
    <x v="0"/>
    <s v="Ulta"/>
    <d v="2023-12-16T00:00:00"/>
    <x v="1"/>
    <n v="21466.060018"/>
    <n v="1958670"/>
  </r>
  <r>
    <s v="Biolage"/>
    <s v="Bond Therapy"/>
    <s v="Social"/>
    <x v="0"/>
    <s v="Ulta"/>
    <d v="2023-12-23T00:00:00"/>
    <x v="1"/>
    <n v="21063.300009000002"/>
    <n v="1863207"/>
  </r>
  <r>
    <s v="Biolage"/>
    <s v="Bond Therapy"/>
    <s v="Social"/>
    <x v="0"/>
    <s v="Ulta"/>
    <d v="2023-12-30T00:00:00"/>
    <x v="1"/>
    <n v="11239.950003"/>
    <n v="1233138"/>
  </r>
  <r>
    <s v="Biolage"/>
    <s v="Color Last"/>
    <s v="Social"/>
    <x v="0"/>
    <s v="Amazon"/>
    <d v="2023-07-15T00:00:00"/>
    <x v="1"/>
    <n v="32023.799993000004"/>
    <n v="4557001"/>
  </r>
  <r>
    <s v="Biolage"/>
    <s v="Color Last"/>
    <s v="Social"/>
    <x v="0"/>
    <s v="Amazon"/>
    <d v="2023-07-22T00:00:00"/>
    <x v="1"/>
    <n v="33622.089997999996"/>
    <n v="4804148"/>
  </r>
  <r>
    <s v="Biolage"/>
    <s v="Color Last"/>
    <s v="Social"/>
    <x v="0"/>
    <s v="Amazon"/>
    <d v="2023-07-29T00:00:00"/>
    <x v="1"/>
    <n v="32824.410005999998"/>
    <n v="4753491"/>
  </r>
  <r>
    <s v="Biolage"/>
    <s v="Color Last"/>
    <s v="Social"/>
    <x v="0"/>
    <s v="Amazon"/>
    <d v="2023-08-05T00:00:00"/>
    <x v="1"/>
    <n v="32766.600002999992"/>
    <n v="5233861"/>
  </r>
  <r>
    <s v="Biolage"/>
    <s v="Color Last"/>
    <s v="Social"/>
    <x v="0"/>
    <s v="Amazon"/>
    <d v="2023-08-12T00:00:00"/>
    <x v="1"/>
    <n v="31935.239996999993"/>
    <n v="4991273"/>
  </r>
  <r>
    <s v="Biolage"/>
    <s v="Color Last"/>
    <s v="Social"/>
    <x v="0"/>
    <s v="Amazon"/>
    <d v="2023-08-19T00:00:00"/>
    <x v="1"/>
    <n v="32411.340014000001"/>
    <n v="4861713"/>
  </r>
  <r>
    <s v="Biolage"/>
    <s v="Color Last"/>
    <s v="Social"/>
    <x v="0"/>
    <s v="Amazon"/>
    <d v="2023-08-26T00:00:00"/>
    <x v="1"/>
    <n v="4412.3699969999998"/>
    <n v="699052"/>
  </r>
  <r>
    <s v="Biolage"/>
    <s v="Full Rescue"/>
    <s v="Social"/>
    <x v="0"/>
    <s v="Amazon"/>
    <d v="2025-05-03T00:00:00"/>
    <x v="0"/>
    <n v="2330.3100000000004"/>
    <n v="617631"/>
  </r>
  <r>
    <s v="Biolage"/>
    <s v="Full Rescue"/>
    <s v="Social"/>
    <x v="0"/>
    <s v="Amazon"/>
    <d v="2025-05-10T00:00:00"/>
    <x v="0"/>
    <n v="9358.3799990000007"/>
    <n v="2475528"/>
  </r>
  <r>
    <s v="Biolage"/>
    <s v="Full Rescue"/>
    <s v="Social"/>
    <x v="0"/>
    <s v="Amazon"/>
    <d v="2025-05-17T00:00:00"/>
    <x v="0"/>
    <n v="9370.0399949999992"/>
    <n v="1944035"/>
  </r>
  <r>
    <s v="Biolage"/>
    <s v="Full Rescue"/>
    <s v="Social"/>
    <x v="0"/>
    <s v="Amazon"/>
    <d v="2025-05-24T00:00:00"/>
    <x v="0"/>
    <n v="164.18"/>
    <n v="12632"/>
  </r>
  <r>
    <s v="Biolage"/>
    <s v="Full Rescue"/>
    <s v="Social"/>
    <x v="0"/>
    <s v="Amazon"/>
    <d v="2025-05-31T00:00:00"/>
    <x v="0"/>
    <n v="279.79999800000002"/>
    <n v="17816"/>
  </r>
  <r>
    <s v="Biolage"/>
    <s v="Full Rescue"/>
    <s v="Social"/>
    <x v="0"/>
    <s v="Amazon"/>
    <d v="2025-06-07T00:00:00"/>
    <x v="0"/>
    <n v="12307.289990999998"/>
    <n v="1810566"/>
  </r>
  <r>
    <s v="Biolage"/>
    <s v="Full Rescue"/>
    <s v="Social"/>
    <x v="0"/>
    <s v="Amazon"/>
    <d v="2025-06-14T00:00:00"/>
    <x v="0"/>
    <n v="11489.900003999999"/>
    <n v="1623404"/>
  </r>
  <r>
    <s v="Biolage"/>
    <s v="Full Rescue"/>
    <s v="Social"/>
    <x v="0"/>
    <s v="Amazon"/>
    <d v="2025-06-21T00:00:00"/>
    <x v="0"/>
    <n v="8325.4899990000013"/>
    <n v="1427702"/>
  </r>
  <r>
    <s v="Biolage"/>
    <s v="Full Rescue"/>
    <s v="Social"/>
    <x v="0"/>
    <s v="Amazon"/>
    <d v="2025-06-28T00:00:00"/>
    <x v="0"/>
    <n v="11031.789997"/>
    <n v="1748720"/>
  </r>
  <r>
    <s v="Biolage"/>
    <s v="Full Rescue"/>
    <s v="Social"/>
    <x v="0"/>
    <s v="Amazon"/>
    <d v="2025-07-05T00:00:00"/>
    <x v="0"/>
    <n v="2842.2807999999995"/>
    <n v="367387"/>
  </r>
  <r>
    <s v="Biolage"/>
    <s v="Full Rescue"/>
    <s v="Social"/>
    <x v="0"/>
    <s v="Ulta"/>
    <d v="2025-05-03T00:00:00"/>
    <x v="0"/>
    <n v="6046.8999989999993"/>
    <n v="761793"/>
  </r>
  <r>
    <s v="Biolage"/>
    <s v="Full Rescue"/>
    <s v="Social"/>
    <x v="0"/>
    <s v="Ulta"/>
    <d v="2025-05-10T00:00:00"/>
    <x v="0"/>
    <n v="22076.550007999998"/>
    <n v="2728434"/>
  </r>
  <r>
    <s v="Biolage"/>
    <s v="Full Rescue"/>
    <s v="Social"/>
    <x v="0"/>
    <s v="Ulta"/>
    <d v="2025-05-17T00:00:00"/>
    <x v="0"/>
    <n v="21287.130004000002"/>
    <n v="2518405"/>
  </r>
  <r>
    <s v="Biolage"/>
    <s v="Full Rescue"/>
    <s v="Social"/>
    <x v="0"/>
    <s v="Ulta"/>
    <d v="2025-05-24T00:00:00"/>
    <x v="0"/>
    <n v="30498.509989000002"/>
    <n v="3855759"/>
  </r>
  <r>
    <s v="Biolage"/>
    <s v="Full Rescue"/>
    <s v="Social"/>
    <x v="0"/>
    <s v="Ulta"/>
    <d v="2025-05-31T00:00:00"/>
    <x v="0"/>
    <n v="29961.190005000004"/>
    <n v="3828078"/>
  </r>
  <r>
    <s v="Biolage"/>
    <s v="Full Rescue"/>
    <s v="Social"/>
    <x v="0"/>
    <s v="Ulta"/>
    <d v="2025-06-07T00:00:00"/>
    <x v="0"/>
    <n v="17945.27"/>
    <n v="1955408"/>
  </r>
  <r>
    <s v="Biolage"/>
    <s v="Full Rescue"/>
    <s v="Social"/>
    <x v="0"/>
    <s v="Ulta"/>
    <d v="2025-06-14T00:00:00"/>
    <x v="0"/>
    <n v="18628.280005000001"/>
    <n v="1957157"/>
  </r>
  <r>
    <s v="Biolage"/>
    <s v="Full Rescue"/>
    <s v="Social"/>
    <x v="0"/>
    <s v="Ulta"/>
    <d v="2025-06-21T00:00:00"/>
    <x v="0"/>
    <n v="22135.769990000001"/>
    <n v="2641544"/>
  </r>
  <r>
    <s v="Biolage"/>
    <s v="Full Rescue"/>
    <s v="Social"/>
    <x v="0"/>
    <s v="Ulta"/>
    <d v="2025-06-28T00:00:00"/>
    <x v="0"/>
    <n v="19292.110008"/>
    <n v="2273732"/>
  </r>
  <r>
    <s v="Biolage"/>
    <s v="Full Rescue"/>
    <s v="Social"/>
    <x v="0"/>
    <s v="Ulta"/>
    <d v="2025-07-05T00:00:00"/>
    <x v="0"/>
    <n v="7547.1574310000015"/>
    <n v="965006"/>
  </r>
  <r>
    <s v="Biolage"/>
    <s v="Full Rescue"/>
    <s v="Social"/>
    <x v="1"/>
    <s v="Amazon"/>
    <d v="2025-06-07T00:00:00"/>
    <x v="0"/>
    <n v="2709.0638840000001"/>
    <n v="1247646"/>
  </r>
  <r>
    <s v="Biolage"/>
    <s v="Full Rescue"/>
    <s v="Social"/>
    <x v="1"/>
    <s v="Amazon"/>
    <d v="2025-06-14T00:00:00"/>
    <x v="0"/>
    <n v="3011.8828819999999"/>
    <n v="1380515"/>
  </r>
  <r>
    <s v="Biolage"/>
    <s v="Full Rescue"/>
    <s v="Social"/>
    <x v="1"/>
    <s v="Amazon"/>
    <d v="2025-06-21T00:00:00"/>
    <x v="0"/>
    <n v="2216.2211049999996"/>
    <n v="1036744"/>
  </r>
  <r>
    <s v="Biolage"/>
    <s v="Full Rescue"/>
    <s v="Social"/>
    <x v="1"/>
    <s v="Amazon"/>
    <d v="2025-06-28T00:00:00"/>
    <x v="0"/>
    <n v="2380.7796990000002"/>
    <n v="1087890"/>
  </r>
  <r>
    <s v="Biolage"/>
    <s v="Full Rescue"/>
    <s v="Social"/>
    <x v="1"/>
    <s v="Amazon"/>
    <d v="2025-07-05T00:00:00"/>
    <x v="0"/>
    <n v="748.67284599999994"/>
    <n v="371071"/>
  </r>
  <r>
    <s v="Biolage"/>
    <s v="Full Rescue"/>
    <s v="Social"/>
    <x v="1"/>
    <s v="Ulta"/>
    <d v="2025-06-07T00:00:00"/>
    <x v="0"/>
    <n v="7321.2670310000003"/>
    <n v="3384057"/>
  </r>
  <r>
    <s v="Biolage"/>
    <s v="Full Rescue"/>
    <s v="Social"/>
    <x v="1"/>
    <s v="Ulta"/>
    <d v="2025-06-14T00:00:00"/>
    <x v="0"/>
    <n v="9172.1963170000017"/>
    <n v="4164564"/>
  </r>
  <r>
    <s v="Biolage"/>
    <s v="Full Rescue"/>
    <s v="Social"/>
    <x v="1"/>
    <s v="Ulta"/>
    <d v="2025-06-21T00:00:00"/>
    <x v="0"/>
    <n v="9919.7558059999992"/>
    <n v="4593160"/>
  </r>
  <r>
    <s v="Biolage"/>
    <s v="Full Rescue"/>
    <s v="Social"/>
    <x v="1"/>
    <s v="Ulta"/>
    <d v="2025-06-28T00:00:00"/>
    <x v="0"/>
    <n v="9780.5517020000007"/>
    <n v="4416137"/>
  </r>
  <r>
    <s v="Biolage"/>
    <s v="Full Rescue"/>
    <s v="Social"/>
    <x v="1"/>
    <s v="Ulta"/>
    <d v="2025-07-05T00:00:00"/>
    <x v="0"/>
    <n v="2739.6087280000002"/>
    <n v="1331946"/>
  </r>
  <r>
    <s v="Biolage"/>
    <s v="Full Rescue"/>
    <s v="Social"/>
    <x v="2"/>
    <s v="Amazon"/>
    <d v="2025-06-07T00:00:00"/>
    <x v="0"/>
    <n v="98617.08"/>
    <n v="8351986"/>
  </r>
  <r>
    <s v="Biolage"/>
    <s v="Full Rescue"/>
    <s v="Social"/>
    <x v="2"/>
    <s v="Amazon"/>
    <d v="2025-06-14T00:00:00"/>
    <x v="0"/>
    <n v="30096.099999999995"/>
    <n v="3559856"/>
  </r>
  <r>
    <s v="Biolage"/>
    <s v="Full Rescue"/>
    <s v="Social"/>
    <x v="2"/>
    <s v="Amazon"/>
    <d v="2025-06-21T00:00:00"/>
    <x v="0"/>
    <n v="21537.98"/>
    <n v="3733581"/>
  </r>
  <r>
    <s v="Biolage"/>
    <s v="Full Rescue"/>
    <s v="Social"/>
    <x v="2"/>
    <s v="Amazon"/>
    <d v="2025-06-28T00:00:00"/>
    <x v="0"/>
    <n v="40513.660000000003"/>
    <n v="6523409"/>
  </r>
  <r>
    <s v="Biolage"/>
    <s v="Full Rescue"/>
    <s v="Social"/>
    <x v="2"/>
    <s v="Amazon"/>
    <d v="2025-07-05T00:00:00"/>
    <x v="0"/>
    <n v="14155.99"/>
    <n v="2289191"/>
  </r>
  <r>
    <s v="Biolage"/>
    <s v="Full Rescue"/>
    <s v="Social"/>
    <x v="2"/>
    <s v="Ulta"/>
    <d v="2025-06-07T00:00:00"/>
    <x v="0"/>
    <n v="74899.410000000018"/>
    <n v="10147501"/>
  </r>
  <r>
    <s v="Biolage"/>
    <s v="Full Rescue"/>
    <s v="Social"/>
    <x v="2"/>
    <s v="Ulta"/>
    <d v="2025-06-14T00:00:00"/>
    <x v="0"/>
    <n v="46002.03"/>
    <n v="8675368"/>
  </r>
  <r>
    <s v="Biolage"/>
    <s v="Full Rescue"/>
    <s v="Social"/>
    <x v="2"/>
    <s v="Ulta"/>
    <d v="2025-06-21T00:00:00"/>
    <x v="0"/>
    <n v="33288.71"/>
    <n v="6190838"/>
  </r>
  <r>
    <s v="Biolage"/>
    <s v="Full Rescue"/>
    <s v="Social"/>
    <x v="2"/>
    <s v="Ulta"/>
    <d v="2025-06-28T00:00:00"/>
    <x v="0"/>
    <n v="14697.989999999996"/>
    <n v="2624177"/>
  </r>
  <r>
    <s v="Biolage"/>
    <s v="Full Rescue"/>
    <s v="Social"/>
    <x v="2"/>
    <s v="Ulta"/>
    <d v="2025-07-05T00:00:00"/>
    <x v="0"/>
    <n v="1151.33"/>
    <n v="210299"/>
  </r>
  <r>
    <s v="Biolage"/>
    <s v="Hydra Source"/>
    <s v="Social"/>
    <x v="0"/>
    <s v="Amazon"/>
    <d v="2025-04-05T00:00:00"/>
    <x v="0"/>
    <n v="3726.9300020000001"/>
    <n v="232186"/>
  </r>
  <r>
    <s v="Biolage"/>
    <s v="Hydra Source"/>
    <s v="Social"/>
    <x v="0"/>
    <s v="Amazon"/>
    <d v="2025-04-12T00:00:00"/>
    <x v="0"/>
    <n v="5037.8300049999998"/>
    <n v="247387"/>
  </r>
  <r>
    <s v="Biolage"/>
    <s v="Hydra Source"/>
    <s v="Social"/>
    <x v="0"/>
    <s v="Amazon"/>
    <d v="2025-04-19T00:00:00"/>
    <x v="0"/>
    <n v="2128.89"/>
    <n v="92467"/>
  </r>
  <r>
    <s v="Biolage"/>
    <s v="Hydra Source"/>
    <s v="Social"/>
    <x v="0"/>
    <s v="Amazon"/>
    <d v="2025-04-26T00:00:00"/>
    <x v="0"/>
    <n v="2959.32"/>
    <n v="133079"/>
  </r>
  <r>
    <s v="Biolage"/>
    <s v="Hydra Source"/>
    <s v="Social"/>
    <x v="0"/>
    <s v="Amazon"/>
    <d v="2025-05-03T00:00:00"/>
    <x v="0"/>
    <n v="2386.4699969999997"/>
    <n v="102518"/>
  </r>
  <r>
    <s v="Biolage"/>
    <s v="Hydra Source"/>
    <s v="Social"/>
    <x v="0"/>
    <s v="Other"/>
    <d v="2024-01-20T00:00:00"/>
    <x v="2"/>
    <n v="9067.4199919999992"/>
    <n v="2851475"/>
  </r>
  <r>
    <s v="Biolage"/>
    <s v="Hydra Source"/>
    <s v="Social"/>
    <x v="0"/>
    <s v="Other"/>
    <d v="2024-01-27T00:00:00"/>
    <x v="2"/>
    <n v="10316.090037999998"/>
    <n v="2557828"/>
  </r>
  <r>
    <s v="Biolage"/>
    <s v="Hydra Source"/>
    <s v="Social"/>
    <x v="0"/>
    <s v="Other"/>
    <d v="2024-02-03T00:00:00"/>
    <x v="2"/>
    <n v="10254.200008999998"/>
    <n v="2072395"/>
  </r>
  <r>
    <s v="Biolage"/>
    <s v="Hydra Source"/>
    <s v="Social"/>
    <x v="0"/>
    <s v="Other"/>
    <d v="2024-02-10T00:00:00"/>
    <x v="2"/>
    <n v="9035.6199949999991"/>
    <n v="1661402"/>
  </r>
  <r>
    <s v="Biolage"/>
    <s v="Hydra Source"/>
    <s v="Social"/>
    <x v="0"/>
    <s v="Other"/>
    <d v="2024-02-17T00:00:00"/>
    <x v="2"/>
    <n v="8334.6900050000004"/>
    <n v="1313339"/>
  </r>
  <r>
    <s v="Biolage"/>
    <s v="Hydra Source"/>
    <s v="Social"/>
    <x v="0"/>
    <s v="Other"/>
    <d v="2024-02-24T00:00:00"/>
    <x v="2"/>
    <n v="7664.35"/>
    <n v="1175438"/>
  </r>
  <r>
    <s v="Biolage"/>
    <s v="Hydra Source"/>
    <s v="Social"/>
    <x v="0"/>
    <s v="Other"/>
    <d v="2024-03-02T00:00:00"/>
    <x v="2"/>
    <n v="8849.7300099999993"/>
    <n v="1235096"/>
  </r>
  <r>
    <s v="Biolage"/>
    <s v="Hydra Source"/>
    <s v="Social"/>
    <x v="0"/>
    <s v="Other"/>
    <d v="2024-03-09T00:00:00"/>
    <x v="2"/>
    <n v="6477.3100000000013"/>
    <n v="767686"/>
  </r>
  <r>
    <s v="Biolage"/>
    <s v="Hydra Source"/>
    <s v="Social"/>
    <x v="0"/>
    <s v="Ulta"/>
    <d v="2024-01-20T00:00:00"/>
    <x v="2"/>
    <n v="23099.299995000001"/>
    <n v="4668596"/>
  </r>
  <r>
    <s v="Biolage"/>
    <s v="Hydra Source"/>
    <s v="Social"/>
    <x v="0"/>
    <s v="Ulta"/>
    <d v="2024-01-27T00:00:00"/>
    <x v="2"/>
    <n v="27238.429998000003"/>
    <n v="5142787"/>
  </r>
  <r>
    <s v="Biolage"/>
    <s v="Hydra Source"/>
    <s v="Social"/>
    <x v="0"/>
    <s v="Ulta"/>
    <d v="2024-02-03T00:00:00"/>
    <x v="2"/>
    <n v="26509.399992000002"/>
    <n v="4721324"/>
  </r>
  <r>
    <s v="Biolage"/>
    <s v="Hydra Source"/>
    <s v="Social"/>
    <x v="0"/>
    <s v="Ulta"/>
    <d v="2024-02-10T00:00:00"/>
    <x v="2"/>
    <n v="27634.220013999999"/>
    <n v="4780363"/>
  </r>
  <r>
    <s v="Biolage"/>
    <s v="Hydra Source"/>
    <s v="Social"/>
    <x v="0"/>
    <s v="Ulta"/>
    <d v="2024-02-17T00:00:00"/>
    <x v="2"/>
    <n v="28699.520009000003"/>
    <n v="5080306"/>
  </r>
  <r>
    <s v="Biolage"/>
    <s v="Hydra Source"/>
    <s v="Social"/>
    <x v="0"/>
    <s v="Ulta"/>
    <d v="2024-02-24T00:00:00"/>
    <x v="2"/>
    <n v="25574.460001000003"/>
    <n v="4302069"/>
  </r>
  <r>
    <s v="Biolage"/>
    <s v="Hydra Source"/>
    <s v="Social"/>
    <x v="0"/>
    <s v="Ulta"/>
    <d v="2024-03-02T00:00:00"/>
    <x v="2"/>
    <n v="29417.540019"/>
    <n v="4911172"/>
  </r>
  <r>
    <s v="Biolage"/>
    <s v="Hydra Source"/>
    <s v="Social"/>
    <x v="0"/>
    <s v="Ulta"/>
    <d v="2024-03-09T00:00:00"/>
    <x v="2"/>
    <n v="20819.060001999998"/>
    <n v="3340778"/>
  </r>
  <r>
    <s v="Biolage"/>
    <s v="Hydra Source"/>
    <s v="Social"/>
    <x v="0"/>
    <s v="Ulta"/>
    <d v="2024-09-28T00:00:00"/>
    <x v="2"/>
    <n v="35631.240027"/>
    <n v="4928271"/>
  </r>
  <r>
    <s v="Biolage"/>
    <s v="Hydra Source"/>
    <s v="Social"/>
    <x v="0"/>
    <s v="Ulta"/>
    <d v="2024-10-05T00:00:00"/>
    <x v="2"/>
    <n v="44596.750003000008"/>
    <n v="6891066"/>
  </r>
  <r>
    <s v="Biolage"/>
    <s v="Hydra Source"/>
    <s v="Social"/>
    <x v="0"/>
    <s v="Ulta"/>
    <d v="2024-10-12T00:00:00"/>
    <x v="2"/>
    <n v="43427.780012000003"/>
    <n v="6861510"/>
  </r>
  <r>
    <s v="Biolage"/>
    <s v="Hydra Source"/>
    <s v="Social"/>
    <x v="0"/>
    <s v="Ulta"/>
    <d v="2024-10-19T00:00:00"/>
    <x v="2"/>
    <n v="43565.130045000005"/>
    <n v="7096076"/>
  </r>
  <r>
    <s v="Biolage"/>
    <s v="Hydra Source"/>
    <s v="Social"/>
    <x v="0"/>
    <s v="Ulta"/>
    <d v="2024-10-26T00:00:00"/>
    <x v="2"/>
    <n v="42324.580056999992"/>
    <n v="7044341"/>
  </r>
  <r>
    <s v="Biolage"/>
    <s v="Hydra Source"/>
    <s v="Social"/>
    <x v="0"/>
    <s v="Ulta"/>
    <d v="2024-11-02T00:00:00"/>
    <x v="2"/>
    <n v="30454.520004000002"/>
    <n v="4992226"/>
  </r>
  <r>
    <s v="Biolage"/>
    <s v="Hydra Source"/>
    <s v="Social"/>
    <x v="0"/>
    <s v="Ulta"/>
    <d v="2025-04-05T00:00:00"/>
    <x v="0"/>
    <n v="26332.670003000007"/>
    <n v="3413285"/>
  </r>
  <r>
    <s v="Biolage"/>
    <s v="Hydra Source"/>
    <s v="Social"/>
    <x v="0"/>
    <s v="Ulta"/>
    <d v="2025-04-12T00:00:00"/>
    <x v="0"/>
    <n v="40211.920011999995"/>
    <n v="4730431"/>
  </r>
  <r>
    <s v="Biolage"/>
    <s v="Hydra Source"/>
    <s v="Social"/>
    <x v="0"/>
    <s v="Ulta"/>
    <d v="2025-04-19T00:00:00"/>
    <x v="0"/>
    <n v="42568.719991999991"/>
    <n v="4636260"/>
  </r>
  <r>
    <s v="Biolage"/>
    <s v="Hydra Source"/>
    <s v="Social"/>
    <x v="0"/>
    <s v="Ulta"/>
    <d v="2025-04-26T00:00:00"/>
    <x v="0"/>
    <n v="41346.440005000004"/>
    <n v="4796712"/>
  </r>
  <r>
    <s v="Biolage"/>
    <s v="Hydra Source"/>
    <s v="Social"/>
    <x v="0"/>
    <s v="Ulta"/>
    <d v="2025-05-03T00:00:00"/>
    <x v="0"/>
    <n v="33299.620000000003"/>
    <n v="3939938"/>
  </r>
  <r>
    <s v="Biolage"/>
    <s v="Hydra Source"/>
    <s v="Social"/>
    <x v="2"/>
    <s v="Amazon"/>
    <d v="2025-04-05T00:00:00"/>
    <x v="0"/>
    <n v="16008.249999999996"/>
    <n v="3832689"/>
  </r>
  <r>
    <s v="Biolage"/>
    <s v="Hydra Source"/>
    <s v="Social"/>
    <x v="2"/>
    <s v="Amazon"/>
    <d v="2025-04-12T00:00:00"/>
    <x v="0"/>
    <n v="13261.870000000003"/>
    <n v="3129366"/>
  </r>
  <r>
    <s v="Biolage"/>
    <s v="Hydra Source"/>
    <s v="Social"/>
    <x v="2"/>
    <s v="Amazon"/>
    <d v="2025-04-19T00:00:00"/>
    <x v="0"/>
    <n v="5356.93"/>
    <n v="1402504"/>
  </r>
  <r>
    <s v="Biolage"/>
    <s v="Hydra Source"/>
    <s v="Social"/>
    <x v="2"/>
    <s v="Amazon"/>
    <d v="2025-04-26T00:00:00"/>
    <x v="0"/>
    <n v="662.24999999999989"/>
    <n v="179329"/>
  </r>
  <r>
    <s v="Biolage"/>
    <s v="Hydra Source"/>
    <s v="Social"/>
    <x v="2"/>
    <s v="Amazon"/>
    <d v="2025-07-05T00:00:00"/>
    <x v="0"/>
    <n v="3284.99"/>
    <n v="239521"/>
  </r>
  <r>
    <s v="Biolage"/>
    <s v="Hydra Source"/>
    <s v="Social"/>
    <x v="2"/>
    <s v="Ulta"/>
    <d v="2025-04-05T00:00:00"/>
    <x v="0"/>
    <n v="26816.47"/>
    <n v="6081499"/>
  </r>
  <r>
    <s v="Biolage"/>
    <s v="Hydra Source"/>
    <s v="Social"/>
    <x v="2"/>
    <s v="Ulta"/>
    <d v="2025-04-12T00:00:00"/>
    <x v="0"/>
    <n v="51198.000000000007"/>
    <n v="11661361"/>
  </r>
  <r>
    <s v="Biolage"/>
    <s v="Hydra Source"/>
    <s v="Social"/>
    <x v="2"/>
    <s v="Ulta"/>
    <d v="2025-04-19T00:00:00"/>
    <x v="0"/>
    <n v="59325.53"/>
    <n v="13602599"/>
  </r>
  <r>
    <s v="Biolage"/>
    <s v="Hydra Source"/>
    <s v="Social"/>
    <x v="2"/>
    <s v="Ulta"/>
    <d v="2025-04-26T00:00:00"/>
    <x v="0"/>
    <n v="27364.320000000003"/>
    <n v="6632512"/>
  </r>
  <r>
    <s v="Biolage"/>
    <s v="Prime Day"/>
    <s v="Social"/>
    <x v="0"/>
    <s v="Amazon"/>
    <d v="2024-07-06T00:00:00"/>
    <x v="2"/>
    <n v="24424.720026999996"/>
    <n v="3392096"/>
  </r>
  <r>
    <s v="Biolage"/>
    <s v="Prime Day"/>
    <s v="Social"/>
    <x v="0"/>
    <s v="Amazon"/>
    <d v="2024-07-13T00:00:00"/>
    <x v="2"/>
    <n v="81965.99004400002"/>
    <n v="11050292"/>
  </r>
  <r>
    <s v="Biolage"/>
    <s v="Prime Day"/>
    <s v="Social"/>
    <x v="0"/>
    <s v="Amazon"/>
    <d v="2024-07-20T00:00:00"/>
    <x v="2"/>
    <n v="63609.289988000004"/>
    <n v="9444788"/>
  </r>
  <r>
    <s v="Biolage"/>
    <s v="Prime Day"/>
    <s v="Social"/>
    <x v="0"/>
    <s v="Amazon"/>
    <d v="2024-10-12T00:00:00"/>
    <x v="2"/>
    <n v="27674.170019000005"/>
    <n v="5351815"/>
  </r>
  <r>
    <s v="Biolage"/>
    <s v="Prime Day"/>
    <s v="Social"/>
    <x v="0"/>
    <s v="Other"/>
    <d v="2024-07-13T00:00:00"/>
    <x v="2"/>
    <n v="30159.660002000001"/>
    <n v="3064494"/>
  </r>
  <r>
    <s v="Biolage"/>
    <s v="Prime Day"/>
    <s v="Social"/>
    <x v="0"/>
    <s v="Other"/>
    <d v="2024-07-20T00:00:00"/>
    <x v="2"/>
    <n v="19835.46"/>
    <n v="2067453"/>
  </r>
  <r>
    <s v="Biolage"/>
    <s v="Scalp Sync"/>
    <s v="Social"/>
    <x v="0"/>
    <s v="Amazon"/>
    <d v="2024-03-09T00:00:00"/>
    <x v="2"/>
    <n v="18326.030010000002"/>
    <n v="4259605"/>
  </r>
  <r>
    <s v="Biolage"/>
    <s v="Scalp Sync"/>
    <s v="Social"/>
    <x v="0"/>
    <s v="Amazon"/>
    <d v="2024-03-16T00:00:00"/>
    <x v="2"/>
    <n v="32462.050018000002"/>
    <n v="6448941"/>
  </r>
  <r>
    <s v="Biolage"/>
    <s v="Scalp Sync"/>
    <s v="Social"/>
    <x v="0"/>
    <s v="Amazon"/>
    <d v="2024-03-23T00:00:00"/>
    <x v="2"/>
    <n v="34007.000002000001"/>
    <n v="6926578"/>
  </r>
  <r>
    <s v="Biolage"/>
    <s v="Scalp Sync"/>
    <s v="Social"/>
    <x v="0"/>
    <s v="Amazon"/>
    <d v="2024-03-30T00:00:00"/>
    <x v="2"/>
    <n v="24730.940003999996"/>
    <n v="5079868"/>
  </r>
  <r>
    <s v="Biolage"/>
    <s v="Scalp Sync"/>
    <s v="Social"/>
    <x v="0"/>
    <s v="Amazon"/>
    <d v="2024-04-06T00:00:00"/>
    <x v="2"/>
    <n v="18361.370004"/>
    <n v="4254545"/>
  </r>
  <r>
    <s v="Biolage"/>
    <s v="Scalp Sync"/>
    <s v="Social"/>
    <x v="0"/>
    <s v="Amazon"/>
    <d v="2024-04-13T00:00:00"/>
    <x v="2"/>
    <n v="18797.490014999996"/>
    <n v="4201768"/>
  </r>
  <r>
    <s v="Biolage"/>
    <s v="Scalp Sync"/>
    <s v="Social"/>
    <x v="0"/>
    <s v="Amazon"/>
    <d v="2024-04-20T00:00:00"/>
    <x v="2"/>
    <n v="17913.090012000004"/>
    <n v="3972312"/>
  </r>
  <r>
    <s v="Biolage"/>
    <s v="Scalp Sync"/>
    <s v="Social"/>
    <x v="0"/>
    <s v="Amazon"/>
    <d v="2024-04-27T00:00:00"/>
    <x v="2"/>
    <n v="2570.5500000000002"/>
    <n v="550616"/>
  </r>
  <r>
    <s v="Biolage"/>
    <s v="Scalp Sync"/>
    <s v="Social"/>
    <x v="0"/>
    <s v="Ulta"/>
    <d v="2024-03-30T00:00:00"/>
    <x v="2"/>
    <n v="8934.980008999999"/>
    <n v="1489547"/>
  </r>
  <r>
    <s v="Biolage"/>
    <s v="Scalp Sync"/>
    <s v="Social"/>
    <x v="0"/>
    <s v="Ulta"/>
    <d v="2024-04-06T00:00:00"/>
    <x v="2"/>
    <n v="15195.689995000001"/>
    <n v="3074357"/>
  </r>
  <r>
    <s v="Biolage"/>
    <s v="Scalp Sync"/>
    <s v="Social"/>
    <x v="0"/>
    <s v="Ulta"/>
    <d v="2024-04-13T00:00:00"/>
    <x v="2"/>
    <n v="15381.100011"/>
    <n v="2963532"/>
  </r>
  <r>
    <s v="Biolage"/>
    <s v="Scalp Sync"/>
    <s v="Social"/>
    <x v="0"/>
    <s v="Ulta"/>
    <d v="2024-04-20T00:00:00"/>
    <x v="2"/>
    <n v="15511.380012"/>
    <n v="2925705"/>
  </r>
  <r>
    <s v="Biolage"/>
    <s v="Scalp Sync"/>
    <s v="Social"/>
    <x v="0"/>
    <s v="Ulta"/>
    <d v="2024-04-27T00:00:00"/>
    <x v="2"/>
    <n v="2306.7300070000001"/>
    <n v="437071"/>
  </r>
  <r>
    <s v="Biolage"/>
    <s v="Scalp Sync"/>
    <s v="Social"/>
    <x v="1"/>
    <s v="Other"/>
    <d v="2024-04-20T00:00:00"/>
    <x v="2"/>
    <n v="19509.264289999999"/>
    <n v="8656464"/>
  </r>
  <r>
    <s v="Biolage"/>
    <s v="Scalp Sync"/>
    <s v="Social"/>
    <x v="1"/>
    <s v="Other"/>
    <d v="2024-04-27T00:00:00"/>
    <x v="2"/>
    <n v="23529.212711000004"/>
    <n v="11006321"/>
  </r>
  <r>
    <s v="Biolage"/>
    <s v="Scalp Sync"/>
    <s v="Social"/>
    <x v="1"/>
    <s v="Other"/>
    <d v="2024-05-04T00:00:00"/>
    <x v="2"/>
    <n v="23511.768031000003"/>
    <n v="11031123"/>
  </r>
  <r>
    <s v="Biolage"/>
    <s v="Scalp Sync"/>
    <s v="Social"/>
    <x v="1"/>
    <s v="Other"/>
    <d v="2024-05-11T00:00:00"/>
    <x v="2"/>
    <n v="23547.020368999998"/>
    <n v="10549998"/>
  </r>
  <r>
    <s v="Biolage"/>
    <s v="Scalp Sync"/>
    <s v="Social"/>
    <x v="1"/>
    <s v="Other"/>
    <d v="2024-05-18T00:00:00"/>
    <x v="2"/>
    <n v="23664.568042999999"/>
    <n v="10183373"/>
  </r>
  <r>
    <s v="Biolage"/>
    <s v="Scalp Sync"/>
    <s v="Social"/>
    <x v="1"/>
    <s v="Other"/>
    <d v="2024-05-25T00:00:00"/>
    <x v="2"/>
    <n v="23503.562337000003"/>
    <n v="9584341"/>
  </r>
  <r>
    <s v="Biolage"/>
    <s v="Scalp Sync"/>
    <s v="Social"/>
    <x v="1"/>
    <s v="Other"/>
    <d v="2024-06-01T00:00:00"/>
    <x v="2"/>
    <n v="19884.604219000001"/>
    <n v="7777600"/>
  </r>
  <r>
    <s v="Biolage"/>
    <s v="Scalp Sync"/>
    <s v="Social"/>
    <x v="1"/>
    <s v="Ulta"/>
    <d v="2024-04-27T00:00:00"/>
    <x v="2"/>
    <n v="10352.390868999999"/>
    <n v="2418419"/>
  </r>
  <r>
    <s v="Biolage"/>
    <s v="Scalp Sync"/>
    <s v="Social"/>
    <x v="1"/>
    <s v="Ulta"/>
    <d v="2024-05-04T00:00:00"/>
    <x v="2"/>
    <n v="12210.272929000001"/>
    <n v="3325508"/>
  </r>
  <r>
    <s v="Biolage"/>
    <s v="Scalp Sync"/>
    <s v="Social"/>
    <x v="1"/>
    <s v="Ulta"/>
    <d v="2024-05-11T00:00:00"/>
    <x v="2"/>
    <n v="11893.582205999999"/>
    <n v="3403755"/>
  </r>
  <r>
    <s v="Biolage"/>
    <s v="Scalp Sync"/>
    <s v="Social"/>
    <x v="1"/>
    <s v="Ulta"/>
    <d v="2024-05-18T00:00:00"/>
    <x v="2"/>
    <n v="11716.052162"/>
    <n v="3073467"/>
  </r>
  <r>
    <s v="Biolage"/>
    <s v="Scalp Sync"/>
    <s v="Social"/>
    <x v="1"/>
    <s v="Ulta"/>
    <d v="2024-05-25T00:00:00"/>
    <x v="2"/>
    <n v="11536.083415999999"/>
    <n v="2860742"/>
  </r>
  <r>
    <s v="Biolage"/>
    <s v="Scalp Sync"/>
    <s v="Social"/>
    <x v="1"/>
    <s v="Ulta"/>
    <d v="2024-06-01T00:00:00"/>
    <x v="2"/>
    <n v="9641.2184180000004"/>
    <n v="2486671"/>
  </r>
  <r>
    <s v="Biolage"/>
    <s v="Hydra Source"/>
    <s v="Display"/>
    <x v="3"/>
    <s v="Amazon"/>
    <d v="2023-07-01T00:00:00"/>
    <x v="1"/>
    <n v="954.95109999999988"/>
    <n v="106664"/>
  </r>
  <r>
    <s v="Biolage"/>
    <s v="Hydra Source"/>
    <s v="Display"/>
    <x v="3"/>
    <s v="Amazon"/>
    <d v="2023-07-08T00:00:00"/>
    <x v="1"/>
    <n v="12454.641899999995"/>
    <n v="1332292"/>
  </r>
  <r>
    <s v="Biolage"/>
    <s v="Hydra Source"/>
    <s v="Display"/>
    <x v="3"/>
    <s v="Amazon"/>
    <d v="2023-07-15T00:00:00"/>
    <x v="1"/>
    <n v="12869.128399999998"/>
    <n v="1473913"/>
  </r>
  <r>
    <s v="Biolage"/>
    <s v="Hydra Source"/>
    <s v="Display"/>
    <x v="3"/>
    <s v="Amazon"/>
    <d v="2023-07-22T00:00:00"/>
    <x v="1"/>
    <n v="12328.686600000005"/>
    <n v="1586895"/>
  </r>
  <r>
    <s v="Biolage"/>
    <s v="Hydra Source"/>
    <s v="Display"/>
    <x v="3"/>
    <s v="Amazon"/>
    <d v="2023-07-29T00:00:00"/>
    <x v="1"/>
    <n v="10575.788399999998"/>
    <n v="1456872"/>
  </r>
  <r>
    <s v="Biolage"/>
    <s v="Hydra Source"/>
    <s v="Display"/>
    <x v="3"/>
    <s v="Amazon"/>
    <d v="2023-08-05T00:00:00"/>
    <x v="1"/>
    <n v="6201.795500000002"/>
    <n v="939725"/>
  </r>
  <r>
    <s v="Biolage"/>
    <s v="Hydra Source"/>
    <s v="Display"/>
    <x v="3"/>
    <s v="Amazon"/>
    <d v="2023-08-12T00:00:00"/>
    <x v="1"/>
    <n v="4792.2232999999978"/>
    <n v="899465"/>
  </r>
  <r>
    <s v="Biolage"/>
    <s v="Hydra Source"/>
    <s v="Display"/>
    <x v="3"/>
    <s v="Amazon"/>
    <d v="2023-08-19T00:00:00"/>
    <x v="1"/>
    <n v="4842.7989000000025"/>
    <n v="710921"/>
  </r>
  <r>
    <s v="Biolage"/>
    <s v="Hydra Source"/>
    <s v="Display"/>
    <x v="3"/>
    <s v="Amazon"/>
    <d v="2023-08-26T00:00:00"/>
    <x v="1"/>
    <n v="6698.2117999999982"/>
    <n v="876186"/>
  </r>
  <r>
    <s v="Biolage"/>
    <s v="Hydra Source"/>
    <s v="Display"/>
    <x v="3"/>
    <s v="Amazon"/>
    <d v="2023-09-02T00:00:00"/>
    <x v="1"/>
    <n v="8248.0911999999953"/>
    <n v="922680"/>
  </r>
  <r>
    <s v="Biolage"/>
    <s v="Hydra Source"/>
    <s v="Display"/>
    <x v="3"/>
    <s v="Amazon"/>
    <d v="2023-09-09T00:00:00"/>
    <x v="1"/>
    <n v="5185.8033999999998"/>
    <n v="695693"/>
  </r>
  <r>
    <s v="Biolage"/>
    <s v="Hydra Source"/>
    <s v="Display"/>
    <x v="3"/>
    <s v="Amazon"/>
    <d v="2023-09-16T00:00:00"/>
    <x v="1"/>
    <n v="5286.1116999999986"/>
    <n v="790554"/>
  </r>
  <r>
    <s v="Biolage"/>
    <s v="Hydra Source"/>
    <s v="Display"/>
    <x v="3"/>
    <s v="Amazon"/>
    <d v="2023-09-23T00:00:00"/>
    <x v="1"/>
    <n v="5305.3565999999973"/>
    <n v="743579"/>
  </r>
  <r>
    <s v="Biolage"/>
    <s v="Hydra Source"/>
    <s v="Display"/>
    <x v="3"/>
    <s v="Amazon"/>
    <d v="2023-09-30T00:00:00"/>
    <x v="1"/>
    <n v="5364.8403000000008"/>
    <n v="906634"/>
  </r>
  <r>
    <s v="Biolage"/>
    <s v="Hydra Source"/>
    <s v="Display"/>
    <x v="3"/>
    <s v="Amazon"/>
    <d v="2023-10-07T00:00:00"/>
    <x v="1"/>
    <n v="6597.4694999999965"/>
    <n v="1134857"/>
  </r>
  <r>
    <s v="Biolage"/>
    <s v="Hydra Source"/>
    <s v="Display"/>
    <x v="3"/>
    <s v="Amazon"/>
    <d v="2023-10-14T00:00:00"/>
    <x v="1"/>
    <n v="7568.5074000000022"/>
    <n v="1350757"/>
  </r>
  <r>
    <s v="Biolage"/>
    <s v="Hydra Source"/>
    <s v="Display"/>
    <x v="3"/>
    <s v="Amazon"/>
    <d v="2023-10-21T00:00:00"/>
    <x v="1"/>
    <n v="7458.609999999996"/>
    <n v="1401109"/>
  </r>
  <r>
    <s v="Biolage"/>
    <s v="Hydra Source"/>
    <s v="Display"/>
    <x v="3"/>
    <s v="Amazon"/>
    <d v="2023-10-28T00:00:00"/>
    <x v="1"/>
    <n v="6298.6135999999979"/>
    <n v="1311908"/>
  </r>
  <r>
    <s v="Biolage"/>
    <s v="Hydra Source"/>
    <s v="Display"/>
    <x v="3"/>
    <s v="Amazon"/>
    <d v="2023-11-04T00:00:00"/>
    <x v="1"/>
    <n v="6734.0708999999997"/>
    <n v="1656267"/>
  </r>
  <r>
    <s v="Biolage"/>
    <s v="Hydra Source"/>
    <s v="Display"/>
    <x v="3"/>
    <s v="Amazon"/>
    <d v="2023-11-11T00:00:00"/>
    <x v="1"/>
    <n v="7048.5091999999986"/>
    <n v="2293317"/>
  </r>
  <r>
    <s v="Biolage"/>
    <s v="Hydra Source"/>
    <s v="Display"/>
    <x v="3"/>
    <s v="Amazon"/>
    <d v="2023-11-18T00:00:00"/>
    <x v="1"/>
    <n v="6876.1881000000039"/>
    <n v="2340511"/>
  </r>
  <r>
    <s v="Biolage"/>
    <s v="Hydra Source"/>
    <s v="Display"/>
    <x v="3"/>
    <s v="Amazon"/>
    <d v="2023-11-25T00:00:00"/>
    <x v="1"/>
    <n v="6291.6486000000004"/>
    <n v="2075051"/>
  </r>
  <r>
    <s v="Biolage"/>
    <s v="Hydra Source"/>
    <s v="Display"/>
    <x v="3"/>
    <s v="Amazon"/>
    <d v="2023-12-02T00:00:00"/>
    <x v="1"/>
    <n v="2846.0829000000003"/>
    <n v="1031458"/>
  </r>
  <r>
    <s v="Biolage"/>
    <s v="Hydra Source"/>
    <s v="Display"/>
    <x v="3"/>
    <s v="Amazon"/>
    <d v="2023-12-09T00:00:00"/>
    <x v="1"/>
    <n v="4441.3024999999989"/>
    <n v="1460966"/>
  </r>
  <r>
    <s v="Biolage"/>
    <s v="Hydra Source"/>
    <s v="Display"/>
    <x v="3"/>
    <s v="Amazon"/>
    <d v="2023-12-16T00:00:00"/>
    <x v="1"/>
    <n v="4157.9792999999991"/>
    <n v="1579803"/>
  </r>
  <r>
    <s v="Biolage"/>
    <s v="Hydra Source"/>
    <s v="Display"/>
    <x v="3"/>
    <s v="Amazon"/>
    <d v="2023-12-23T00:00:00"/>
    <x v="1"/>
    <n v="4139.6553000000004"/>
    <n v="1589626"/>
  </r>
  <r>
    <s v="Biolage"/>
    <s v="Hydra Source"/>
    <s v="Display"/>
    <x v="3"/>
    <s v="Amazon"/>
    <d v="2023-12-30T00:00:00"/>
    <x v="1"/>
    <n v="3012.6868999999992"/>
    <n v="1103486"/>
  </r>
  <r>
    <s v="Biolage"/>
    <s v="Hydra Source"/>
    <s v="Display"/>
    <x v="3"/>
    <s v="Amazon"/>
    <d v="2024-01-06T00:00:00"/>
    <x v="1"/>
    <n v="1.2483"/>
    <n v="453"/>
  </r>
  <r>
    <s v="Biolage"/>
    <s v="Hydra Source"/>
    <s v="Display"/>
    <x v="3"/>
    <s v="Amazon"/>
    <d v="2024-01-06T00:00:00"/>
    <x v="2"/>
    <n v="4664.4183999999996"/>
    <n v="1516074"/>
  </r>
  <r>
    <s v="Biolage"/>
    <s v="Hydra Source"/>
    <s v="Display"/>
    <x v="3"/>
    <s v="Amazon"/>
    <d v="2024-01-13T00:00:00"/>
    <x v="2"/>
    <n v="6916.0529999999981"/>
    <n v="2349049"/>
  </r>
  <r>
    <s v="Biolage"/>
    <s v="Hydra Source"/>
    <s v="Display"/>
    <x v="3"/>
    <s v="Amazon"/>
    <d v="2024-01-20T00:00:00"/>
    <x v="2"/>
    <n v="7133.2257999999983"/>
    <n v="2387928"/>
  </r>
  <r>
    <s v="Biolage"/>
    <s v="Hydra Source"/>
    <s v="Display"/>
    <x v="3"/>
    <s v="Amazon"/>
    <d v="2024-01-27T00:00:00"/>
    <x v="2"/>
    <n v="6906.9658999999992"/>
    <n v="2305664"/>
  </r>
  <r>
    <s v="Biolage"/>
    <s v="Hydra Source"/>
    <s v="Display"/>
    <x v="3"/>
    <s v="Amazon"/>
    <d v="2024-02-03T00:00:00"/>
    <x v="2"/>
    <n v="4066.8458000000005"/>
    <n v="1184485"/>
  </r>
  <r>
    <s v="Biolage"/>
    <s v="Hydra Source"/>
    <s v="Display"/>
    <x v="3"/>
    <s v="Amazon"/>
    <d v="2024-02-10T00:00:00"/>
    <x v="2"/>
    <n v="6623.9480999999987"/>
    <n v="1709588"/>
  </r>
  <r>
    <s v="Biolage"/>
    <s v="Hydra Source"/>
    <s v="Display"/>
    <x v="3"/>
    <s v="Amazon"/>
    <d v="2024-02-17T00:00:00"/>
    <x v="2"/>
    <n v="6893.5488999999989"/>
    <n v="1694270"/>
  </r>
  <r>
    <s v="Biolage"/>
    <s v="Hydra Source"/>
    <s v="Display"/>
    <x v="3"/>
    <s v="Amazon"/>
    <d v="2024-02-24T00:00:00"/>
    <x v="2"/>
    <n v="7106.8857000000025"/>
    <n v="2101088"/>
  </r>
  <r>
    <s v="Biolage"/>
    <s v="Hydra Source"/>
    <s v="Display"/>
    <x v="3"/>
    <s v="Amazon"/>
    <d v="2024-03-02T00:00:00"/>
    <x v="2"/>
    <n v="4431.4867000000013"/>
    <n v="1342493"/>
  </r>
  <r>
    <s v="Biolage"/>
    <s v="Hydra Source"/>
    <s v="Display"/>
    <x v="3"/>
    <s v="Amazon"/>
    <d v="2024-03-09T00:00:00"/>
    <x v="2"/>
    <n v="5626.3892999999998"/>
    <n v="1987455"/>
  </r>
  <r>
    <s v="Biolage"/>
    <s v="Hydra Source"/>
    <s v="Display"/>
    <x v="3"/>
    <s v="Amazon"/>
    <d v="2024-03-16T00:00:00"/>
    <x v="2"/>
    <n v="5686.5447999999978"/>
    <n v="1361596"/>
  </r>
  <r>
    <s v="Biolage"/>
    <s v="Hydra Source"/>
    <s v="Display"/>
    <x v="3"/>
    <s v="Amazon"/>
    <d v="2024-03-23T00:00:00"/>
    <x v="2"/>
    <n v="5828.9737000000023"/>
    <n v="1331175"/>
  </r>
  <r>
    <s v="Biolage"/>
    <s v="Hydra Source"/>
    <s v="Display"/>
    <x v="3"/>
    <s v="Amazon"/>
    <d v="2024-03-30T00:00:00"/>
    <x v="2"/>
    <n v="4997.8640999999989"/>
    <n v="1218144"/>
  </r>
  <r>
    <s v="Biolage"/>
    <s v="Hydra Source"/>
    <s v="Display"/>
    <x v="3"/>
    <s v="Amazon"/>
    <d v="2024-04-06T00:00:00"/>
    <x v="2"/>
    <n v="11785.019199999993"/>
    <n v="2592311"/>
  </r>
  <r>
    <s v="Biolage"/>
    <s v="Hydra Source"/>
    <s v="Display"/>
    <x v="3"/>
    <s v="Amazon"/>
    <d v="2024-04-13T00:00:00"/>
    <x v="2"/>
    <n v="5351.6664999999994"/>
    <n v="1294175"/>
  </r>
  <r>
    <s v="Biolage"/>
    <s v="Hydra Source"/>
    <s v="Display"/>
    <x v="3"/>
    <s v="Amazon"/>
    <d v="2024-04-20T00:00:00"/>
    <x v="2"/>
    <n v="6220.5291999999981"/>
    <n v="1183868"/>
  </r>
  <r>
    <s v="Biolage"/>
    <s v="Hydra Source"/>
    <s v="Display"/>
    <x v="3"/>
    <s v="Amazon"/>
    <d v="2024-04-27T00:00:00"/>
    <x v="2"/>
    <n v="6285.893500000001"/>
    <n v="1091420"/>
  </r>
  <r>
    <s v="Biolage"/>
    <s v="Hydra Source"/>
    <s v="Display"/>
    <x v="3"/>
    <s v="Amazon"/>
    <d v="2024-05-04T00:00:00"/>
    <x v="2"/>
    <n v="6275.0828999999976"/>
    <n v="1528211"/>
  </r>
  <r>
    <s v="Biolage"/>
    <s v="Hydra Source"/>
    <s v="Display"/>
    <x v="3"/>
    <s v="Amazon"/>
    <d v="2024-05-11T00:00:00"/>
    <x v="2"/>
    <n v="6432.1991000000007"/>
    <n v="1474459"/>
  </r>
  <r>
    <s v="Biolage"/>
    <s v="Hydra Source"/>
    <s v="Display"/>
    <x v="3"/>
    <s v="Amazon"/>
    <d v="2024-05-18T00:00:00"/>
    <x v="2"/>
    <n v="6633.9854000000005"/>
    <n v="1081497"/>
  </r>
  <r>
    <s v="Biolage"/>
    <s v="Hydra Source"/>
    <s v="Display"/>
    <x v="3"/>
    <s v="Amazon"/>
    <d v="2024-05-25T00:00:00"/>
    <x v="2"/>
    <n v="8318.6617000000006"/>
    <n v="1622629"/>
  </r>
  <r>
    <s v="Biolage"/>
    <s v="Hydra Source"/>
    <s v="Display"/>
    <x v="3"/>
    <s v="Amazon"/>
    <d v="2024-06-01T00:00:00"/>
    <x v="2"/>
    <n v="8283.4269999999979"/>
    <n v="1788108"/>
  </r>
  <r>
    <s v="Biolage"/>
    <s v="Hydra Source"/>
    <s v="Display"/>
    <x v="3"/>
    <s v="Amazon"/>
    <d v="2024-06-08T00:00:00"/>
    <x v="2"/>
    <n v="7026.718499999999"/>
    <n v="1446564"/>
  </r>
  <r>
    <s v="Biolage"/>
    <s v="Hydra Source"/>
    <s v="Display"/>
    <x v="3"/>
    <s v="Amazon"/>
    <d v="2024-06-15T00:00:00"/>
    <x v="2"/>
    <n v="7275.8719999999976"/>
    <n v="1653869"/>
  </r>
  <r>
    <s v="Biolage"/>
    <s v="Hydra Source"/>
    <s v="Display"/>
    <x v="3"/>
    <s v="Amazon"/>
    <d v="2024-06-22T00:00:00"/>
    <x v="2"/>
    <n v="7773.7899000000043"/>
    <n v="1838849"/>
  </r>
  <r>
    <s v="Biolage"/>
    <s v="Hydra Source"/>
    <s v="Display"/>
    <x v="3"/>
    <s v="Amazon"/>
    <d v="2024-06-29T00:00:00"/>
    <x v="2"/>
    <n v="6970.948699999999"/>
    <n v="1389758"/>
  </r>
  <r>
    <s v="Biolage"/>
    <s v="Hydra Source"/>
    <s v="Display"/>
    <x v="3"/>
    <s v="Amazon"/>
    <d v="2024-07-06T00:00:00"/>
    <x v="2"/>
    <n v="5848.8713000000043"/>
    <n v="1840713"/>
  </r>
  <r>
    <s v="Biolage"/>
    <s v="Hydra Source"/>
    <s v="Display"/>
    <x v="3"/>
    <s v="Amazon"/>
    <d v="2024-07-13T00:00:00"/>
    <x v="2"/>
    <n v="5896.5947000000024"/>
    <n v="2043111"/>
  </r>
  <r>
    <s v="Biolage"/>
    <s v="Hydra Source"/>
    <s v="Display"/>
    <x v="3"/>
    <s v="Amazon"/>
    <d v="2024-07-20T00:00:00"/>
    <x v="2"/>
    <n v="4188.5794999999998"/>
    <n v="952207"/>
  </r>
  <r>
    <s v="Biolage"/>
    <s v="Hydra Source"/>
    <s v="Display"/>
    <x v="3"/>
    <s v="Amazon"/>
    <d v="2024-07-27T00:00:00"/>
    <x v="2"/>
    <n v="6465.9066000000003"/>
    <n v="1884488"/>
  </r>
  <r>
    <s v="Biolage"/>
    <s v="Hydra Source"/>
    <s v="Display"/>
    <x v="3"/>
    <s v="Amazon"/>
    <d v="2024-08-03T00:00:00"/>
    <x v="2"/>
    <n v="6421.3289999999988"/>
    <n v="1922848"/>
  </r>
  <r>
    <s v="Biolage"/>
    <s v="Hydra Source"/>
    <s v="Display"/>
    <x v="3"/>
    <s v="Amazon"/>
    <d v="2024-08-10T00:00:00"/>
    <x v="2"/>
    <n v="5857.0210000000034"/>
    <n v="2118480"/>
  </r>
  <r>
    <s v="Biolage"/>
    <s v="Hydra Source"/>
    <s v="Display"/>
    <x v="3"/>
    <s v="Amazon"/>
    <d v="2024-08-17T00:00:00"/>
    <x v="2"/>
    <n v="5958.0917000000027"/>
    <n v="2064950"/>
  </r>
  <r>
    <s v="Biolage"/>
    <s v="Hydra Source"/>
    <s v="Display"/>
    <x v="3"/>
    <s v="Amazon"/>
    <d v="2024-08-24T00:00:00"/>
    <x v="2"/>
    <n v="5926.1203000000041"/>
    <n v="1902233"/>
  </r>
  <r>
    <s v="Biolage"/>
    <s v="Hydra Source"/>
    <s v="Display"/>
    <x v="3"/>
    <s v="Amazon"/>
    <d v="2024-08-31T00:00:00"/>
    <x v="2"/>
    <n v="7754.319199999999"/>
    <n v="3039290"/>
  </r>
  <r>
    <s v="Biolage"/>
    <s v="Hydra Source"/>
    <s v="Display"/>
    <x v="3"/>
    <s v="Amazon"/>
    <d v="2024-09-07T00:00:00"/>
    <x v="2"/>
    <n v="9978.2111000000059"/>
    <n v="3751255"/>
  </r>
  <r>
    <s v="Biolage"/>
    <s v="Hydra Source"/>
    <s v="Display"/>
    <x v="3"/>
    <s v="Amazon"/>
    <d v="2024-09-14T00:00:00"/>
    <x v="2"/>
    <n v="10095.0715"/>
    <n v="3470910"/>
  </r>
  <r>
    <s v="Biolage"/>
    <s v="Hydra Source"/>
    <s v="Display"/>
    <x v="3"/>
    <s v="Amazon"/>
    <d v="2024-09-21T00:00:00"/>
    <x v="2"/>
    <n v="10171.994399999996"/>
    <n v="2254914"/>
  </r>
  <r>
    <s v="Biolage"/>
    <s v="Hydra Source"/>
    <s v="Display"/>
    <x v="3"/>
    <s v="Amazon"/>
    <d v="2024-09-28T00:00:00"/>
    <x v="2"/>
    <n v="10015.456900000003"/>
    <n v="2032516"/>
  </r>
  <r>
    <s v="Biolage"/>
    <s v="Hydra Source"/>
    <s v="Display"/>
    <x v="3"/>
    <s v="Amazon"/>
    <d v="2024-10-05T00:00:00"/>
    <x v="2"/>
    <n v="8199.3154000000013"/>
    <n v="2015951"/>
  </r>
  <r>
    <s v="Biolage"/>
    <s v="Hydra Source"/>
    <s v="Display"/>
    <x v="3"/>
    <s v="Amazon"/>
    <d v="2024-10-12T00:00:00"/>
    <x v="2"/>
    <n v="9057.0264999999981"/>
    <n v="2153557"/>
  </r>
  <r>
    <s v="Biolage"/>
    <s v="Hydra Source"/>
    <s v="Display"/>
    <x v="3"/>
    <s v="Amazon"/>
    <d v="2024-10-19T00:00:00"/>
    <x v="2"/>
    <n v="8231.2347000000009"/>
    <n v="1737622"/>
  </r>
  <r>
    <s v="Biolage"/>
    <s v="Hydra Source"/>
    <s v="Display"/>
    <x v="3"/>
    <s v="Amazon"/>
    <d v="2024-10-26T00:00:00"/>
    <x v="2"/>
    <n v="7962.2841000000071"/>
    <n v="1879669"/>
  </r>
  <r>
    <s v="Biolage"/>
    <s v="Hydra Source"/>
    <s v="Display"/>
    <x v="3"/>
    <s v="Amazon"/>
    <d v="2024-11-02T00:00:00"/>
    <x v="2"/>
    <n v="6818.9366"/>
    <n v="1485423"/>
  </r>
  <r>
    <s v="Biolage"/>
    <s v="Hydra Source"/>
    <s v="Display"/>
    <x v="3"/>
    <s v="Amazon"/>
    <d v="2024-11-09T00:00:00"/>
    <x v="2"/>
    <n v="6522.0628999999981"/>
    <n v="1638863"/>
  </r>
  <r>
    <s v="Biolage"/>
    <s v="Hydra Source"/>
    <s v="Display"/>
    <x v="3"/>
    <s v="Amazon"/>
    <d v="2024-11-16T00:00:00"/>
    <x v="2"/>
    <n v="6045.3622000000023"/>
    <n v="1411295"/>
  </r>
  <r>
    <s v="Biolage"/>
    <s v="Hydra Source"/>
    <s v="Display"/>
    <x v="3"/>
    <s v="Amazon"/>
    <d v="2024-11-23T00:00:00"/>
    <x v="2"/>
    <n v="7585.2958999999937"/>
    <n v="1540133"/>
  </r>
  <r>
    <s v="Biolage"/>
    <s v="Hydra Source"/>
    <s v="Display"/>
    <x v="3"/>
    <s v="Amazon"/>
    <d v="2024-11-30T00:00:00"/>
    <x v="2"/>
    <n v="12154.927599999995"/>
    <n v="2673637"/>
  </r>
  <r>
    <s v="Biolage"/>
    <s v="Hydra Source"/>
    <s v="Display"/>
    <x v="3"/>
    <s v="Amazon"/>
    <d v="2024-12-07T00:00:00"/>
    <x v="2"/>
    <n v="10905.672199999999"/>
    <n v="2787767"/>
  </r>
  <r>
    <s v="Biolage"/>
    <s v="Hydra Source"/>
    <s v="Display"/>
    <x v="3"/>
    <s v="Amazon"/>
    <d v="2024-12-14T00:00:00"/>
    <x v="2"/>
    <n v="11052.882100000001"/>
    <n v="3102826"/>
  </r>
  <r>
    <s v="Biolage"/>
    <s v="Hydra Source"/>
    <s v="Display"/>
    <x v="3"/>
    <s v="Amazon"/>
    <d v="2024-12-21T00:00:00"/>
    <x v="2"/>
    <n v="11404.7842"/>
    <n v="3553366"/>
  </r>
  <r>
    <s v="Biolage"/>
    <s v="Hydra Source"/>
    <s v="Display"/>
    <x v="3"/>
    <s v="Amazon"/>
    <d v="2024-12-28T00:00:00"/>
    <x v="2"/>
    <n v="8626.6418000000012"/>
    <n v="3180484"/>
  </r>
  <r>
    <s v="Biolage"/>
    <s v="Hydra Source"/>
    <s v="Display"/>
    <x v="3"/>
    <s v="Amazon"/>
    <d v="2025-01-04T00:00:00"/>
    <x v="2"/>
    <n v="2611.1514999999999"/>
    <n v="869209"/>
  </r>
  <r>
    <s v="Biolage"/>
    <s v="Hydra Source"/>
    <s v="Display"/>
    <x v="3"/>
    <s v="Amazon"/>
    <d v="2025-01-04T00:00:00"/>
    <x v="0"/>
    <n v="4572.5037000000002"/>
    <n v="1977260"/>
  </r>
  <r>
    <s v="Biolage"/>
    <s v="Hydra Source"/>
    <s v="Display"/>
    <x v="3"/>
    <s v="Amazon"/>
    <d v="2025-01-11T00:00:00"/>
    <x v="0"/>
    <n v="8203.5282999999999"/>
    <n v="3777267"/>
  </r>
  <r>
    <s v="Biolage"/>
    <s v="Hydra Source"/>
    <s v="Display"/>
    <x v="3"/>
    <s v="Amazon"/>
    <d v="2025-01-18T00:00:00"/>
    <x v="0"/>
    <n v="8326.5822999999946"/>
    <n v="3785766"/>
  </r>
  <r>
    <s v="Biolage"/>
    <s v="Hydra Source"/>
    <s v="Display"/>
    <x v="3"/>
    <s v="Amazon"/>
    <d v="2025-01-25T00:00:00"/>
    <x v="0"/>
    <n v="7984.5153999999993"/>
    <n v="3488121"/>
  </r>
  <r>
    <s v="Biolage"/>
    <s v="Hydra Source"/>
    <s v="Display"/>
    <x v="3"/>
    <s v="Amazon"/>
    <d v="2025-02-01T00:00:00"/>
    <x v="0"/>
    <n v="8173.970199999997"/>
    <n v="3087657"/>
  </r>
  <r>
    <s v="Biolage"/>
    <s v="Hydra Source"/>
    <s v="Display"/>
    <x v="3"/>
    <s v="Amazon"/>
    <d v="2025-02-08T00:00:00"/>
    <x v="0"/>
    <n v="9944.7208999999984"/>
    <n v="4020213"/>
  </r>
  <r>
    <s v="Biolage"/>
    <s v="Hydra Source"/>
    <s v="Display"/>
    <x v="3"/>
    <s v="Amazon"/>
    <d v="2025-02-15T00:00:00"/>
    <x v="0"/>
    <n v="10005.922899999998"/>
    <n v="3709228"/>
  </r>
  <r>
    <s v="Biolage"/>
    <s v="Hydra Source"/>
    <s v="Display"/>
    <x v="3"/>
    <s v="Amazon"/>
    <d v="2025-02-22T00:00:00"/>
    <x v="0"/>
    <n v="9931.4879999999976"/>
    <n v="3303879"/>
  </r>
  <r>
    <s v="Biolage"/>
    <s v="Hydra Source"/>
    <s v="Display"/>
    <x v="3"/>
    <s v="Amazon"/>
    <d v="2025-03-01T00:00:00"/>
    <x v="0"/>
    <n v="8369.6576000000023"/>
    <n v="2246282"/>
  </r>
  <r>
    <s v="Biolage"/>
    <s v="Hydra Source"/>
    <s v="Display"/>
    <x v="3"/>
    <s v="Amazon"/>
    <d v="2025-03-08T00:00:00"/>
    <x v="0"/>
    <n v="8323.6876000000029"/>
    <n v="3114484"/>
  </r>
  <r>
    <s v="Biolage"/>
    <s v="Hydra Source"/>
    <s v="Display"/>
    <x v="3"/>
    <s v="Amazon"/>
    <d v="2025-03-15T00:00:00"/>
    <x v="0"/>
    <n v="10098.442699999994"/>
    <n v="2942522"/>
  </r>
  <r>
    <s v="Biolage"/>
    <s v="Hydra Source"/>
    <s v="Display"/>
    <x v="3"/>
    <s v="Amazon"/>
    <d v="2025-03-22T00:00:00"/>
    <x v="0"/>
    <n v="11773.835599999999"/>
    <n v="2307420"/>
  </r>
  <r>
    <s v="Biolage"/>
    <s v="Hydra Source"/>
    <s v="Display"/>
    <x v="3"/>
    <s v="Amazon"/>
    <d v="2025-03-29T00:00:00"/>
    <x v="0"/>
    <n v="11550.473700000006"/>
    <n v="2067510"/>
  </r>
  <r>
    <s v="Biolage"/>
    <s v="Hydra Source"/>
    <s v="Display"/>
    <x v="3"/>
    <s v="Amazon"/>
    <d v="2025-04-05T00:00:00"/>
    <x v="0"/>
    <n v="8426.232299999996"/>
    <n v="1891431"/>
  </r>
  <r>
    <s v="Biolage"/>
    <s v="Hydra Source"/>
    <s v="Display"/>
    <x v="3"/>
    <s v="Amazon"/>
    <d v="2025-04-12T00:00:00"/>
    <x v="0"/>
    <n v="8804.8670000000002"/>
    <n v="1698382"/>
  </r>
  <r>
    <s v="Biolage"/>
    <s v="Hydra Source"/>
    <s v="Display"/>
    <x v="3"/>
    <s v="Amazon"/>
    <d v="2025-04-19T00:00:00"/>
    <x v="0"/>
    <n v="8489.9249"/>
    <n v="1704680"/>
  </r>
  <r>
    <s v="Biolage"/>
    <s v="Hydra Source"/>
    <s v="Display"/>
    <x v="3"/>
    <s v="Amazon"/>
    <d v="2025-04-26T00:00:00"/>
    <x v="0"/>
    <n v="8787.3733999999949"/>
    <n v="1801179"/>
  </r>
  <r>
    <s v="Biolage"/>
    <s v="Hydra Source"/>
    <s v="Display"/>
    <x v="3"/>
    <s v="Amazon"/>
    <d v="2025-05-03T00:00:00"/>
    <x v="0"/>
    <n v="7860.3681000000006"/>
    <n v="1353918"/>
  </r>
  <r>
    <s v="Biolage"/>
    <s v="Hydra Source"/>
    <s v="Display"/>
    <x v="3"/>
    <s v="Amazon"/>
    <d v="2025-05-10T00:00:00"/>
    <x v="0"/>
    <n v="8512.7600999999977"/>
    <n v="1332419"/>
  </r>
  <r>
    <s v="Biolage"/>
    <s v="Hydra Source"/>
    <s v="Display"/>
    <x v="3"/>
    <s v="Amazon"/>
    <d v="2025-05-17T00:00:00"/>
    <x v="0"/>
    <n v="8517.9958000000006"/>
    <n v="1368903"/>
  </r>
  <r>
    <s v="Biolage"/>
    <s v="Hydra Source"/>
    <s v="Display"/>
    <x v="3"/>
    <s v="Amazon"/>
    <d v="2025-05-24T00:00:00"/>
    <x v="0"/>
    <n v="8670.7272999999986"/>
    <n v="1722083"/>
  </r>
  <r>
    <s v="Biolage"/>
    <s v="Hydra Source"/>
    <s v="Display"/>
    <x v="3"/>
    <s v="Amazon"/>
    <d v="2025-05-31T00:00:00"/>
    <x v="0"/>
    <n v="7711.7775000000047"/>
    <n v="2280198"/>
  </r>
  <r>
    <s v="Biolage"/>
    <s v="Hydra Source"/>
    <s v="Display"/>
    <x v="3"/>
    <s v="Amazon"/>
    <d v="2025-06-07T00:00:00"/>
    <x v="0"/>
    <n v="11190.289600000002"/>
    <n v="5696476"/>
  </r>
  <r>
    <s v="Biolage"/>
    <s v="Hydra Source"/>
    <s v="Display"/>
    <x v="3"/>
    <s v="Amazon"/>
    <d v="2025-06-14T00:00:00"/>
    <x v="0"/>
    <n v="12410.726399999998"/>
    <n v="6239219"/>
  </r>
  <r>
    <s v="Biolage"/>
    <s v="Hydra Source"/>
    <s v="Display"/>
    <x v="3"/>
    <s v="Amazon"/>
    <d v="2025-06-21T00:00:00"/>
    <x v="0"/>
    <n v="12479.397799999999"/>
    <n v="5142942"/>
  </r>
  <r>
    <s v="Biolage"/>
    <s v="Hydra Source"/>
    <s v="Display"/>
    <x v="3"/>
    <s v="Amazon"/>
    <d v="2025-06-28T00:00:00"/>
    <x v="0"/>
    <n v="10634.857799999998"/>
    <n v="3783582"/>
  </r>
  <r>
    <s v="Biolage"/>
    <s v="Hydra Source"/>
    <s v="Search"/>
    <x v="3"/>
    <s v="Amazon"/>
    <d v="2023-07-01T00:00:00"/>
    <x v="1"/>
    <n v="2859.39"/>
    <n v="356095"/>
  </r>
  <r>
    <s v="Biolage"/>
    <s v="Hydra Source"/>
    <s v="Search"/>
    <x v="3"/>
    <s v="Amazon"/>
    <d v="2023-07-08T00:00:00"/>
    <x v="1"/>
    <n v="14398.470000000007"/>
    <n v="1947985"/>
  </r>
  <r>
    <s v="Biolage"/>
    <s v="Hydra Source"/>
    <s v="Search"/>
    <x v="3"/>
    <s v="Amazon"/>
    <d v="2023-07-15T00:00:00"/>
    <x v="1"/>
    <n v="96289.889999999941"/>
    <n v="7276438"/>
  </r>
  <r>
    <s v="Biolage"/>
    <s v="Hydra Source"/>
    <s v="Search"/>
    <x v="3"/>
    <s v="Amazon"/>
    <d v="2023-07-22T00:00:00"/>
    <x v="1"/>
    <n v="6721.489999999998"/>
    <n v="1445197"/>
  </r>
  <r>
    <s v="Biolage"/>
    <s v="Hydra Source"/>
    <s v="Search"/>
    <x v="3"/>
    <s v="Amazon"/>
    <d v="2023-07-29T00:00:00"/>
    <x v="1"/>
    <n v="3305.3899999999994"/>
    <n v="639800"/>
  </r>
  <r>
    <s v="Biolage"/>
    <s v="Hydra Source"/>
    <s v="Search"/>
    <x v="3"/>
    <s v="Amazon"/>
    <d v="2023-08-05T00:00:00"/>
    <x v="1"/>
    <n v="4137.8999999999987"/>
    <n v="788517"/>
  </r>
  <r>
    <s v="Biolage"/>
    <s v="Hydra Source"/>
    <s v="Search"/>
    <x v="3"/>
    <s v="Amazon"/>
    <d v="2023-08-12T00:00:00"/>
    <x v="1"/>
    <n v="7268.3500000000013"/>
    <n v="1892701"/>
  </r>
  <r>
    <s v="Biolage"/>
    <s v="Hydra Source"/>
    <s v="Search"/>
    <x v="3"/>
    <s v="Amazon"/>
    <d v="2023-08-19T00:00:00"/>
    <x v="1"/>
    <n v="6312.8200000000015"/>
    <n v="1161472"/>
  </r>
  <r>
    <s v="Biolage"/>
    <s v="Hydra Source"/>
    <s v="Search"/>
    <x v="3"/>
    <s v="Amazon"/>
    <d v="2023-08-26T00:00:00"/>
    <x v="1"/>
    <n v="6502.4300000000012"/>
    <n v="1232927"/>
  </r>
  <r>
    <s v="Biolage"/>
    <s v="Hydra Source"/>
    <s v="Search"/>
    <x v="3"/>
    <s v="Amazon"/>
    <d v="2023-09-02T00:00:00"/>
    <x v="1"/>
    <n v="10417.050000000008"/>
    <n v="1752509"/>
  </r>
  <r>
    <s v="Biolage"/>
    <s v="Hydra Source"/>
    <s v="Search"/>
    <x v="3"/>
    <s v="Amazon"/>
    <d v="2023-09-09T00:00:00"/>
    <x v="1"/>
    <n v="7264.7199999999993"/>
    <n v="1263444"/>
  </r>
  <r>
    <s v="Biolage"/>
    <s v="Hydra Source"/>
    <s v="Search"/>
    <x v="3"/>
    <s v="Amazon"/>
    <d v="2023-09-16T00:00:00"/>
    <x v="1"/>
    <n v="6410.6700000000019"/>
    <n v="979023"/>
  </r>
  <r>
    <s v="Biolage"/>
    <s v="Hydra Source"/>
    <s v="Search"/>
    <x v="3"/>
    <s v="Amazon"/>
    <d v="2023-09-23T00:00:00"/>
    <x v="1"/>
    <n v="8174.7600000000048"/>
    <n v="1351163"/>
  </r>
  <r>
    <s v="Biolage"/>
    <s v="Hydra Source"/>
    <s v="Search"/>
    <x v="3"/>
    <s v="Amazon"/>
    <d v="2023-09-30T00:00:00"/>
    <x v="1"/>
    <n v="11149.360000000002"/>
    <n v="2173293"/>
  </r>
  <r>
    <s v="Biolage"/>
    <s v="Hydra Source"/>
    <s v="Search"/>
    <x v="3"/>
    <s v="Amazon"/>
    <d v="2023-10-07T00:00:00"/>
    <x v="1"/>
    <n v="11636.359999999993"/>
    <n v="2013862"/>
  </r>
  <r>
    <s v="Biolage"/>
    <s v="Hydra Source"/>
    <s v="Search"/>
    <x v="3"/>
    <s v="Amazon"/>
    <d v="2023-10-14T00:00:00"/>
    <x v="1"/>
    <n v="10466.210000000003"/>
    <n v="2058765"/>
  </r>
  <r>
    <s v="Biolage"/>
    <s v="Hydra Source"/>
    <s v="Search"/>
    <x v="3"/>
    <s v="Amazon"/>
    <d v="2023-10-21T00:00:00"/>
    <x v="1"/>
    <n v="13807.340000000004"/>
    <n v="1507356"/>
  </r>
  <r>
    <s v="Biolage"/>
    <s v="Hydra Source"/>
    <s v="Search"/>
    <x v="3"/>
    <s v="Amazon"/>
    <d v="2023-10-28T00:00:00"/>
    <x v="1"/>
    <n v="17725.559999999998"/>
    <n v="1426235"/>
  </r>
  <r>
    <s v="Biolage"/>
    <s v="Hydra Source"/>
    <s v="Search"/>
    <x v="3"/>
    <s v="Amazon"/>
    <d v="2023-11-04T00:00:00"/>
    <x v="1"/>
    <n v="13304.749999999998"/>
    <n v="1950897"/>
  </r>
  <r>
    <s v="Biolage"/>
    <s v="Hydra Source"/>
    <s v="Search"/>
    <x v="3"/>
    <s v="Amazon"/>
    <d v="2023-11-11T00:00:00"/>
    <x v="1"/>
    <n v="15654.190000000004"/>
    <n v="1805980"/>
  </r>
  <r>
    <s v="Biolage"/>
    <s v="Hydra Source"/>
    <s v="Search"/>
    <x v="3"/>
    <s v="Amazon"/>
    <d v="2023-11-18T00:00:00"/>
    <x v="1"/>
    <n v="13053.41"/>
    <n v="1536531"/>
  </r>
  <r>
    <s v="Biolage"/>
    <s v="Hydra Source"/>
    <s v="Search"/>
    <x v="3"/>
    <s v="Amazon"/>
    <d v="2023-11-25T00:00:00"/>
    <x v="1"/>
    <n v="16776.990000000002"/>
    <n v="2916655"/>
  </r>
  <r>
    <s v="Biolage"/>
    <s v="Hydra Source"/>
    <s v="Search"/>
    <x v="3"/>
    <s v="Amazon"/>
    <d v="2023-12-02T00:00:00"/>
    <x v="1"/>
    <n v="24608.710000000003"/>
    <n v="2479037"/>
  </r>
  <r>
    <s v="Biolage"/>
    <s v="Hydra Source"/>
    <s v="Search"/>
    <x v="3"/>
    <s v="Amazon"/>
    <d v="2023-12-09T00:00:00"/>
    <x v="1"/>
    <n v="10388.56"/>
    <n v="1257236"/>
  </r>
  <r>
    <s v="Biolage"/>
    <s v="Hydra Source"/>
    <s v="Search"/>
    <x v="3"/>
    <s v="Amazon"/>
    <d v="2023-12-16T00:00:00"/>
    <x v="1"/>
    <n v="6111.7599999999993"/>
    <n v="700465"/>
  </r>
  <r>
    <s v="Biolage"/>
    <s v="Hydra Source"/>
    <s v="Search"/>
    <x v="3"/>
    <s v="Amazon"/>
    <d v="2023-12-23T00:00:00"/>
    <x v="1"/>
    <n v="4540.3599999999969"/>
    <n v="476527"/>
  </r>
  <r>
    <s v="Biolage"/>
    <s v="Hydra Source"/>
    <s v="Search"/>
    <x v="3"/>
    <s v="Amazon"/>
    <d v="2023-12-30T00:00:00"/>
    <x v="1"/>
    <n v="5305.0199999999968"/>
    <n v="595204"/>
  </r>
  <r>
    <s v="Biolage"/>
    <s v="Hydra Source"/>
    <s v="Search"/>
    <x v="3"/>
    <s v="Amazon"/>
    <d v="2024-01-06T00:00:00"/>
    <x v="2"/>
    <n v="4020.3399999999979"/>
    <n v="512733"/>
  </r>
  <r>
    <s v="Biolage"/>
    <s v="Hydra Source"/>
    <s v="Search"/>
    <x v="3"/>
    <s v="Amazon"/>
    <d v="2024-01-13T00:00:00"/>
    <x v="2"/>
    <n v="7965.8500000000013"/>
    <n v="1012035"/>
  </r>
  <r>
    <s v="Biolage"/>
    <s v="Hydra Source"/>
    <s v="Search"/>
    <x v="3"/>
    <s v="Amazon"/>
    <d v="2024-01-20T00:00:00"/>
    <x v="2"/>
    <n v="8691.65"/>
    <n v="966027"/>
  </r>
  <r>
    <s v="Biolage"/>
    <s v="Hydra Source"/>
    <s v="Search"/>
    <x v="3"/>
    <s v="Amazon"/>
    <d v="2024-01-27T00:00:00"/>
    <x v="2"/>
    <n v="8634.0300000000043"/>
    <n v="1047445"/>
  </r>
  <r>
    <s v="Biolage"/>
    <s v="Hydra Source"/>
    <s v="Search"/>
    <x v="3"/>
    <s v="Amazon"/>
    <d v="2024-02-03T00:00:00"/>
    <x v="2"/>
    <n v="9039.4299999999948"/>
    <n v="1357447"/>
  </r>
  <r>
    <s v="Biolage"/>
    <s v="Hydra Source"/>
    <s v="Search"/>
    <x v="3"/>
    <s v="Amazon"/>
    <d v="2024-02-10T00:00:00"/>
    <x v="2"/>
    <n v="8800.1599999999926"/>
    <n v="1196673"/>
  </r>
  <r>
    <s v="Biolage"/>
    <s v="Hydra Source"/>
    <s v="Search"/>
    <x v="3"/>
    <s v="Amazon"/>
    <d v="2024-02-17T00:00:00"/>
    <x v="2"/>
    <n v="7417.4899999999943"/>
    <n v="998474"/>
  </r>
  <r>
    <s v="Biolage"/>
    <s v="Hydra Source"/>
    <s v="Search"/>
    <x v="3"/>
    <s v="Amazon"/>
    <d v="2024-02-24T00:00:00"/>
    <x v="2"/>
    <n v="6853.5099999999975"/>
    <n v="1132168"/>
  </r>
  <r>
    <s v="Biolage"/>
    <s v="Hydra Source"/>
    <s v="Search"/>
    <x v="3"/>
    <s v="Amazon"/>
    <d v="2024-03-02T00:00:00"/>
    <x v="2"/>
    <n v="5462.5899999999992"/>
    <n v="1005507"/>
  </r>
  <r>
    <s v="Biolage"/>
    <s v="Hydra Source"/>
    <s v="Search"/>
    <x v="3"/>
    <s v="Amazon"/>
    <d v="2024-03-09T00:00:00"/>
    <x v="2"/>
    <n v="5139.4200000000037"/>
    <n v="1005392"/>
  </r>
  <r>
    <s v="Biolage"/>
    <s v="Hydra Source"/>
    <s v="Search"/>
    <x v="3"/>
    <s v="Amazon"/>
    <d v="2024-03-16T00:00:00"/>
    <x v="2"/>
    <n v="4907.5799999999963"/>
    <n v="997263"/>
  </r>
  <r>
    <s v="Biolage"/>
    <s v="Hydra Source"/>
    <s v="Search"/>
    <x v="3"/>
    <s v="Amazon"/>
    <d v="2024-03-23T00:00:00"/>
    <x v="2"/>
    <n v="7014.2599999999966"/>
    <n v="1621512"/>
  </r>
  <r>
    <s v="Biolage"/>
    <s v="Hydra Source"/>
    <s v="Search"/>
    <x v="3"/>
    <s v="Amazon"/>
    <d v="2024-03-30T00:00:00"/>
    <x v="2"/>
    <n v="10452.990000000003"/>
    <n v="2412743"/>
  </r>
  <r>
    <s v="Biolage"/>
    <s v="Hydra Source"/>
    <s v="Search"/>
    <x v="3"/>
    <s v="Amazon"/>
    <d v="2024-04-06T00:00:00"/>
    <x v="2"/>
    <n v="11799.800000000003"/>
    <n v="2536790"/>
  </r>
  <r>
    <s v="Biolage"/>
    <s v="Hydra Source"/>
    <s v="Search"/>
    <x v="3"/>
    <s v="Amazon"/>
    <d v="2024-04-13T00:00:00"/>
    <x v="2"/>
    <n v="8077.9700000000021"/>
    <n v="1917192"/>
  </r>
  <r>
    <s v="Biolage"/>
    <s v="Hydra Source"/>
    <s v="Search"/>
    <x v="3"/>
    <s v="Amazon"/>
    <d v="2024-04-20T00:00:00"/>
    <x v="2"/>
    <n v="7298.38"/>
    <n v="1888143"/>
  </r>
  <r>
    <s v="Biolage"/>
    <s v="Hydra Source"/>
    <s v="Search"/>
    <x v="3"/>
    <s v="Amazon"/>
    <d v="2024-04-27T00:00:00"/>
    <x v="2"/>
    <n v="8214.7800000000007"/>
    <n v="1822879"/>
  </r>
  <r>
    <s v="Biolage"/>
    <s v="Hydra Source"/>
    <s v="Search"/>
    <x v="3"/>
    <s v="Amazon"/>
    <d v="2024-05-04T00:00:00"/>
    <x v="2"/>
    <n v="11866.780000000004"/>
    <n v="2194202"/>
  </r>
  <r>
    <s v="Biolage"/>
    <s v="Hydra Source"/>
    <s v="Search"/>
    <x v="3"/>
    <s v="Amazon"/>
    <d v="2024-05-11T00:00:00"/>
    <x v="2"/>
    <n v="5711.8300000000008"/>
    <n v="1207781"/>
  </r>
  <r>
    <s v="Biolage"/>
    <s v="Hydra Source"/>
    <s v="Search"/>
    <x v="3"/>
    <s v="Amazon"/>
    <d v="2024-05-18T00:00:00"/>
    <x v="2"/>
    <n v="9561.2199999999993"/>
    <n v="1401663"/>
  </r>
  <r>
    <s v="Biolage"/>
    <s v="Hydra Source"/>
    <s v="Search"/>
    <x v="3"/>
    <s v="Amazon"/>
    <d v="2024-05-25T00:00:00"/>
    <x v="2"/>
    <n v="11819.949999999995"/>
    <n v="1584926"/>
  </r>
  <r>
    <s v="Biolage"/>
    <s v="Hydra Source"/>
    <s v="Search"/>
    <x v="3"/>
    <s v="Amazon"/>
    <d v="2024-06-01T00:00:00"/>
    <x v="2"/>
    <n v="7542.2699999999995"/>
    <n v="1091596"/>
  </r>
  <r>
    <s v="Biolage"/>
    <s v="Hydra Source"/>
    <s v="Search"/>
    <x v="3"/>
    <s v="Amazon"/>
    <d v="2024-06-08T00:00:00"/>
    <x v="2"/>
    <n v="7408.23"/>
    <n v="1103279"/>
  </r>
  <r>
    <s v="Biolage"/>
    <s v="Hydra Source"/>
    <s v="Search"/>
    <x v="3"/>
    <s v="Amazon"/>
    <d v="2024-06-15T00:00:00"/>
    <x v="2"/>
    <n v="7746.2"/>
    <n v="1047379"/>
  </r>
  <r>
    <s v="Biolage"/>
    <s v="Hydra Source"/>
    <s v="Search"/>
    <x v="3"/>
    <s v="Amazon"/>
    <d v="2024-06-22T00:00:00"/>
    <x v="2"/>
    <n v="9306.75"/>
    <n v="1055038"/>
  </r>
  <r>
    <s v="Biolage"/>
    <s v="Hydra Source"/>
    <s v="Search"/>
    <x v="3"/>
    <s v="Amazon"/>
    <d v="2024-06-29T00:00:00"/>
    <x v="2"/>
    <n v="10691.380000000001"/>
    <n v="1645806"/>
  </r>
  <r>
    <s v="Biolage"/>
    <s v="Hydra Source"/>
    <s v="Search"/>
    <x v="3"/>
    <s v="Amazon"/>
    <d v="2024-07-06T00:00:00"/>
    <x v="2"/>
    <n v="11837.810000000009"/>
    <n v="1813029"/>
  </r>
  <r>
    <s v="Biolage"/>
    <s v="Hydra Source"/>
    <s v="Search"/>
    <x v="3"/>
    <s v="Amazon"/>
    <d v="2024-07-13T00:00:00"/>
    <x v="2"/>
    <n v="11519.870000000003"/>
    <n v="1555250"/>
  </r>
  <r>
    <s v="Biolage"/>
    <s v="Hydra Source"/>
    <s v="Search"/>
    <x v="3"/>
    <s v="Amazon"/>
    <d v="2024-07-20T00:00:00"/>
    <x v="2"/>
    <n v="41172.98000000001"/>
    <n v="2973413"/>
  </r>
  <r>
    <s v="Biolage"/>
    <s v="Hydra Source"/>
    <s v="Search"/>
    <x v="3"/>
    <s v="Amazon"/>
    <d v="2024-07-27T00:00:00"/>
    <x v="2"/>
    <n v="5564.21"/>
    <n v="740739"/>
  </r>
  <r>
    <s v="Biolage"/>
    <s v="Hydra Source"/>
    <s v="Search"/>
    <x v="3"/>
    <s v="Amazon"/>
    <d v="2024-08-03T00:00:00"/>
    <x v="2"/>
    <n v="4877.0999999999995"/>
    <n v="641809"/>
  </r>
  <r>
    <s v="Biolage"/>
    <s v="Hydra Source"/>
    <s v="Search"/>
    <x v="3"/>
    <s v="Amazon"/>
    <d v="2024-08-10T00:00:00"/>
    <x v="2"/>
    <n v="5867.3300000000008"/>
    <n v="788897"/>
  </r>
  <r>
    <s v="Biolage"/>
    <s v="Hydra Source"/>
    <s v="Search"/>
    <x v="3"/>
    <s v="Amazon"/>
    <d v="2024-08-17T00:00:00"/>
    <x v="2"/>
    <n v="6577.1100000000006"/>
    <n v="620384"/>
  </r>
  <r>
    <s v="Biolage"/>
    <s v="Hydra Source"/>
    <s v="Search"/>
    <x v="3"/>
    <s v="Amazon"/>
    <d v="2024-08-24T00:00:00"/>
    <x v="2"/>
    <n v="8397.7100000000009"/>
    <n v="785517"/>
  </r>
  <r>
    <s v="Biolage"/>
    <s v="Hydra Source"/>
    <s v="Search"/>
    <x v="3"/>
    <s v="Amazon"/>
    <d v="2024-08-31T00:00:00"/>
    <x v="2"/>
    <n v="9744.6299999999974"/>
    <n v="865689"/>
  </r>
  <r>
    <s v="Biolage"/>
    <s v="Hydra Source"/>
    <s v="Search"/>
    <x v="3"/>
    <s v="Amazon"/>
    <d v="2024-09-07T00:00:00"/>
    <x v="2"/>
    <n v="10180.799999999999"/>
    <n v="986887"/>
  </r>
  <r>
    <s v="Biolage"/>
    <s v="Hydra Source"/>
    <s v="Search"/>
    <x v="3"/>
    <s v="Amazon"/>
    <d v="2024-09-14T00:00:00"/>
    <x v="2"/>
    <n v="5685.8899999999976"/>
    <n v="656822"/>
  </r>
  <r>
    <s v="Biolage"/>
    <s v="Hydra Source"/>
    <s v="Search"/>
    <x v="3"/>
    <s v="Amazon"/>
    <d v="2024-09-21T00:00:00"/>
    <x v="2"/>
    <n v="3939.43"/>
    <n v="586615"/>
  </r>
  <r>
    <s v="Biolage"/>
    <s v="Hydra Source"/>
    <s v="Search"/>
    <x v="3"/>
    <s v="Amazon"/>
    <d v="2024-09-28T00:00:00"/>
    <x v="2"/>
    <n v="5370.15"/>
    <n v="762616"/>
  </r>
  <r>
    <s v="Biolage"/>
    <s v="Hydra Source"/>
    <s v="Search"/>
    <x v="3"/>
    <s v="Amazon"/>
    <d v="2024-10-05T00:00:00"/>
    <x v="2"/>
    <n v="5864.19"/>
    <n v="791603"/>
  </r>
  <r>
    <s v="Biolage"/>
    <s v="Hydra Source"/>
    <s v="Search"/>
    <x v="3"/>
    <s v="Amazon"/>
    <d v="2024-10-12T00:00:00"/>
    <x v="2"/>
    <n v="4910.8200000000006"/>
    <n v="899551"/>
  </r>
  <r>
    <s v="Biolage"/>
    <s v="Hydra Source"/>
    <s v="Search"/>
    <x v="3"/>
    <s v="Amazon"/>
    <d v="2024-10-19T00:00:00"/>
    <x v="2"/>
    <n v="3576"/>
    <n v="517269"/>
  </r>
  <r>
    <s v="Biolage"/>
    <s v="Hydra Source"/>
    <s v="Search"/>
    <x v="3"/>
    <s v="Amazon"/>
    <d v="2024-10-26T00:00:00"/>
    <x v="2"/>
    <n v="6509.5000000000009"/>
    <n v="922351"/>
  </r>
  <r>
    <s v="Biolage"/>
    <s v="Hydra Source"/>
    <s v="Search"/>
    <x v="3"/>
    <s v="Amazon"/>
    <d v="2024-11-02T00:00:00"/>
    <x v="2"/>
    <n v="8857.1999999999953"/>
    <n v="902006"/>
  </r>
  <r>
    <s v="Biolage"/>
    <s v="Hydra Source"/>
    <s v="Search"/>
    <x v="3"/>
    <s v="Amazon"/>
    <d v="2024-11-09T00:00:00"/>
    <x v="2"/>
    <n v="12144.44"/>
    <n v="1138816"/>
  </r>
  <r>
    <s v="Biolage"/>
    <s v="Hydra Source"/>
    <s v="Search"/>
    <x v="3"/>
    <s v="Amazon"/>
    <d v="2024-11-16T00:00:00"/>
    <x v="2"/>
    <n v="16126.87"/>
    <n v="1121661"/>
  </r>
  <r>
    <s v="Biolage"/>
    <s v="Hydra Source"/>
    <s v="Search"/>
    <x v="3"/>
    <s v="Amazon"/>
    <d v="2024-11-23T00:00:00"/>
    <x v="2"/>
    <n v="20387.400000000001"/>
    <n v="1543482"/>
  </r>
  <r>
    <s v="Biolage"/>
    <s v="Hydra Source"/>
    <s v="Search"/>
    <x v="3"/>
    <s v="Amazon"/>
    <d v="2024-11-30T00:00:00"/>
    <x v="2"/>
    <n v="67367.56"/>
    <n v="5943250"/>
  </r>
  <r>
    <s v="Biolage"/>
    <s v="Hydra Source"/>
    <s v="Search"/>
    <x v="3"/>
    <s v="Amazon"/>
    <d v="2024-12-07T00:00:00"/>
    <x v="2"/>
    <n v="63658.859999999993"/>
    <n v="7402790"/>
  </r>
  <r>
    <s v="Biolage"/>
    <s v="Hydra Source"/>
    <s v="Search"/>
    <x v="3"/>
    <s v="Amazon"/>
    <d v="2024-12-14T00:00:00"/>
    <x v="2"/>
    <n v="20645.64"/>
    <n v="2743175"/>
  </r>
  <r>
    <s v="Biolage"/>
    <s v="Hydra Source"/>
    <s v="Search"/>
    <x v="3"/>
    <s v="Amazon"/>
    <d v="2024-12-21T00:00:00"/>
    <x v="2"/>
    <n v="20458.759999999995"/>
    <n v="2592277"/>
  </r>
  <r>
    <s v="Biolage"/>
    <s v="Hydra Source"/>
    <s v="Search"/>
    <x v="3"/>
    <s v="Amazon"/>
    <d v="2024-12-28T00:00:00"/>
    <x v="2"/>
    <n v="20791.43"/>
    <n v="1916807"/>
  </r>
  <r>
    <s v="Biolage"/>
    <s v="Hydra Source"/>
    <s v="Search"/>
    <x v="3"/>
    <s v="Amazon"/>
    <d v="2025-01-04T00:00:00"/>
    <x v="2"/>
    <n v="6882.9800000000014"/>
    <n v="655907"/>
  </r>
  <r>
    <s v="Biolage"/>
    <s v="Hydra Source"/>
    <s v="Search"/>
    <x v="3"/>
    <s v="Amazon"/>
    <d v="2025-01-04T00:00:00"/>
    <x v="0"/>
    <n v="7150.880000000001"/>
    <n v="791287"/>
  </r>
  <r>
    <s v="Biolage"/>
    <s v="Hydra Source"/>
    <s v="Search"/>
    <x v="3"/>
    <s v="Amazon"/>
    <d v="2025-01-11T00:00:00"/>
    <x v="0"/>
    <n v="11389.490000000005"/>
    <n v="1333485"/>
  </r>
  <r>
    <s v="Biolage"/>
    <s v="Hydra Source"/>
    <s v="Search"/>
    <x v="3"/>
    <s v="Amazon"/>
    <d v="2025-01-18T00:00:00"/>
    <x v="0"/>
    <n v="11466.960000000006"/>
    <n v="1331746"/>
  </r>
  <r>
    <s v="Biolage"/>
    <s v="Hydra Source"/>
    <s v="Search"/>
    <x v="3"/>
    <s v="Amazon"/>
    <d v="2025-01-25T00:00:00"/>
    <x v="0"/>
    <n v="10937.379999999997"/>
    <n v="1337475"/>
  </r>
  <r>
    <s v="Biolage"/>
    <s v="Hydra Source"/>
    <s v="Search"/>
    <x v="3"/>
    <s v="Amazon"/>
    <d v="2025-02-01T00:00:00"/>
    <x v="0"/>
    <n v="12559"/>
    <n v="3468489"/>
  </r>
  <r>
    <s v="Biolage"/>
    <s v="Hydra Source"/>
    <s v="Search"/>
    <x v="3"/>
    <s v="Amazon"/>
    <d v="2025-02-08T00:00:00"/>
    <x v="0"/>
    <n v="16696.709999999992"/>
    <n v="6818785"/>
  </r>
  <r>
    <s v="Biolage"/>
    <s v="Hydra Source"/>
    <s v="Search"/>
    <x v="3"/>
    <s v="Amazon"/>
    <d v="2025-02-15T00:00:00"/>
    <x v="0"/>
    <n v="12439.130000000001"/>
    <n v="4839528"/>
  </r>
  <r>
    <s v="Biolage"/>
    <s v="Hydra Source"/>
    <s v="Search"/>
    <x v="3"/>
    <s v="Amazon"/>
    <d v="2025-02-22T00:00:00"/>
    <x v="0"/>
    <n v="9900.7900000000027"/>
    <n v="1781045"/>
  </r>
  <r>
    <s v="Biolage"/>
    <s v="Hydra Source"/>
    <s v="Search"/>
    <x v="3"/>
    <s v="Amazon"/>
    <d v="2025-03-01T00:00:00"/>
    <x v="0"/>
    <n v="14493.76"/>
    <n v="3076731"/>
  </r>
  <r>
    <s v="Biolage"/>
    <s v="Hydra Source"/>
    <s v="Search"/>
    <x v="3"/>
    <s v="Amazon"/>
    <d v="2025-03-08T00:00:00"/>
    <x v="0"/>
    <n v="15953.409999999994"/>
    <n v="3387851"/>
  </r>
  <r>
    <s v="Biolage"/>
    <s v="Hydra Source"/>
    <s v="Search"/>
    <x v="3"/>
    <s v="Amazon"/>
    <d v="2025-03-15T00:00:00"/>
    <x v="0"/>
    <n v="15533.49"/>
    <n v="3114023"/>
  </r>
  <r>
    <s v="Biolage"/>
    <s v="Hydra Source"/>
    <s v="Search"/>
    <x v="3"/>
    <s v="Amazon"/>
    <d v="2025-03-22T00:00:00"/>
    <x v="0"/>
    <n v="12907.130000000003"/>
    <n v="2676143"/>
  </r>
  <r>
    <s v="Biolage"/>
    <s v="Hydra Source"/>
    <s v="Search"/>
    <x v="3"/>
    <s v="Amazon"/>
    <d v="2025-03-29T00:00:00"/>
    <x v="0"/>
    <n v="8336.0499999999993"/>
    <n v="1513575"/>
  </r>
  <r>
    <s v="Biolage"/>
    <s v="Hydra Source"/>
    <s v="Search"/>
    <x v="3"/>
    <s v="Amazon"/>
    <d v="2025-04-05T00:00:00"/>
    <x v="0"/>
    <n v="7284.9599999999973"/>
    <n v="1533959"/>
  </r>
  <r>
    <s v="Biolage"/>
    <s v="Hydra Source"/>
    <s v="Search"/>
    <x v="3"/>
    <s v="Amazon"/>
    <d v="2025-04-12T00:00:00"/>
    <x v="0"/>
    <n v="8843.8899999999958"/>
    <n v="1689439"/>
  </r>
  <r>
    <s v="Biolage"/>
    <s v="Hydra Source"/>
    <s v="Search"/>
    <x v="3"/>
    <s v="Amazon"/>
    <d v="2025-04-19T00:00:00"/>
    <x v="0"/>
    <n v="14288.950000000006"/>
    <n v="1980216"/>
  </r>
  <r>
    <s v="Biolage"/>
    <s v="Hydra Source"/>
    <s v="Search"/>
    <x v="3"/>
    <s v="Amazon"/>
    <d v="2025-04-26T00:00:00"/>
    <x v="0"/>
    <n v="18167.260000000013"/>
    <n v="2142866"/>
  </r>
  <r>
    <s v="Biolage"/>
    <s v="Hydra Source"/>
    <s v="Search"/>
    <x v="3"/>
    <s v="Amazon"/>
    <d v="2025-05-03T00:00:00"/>
    <x v="0"/>
    <n v="20544.129999999997"/>
    <n v="2686119"/>
  </r>
  <r>
    <s v="Biolage"/>
    <s v="Hydra Source"/>
    <s v="Search"/>
    <x v="3"/>
    <s v="Amazon"/>
    <d v="2025-05-10T00:00:00"/>
    <x v="0"/>
    <n v="15275.289999999997"/>
    <n v="1817983"/>
  </r>
  <r>
    <s v="Biolage"/>
    <s v="Hydra Source"/>
    <s v="Search"/>
    <x v="3"/>
    <s v="Amazon"/>
    <d v="2025-05-17T00:00:00"/>
    <x v="0"/>
    <n v="14610.63"/>
    <n v="1991510"/>
  </r>
  <r>
    <s v="Biolage"/>
    <s v="Hydra Source"/>
    <s v="Search"/>
    <x v="3"/>
    <s v="Amazon"/>
    <d v="2025-05-24T00:00:00"/>
    <x v="0"/>
    <n v="23826.120000000003"/>
    <n v="2803426"/>
  </r>
  <r>
    <s v="Biolage"/>
    <s v="Hydra Source"/>
    <s v="Search"/>
    <x v="3"/>
    <s v="Amazon"/>
    <d v="2025-05-31T00:00:00"/>
    <x v="0"/>
    <n v="18021.63"/>
    <n v="2014084"/>
  </r>
  <r>
    <s v="Biolage"/>
    <s v="Hydra Source"/>
    <s v="Search"/>
    <x v="3"/>
    <s v="Amazon"/>
    <d v="2025-06-07T00:00:00"/>
    <x v="0"/>
    <n v="20905.919999999995"/>
    <n v="2356586"/>
  </r>
  <r>
    <s v="Biolage"/>
    <s v="Hydra Source"/>
    <s v="Search"/>
    <x v="3"/>
    <s v="Amazon"/>
    <d v="2025-06-14T00:00:00"/>
    <x v="0"/>
    <n v="20418.84999999998"/>
    <n v="2156609"/>
  </r>
  <r>
    <s v="Biolage"/>
    <s v="Hydra Source"/>
    <s v="Search"/>
    <x v="3"/>
    <s v="Amazon"/>
    <d v="2025-06-21T00:00:00"/>
    <x v="0"/>
    <n v="19277.21000000001"/>
    <n v="2062113"/>
  </r>
  <r>
    <s v="Biolage"/>
    <s v="Hydra Source"/>
    <s v="Search"/>
    <x v="3"/>
    <s v="Amazon"/>
    <d v="2025-06-28T00:00:00"/>
    <x v="0"/>
    <n v="12223.480000000001"/>
    <n v="1159472"/>
  </r>
  <r>
    <s v="Biolage"/>
    <s v="Biolage - Brand"/>
    <s v="Display"/>
    <x v="3"/>
    <s v="Amazon"/>
    <d v="2023-07-01T00:00:00"/>
    <x v="1"/>
    <n v="6081.0295999999998"/>
    <n v="950878"/>
  </r>
  <r>
    <s v="Biolage"/>
    <s v="Biolage - Brand"/>
    <s v="Display"/>
    <x v="3"/>
    <s v="Amazon"/>
    <d v="2023-07-08T00:00:00"/>
    <x v="1"/>
    <n v="42121.893799999998"/>
    <n v="6908484"/>
  </r>
  <r>
    <s v="Biolage"/>
    <s v="Biolage - Brand"/>
    <s v="Display"/>
    <x v="3"/>
    <s v="Amazon"/>
    <d v="2023-07-15T00:00:00"/>
    <x v="1"/>
    <n v="47907.900499999952"/>
    <n v="8447570"/>
  </r>
  <r>
    <s v="Biolage"/>
    <s v="Biolage - Brand"/>
    <s v="Display"/>
    <x v="3"/>
    <s v="Amazon"/>
    <d v="2023-07-22T00:00:00"/>
    <x v="1"/>
    <n v="13306.024299999999"/>
    <n v="2636768"/>
  </r>
  <r>
    <s v="Biolage"/>
    <s v="Biolage - Brand"/>
    <s v="Display"/>
    <x v="3"/>
    <s v="Amazon"/>
    <d v="2023-07-29T00:00:00"/>
    <x v="1"/>
    <n v="17622.624800000001"/>
    <n v="2517354"/>
  </r>
  <r>
    <s v="Biolage"/>
    <s v="Biolage - Brand"/>
    <s v="Display"/>
    <x v="3"/>
    <s v="Amazon"/>
    <d v="2023-08-05T00:00:00"/>
    <x v="1"/>
    <n v="18644.331200000008"/>
    <n v="2398985"/>
  </r>
  <r>
    <s v="Biolage"/>
    <s v="Biolage - Brand"/>
    <s v="Display"/>
    <x v="3"/>
    <s v="Amazon"/>
    <d v="2023-08-12T00:00:00"/>
    <x v="1"/>
    <n v="15486.809600000008"/>
    <n v="2575987"/>
  </r>
  <r>
    <s v="Biolage"/>
    <s v="Biolage - Brand"/>
    <s v="Display"/>
    <x v="3"/>
    <s v="Amazon"/>
    <d v="2023-08-19T00:00:00"/>
    <x v="1"/>
    <n v="17992.608899999996"/>
    <n v="2788644"/>
  </r>
  <r>
    <s v="Biolage"/>
    <s v="Biolage - Brand"/>
    <s v="Display"/>
    <x v="3"/>
    <s v="Amazon"/>
    <d v="2023-08-26T00:00:00"/>
    <x v="1"/>
    <n v="18022.968700000001"/>
    <n v="2904653"/>
  </r>
  <r>
    <s v="Biolage"/>
    <s v="Biolage - Brand"/>
    <s v="Display"/>
    <x v="3"/>
    <s v="Amazon"/>
    <d v="2023-09-02T00:00:00"/>
    <x v="1"/>
    <n v="12216.676999999994"/>
    <n v="1830948"/>
  </r>
  <r>
    <s v="Biolage"/>
    <s v="Biolage - Brand"/>
    <s v="Display"/>
    <x v="3"/>
    <s v="Amazon"/>
    <d v="2023-09-09T00:00:00"/>
    <x v="1"/>
    <n v="3748.4553999999998"/>
    <n v="1364814"/>
  </r>
  <r>
    <s v="Biolage"/>
    <s v="Biolage - Brand"/>
    <s v="Display"/>
    <x v="3"/>
    <s v="Amazon"/>
    <d v="2023-09-16T00:00:00"/>
    <x v="1"/>
    <n v="3345.7719000000006"/>
    <n v="1399690"/>
  </r>
  <r>
    <s v="Biolage"/>
    <s v="Biolage - Brand"/>
    <s v="Display"/>
    <x v="3"/>
    <s v="Amazon"/>
    <d v="2023-09-23T00:00:00"/>
    <x v="1"/>
    <n v="3905.2513000000017"/>
    <n v="1399368"/>
  </r>
  <r>
    <s v="Biolage"/>
    <s v="Biolage - Brand"/>
    <s v="Display"/>
    <x v="3"/>
    <s v="Amazon"/>
    <d v="2023-09-30T00:00:00"/>
    <x v="1"/>
    <n v="4495.1247000000003"/>
    <n v="1526553"/>
  </r>
  <r>
    <s v="Biolage"/>
    <s v="Biolage - Brand"/>
    <s v="Display"/>
    <x v="3"/>
    <s v="Amazon"/>
    <d v="2023-10-07T00:00:00"/>
    <x v="1"/>
    <n v="12509.161800000007"/>
    <n v="2666402"/>
  </r>
  <r>
    <s v="Biolage"/>
    <s v="Biolage - Brand"/>
    <s v="Display"/>
    <x v="3"/>
    <s v="Amazon"/>
    <d v="2023-10-14T00:00:00"/>
    <x v="1"/>
    <n v="10359.204599999997"/>
    <n v="2687228"/>
  </r>
  <r>
    <s v="Biolage"/>
    <s v="Biolage - Brand"/>
    <s v="Display"/>
    <x v="3"/>
    <s v="Amazon"/>
    <d v="2023-10-21T00:00:00"/>
    <x v="1"/>
    <n v="11201.155500000003"/>
    <n v="2188933"/>
  </r>
  <r>
    <s v="Biolage"/>
    <s v="Biolage - Brand"/>
    <s v="Display"/>
    <x v="3"/>
    <s v="Amazon"/>
    <d v="2023-10-28T00:00:00"/>
    <x v="1"/>
    <n v="9104.0382000000045"/>
    <n v="1583740"/>
  </r>
  <r>
    <s v="Biolage"/>
    <s v="Biolage - Brand"/>
    <s v="Display"/>
    <x v="3"/>
    <s v="Amazon"/>
    <d v="2023-11-04T00:00:00"/>
    <x v="1"/>
    <n v="17611.450000000012"/>
    <n v="9700481"/>
  </r>
  <r>
    <s v="Biolage"/>
    <s v="Biolage - Brand"/>
    <s v="Display"/>
    <x v="3"/>
    <s v="Amazon"/>
    <d v="2023-11-11T00:00:00"/>
    <x v="1"/>
    <n v="28071.213699999989"/>
    <n v="18016432"/>
  </r>
  <r>
    <s v="Biolage"/>
    <s v="Biolage - Brand"/>
    <s v="Display"/>
    <x v="3"/>
    <s v="Amazon"/>
    <d v="2023-11-18T00:00:00"/>
    <x v="1"/>
    <n v="27319.195"/>
    <n v="7845991"/>
  </r>
  <r>
    <s v="Biolage"/>
    <s v="Biolage - Brand"/>
    <s v="Display"/>
    <x v="3"/>
    <s v="Amazon"/>
    <d v="2023-11-25T00:00:00"/>
    <x v="1"/>
    <n v="29288.523599999997"/>
    <n v="6971585"/>
  </r>
  <r>
    <s v="Biolage"/>
    <s v="Biolage - Brand"/>
    <s v="Display"/>
    <x v="3"/>
    <s v="Amazon"/>
    <d v="2023-12-02T00:00:00"/>
    <x v="1"/>
    <n v="41230.403100000032"/>
    <n v="11489214"/>
  </r>
  <r>
    <s v="Biolage"/>
    <s v="Biolage - Brand"/>
    <s v="Display"/>
    <x v="3"/>
    <s v="Amazon"/>
    <d v="2023-12-09T00:00:00"/>
    <x v="1"/>
    <n v="10680.274599999997"/>
    <n v="4448525"/>
  </r>
  <r>
    <s v="Biolage"/>
    <s v="Biolage - Brand"/>
    <s v="Display"/>
    <x v="3"/>
    <s v="Amazon"/>
    <d v="2023-12-16T00:00:00"/>
    <x v="1"/>
    <n v="10862.2312"/>
    <n v="5058276"/>
  </r>
  <r>
    <s v="Biolage"/>
    <s v="Biolage - Brand"/>
    <s v="Display"/>
    <x v="3"/>
    <s v="Amazon"/>
    <d v="2023-12-23T00:00:00"/>
    <x v="1"/>
    <n v="10798.572400000001"/>
    <n v="4917615"/>
  </r>
  <r>
    <s v="Biolage"/>
    <s v="Biolage - Brand"/>
    <s v="Display"/>
    <x v="3"/>
    <s v="Amazon"/>
    <d v="2023-12-30T00:00:00"/>
    <x v="1"/>
    <n v="8072.6683999999996"/>
    <n v="3132194"/>
  </r>
  <r>
    <s v="Biolage"/>
    <s v="Biolage - Brand"/>
    <s v="Display"/>
    <x v="3"/>
    <s v="Amazon"/>
    <d v="2024-01-06T00:00:00"/>
    <x v="1"/>
    <n v="124.20739999999999"/>
    <n v="76277"/>
  </r>
  <r>
    <s v="Biolage"/>
    <s v="Biolage - Brand"/>
    <s v="Display"/>
    <x v="3"/>
    <s v="Amazon"/>
    <d v="2024-01-06T00:00:00"/>
    <x v="2"/>
    <n v="3447.2480999999984"/>
    <n v="1372143"/>
  </r>
  <r>
    <s v="Biolage"/>
    <s v="Biolage - Brand"/>
    <s v="Display"/>
    <x v="3"/>
    <s v="Amazon"/>
    <d v="2024-01-13T00:00:00"/>
    <x v="2"/>
    <n v="5924.3712999999989"/>
    <n v="2686922"/>
  </r>
  <r>
    <s v="Biolage"/>
    <s v="Biolage - Brand"/>
    <s v="Display"/>
    <x v="3"/>
    <s v="Amazon"/>
    <d v="2024-01-20T00:00:00"/>
    <x v="2"/>
    <n v="6083.7089000000005"/>
    <n v="2870413"/>
  </r>
  <r>
    <s v="Biolage"/>
    <s v="Biolage - Brand"/>
    <s v="Display"/>
    <x v="3"/>
    <s v="Amazon"/>
    <d v="2024-01-27T00:00:00"/>
    <x v="2"/>
    <n v="5852.6000000000013"/>
    <n v="2290348"/>
  </r>
  <r>
    <s v="Biolage"/>
    <s v="Biolage - Brand"/>
    <s v="Display"/>
    <x v="3"/>
    <s v="Amazon"/>
    <d v="2024-02-03T00:00:00"/>
    <x v="2"/>
    <n v="1418.1480999999999"/>
    <n v="363387"/>
  </r>
  <r>
    <s v="Biolage"/>
    <s v="Biolage - Brand"/>
    <s v="Display"/>
    <x v="3"/>
    <s v="Amazon"/>
    <d v="2024-02-10T00:00:00"/>
    <x v="2"/>
    <n v="1967.6221000000005"/>
    <n v="223031"/>
  </r>
  <r>
    <s v="Biolage"/>
    <s v="Biolage - Brand"/>
    <s v="Display"/>
    <x v="3"/>
    <s v="Amazon"/>
    <d v="2024-02-17T00:00:00"/>
    <x v="2"/>
    <n v="2036.8693999999998"/>
    <n v="215574"/>
  </r>
  <r>
    <s v="Biolage"/>
    <s v="Biolage - Brand"/>
    <s v="Display"/>
    <x v="3"/>
    <s v="Amazon"/>
    <d v="2024-02-24T00:00:00"/>
    <x v="2"/>
    <n v="3647.9030999999986"/>
    <n v="612872"/>
  </r>
  <r>
    <s v="Biolage"/>
    <s v="Biolage - Brand"/>
    <s v="Display"/>
    <x v="3"/>
    <s v="Amazon"/>
    <d v="2024-03-02T00:00:00"/>
    <x v="2"/>
    <n v="4991.0021999999999"/>
    <n v="1229439"/>
  </r>
  <r>
    <s v="Biolage"/>
    <s v="Biolage - Brand"/>
    <s v="Display"/>
    <x v="3"/>
    <s v="Amazon"/>
    <d v="2024-03-09T00:00:00"/>
    <x v="2"/>
    <n v="5770.9738000000016"/>
    <n v="1132488"/>
  </r>
  <r>
    <s v="Biolage"/>
    <s v="Biolage - Brand"/>
    <s v="Display"/>
    <x v="3"/>
    <s v="Amazon"/>
    <d v="2024-03-16T00:00:00"/>
    <x v="2"/>
    <n v="5836.5745999999972"/>
    <n v="880581"/>
  </r>
  <r>
    <s v="Biolage"/>
    <s v="Biolage - Brand"/>
    <s v="Display"/>
    <x v="3"/>
    <s v="Amazon"/>
    <d v="2024-03-23T00:00:00"/>
    <x v="2"/>
    <n v="5634.7644"/>
    <n v="709220"/>
  </r>
  <r>
    <s v="Biolage"/>
    <s v="Biolage - Brand"/>
    <s v="Display"/>
    <x v="3"/>
    <s v="Amazon"/>
    <d v="2024-03-30T00:00:00"/>
    <x v="2"/>
    <n v="6613.0198000000019"/>
    <n v="1024524"/>
  </r>
  <r>
    <s v="Biolage"/>
    <s v="Biolage - Brand"/>
    <s v="Display"/>
    <x v="3"/>
    <s v="Amazon"/>
    <d v="2024-04-06T00:00:00"/>
    <x v="2"/>
    <n v="6744.3843999999999"/>
    <n v="1138127"/>
  </r>
  <r>
    <s v="Biolage"/>
    <s v="Biolage - Brand"/>
    <s v="Display"/>
    <x v="3"/>
    <s v="Amazon"/>
    <d v="2024-04-13T00:00:00"/>
    <x v="2"/>
    <n v="6043.7695999999996"/>
    <n v="960050"/>
  </r>
  <r>
    <s v="Biolage"/>
    <s v="Biolage - Brand"/>
    <s v="Display"/>
    <x v="3"/>
    <s v="Amazon"/>
    <d v="2024-04-20T00:00:00"/>
    <x v="2"/>
    <n v="1614.7319999999997"/>
    <n v="122785"/>
  </r>
  <r>
    <s v="Biolage"/>
    <s v="Biolage - Brand"/>
    <s v="Display"/>
    <x v="3"/>
    <s v="Amazon"/>
    <d v="2024-04-27T00:00:00"/>
    <x v="2"/>
    <n v="1567.2702999999999"/>
    <n v="121985"/>
  </r>
  <r>
    <s v="Biolage"/>
    <s v="Biolage - Brand"/>
    <s v="Display"/>
    <x v="3"/>
    <s v="Amazon"/>
    <d v="2024-05-04T00:00:00"/>
    <x v="2"/>
    <n v="1731.2059999999999"/>
    <n v="176964"/>
  </r>
  <r>
    <s v="Biolage"/>
    <s v="Biolage - Brand"/>
    <s v="Display"/>
    <x v="3"/>
    <s v="Amazon"/>
    <d v="2024-05-11T00:00:00"/>
    <x v="2"/>
    <n v="1775.6202000000003"/>
    <n v="117085"/>
  </r>
  <r>
    <s v="Biolage"/>
    <s v="Biolage - Brand"/>
    <s v="Display"/>
    <x v="3"/>
    <s v="Amazon"/>
    <d v="2024-05-18T00:00:00"/>
    <x v="2"/>
    <n v="1787.3392000000001"/>
    <n v="110977"/>
  </r>
  <r>
    <s v="Biolage"/>
    <s v="Biolage - Brand"/>
    <s v="Display"/>
    <x v="3"/>
    <s v="Amazon"/>
    <d v="2024-05-25T00:00:00"/>
    <x v="2"/>
    <n v="1788.3779"/>
    <n v="132855"/>
  </r>
  <r>
    <s v="Biolage"/>
    <s v="Biolage - Brand"/>
    <s v="Display"/>
    <x v="3"/>
    <s v="Amazon"/>
    <d v="2024-06-01T00:00:00"/>
    <x v="2"/>
    <n v="3736.6814999999997"/>
    <n v="414969"/>
  </r>
  <r>
    <s v="Biolage"/>
    <s v="Biolage - Brand"/>
    <s v="Display"/>
    <x v="3"/>
    <s v="Amazon"/>
    <d v="2024-06-08T00:00:00"/>
    <x v="2"/>
    <n v="16401.866100000003"/>
    <n v="2936276"/>
  </r>
  <r>
    <s v="Biolage"/>
    <s v="Biolage - Brand"/>
    <s v="Display"/>
    <x v="3"/>
    <s v="Amazon"/>
    <d v="2024-06-15T00:00:00"/>
    <x v="2"/>
    <n v="16643.962999999996"/>
    <n v="3944269"/>
  </r>
  <r>
    <s v="Biolage"/>
    <s v="Biolage - Brand"/>
    <s v="Display"/>
    <x v="3"/>
    <s v="Amazon"/>
    <d v="2024-06-22T00:00:00"/>
    <x v="2"/>
    <n v="16734.409200000002"/>
    <n v="4310264"/>
  </r>
  <r>
    <s v="Biolage"/>
    <s v="Biolage - Brand"/>
    <s v="Display"/>
    <x v="3"/>
    <s v="Amazon"/>
    <d v="2024-06-29T00:00:00"/>
    <x v="2"/>
    <n v="15599.232"/>
    <n v="3554503"/>
  </r>
  <r>
    <s v="Biolage"/>
    <s v="Biolage - Brand"/>
    <s v="Display"/>
    <x v="3"/>
    <s v="Amazon"/>
    <d v="2024-07-06T00:00:00"/>
    <x v="2"/>
    <n v="18503.618600000009"/>
    <n v="4473512"/>
  </r>
  <r>
    <s v="Biolage"/>
    <s v="Biolage - Brand"/>
    <s v="Display"/>
    <x v="3"/>
    <s v="Amazon"/>
    <d v="2024-07-13T00:00:00"/>
    <x v="2"/>
    <n v="19340.006600000012"/>
    <n v="4631748"/>
  </r>
  <r>
    <s v="Biolage"/>
    <s v="Biolage - Brand"/>
    <s v="Display"/>
    <x v="3"/>
    <s v="Amazon"/>
    <d v="2024-07-20T00:00:00"/>
    <x v="2"/>
    <n v="40342.340600000003"/>
    <n v="8721859"/>
  </r>
  <r>
    <s v="Biolage"/>
    <s v="Biolage - Brand"/>
    <s v="Display"/>
    <x v="3"/>
    <s v="Amazon"/>
    <d v="2024-07-27T00:00:00"/>
    <x v="2"/>
    <n v="11731.0458"/>
    <n v="5503471"/>
  </r>
  <r>
    <s v="Biolage"/>
    <s v="Biolage - Brand"/>
    <s v="Display"/>
    <x v="3"/>
    <s v="Amazon"/>
    <d v="2024-08-03T00:00:00"/>
    <x v="2"/>
    <n v="9154.9514000000017"/>
    <n v="4964764"/>
  </r>
  <r>
    <s v="Biolage"/>
    <s v="Biolage - Brand"/>
    <s v="Display"/>
    <x v="3"/>
    <s v="Amazon"/>
    <d v="2024-08-10T00:00:00"/>
    <x v="2"/>
    <n v="4549.4023000000016"/>
    <n v="2102950"/>
  </r>
  <r>
    <s v="Biolage"/>
    <s v="Biolage - Brand"/>
    <s v="Display"/>
    <x v="3"/>
    <s v="Amazon"/>
    <d v="2024-08-17T00:00:00"/>
    <x v="2"/>
    <n v="4461.0186999999987"/>
    <n v="2685435"/>
  </r>
  <r>
    <s v="Biolage"/>
    <s v="Biolage - Brand"/>
    <s v="Display"/>
    <x v="3"/>
    <s v="Amazon"/>
    <d v="2024-08-24T00:00:00"/>
    <x v="2"/>
    <n v="4550.1957999999995"/>
    <n v="2716060"/>
  </r>
  <r>
    <s v="Biolage"/>
    <s v="Biolage - Brand"/>
    <s v="Display"/>
    <x v="3"/>
    <s v="Amazon"/>
    <d v="2024-08-31T00:00:00"/>
    <x v="2"/>
    <n v="4346.8267999999998"/>
    <n v="2573064"/>
  </r>
  <r>
    <s v="Biolage"/>
    <s v="Biolage - Brand"/>
    <s v="Display"/>
    <x v="3"/>
    <s v="Amazon"/>
    <d v="2024-09-07T00:00:00"/>
    <x v="2"/>
    <n v="1409.1728999999998"/>
    <n v="888115"/>
  </r>
  <r>
    <s v="Biolage"/>
    <s v="Biolage - Brand"/>
    <s v="Display"/>
    <x v="3"/>
    <s v="Amazon"/>
    <d v="2024-09-14T00:00:00"/>
    <x v="2"/>
    <n v="1432.1981000000003"/>
    <n v="916953"/>
  </r>
  <r>
    <s v="Biolage"/>
    <s v="Biolage - Brand"/>
    <s v="Display"/>
    <x v="3"/>
    <s v="Amazon"/>
    <d v="2024-09-21T00:00:00"/>
    <x v="2"/>
    <n v="1428.1926000000001"/>
    <n v="953819"/>
  </r>
  <r>
    <s v="Biolage"/>
    <s v="Biolage - Brand"/>
    <s v="Display"/>
    <x v="3"/>
    <s v="Amazon"/>
    <d v="2024-09-28T00:00:00"/>
    <x v="2"/>
    <n v="1400.7916000000002"/>
    <n v="865026"/>
  </r>
  <r>
    <s v="Biolage"/>
    <s v="Biolage - Brand"/>
    <s v="Display"/>
    <x v="3"/>
    <s v="Amazon"/>
    <d v="2024-10-05T00:00:00"/>
    <x v="2"/>
    <n v="2078.8935000000006"/>
    <n v="637467"/>
  </r>
  <r>
    <s v="Biolage"/>
    <s v="Biolage - Brand"/>
    <s v="Display"/>
    <x v="3"/>
    <s v="Amazon"/>
    <d v="2024-10-12T00:00:00"/>
    <x v="2"/>
    <n v="10842.368600000003"/>
    <n v="3962096"/>
  </r>
  <r>
    <s v="Biolage"/>
    <s v="Biolage - Brand"/>
    <s v="Display"/>
    <x v="3"/>
    <s v="Amazon"/>
    <d v="2024-10-19T00:00:00"/>
    <x v="2"/>
    <n v="4476.2005000000008"/>
    <n v="2631002"/>
  </r>
  <r>
    <s v="Biolage"/>
    <s v="Biolage - Brand"/>
    <s v="Display"/>
    <x v="3"/>
    <s v="Amazon"/>
    <d v="2024-10-26T00:00:00"/>
    <x v="2"/>
    <n v="4163.9141"/>
    <n v="2549554"/>
  </r>
  <r>
    <s v="Biolage"/>
    <s v="Biolage - Brand"/>
    <s v="Display"/>
    <x v="3"/>
    <s v="Amazon"/>
    <d v="2024-11-02T00:00:00"/>
    <x v="2"/>
    <n v="3867.0521999999992"/>
    <n v="2307032"/>
  </r>
  <r>
    <s v="Biolage"/>
    <s v="Biolage - Brand"/>
    <s v="Display"/>
    <x v="3"/>
    <s v="Amazon"/>
    <d v="2024-11-09T00:00:00"/>
    <x v="2"/>
    <n v="10078.4306"/>
    <n v="4054650"/>
  </r>
  <r>
    <s v="Biolage"/>
    <s v="Biolage - Brand"/>
    <s v="Display"/>
    <x v="3"/>
    <s v="Amazon"/>
    <d v="2024-11-16T00:00:00"/>
    <x v="2"/>
    <n v="11786.932400000009"/>
    <n v="2975283"/>
  </r>
  <r>
    <s v="Biolage"/>
    <s v="Biolage - Brand"/>
    <s v="Display"/>
    <x v="3"/>
    <s v="Amazon"/>
    <d v="2024-11-23T00:00:00"/>
    <x v="2"/>
    <n v="11663.030000000006"/>
    <n v="2596165"/>
  </r>
  <r>
    <s v="Biolage"/>
    <s v="Biolage - Brand"/>
    <s v="Display"/>
    <x v="3"/>
    <s v="Amazon"/>
    <d v="2024-11-30T00:00:00"/>
    <x v="2"/>
    <n v="44117.349600000016"/>
    <n v="11112375"/>
  </r>
  <r>
    <s v="Biolage"/>
    <s v="Biolage - Brand"/>
    <s v="Display"/>
    <x v="3"/>
    <s v="Amazon"/>
    <d v="2024-12-07T00:00:00"/>
    <x v="2"/>
    <n v="27867.296399999999"/>
    <n v="8807869"/>
  </r>
  <r>
    <s v="Biolage"/>
    <s v="Biolage - Brand"/>
    <s v="Display"/>
    <x v="3"/>
    <s v="Amazon"/>
    <d v="2024-12-14T00:00:00"/>
    <x v="2"/>
    <n v="5217.2730000000001"/>
    <n v="3287481"/>
  </r>
  <r>
    <s v="Biolage"/>
    <s v="Biolage - Brand"/>
    <s v="Display"/>
    <x v="3"/>
    <s v="Amazon"/>
    <d v="2024-12-21T00:00:00"/>
    <x v="2"/>
    <n v="5197.3759"/>
    <n v="3300364"/>
  </r>
  <r>
    <s v="Biolage"/>
    <s v="Biolage - Brand"/>
    <s v="Display"/>
    <x v="3"/>
    <s v="Amazon"/>
    <d v="2024-12-28T00:00:00"/>
    <x v="2"/>
    <n v="5185.8923999999988"/>
    <n v="3506993"/>
  </r>
  <r>
    <s v="Biolage"/>
    <s v="Biolage - Brand"/>
    <s v="Display"/>
    <x v="3"/>
    <s v="Amazon"/>
    <d v="2025-01-04T00:00:00"/>
    <x v="2"/>
    <n v="1711.2711999999995"/>
    <n v="1262835"/>
  </r>
  <r>
    <s v="Biolage"/>
    <s v="Biolage - Brand"/>
    <s v="Display"/>
    <x v="3"/>
    <s v="Amazon"/>
    <d v="2025-01-04T00:00:00"/>
    <x v="0"/>
    <n v="988.49480000000005"/>
    <n v="743456"/>
  </r>
  <r>
    <s v="Biolage"/>
    <s v="Biolage - Brand"/>
    <s v="Display"/>
    <x v="3"/>
    <s v="Amazon"/>
    <d v="2025-01-11T00:00:00"/>
    <x v="0"/>
    <n v="1757.7065"/>
    <n v="1306162"/>
  </r>
  <r>
    <s v="Biolage"/>
    <s v="Biolage - Brand"/>
    <s v="Display"/>
    <x v="3"/>
    <s v="Amazon"/>
    <d v="2025-01-18T00:00:00"/>
    <x v="0"/>
    <n v="1759.4276000000002"/>
    <n v="1289454"/>
  </r>
  <r>
    <s v="Biolage"/>
    <s v="Biolage - Brand"/>
    <s v="Display"/>
    <x v="3"/>
    <s v="Amazon"/>
    <d v="2025-01-25T00:00:00"/>
    <x v="0"/>
    <n v="1755.7918"/>
    <n v="1314997"/>
  </r>
  <r>
    <s v="Biolage"/>
    <s v="Biolage - Brand"/>
    <s v="Display"/>
    <x v="3"/>
    <s v="Amazon"/>
    <d v="2025-02-01T00:00:00"/>
    <x v="0"/>
    <n v="1598.4122999999997"/>
    <n v="1193311"/>
  </r>
  <r>
    <s v="Biolage"/>
    <s v="Biolage - Brand"/>
    <s v="Display"/>
    <x v="3"/>
    <s v="Amazon"/>
    <d v="2025-02-08T00:00:00"/>
    <x v="0"/>
    <n v="2101.4010000000003"/>
    <n v="1554426"/>
  </r>
  <r>
    <s v="Biolage"/>
    <s v="Biolage - Brand"/>
    <s v="Display"/>
    <x v="3"/>
    <s v="Amazon"/>
    <d v="2025-02-15T00:00:00"/>
    <x v="0"/>
    <n v="2128.8376999999996"/>
    <n v="1518048"/>
  </r>
  <r>
    <s v="Biolage"/>
    <s v="Biolage - Brand"/>
    <s v="Display"/>
    <x v="3"/>
    <s v="Amazon"/>
    <d v="2025-02-22T00:00:00"/>
    <x v="0"/>
    <n v="2135.8888999999999"/>
    <n v="1288906"/>
  </r>
  <r>
    <s v="Biolage"/>
    <s v="Biolage - Brand"/>
    <s v="Display"/>
    <x v="3"/>
    <s v="Amazon"/>
    <d v="2025-03-01T00:00:00"/>
    <x v="0"/>
    <n v="1759.0863999999999"/>
    <n v="152196"/>
  </r>
  <r>
    <s v="Biolage"/>
    <s v="Biolage - Brand"/>
    <s v="Display"/>
    <x v="3"/>
    <s v="Amazon"/>
    <d v="2025-03-08T00:00:00"/>
    <x v="0"/>
    <n v="1678.5273999999999"/>
    <n v="141641"/>
  </r>
  <r>
    <s v="Biolage"/>
    <s v="Biolage - Brand"/>
    <s v="Display"/>
    <x v="3"/>
    <s v="Amazon"/>
    <d v="2025-03-15T00:00:00"/>
    <x v="0"/>
    <n v="1920.0640000000001"/>
    <n v="172241"/>
  </r>
  <r>
    <s v="Biolage"/>
    <s v="Biolage - Brand"/>
    <s v="Display"/>
    <x v="3"/>
    <s v="Amazon"/>
    <d v="2025-03-22T00:00:00"/>
    <x v="0"/>
    <n v="1920.2330999999999"/>
    <n v="158637"/>
  </r>
  <r>
    <s v="Biolage"/>
    <s v="Biolage - Brand"/>
    <s v="Display"/>
    <x v="3"/>
    <s v="Amazon"/>
    <d v="2025-03-29T00:00:00"/>
    <x v="0"/>
    <n v="1932.2510999999997"/>
    <n v="141295"/>
  </r>
  <r>
    <s v="Biolage"/>
    <s v="Biolage - Brand"/>
    <s v="Display"/>
    <x v="3"/>
    <s v="Amazon"/>
    <d v="2025-04-05T00:00:00"/>
    <x v="0"/>
    <n v="1631.0289"/>
    <n v="160879"/>
  </r>
  <r>
    <s v="Biolage"/>
    <s v="Biolage - Brand"/>
    <s v="Display"/>
    <x v="3"/>
    <s v="Amazon"/>
    <d v="2025-04-12T00:00:00"/>
    <x v="0"/>
    <n v="1826.5108"/>
    <n v="244107"/>
  </r>
  <r>
    <s v="Biolage"/>
    <s v="Biolage - Brand"/>
    <s v="Display"/>
    <x v="3"/>
    <s v="Amazon"/>
    <d v="2025-04-19T00:00:00"/>
    <x v="0"/>
    <n v="1816.3647999999998"/>
    <n v="260773"/>
  </r>
  <r>
    <s v="Biolage"/>
    <s v="Biolage - Brand"/>
    <s v="Display"/>
    <x v="3"/>
    <s v="Amazon"/>
    <d v="2025-04-26T00:00:00"/>
    <x v="0"/>
    <n v="1835.7950999999998"/>
    <n v="237395"/>
  </r>
  <r>
    <s v="Biolage"/>
    <s v="Biolage - Brand"/>
    <s v="Display"/>
    <x v="3"/>
    <s v="Amazon"/>
    <d v="2025-05-03T00:00:00"/>
    <x v="0"/>
    <n v="1593.8263000000002"/>
    <n v="249500"/>
  </r>
  <r>
    <s v="Biolage"/>
    <s v="Biolage - Brand"/>
    <s v="Display"/>
    <x v="3"/>
    <s v="Amazon"/>
    <d v="2025-05-10T00:00:00"/>
    <x v="0"/>
    <n v="1781.6534000000001"/>
    <n v="281602"/>
  </r>
  <r>
    <s v="Biolage"/>
    <s v="Biolage - Brand"/>
    <s v="Display"/>
    <x v="3"/>
    <s v="Amazon"/>
    <d v="2025-05-17T00:00:00"/>
    <x v="0"/>
    <n v="1811.604"/>
    <n v="275084"/>
  </r>
  <r>
    <s v="Biolage"/>
    <s v="Biolage - Brand"/>
    <s v="Display"/>
    <x v="3"/>
    <s v="Amazon"/>
    <d v="2025-05-24T00:00:00"/>
    <x v="0"/>
    <n v="1781.5704000000001"/>
    <n v="236495"/>
  </r>
  <r>
    <s v="Biolage"/>
    <s v="Biolage - Brand"/>
    <s v="Display"/>
    <x v="3"/>
    <s v="Amazon"/>
    <d v="2025-05-31T00:00:00"/>
    <x v="0"/>
    <n v="1606.3448999999998"/>
    <n v="197920"/>
  </r>
  <r>
    <s v="Biolage"/>
    <s v="Biolage - Brand"/>
    <s v="Display"/>
    <x v="3"/>
    <s v="Amazon"/>
    <d v="2025-06-07T00:00:00"/>
    <x v="0"/>
    <n v="9534.2357999999986"/>
    <n v="5864470"/>
  </r>
  <r>
    <s v="Biolage"/>
    <s v="Biolage - Brand"/>
    <s v="Display"/>
    <x v="3"/>
    <s v="Amazon"/>
    <d v="2025-06-14T00:00:00"/>
    <x v="0"/>
    <n v="9786.4768999999997"/>
    <n v="5996019"/>
  </r>
  <r>
    <s v="Biolage"/>
    <s v="Biolage - Brand"/>
    <s v="Display"/>
    <x v="3"/>
    <s v="Amazon"/>
    <d v="2025-06-21T00:00:00"/>
    <x v="0"/>
    <n v="9828.9657999999999"/>
    <n v="5346268"/>
  </r>
  <r>
    <s v="Biolage"/>
    <s v="Biolage - Brand"/>
    <s v="Display"/>
    <x v="3"/>
    <s v="Amazon"/>
    <d v="2025-06-28T00:00:00"/>
    <x v="0"/>
    <n v="8438.7793999999994"/>
    <n v="3191834"/>
  </r>
  <r>
    <s v="Biolage"/>
    <s v="Biolage - Brand"/>
    <s v="OTT"/>
    <x v="3"/>
    <s v="Amazon"/>
    <d v="2024-06-15T00:00:00"/>
    <x v="2"/>
    <n v="273.60270000000003"/>
    <n v="89824"/>
  </r>
  <r>
    <s v="Biolage"/>
    <s v="Biolage - Brand"/>
    <s v="OTT"/>
    <x v="3"/>
    <s v="Amazon"/>
    <d v="2024-06-22T00:00:00"/>
    <x v="2"/>
    <n v="1784.9059999999999"/>
    <n v="585831"/>
  </r>
  <r>
    <s v="Biolage"/>
    <s v="Biolage - Brand"/>
    <s v="OTT"/>
    <x v="3"/>
    <s v="Amazon"/>
    <d v="2024-06-29T00:00:00"/>
    <x v="2"/>
    <n v="1749.7381"/>
    <n v="575098"/>
  </r>
  <r>
    <s v="Biolage"/>
    <s v="Biolage - Brand"/>
    <s v="OTT"/>
    <x v="3"/>
    <s v="Amazon"/>
    <d v="2024-07-06T00:00:00"/>
    <x v="2"/>
    <n v="1723.3786000000002"/>
    <n v="566050"/>
  </r>
  <r>
    <s v="Biolage"/>
    <s v="Biolage - Brand"/>
    <s v="OTT"/>
    <x v="3"/>
    <s v="Amazon"/>
    <d v="2024-07-13T00:00:00"/>
    <x v="2"/>
    <n v="1774.6779000000001"/>
    <n v="583104"/>
  </r>
  <r>
    <s v="Biolage"/>
    <s v="Biolage - Brand"/>
    <s v="OTT"/>
    <x v="3"/>
    <s v="Amazon"/>
    <d v="2024-07-20T00:00:00"/>
    <x v="2"/>
    <n v="1821.8292000000001"/>
    <n v="591250"/>
  </r>
  <r>
    <s v="Biolage"/>
    <s v="Biolage - Brand"/>
    <s v="OTT"/>
    <x v="3"/>
    <s v="Amazon"/>
    <d v="2024-07-27T00:00:00"/>
    <x v="2"/>
    <n v="1789.8894"/>
    <n v="588605"/>
  </r>
  <r>
    <s v="Biolage"/>
    <s v="Biolage - Brand"/>
    <s v="OTT"/>
    <x v="3"/>
    <s v="Amazon"/>
    <d v="2024-08-03T00:00:00"/>
    <x v="2"/>
    <n v="688.82029999999997"/>
    <n v="227086"/>
  </r>
  <r>
    <s v="Biolage"/>
    <s v="Biolage - Brand"/>
    <s v="OTT"/>
    <x v="3"/>
    <s v="Amazon"/>
    <d v="2025-05-03T00:00:00"/>
    <x v="0"/>
    <n v="8507.5246000000006"/>
    <n v="777792"/>
  </r>
  <r>
    <s v="Biolage"/>
    <s v="Biolage - Brand"/>
    <s v="OTT"/>
    <x v="3"/>
    <s v="Amazon"/>
    <d v="2025-05-10T00:00:00"/>
    <x v="0"/>
    <n v="22785.651300000005"/>
    <n v="2619662"/>
  </r>
  <r>
    <s v="Biolage"/>
    <s v="Biolage - Brand"/>
    <s v="OTT"/>
    <x v="3"/>
    <s v="Amazon"/>
    <d v="2025-05-17T00:00:00"/>
    <x v="0"/>
    <n v="24157.396700000001"/>
    <n v="2716818"/>
  </r>
  <r>
    <s v="Biolage"/>
    <s v="Biolage - Brand"/>
    <s v="OTT"/>
    <x v="3"/>
    <s v="Amazon"/>
    <d v="2025-05-24T00:00:00"/>
    <x v="0"/>
    <n v="24013.282599999995"/>
    <n v="2839878"/>
  </r>
  <r>
    <s v="Biolage"/>
    <s v="Biolage - Brand"/>
    <s v="OTT"/>
    <x v="3"/>
    <s v="Amazon"/>
    <d v="2025-05-31T00:00:00"/>
    <x v="0"/>
    <n v="44444.99629999997"/>
    <n v="3834368"/>
  </r>
  <r>
    <s v="Biolage"/>
    <s v="Biolage - Brand"/>
    <s v="OTT"/>
    <x v="3"/>
    <s v="Amazon"/>
    <d v="2025-06-07T00:00:00"/>
    <x v="0"/>
    <n v="41723.29730000002"/>
    <n v="3529942"/>
  </r>
  <r>
    <s v="Biolage"/>
    <s v="Biolage - Brand"/>
    <s v="OTT"/>
    <x v="3"/>
    <s v="Amazon"/>
    <d v="2025-06-14T00:00:00"/>
    <x v="0"/>
    <n v="32770.593000000023"/>
    <n v="2809293"/>
  </r>
  <r>
    <s v="Biolage"/>
    <s v="Biolage - Brand"/>
    <s v="OTT"/>
    <x v="3"/>
    <s v="Amazon"/>
    <d v="2025-06-21T00:00:00"/>
    <x v="0"/>
    <n v="25464.323799999987"/>
    <n v="2070293"/>
  </r>
  <r>
    <s v="Biolage"/>
    <s v="Biolage - Brand"/>
    <s v="OTT"/>
    <x v="3"/>
    <s v="Amazon"/>
    <d v="2025-06-28T00:00:00"/>
    <x v="0"/>
    <n v="18826.381600000001"/>
    <n v="1483029"/>
  </r>
  <r>
    <s v="Biolage"/>
    <s v="Biolage - Brand"/>
    <s v="Search"/>
    <x v="3"/>
    <s v="Amazon"/>
    <d v="2023-07-01T00:00:00"/>
    <x v="1"/>
    <n v="2394.65"/>
    <n v="231909"/>
  </r>
  <r>
    <s v="Biolage"/>
    <s v="Biolage - Brand"/>
    <s v="Search"/>
    <x v="3"/>
    <s v="Amazon"/>
    <d v="2023-07-08T00:00:00"/>
    <x v="1"/>
    <n v="17444.350000000006"/>
    <n v="1941689"/>
  </r>
  <r>
    <s v="Biolage"/>
    <s v="Biolage - Brand"/>
    <s v="Search"/>
    <x v="3"/>
    <s v="Amazon"/>
    <d v="2023-07-15T00:00:00"/>
    <x v="1"/>
    <n v="74943.300000000017"/>
    <n v="4749934"/>
  </r>
  <r>
    <s v="Biolage"/>
    <s v="Biolage - Brand"/>
    <s v="Search"/>
    <x v="3"/>
    <s v="Amazon"/>
    <d v="2023-07-22T00:00:00"/>
    <x v="1"/>
    <n v="13233.259999999998"/>
    <n v="3110099"/>
  </r>
  <r>
    <s v="Biolage"/>
    <s v="Biolage - Brand"/>
    <s v="Search"/>
    <x v="3"/>
    <s v="Amazon"/>
    <d v="2023-07-29T00:00:00"/>
    <x v="1"/>
    <n v="22424.630000000005"/>
    <n v="4265016"/>
  </r>
  <r>
    <s v="Biolage"/>
    <s v="Biolage - Brand"/>
    <s v="Search"/>
    <x v="3"/>
    <s v="Amazon"/>
    <d v="2023-08-05T00:00:00"/>
    <x v="1"/>
    <n v="19160.000000000015"/>
    <n v="3578089"/>
  </r>
  <r>
    <s v="Biolage"/>
    <s v="Biolage - Brand"/>
    <s v="Search"/>
    <x v="3"/>
    <s v="Amazon"/>
    <d v="2023-08-12T00:00:00"/>
    <x v="1"/>
    <n v="7393.9799999999977"/>
    <n v="2038179"/>
  </r>
  <r>
    <s v="Biolage"/>
    <s v="Biolage - Brand"/>
    <s v="Search"/>
    <x v="3"/>
    <s v="Amazon"/>
    <d v="2023-08-19T00:00:00"/>
    <x v="1"/>
    <n v="2508.8700000000003"/>
    <n v="891382"/>
  </r>
  <r>
    <s v="Biolage"/>
    <s v="Biolage - Brand"/>
    <s v="Search"/>
    <x v="3"/>
    <s v="Amazon"/>
    <d v="2023-08-26T00:00:00"/>
    <x v="1"/>
    <n v="1923.2099999999998"/>
    <n v="543927"/>
  </r>
  <r>
    <s v="Biolage"/>
    <s v="Biolage - Brand"/>
    <s v="Search"/>
    <x v="3"/>
    <s v="Amazon"/>
    <d v="2023-09-02T00:00:00"/>
    <x v="1"/>
    <n v="2192.1400000000003"/>
    <n v="640415"/>
  </r>
  <r>
    <s v="Biolage"/>
    <s v="Biolage - Brand"/>
    <s v="Search"/>
    <x v="3"/>
    <s v="Amazon"/>
    <d v="2023-09-09T00:00:00"/>
    <x v="1"/>
    <n v="2109.2899999999995"/>
    <n v="598304"/>
  </r>
  <r>
    <s v="Biolage"/>
    <s v="Biolage - Brand"/>
    <s v="Search"/>
    <x v="3"/>
    <s v="Amazon"/>
    <d v="2023-09-16T00:00:00"/>
    <x v="1"/>
    <n v="2960.1799999999994"/>
    <n v="587208"/>
  </r>
  <r>
    <s v="Biolage"/>
    <s v="Biolage - Brand"/>
    <s v="Search"/>
    <x v="3"/>
    <s v="Amazon"/>
    <d v="2023-09-23T00:00:00"/>
    <x v="1"/>
    <n v="3158.5"/>
    <n v="636873"/>
  </r>
  <r>
    <s v="Biolage"/>
    <s v="Biolage - Brand"/>
    <s v="Search"/>
    <x v="3"/>
    <s v="Amazon"/>
    <d v="2023-09-30T00:00:00"/>
    <x v="1"/>
    <n v="2960.0099999999993"/>
    <n v="767431"/>
  </r>
  <r>
    <s v="Biolage"/>
    <s v="Biolage - Brand"/>
    <s v="Search"/>
    <x v="3"/>
    <s v="Amazon"/>
    <d v="2023-10-07T00:00:00"/>
    <x v="1"/>
    <n v="3689.5800000000004"/>
    <n v="996228"/>
  </r>
  <r>
    <s v="Biolage"/>
    <s v="Biolage - Brand"/>
    <s v="Search"/>
    <x v="3"/>
    <s v="Amazon"/>
    <d v="2023-10-14T00:00:00"/>
    <x v="1"/>
    <n v="3223.619999999999"/>
    <n v="878800"/>
  </r>
  <r>
    <s v="Biolage"/>
    <s v="Biolage - Brand"/>
    <s v="Search"/>
    <x v="3"/>
    <s v="Amazon"/>
    <d v="2023-10-21T00:00:00"/>
    <x v="1"/>
    <n v="2736.4500000000003"/>
    <n v="756233"/>
  </r>
  <r>
    <s v="Biolage"/>
    <s v="Biolage - Brand"/>
    <s v="Search"/>
    <x v="3"/>
    <s v="Amazon"/>
    <d v="2023-10-28T00:00:00"/>
    <x v="1"/>
    <n v="2533.7199999999993"/>
    <n v="647063"/>
  </r>
  <r>
    <s v="Biolage"/>
    <s v="Biolage - Brand"/>
    <s v="Search"/>
    <x v="3"/>
    <s v="Amazon"/>
    <d v="2023-11-04T00:00:00"/>
    <x v="1"/>
    <n v="2880.27"/>
    <n v="748646"/>
  </r>
  <r>
    <s v="Biolage"/>
    <s v="Biolage - Brand"/>
    <s v="Search"/>
    <x v="3"/>
    <s v="Amazon"/>
    <d v="2023-11-11T00:00:00"/>
    <x v="1"/>
    <n v="2691.41"/>
    <n v="834724"/>
  </r>
  <r>
    <s v="Biolage"/>
    <s v="Biolage - Brand"/>
    <s v="Search"/>
    <x v="3"/>
    <s v="Amazon"/>
    <d v="2023-11-18T00:00:00"/>
    <x v="1"/>
    <n v="3632.3299999999995"/>
    <n v="944984"/>
  </r>
  <r>
    <s v="Biolage"/>
    <s v="Biolage - Brand"/>
    <s v="Search"/>
    <x v="3"/>
    <s v="Amazon"/>
    <d v="2023-11-25T00:00:00"/>
    <x v="1"/>
    <n v="33483.25999999998"/>
    <n v="3741647"/>
  </r>
  <r>
    <s v="Biolage"/>
    <s v="Biolage - Brand"/>
    <s v="Search"/>
    <x v="3"/>
    <s v="Amazon"/>
    <d v="2023-12-02T00:00:00"/>
    <x v="1"/>
    <n v="11963.440000000002"/>
    <n v="2234271"/>
  </r>
  <r>
    <s v="Biolage"/>
    <s v="Biolage - Brand"/>
    <s v="Search"/>
    <x v="3"/>
    <s v="Amazon"/>
    <d v="2023-12-09T00:00:00"/>
    <x v="1"/>
    <n v="3882.2400000000007"/>
    <n v="1053125"/>
  </r>
  <r>
    <s v="Biolage"/>
    <s v="Biolage - Brand"/>
    <s v="Search"/>
    <x v="3"/>
    <s v="Amazon"/>
    <d v="2023-12-16T00:00:00"/>
    <x v="1"/>
    <n v="2533.8599999999988"/>
    <n v="936669"/>
  </r>
  <r>
    <s v="Biolage"/>
    <s v="Biolage - Brand"/>
    <s v="Search"/>
    <x v="3"/>
    <s v="Amazon"/>
    <d v="2023-12-23T00:00:00"/>
    <x v="1"/>
    <n v="1970.0999999999995"/>
    <n v="729325"/>
  </r>
  <r>
    <s v="Biolage"/>
    <s v="Biolage - Brand"/>
    <s v="Search"/>
    <x v="3"/>
    <s v="Amazon"/>
    <d v="2023-12-30T00:00:00"/>
    <x v="1"/>
    <n v="2159.1"/>
    <n v="742031"/>
  </r>
  <r>
    <s v="Biolage"/>
    <s v="Biolage - Brand"/>
    <s v="Search"/>
    <x v="3"/>
    <s v="Amazon"/>
    <d v="2024-01-06T00:00:00"/>
    <x v="2"/>
    <n v="1741.8099999999993"/>
    <n v="587877"/>
  </r>
  <r>
    <s v="Biolage"/>
    <s v="Biolage - Brand"/>
    <s v="Search"/>
    <x v="3"/>
    <s v="Amazon"/>
    <d v="2024-01-13T00:00:00"/>
    <x v="2"/>
    <n v="3524.4099999999989"/>
    <n v="823337"/>
  </r>
  <r>
    <s v="Biolage"/>
    <s v="Biolage - Brand"/>
    <s v="Search"/>
    <x v="3"/>
    <s v="Amazon"/>
    <d v="2024-01-20T00:00:00"/>
    <x v="2"/>
    <n v="5343.2799999999988"/>
    <n v="1192487"/>
  </r>
  <r>
    <s v="Biolage"/>
    <s v="Biolage - Brand"/>
    <s v="Search"/>
    <x v="3"/>
    <s v="Amazon"/>
    <d v="2024-01-27T00:00:00"/>
    <x v="2"/>
    <n v="5506.5200000000013"/>
    <n v="1373191"/>
  </r>
  <r>
    <s v="Biolage"/>
    <s v="Biolage - Brand"/>
    <s v="Search"/>
    <x v="3"/>
    <s v="Amazon"/>
    <d v="2024-02-03T00:00:00"/>
    <x v="2"/>
    <n v="5538.95"/>
    <n v="1398991"/>
  </r>
  <r>
    <s v="Biolage"/>
    <s v="Biolage - Brand"/>
    <s v="Search"/>
    <x v="3"/>
    <s v="Amazon"/>
    <d v="2024-02-10T00:00:00"/>
    <x v="2"/>
    <n v="6281.57"/>
    <n v="1398207"/>
  </r>
  <r>
    <s v="Biolage"/>
    <s v="Biolage - Brand"/>
    <s v="Search"/>
    <x v="3"/>
    <s v="Amazon"/>
    <d v="2024-02-17T00:00:00"/>
    <x v="2"/>
    <n v="6080.07"/>
    <n v="1447147"/>
  </r>
  <r>
    <s v="Biolage"/>
    <s v="Biolage - Brand"/>
    <s v="Search"/>
    <x v="3"/>
    <s v="Amazon"/>
    <d v="2024-02-24T00:00:00"/>
    <x v="2"/>
    <n v="5273.43"/>
    <n v="1208131"/>
  </r>
  <r>
    <s v="Biolage"/>
    <s v="Biolage - Brand"/>
    <s v="Search"/>
    <x v="3"/>
    <s v="Amazon"/>
    <d v="2024-03-02T00:00:00"/>
    <x v="2"/>
    <n v="5531.4299999999976"/>
    <n v="1227380"/>
  </r>
  <r>
    <s v="Biolage"/>
    <s v="Biolage - Brand"/>
    <s v="Search"/>
    <x v="3"/>
    <s v="Amazon"/>
    <d v="2024-03-09T00:00:00"/>
    <x v="2"/>
    <n v="5769.7199999999975"/>
    <n v="1177415"/>
  </r>
  <r>
    <s v="Biolage"/>
    <s v="Biolage - Brand"/>
    <s v="Search"/>
    <x v="3"/>
    <s v="Amazon"/>
    <d v="2024-03-16T00:00:00"/>
    <x v="2"/>
    <n v="4432.1699999999983"/>
    <n v="1043795"/>
  </r>
  <r>
    <s v="Biolage"/>
    <s v="Biolage - Brand"/>
    <s v="Search"/>
    <x v="3"/>
    <s v="Amazon"/>
    <d v="2024-03-23T00:00:00"/>
    <x v="2"/>
    <n v="4541.9400000000032"/>
    <n v="1160569"/>
  </r>
  <r>
    <s v="Biolage"/>
    <s v="Biolage - Brand"/>
    <s v="Search"/>
    <x v="3"/>
    <s v="Amazon"/>
    <d v="2024-03-30T00:00:00"/>
    <x v="2"/>
    <n v="4921.8"/>
    <n v="1286059"/>
  </r>
  <r>
    <s v="Biolage"/>
    <s v="Biolage - Brand"/>
    <s v="Search"/>
    <x v="3"/>
    <s v="Amazon"/>
    <d v="2024-04-06T00:00:00"/>
    <x v="2"/>
    <n v="5490.9500000000007"/>
    <n v="1266479"/>
  </r>
  <r>
    <s v="Biolage"/>
    <s v="Biolage - Brand"/>
    <s v="Search"/>
    <x v="3"/>
    <s v="Amazon"/>
    <d v="2024-04-13T00:00:00"/>
    <x v="2"/>
    <n v="4850.5599999999995"/>
    <n v="1130461"/>
  </r>
  <r>
    <s v="Biolage"/>
    <s v="Biolage - Brand"/>
    <s v="Search"/>
    <x v="3"/>
    <s v="Amazon"/>
    <d v="2024-04-20T00:00:00"/>
    <x v="2"/>
    <n v="7549.5599999999995"/>
    <n v="1476595"/>
  </r>
  <r>
    <s v="Biolage"/>
    <s v="Biolage - Brand"/>
    <s v="Search"/>
    <x v="3"/>
    <s v="Amazon"/>
    <d v="2024-04-27T00:00:00"/>
    <x v="2"/>
    <n v="8397.2800000000007"/>
    <n v="1732118"/>
  </r>
  <r>
    <s v="Biolage"/>
    <s v="Biolage - Brand"/>
    <s v="Search"/>
    <x v="3"/>
    <s v="Amazon"/>
    <d v="2024-05-04T00:00:00"/>
    <x v="2"/>
    <n v="9702.5100000000039"/>
    <n v="1948963"/>
  </r>
  <r>
    <s v="Biolage"/>
    <s v="Biolage - Brand"/>
    <s v="Search"/>
    <x v="3"/>
    <s v="Amazon"/>
    <d v="2024-05-11T00:00:00"/>
    <x v="2"/>
    <n v="10371.069999999998"/>
    <n v="1936143"/>
  </r>
  <r>
    <s v="Biolage"/>
    <s v="Biolage - Brand"/>
    <s v="Search"/>
    <x v="3"/>
    <s v="Amazon"/>
    <d v="2024-05-18T00:00:00"/>
    <x v="2"/>
    <n v="11032.830000000002"/>
    <n v="1896406"/>
  </r>
  <r>
    <s v="Biolage"/>
    <s v="Biolage - Brand"/>
    <s v="Search"/>
    <x v="3"/>
    <s v="Amazon"/>
    <d v="2024-05-25T00:00:00"/>
    <x v="2"/>
    <n v="10230.150000000001"/>
    <n v="1760422"/>
  </r>
  <r>
    <s v="Biolage"/>
    <s v="Biolage - Brand"/>
    <s v="Search"/>
    <x v="3"/>
    <s v="Amazon"/>
    <d v="2024-06-01T00:00:00"/>
    <x v="2"/>
    <n v="8302.31"/>
    <n v="1397277"/>
  </r>
  <r>
    <s v="Biolage"/>
    <s v="Biolage - Brand"/>
    <s v="Search"/>
    <x v="3"/>
    <s v="Amazon"/>
    <d v="2024-06-08T00:00:00"/>
    <x v="2"/>
    <n v="9289.6399999999976"/>
    <n v="1592835"/>
  </r>
  <r>
    <s v="Biolage"/>
    <s v="Biolage - Brand"/>
    <s v="Search"/>
    <x v="3"/>
    <s v="Amazon"/>
    <d v="2024-06-15T00:00:00"/>
    <x v="2"/>
    <n v="9192.380000000001"/>
    <n v="1480291"/>
  </r>
  <r>
    <s v="Biolage"/>
    <s v="Biolage - Brand"/>
    <s v="Search"/>
    <x v="3"/>
    <s v="Amazon"/>
    <d v="2024-06-22T00:00:00"/>
    <x v="2"/>
    <n v="9450.9"/>
    <n v="1495320"/>
  </r>
  <r>
    <s v="Biolage"/>
    <s v="Biolage - Brand"/>
    <s v="Search"/>
    <x v="3"/>
    <s v="Amazon"/>
    <d v="2024-06-29T00:00:00"/>
    <x v="2"/>
    <n v="17439.609999999997"/>
    <n v="2023848"/>
  </r>
  <r>
    <s v="Biolage"/>
    <s v="Biolage - Brand"/>
    <s v="Search"/>
    <x v="3"/>
    <s v="Amazon"/>
    <d v="2024-07-06T00:00:00"/>
    <x v="2"/>
    <n v="16232.81"/>
    <n v="1965678"/>
  </r>
  <r>
    <s v="Biolage"/>
    <s v="Biolage - Brand"/>
    <s v="Search"/>
    <x v="3"/>
    <s v="Amazon"/>
    <d v="2024-07-13T00:00:00"/>
    <x v="2"/>
    <n v="16456.060000000005"/>
    <n v="2007962"/>
  </r>
  <r>
    <s v="Biolage"/>
    <s v="Biolage - Brand"/>
    <s v="Search"/>
    <x v="3"/>
    <s v="Amazon"/>
    <d v="2024-07-20T00:00:00"/>
    <x v="2"/>
    <n v="51930.590000000011"/>
    <n v="3148777"/>
  </r>
  <r>
    <s v="Biolage"/>
    <s v="Biolage - Brand"/>
    <s v="Search"/>
    <x v="3"/>
    <s v="Amazon"/>
    <d v="2024-07-27T00:00:00"/>
    <x v="2"/>
    <n v="6917.4900000000034"/>
    <n v="1010083"/>
  </r>
  <r>
    <s v="Biolage"/>
    <s v="Biolage - Brand"/>
    <s v="Search"/>
    <x v="3"/>
    <s v="Amazon"/>
    <d v="2024-08-03T00:00:00"/>
    <x v="2"/>
    <n v="7267.33"/>
    <n v="935657"/>
  </r>
  <r>
    <s v="Biolage"/>
    <s v="Biolage - Brand"/>
    <s v="Search"/>
    <x v="3"/>
    <s v="Amazon"/>
    <d v="2024-08-10T00:00:00"/>
    <x v="2"/>
    <n v="8551.0799999999963"/>
    <n v="920244"/>
  </r>
  <r>
    <s v="Biolage"/>
    <s v="Biolage - Brand"/>
    <s v="Search"/>
    <x v="3"/>
    <s v="Amazon"/>
    <d v="2024-08-17T00:00:00"/>
    <x v="2"/>
    <n v="7064.7000000000007"/>
    <n v="784636"/>
  </r>
  <r>
    <s v="Biolage"/>
    <s v="Biolage - Brand"/>
    <s v="Search"/>
    <x v="3"/>
    <s v="Amazon"/>
    <d v="2024-08-24T00:00:00"/>
    <x v="2"/>
    <n v="6992.0199999999986"/>
    <n v="941804"/>
  </r>
  <r>
    <s v="Biolage"/>
    <s v="Biolage - Brand"/>
    <s v="Search"/>
    <x v="3"/>
    <s v="Amazon"/>
    <d v="2024-08-31T00:00:00"/>
    <x v="2"/>
    <n v="7438.96"/>
    <n v="901645"/>
  </r>
  <r>
    <s v="Biolage"/>
    <s v="Biolage - Brand"/>
    <s v="Search"/>
    <x v="3"/>
    <s v="Amazon"/>
    <d v="2024-09-07T00:00:00"/>
    <x v="2"/>
    <n v="7340.3999999999987"/>
    <n v="903241"/>
  </r>
  <r>
    <s v="Biolage"/>
    <s v="Biolage - Brand"/>
    <s v="Search"/>
    <x v="3"/>
    <s v="Amazon"/>
    <d v="2024-09-14T00:00:00"/>
    <x v="2"/>
    <n v="7077.36"/>
    <n v="911427"/>
  </r>
  <r>
    <s v="Biolage"/>
    <s v="Biolage - Brand"/>
    <s v="Search"/>
    <x v="3"/>
    <s v="Amazon"/>
    <d v="2024-09-21T00:00:00"/>
    <x v="2"/>
    <n v="6918.2400000000007"/>
    <n v="809967"/>
  </r>
  <r>
    <s v="Biolage"/>
    <s v="Biolage - Brand"/>
    <s v="Search"/>
    <x v="3"/>
    <s v="Amazon"/>
    <d v="2024-09-28T00:00:00"/>
    <x v="2"/>
    <n v="7083.1000000000022"/>
    <n v="918069"/>
  </r>
  <r>
    <s v="Biolage"/>
    <s v="Biolage - Brand"/>
    <s v="Search"/>
    <x v="3"/>
    <s v="Amazon"/>
    <d v="2024-10-05T00:00:00"/>
    <x v="2"/>
    <n v="7050.2200000000012"/>
    <n v="921717"/>
  </r>
  <r>
    <s v="Biolage"/>
    <s v="Biolage - Brand"/>
    <s v="Search"/>
    <x v="3"/>
    <s v="Amazon"/>
    <d v="2024-10-12T00:00:00"/>
    <x v="2"/>
    <n v="19206.60999999999"/>
    <n v="2154802"/>
  </r>
  <r>
    <s v="Biolage"/>
    <s v="Biolage - Brand"/>
    <s v="Search"/>
    <x v="3"/>
    <s v="Amazon"/>
    <d v="2024-10-19T00:00:00"/>
    <x v="2"/>
    <n v="13362.960000000001"/>
    <n v="1479269"/>
  </r>
  <r>
    <s v="Biolage"/>
    <s v="Biolage - Brand"/>
    <s v="Search"/>
    <x v="3"/>
    <s v="Amazon"/>
    <d v="2024-10-26T00:00:00"/>
    <x v="2"/>
    <n v="13626.760000000002"/>
    <n v="1325885"/>
  </r>
  <r>
    <s v="Biolage"/>
    <s v="Biolage - Brand"/>
    <s v="Search"/>
    <x v="3"/>
    <s v="Amazon"/>
    <d v="2024-11-02T00:00:00"/>
    <x v="2"/>
    <n v="13148.350000000004"/>
    <n v="1194244"/>
  </r>
  <r>
    <s v="Biolage"/>
    <s v="Biolage - Brand"/>
    <s v="Search"/>
    <x v="3"/>
    <s v="Amazon"/>
    <d v="2024-11-09T00:00:00"/>
    <x v="2"/>
    <n v="12885.310000000001"/>
    <n v="1314119"/>
  </r>
  <r>
    <s v="Biolage"/>
    <s v="Biolage - Brand"/>
    <s v="Search"/>
    <x v="3"/>
    <s v="Amazon"/>
    <d v="2024-11-16T00:00:00"/>
    <x v="2"/>
    <n v="13728.680000000004"/>
    <n v="1485645"/>
  </r>
  <r>
    <s v="Biolage"/>
    <s v="Biolage - Brand"/>
    <s v="Search"/>
    <x v="3"/>
    <s v="Amazon"/>
    <d v="2024-11-23T00:00:00"/>
    <x v="2"/>
    <n v="13611.39"/>
    <n v="1292443"/>
  </r>
  <r>
    <s v="Biolage"/>
    <s v="Biolage - Brand"/>
    <s v="Search"/>
    <x v="3"/>
    <s v="Amazon"/>
    <d v="2024-11-30T00:00:00"/>
    <x v="2"/>
    <n v="24256.400000000001"/>
    <n v="2185067"/>
  </r>
  <r>
    <s v="Biolage"/>
    <s v="Biolage - Brand"/>
    <s v="Search"/>
    <x v="3"/>
    <s v="Amazon"/>
    <d v="2024-12-07T00:00:00"/>
    <x v="2"/>
    <n v="12871.820000000002"/>
    <n v="1112334"/>
  </r>
  <r>
    <s v="Biolage"/>
    <s v="Biolage - Brand"/>
    <s v="Search"/>
    <x v="3"/>
    <s v="Amazon"/>
    <d v="2024-12-14T00:00:00"/>
    <x v="2"/>
    <n v="6781.4600000000019"/>
    <n v="1023794"/>
  </r>
  <r>
    <s v="Biolage"/>
    <s v="Biolage - Brand"/>
    <s v="Search"/>
    <x v="3"/>
    <s v="Amazon"/>
    <d v="2024-12-21T00:00:00"/>
    <x v="2"/>
    <n v="3464.5499999999993"/>
    <n v="497202"/>
  </r>
  <r>
    <s v="Biolage"/>
    <s v="Biolage - Brand"/>
    <s v="Search"/>
    <x v="3"/>
    <s v="Amazon"/>
    <d v="2024-12-28T00:00:00"/>
    <x v="2"/>
    <n v="2223.54"/>
    <n v="194867"/>
  </r>
  <r>
    <s v="Biolage"/>
    <s v="Biolage - Brand"/>
    <s v="Search"/>
    <x v="3"/>
    <s v="Amazon"/>
    <d v="2025-01-04T00:00:00"/>
    <x v="2"/>
    <n v="915.01"/>
    <n v="75914"/>
  </r>
  <r>
    <s v="Biolage"/>
    <s v="Biolage - Brand"/>
    <s v="Search"/>
    <x v="3"/>
    <s v="Amazon"/>
    <d v="2025-01-04T00:00:00"/>
    <x v="0"/>
    <n v="1152.29"/>
    <n v="108518"/>
  </r>
  <r>
    <s v="Biolage"/>
    <s v="Biolage - Brand"/>
    <s v="Search"/>
    <x v="3"/>
    <s v="Amazon"/>
    <d v="2025-01-11T00:00:00"/>
    <x v="0"/>
    <n v="1522.27"/>
    <n v="148706"/>
  </r>
  <r>
    <s v="Biolage"/>
    <s v="Biolage - Brand"/>
    <s v="Search"/>
    <x v="3"/>
    <s v="Amazon"/>
    <d v="2025-01-18T00:00:00"/>
    <x v="0"/>
    <n v="1540.3500000000001"/>
    <n v="149971"/>
  </r>
  <r>
    <s v="Biolage"/>
    <s v="Biolage - Brand"/>
    <s v="Search"/>
    <x v="3"/>
    <s v="Amazon"/>
    <d v="2025-01-25T00:00:00"/>
    <x v="0"/>
    <n v="1490.12"/>
    <n v="148964"/>
  </r>
  <r>
    <s v="Biolage"/>
    <s v="Biolage - Brand"/>
    <s v="Search"/>
    <x v="3"/>
    <s v="Amazon"/>
    <d v="2025-02-01T00:00:00"/>
    <x v="0"/>
    <n v="1851.49"/>
    <n v="250189"/>
  </r>
  <r>
    <s v="Biolage"/>
    <s v="Biolage - Brand"/>
    <s v="Search"/>
    <x v="3"/>
    <s v="Amazon"/>
    <d v="2025-02-08T00:00:00"/>
    <x v="0"/>
    <n v="2438.8000000000002"/>
    <n v="338295"/>
  </r>
  <r>
    <s v="Biolage"/>
    <s v="Biolage - Brand"/>
    <s v="Search"/>
    <x v="3"/>
    <s v="Amazon"/>
    <d v="2025-02-15T00:00:00"/>
    <x v="0"/>
    <n v="2402.8199999999993"/>
    <n v="261360"/>
  </r>
  <r>
    <s v="Biolage"/>
    <s v="Biolage - Brand"/>
    <s v="Search"/>
    <x v="3"/>
    <s v="Amazon"/>
    <d v="2025-02-22T00:00:00"/>
    <x v="0"/>
    <n v="2451.9500000000003"/>
    <n v="221318"/>
  </r>
  <r>
    <s v="Biolage"/>
    <s v="Biolage - Brand"/>
    <s v="Search"/>
    <x v="3"/>
    <s v="Amazon"/>
    <d v="2025-03-01T00:00:00"/>
    <x v="0"/>
    <n v="4396.07"/>
    <n v="423272"/>
  </r>
  <r>
    <s v="Biolage"/>
    <s v="Biolage - Brand"/>
    <s v="Search"/>
    <x v="3"/>
    <s v="Amazon"/>
    <d v="2025-03-08T00:00:00"/>
    <x v="0"/>
    <n v="4948.2299999999996"/>
    <n v="354715"/>
  </r>
  <r>
    <s v="Biolage"/>
    <s v="Biolage - Brand"/>
    <s v="Search"/>
    <x v="3"/>
    <s v="Amazon"/>
    <d v="2025-03-15T00:00:00"/>
    <x v="0"/>
    <n v="5018.949999999998"/>
    <n v="316729"/>
  </r>
  <r>
    <s v="Biolage"/>
    <s v="Biolage - Brand"/>
    <s v="Search"/>
    <x v="3"/>
    <s v="Amazon"/>
    <d v="2025-03-22T00:00:00"/>
    <x v="0"/>
    <n v="4964.97"/>
    <n v="344319"/>
  </r>
  <r>
    <s v="Biolage"/>
    <s v="Biolage - Brand"/>
    <s v="Search"/>
    <x v="3"/>
    <s v="Amazon"/>
    <d v="2025-03-29T00:00:00"/>
    <x v="0"/>
    <n v="3387.6600000000003"/>
    <n v="290217"/>
  </r>
  <r>
    <s v="Biolage"/>
    <s v="Biolage - Brand"/>
    <s v="Search"/>
    <x v="3"/>
    <s v="Amazon"/>
    <d v="2025-04-05T00:00:00"/>
    <x v="0"/>
    <n v="3302.6099999999988"/>
    <n v="197669"/>
  </r>
  <r>
    <s v="Biolage"/>
    <s v="Biolage - Brand"/>
    <s v="Search"/>
    <x v="3"/>
    <s v="Amazon"/>
    <d v="2025-04-12T00:00:00"/>
    <x v="0"/>
    <n v="4614.1000000000004"/>
    <n v="239080"/>
  </r>
  <r>
    <s v="Biolage"/>
    <s v="Biolage - Brand"/>
    <s v="Search"/>
    <x v="3"/>
    <s v="Amazon"/>
    <d v="2025-04-19T00:00:00"/>
    <x v="0"/>
    <n v="5812.74"/>
    <n v="235145"/>
  </r>
  <r>
    <s v="Biolage"/>
    <s v="Biolage - Brand"/>
    <s v="Search"/>
    <x v="3"/>
    <s v="Amazon"/>
    <d v="2025-04-26T00:00:00"/>
    <x v="0"/>
    <n v="7921.6600000000035"/>
    <n v="291939"/>
  </r>
  <r>
    <s v="Biolage"/>
    <s v="Biolage - Brand"/>
    <s v="Search"/>
    <x v="3"/>
    <s v="Amazon"/>
    <d v="2025-05-03T00:00:00"/>
    <x v="0"/>
    <n v="12181.109999999993"/>
    <n v="480182"/>
  </r>
  <r>
    <s v="Biolage"/>
    <s v="Biolage - Brand"/>
    <s v="Search"/>
    <x v="3"/>
    <s v="Amazon"/>
    <d v="2025-05-10T00:00:00"/>
    <x v="0"/>
    <n v="13053.08"/>
    <n v="598982"/>
  </r>
  <r>
    <s v="Biolage"/>
    <s v="Biolage - Brand"/>
    <s v="Search"/>
    <x v="3"/>
    <s v="Amazon"/>
    <d v="2025-05-17T00:00:00"/>
    <x v="0"/>
    <n v="16050.230000000005"/>
    <n v="735038"/>
  </r>
  <r>
    <s v="Biolage"/>
    <s v="Biolage - Brand"/>
    <s v="Search"/>
    <x v="3"/>
    <s v="Amazon"/>
    <d v="2025-05-24T00:00:00"/>
    <x v="0"/>
    <n v="8414.84"/>
    <n v="497238"/>
  </r>
  <r>
    <s v="Biolage"/>
    <s v="Biolage - Brand"/>
    <s v="Search"/>
    <x v="3"/>
    <s v="Amazon"/>
    <d v="2025-05-31T00:00:00"/>
    <x v="0"/>
    <n v="12189.31"/>
    <n v="893453"/>
  </r>
  <r>
    <s v="Biolage"/>
    <s v="Biolage - Brand"/>
    <s v="Search"/>
    <x v="3"/>
    <s v="Amazon"/>
    <d v="2025-06-07T00:00:00"/>
    <x v="0"/>
    <n v="14789.17"/>
    <n v="864833"/>
  </r>
  <r>
    <s v="Biolage"/>
    <s v="Biolage - Brand"/>
    <s v="Search"/>
    <x v="3"/>
    <s v="Amazon"/>
    <d v="2025-06-14T00:00:00"/>
    <x v="0"/>
    <n v="15685.35"/>
    <n v="1010296"/>
  </r>
  <r>
    <s v="Biolage"/>
    <s v="Biolage - Brand"/>
    <s v="Search"/>
    <x v="3"/>
    <s v="Amazon"/>
    <d v="2025-06-21T00:00:00"/>
    <x v="0"/>
    <n v="15722.250000000007"/>
    <n v="1762988"/>
  </r>
  <r>
    <s v="Biolage"/>
    <s v="Biolage - Brand"/>
    <s v="Search"/>
    <x v="3"/>
    <s v="Amazon"/>
    <d v="2025-06-28T00:00:00"/>
    <x v="0"/>
    <n v="11872.499999999996"/>
    <n v="1574755"/>
  </r>
  <r>
    <s v="Biolage"/>
    <s v="Color Last"/>
    <s v="Display"/>
    <x v="3"/>
    <s v="Amazon"/>
    <d v="2023-07-01T00:00:00"/>
    <x v="1"/>
    <n v="838.63439999999991"/>
    <n v="113183"/>
  </r>
  <r>
    <s v="Biolage"/>
    <s v="Color Last"/>
    <s v="Display"/>
    <x v="3"/>
    <s v="Amazon"/>
    <d v="2023-07-08T00:00:00"/>
    <x v="1"/>
    <n v="5782.3420999999989"/>
    <n v="732872"/>
  </r>
  <r>
    <s v="Biolage"/>
    <s v="Color Last"/>
    <s v="Display"/>
    <x v="3"/>
    <s v="Amazon"/>
    <d v="2023-07-15T00:00:00"/>
    <x v="1"/>
    <n v="5795.5743999999995"/>
    <n v="727121"/>
  </r>
  <r>
    <s v="Biolage"/>
    <s v="Color Last"/>
    <s v="Display"/>
    <x v="3"/>
    <s v="Amazon"/>
    <d v="2023-07-22T00:00:00"/>
    <x v="1"/>
    <n v="6467.8800999999985"/>
    <n v="870309"/>
  </r>
  <r>
    <s v="Biolage"/>
    <s v="Color Last"/>
    <s v="Display"/>
    <x v="3"/>
    <s v="Amazon"/>
    <d v="2023-07-29T00:00:00"/>
    <x v="1"/>
    <n v="6478.1186000000043"/>
    <n v="853281"/>
  </r>
  <r>
    <s v="Biolage"/>
    <s v="Color Last"/>
    <s v="Display"/>
    <x v="3"/>
    <s v="Amazon"/>
    <d v="2023-08-05T00:00:00"/>
    <x v="1"/>
    <n v="6616.887700000003"/>
    <n v="997291"/>
  </r>
  <r>
    <s v="Biolage"/>
    <s v="Color Last"/>
    <s v="Display"/>
    <x v="3"/>
    <s v="Amazon"/>
    <d v="2023-08-12T00:00:00"/>
    <x v="1"/>
    <n v="6345.0311999999985"/>
    <n v="880414"/>
  </r>
  <r>
    <s v="Biolage"/>
    <s v="Color Last"/>
    <s v="Display"/>
    <x v="3"/>
    <s v="Amazon"/>
    <d v="2023-08-19T00:00:00"/>
    <x v="1"/>
    <n v="8070.4940999999981"/>
    <n v="1075785"/>
  </r>
  <r>
    <s v="Biolage"/>
    <s v="Color Last"/>
    <s v="Display"/>
    <x v="3"/>
    <s v="Amazon"/>
    <d v="2023-08-26T00:00:00"/>
    <x v="1"/>
    <n v="8057.9412999999995"/>
    <n v="1095793"/>
  </r>
  <r>
    <s v="Biolage"/>
    <s v="Color Last"/>
    <s v="Display"/>
    <x v="3"/>
    <s v="Amazon"/>
    <d v="2023-09-02T00:00:00"/>
    <x v="1"/>
    <n v="9400.9896000000044"/>
    <n v="1092307"/>
  </r>
  <r>
    <s v="Biolage"/>
    <s v="Color Last"/>
    <s v="Display"/>
    <x v="3"/>
    <s v="Amazon"/>
    <d v="2023-09-09T00:00:00"/>
    <x v="1"/>
    <n v="5948.8983999999973"/>
    <n v="956122"/>
  </r>
  <r>
    <s v="Biolage"/>
    <s v="Color Last"/>
    <s v="Display"/>
    <x v="3"/>
    <s v="Amazon"/>
    <d v="2023-09-16T00:00:00"/>
    <x v="1"/>
    <n v="6560.9118999999973"/>
    <n v="1082202"/>
  </r>
  <r>
    <s v="Biolage"/>
    <s v="Color Last"/>
    <s v="Display"/>
    <x v="3"/>
    <s v="Amazon"/>
    <d v="2023-09-23T00:00:00"/>
    <x v="1"/>
    <n v="4838.3943999999983"/>
    <n v="721878"/>
  </r>
  <r>
    <s v="Biolage"/>
    <s v="Color Last"/>
    <s v="Display"/>
    <x v="3"/>
    <s v="Amazon"/>
    <d v="2023-09-30T00:00:00"/>
    <x v="1"/>
    <n v="2774.3762999999994"/>
    <n v="266672"/>
  </r>
  <r>
    <s v="Biolage"/>
    <s v="Color Last"/>
    <s v="Display"/>
    <x v="3"/>
    <s v="Amazon"/>
    <d v="2023-10-07T00:00:00"/>
    <x v="1"/>
    <n v="6464.8902000000007"/>
    <n v="872306"/>
  </r>
  <r>
    <s v="Biolage"/>
    <s v="Color Last"/>
    <s v="Display"/>
    <x v="3"/>
    <s v="Amazon"/>
    <d v="2023-10-14T00:00:00"/>
    <x v="1"/>
    <n v="7350.6913000000031"/>
    <n v="958900"/>
  </r>
  <r>
    <s v="Biolage"/>
    <s v="Color Last"/>
    <s v="Display"/>
    <x v="3"/>
    <s v="Amazon"/>
    <d v="2023-10-21T00:00:00"/>
    <x v="1"/>
    <n v="7832.879100000001"/>
    <n v="1066391"/>
  </r>
  <r>
    <s v="Biolage"/>
    <s v="Color Last"/>
    <s v="Display"/>
    <x v="3"/>
    <s v="Amazon"/>
    <d v="2023-10-28T00:00:00"/>
    <x v="1"/>
    <n v="6446.2257000000018"/>
    <n v="887762"/>
  </r>
  <r>
    <s v="Biolage"/>
    <s v="Color Last"/>
    <s v="Display"/>
    <x v="3"/>
    <s v="Amazon"/>
    <d v="2023-11-04T00:00:00"/>
    <x v="1"/>
    <n v="6111.8703000000014"/>
    <n v="902840"/>
  </r>
  <r>
    <s v="Biolage"/>
    <s v="Color Last"/>
    <s v="Display"/>
    <x v="3"/>
    <s v="Amazon"/>
    <d v="2023-11-11T00:00:00"/>
    <x v="1"/>
    <n v="7335.3335000000006"/>
    <n v="1052203"/>
  </r>
  <r>
    <s v="Biolage"/>
    <s v="Color Last"/>
    <s v="Display"/>
    <x v="3"/>
    <s v="Amazon"/>
    <d v="2023-11-18T00:00:00"/>
    <x v="1"/>
    <n v="6245.5969000000023"/>
    <n v="812067"/>
  </r>
  <r>
    <s v="Biolage"/>
    <s v="Color Last"/>
    <s v="Display"/>
    <x v="3"/>
    <s v="Amazon"/>
    <d v="2023-11-25T00:00:00"/>
    <x v="1"/>
    <n v="5834.1454000000022"/>
    <n v="746990"/>
  </r>
  <r>
    <s v="Biolage"/>
    <s v="Color Last"/>
    <s v="Display"/>
    <x v="3"/>
    <s v="Amazon"/>
    <d v="2023-12-02T00:00:00"/>
    <x v="1"/>
    <n v="4090.4277999999999"/>
    <n v="501122"/>
  </r>
  <r>
    <s v="Biolage"/>
    <s v="Color Last"/>
    <s v="Display"/>
    <x v="3"/>
    <s v="Amazon"/>
    <d v="2023-12-09T00:00:00"/>
    <x v="1"/>
    <n v="4386.2370999999976"/>
    <n v="651753"/>
  </r>
  <r>
    <s v="Biolage"/>
    <s v="Color Last"/>
    <s v="Display"/>
    <x v="3"/>
    <s v="Amazon"/>
    <d v="2023-12-16T00:00:00"/>
    <x v="1"/>
    <n v="4300.1457"/>
    <n v="725610"/>
  </r>
  <r>
    <s v="Biolage"/>
    <s v="Color Last"/>
    <s v="Display"/>
    <x v="3"/>
    <s v="Amazon"/>
    <d v="2023-12-23T00:00:00"/>
    <x v="1"/>
    <n v="4172.0446999999995"/>
    <n v="779202"/>
  </r>
  <r>
    <s v="Biolage"/>
    <s v="Color Last"/>
    <s v="Display"/>
    <x v="3"/>
    <s v="Amazon"/>
    <d v="2023-12-30T00:00:00"/>
    <x v="1"/>
    <n v="2882.5598000000005"/>
    <n v="592693"/>
  </r>
  <r>
    <s v="Biolage"/>
    <s v="Color Last"/>
    <s v="Display"/>
    <x v="3"/>
    <s v="Amazon"/>
    <d v="2024-01-06T00:00:00"/>
    <x v="1"/>
    <n v="17.196099999999998"/>
    <n v="5069"/>
  </r>
  <r>
    <s v="Biolage"/>
    <s v="Color Last"/>
    <s v="Display"/>
    <x v="3"/>
    <s v="Amazon"/>
    <d v="2024-01-06T00:00:00"/>
    <x v="2"/>
    <n v="4102.947000000001"/>
    <n v="691155"/>
  </r>
  <r>
    <s v="Biolage"/>
    <s v="Color Last"/>
    <s v="Display"/>
    <x v="3"/>
    <s v="Amazon"/>
    <d v="2024-01-13T00:00:00"/>
    <x v="2"/>
    <n v="7017.3684999999969"/>
    <n v="1338907"/>
  </r>
  <r>
    <s v="Biolage"/>
    <s v="Color Last"/>
    <s v="Display"/>
    <x v="3"/>
    <s v="Amazon"/>
    <d v="2024-01-20T00:00:00"/>
    <x v="2"/>
    <n v="7183.6363000000001"/>
    <n v="1469457"/>
  </r>
  <r>
    <s v="Biolage"/>
    <s v="Color Last"/>
    <s v="Display"/>
    <x v="3"/>
    <s v="Amazon"/>
    <d v="2024-01-27T00:00:00"/>
    <x v="2"/>
    <n v="7121.7094999999999"/>
    <n v="1459880"/>
  </r>
  <r>
    <s v="Biolage"/>
    <s v="Color Last"/>
    <s v="Display"/>
    <x v="3"/>
    <s v="Amazon"/>
    <d v="2024-02-03T00:00:00"/>
    <x v="2"/>
    <n v="4245.222499999998"/>
    <n v="911053"/>
  </r>
  <r>
    <s v="Biolage"/>
    <s v="Color Last"/>
    <s v="Display"/>
    <x v="3"/>
    <s v="Amazon"/>
    <d v="2024-02-10T00:00:00"/>
    <x v="2"/>
    <n v="7178.1404999999977"/>
    <n v="1573613"/>
  </r>
  <r>
    <s v="Biolage"/>
    <s v="Color Last"/>
    <s v="Display"/>
    <x v="3"/>
    <s v="Amazon"/>
    <d v="2024-02-17T00:00:00"/>
    <x v="2"/>
    <n v="7063.3274000000038"/>
    <n v="1605831"/>
  </r>
  <r>
    <s v="Biolage"/>
    <s v="Color Last"/>
    <s v="Display"/>
    <x v="3"/>
    <s v="Amazon"/>
    <d v="2024-02-24T00:00:00"/>
    <x v="2"/>
    <n v="6835.9557999999988"/>
    <n v="1599046"/>
  </r>
  <r>
    <s v="Biolage"/>
    <s v="Color Last"/>
    <s v="Display"/>
    <x v="3"/>
    <s v="Amazon"/>
    <d v="2024-03-02T00:00:00"/>
    <x v="2"/>
    <n v="3669.5361999999977"/>
    <n v="767666"/>
  </r>
  <r>
    <s v="Biolage"/>
    <s v="Color Last"/>
    <s v="Display"/>
    <x v="3"/>
    <s v="Amazon"/>
    <d v="2024-03-09T00:00:00"/>
    <x v="2"/>
    <n v="5334.588600000001"/>
    <n v="960617"/>
  </r>
  <r>
    <s v="Biolage"/>
    <s v="Color Last"/>
    <s v="Display"/>
    <x v="3"/>
    <s v="Amazon"/>
    <d v="2024-03-16T00:00:00"/>
    <x v="2"/>
    <n v="5314.477100000001"/>
    <n v="771512"/>
  </r>
  <r>
    <s v="Biolage"/>
    <s v="Color Last"/>
    <s v="Display"/>
    <x v="3"/>
    <s v="Amazon"/>
    <d v="2024-03-23T00:00:00"/>
    <x v="2"/>
    <n v="5419.9525000000012"/>
    <n v="829069"/>
  </r>
  <r>
    <s v="Biolage"/>
    <s v="Color Last"/>
    <s v="Display"/>
    <x v="3"/>
    <s v="Amazon"/>
    <d v="2024-03-30T00:00:00"/>
    <x v="2"/>
    <n v="4678.0623999999971"/>
    <n v="701026"/>
  </r>
  <r>
    <s v="Biolage"/>
    <s v="Color Last"/>
    <s v="Display"/>
    <x v="3"/>
    <s v="Amazon"/>
    <d v="2024-04-06T00:00:00"/>
    <x v="2"/>
    <n v="5697.4231000000018"/>
    <n v="975042"/>
  </r>
  <r>
    <s v="Biolage"/>
    <s v="Color Last"/>
    <s v="Display"/>
    <x v="3"/>
    <s v="Amazon"/>
    <d v="2024-04-13T00:00:00"/>
    <x v="2"/>
    <n v="6972.1745999999994"/>
    <n v="1205741"/>
  </r>
  <r>
    <s v="Biolage"/>
    <s v="Color Last"/>
    <s v="Display"/>
    <x v="3"/>
    <s v="Amazon"/>
    <d v="2024-04-20T00:00:00"/>
    <x v="2"/>
    <n v="7775.753999999999"/>
    <n v="1339507"/>
  </r>
  <r>
    <s v="Biolage"/>
    <s v="Color Last"/>
    <s v="Display"/>
    <x v="3"/>
    <s v="Amazon"/>
    <d v="2024-04-27T00:00:00"/>
    <x v="2"/>
    <n v="7911.2648999999992"/>
    <n v="1155660"/>
  </r>
  <r>
    <s v="Biolage"/>
    <s v="Color Last"/>
    <s v="Display"/>
    <x v="3"/>
    <s v="Amazon"/>
    <d v="2024-05-04T00:00:00"/>
    <x v="2"/>
    <n v="6958.256000000004"/>
    <n v="1026928"/>
  </r>
  <r>
    <s v="Biolage"/>
    <s v="Color Last"/>
    <s v="Display"/>
    <x v="3"/>
    <s v="Amazon"/>
    <d v="2024-05-11T00:00:00"/>
    <x v="2"/>
    <n v="7437.2620000000052"/>
    <n v="1240242"/>
  </r>
  <r>
    <s v="Biolage"/>
    <s v="Color Last"/>
    <s v="Display"/>
    <x v="3"/>
    <s v="Amazon"/>
    <d v="2024-05-18T00:00:00"/>
    <x v="2"/>
    <n v="7011.0145999999986"/>
    <n v="1064484"/>
  </r>
  <r>
    <s v="Biolage"/>
    <s v="Color Last"/>
    <s v="Display"/>
    <x v="3"/>
    <s v="Amazon"/>
    <d v="2024-05-25T00:00:00"/>
    <x v="2"/>
    <n v="7299.7984999999981"/>
    <n v="1339265"/>
  </r>
  <r>
    <s v="Biolage"/>
    <s v="Color Last"/>
    <s v="Display"/>
    <x v="3"/>
    <s v="Amazon"/>
    <d v="2024-06-01T00:00:00"/>
    <x v="2"/>
    <n v="7096.5883999999951"/>
    <n v="1509675"/>
  </r>
  <r>
    <s v="Biolage"/>
    <s v="Color Last"/>
    <s v="Display"/>
    <x v="3"/>
    <s v="Amazon"/>
    <d v="2024-06-08T00:00:00"/>
    <x v="2"/>
    <n v="12454.006200000013"/>
    <n v="2656124"/>
  </r>
  <r>
    <s v="Biolage"/>
    <s v="Color Last"/>
    <s v="Display"/>
    <x v="3"/>
    <s v="Amazon"/>
    <d v="2024-06-15T00:00:00"/>
    <x v="2"/>
    <n v="15719.700500000004"/>
    <n v="3315977"/>
  </r>
  <r>
    <s v="Biolage"/>
    <s v="Color Last"/>
    <s v="Display"/>
    <x v="3"/>
    <s v="Amazon"/>
    <d v="2024-06-22T00:00:00"/>
    <x v="2"/>
    <n v="14335.960600000008"/>
    <n v="3005367"/>
  </r>
  <r>
    <s v="Biolage"/>
    <s v="Color Last"/>
    <s v="Display"/>
    <x v="3"/>
    <s v="Amazon"/>
    <d v="2024-06-29T00:00:00"/>
    <x v="2"/>
    <n v="13608.718099999995"/>
    <n v="2762164"/>
  </r>
  <r>
    <s v="Biolage"/>
    <s v="Color Last"/>
    <s v="Display"/>
    <x v="3"/>
    <s v="Amazon"/>
    <d v="2024-07-06T00:00:00"/>
    <x v="2"/>
    <n v="6419.6618999999973"/>
    <n v="1798709"/>
  </r>
  <r>
    <s v="Biolage"/>
    <s v="Color Last"/>
    <s v="Display"/>
    <x v="3"/>
    <s v="Amazon"/>
    <d v="2024-07-13T00:00:00"/>
    <x v="2"/>
    <n v="5462.6431999999977"/>
    <n v="1527595"/>
  </r>
  <r>
    <s v="Biolage"/>
    <s v="Color Last"/>
    <s v="Display"/>
    <x v="3"/>
    <s v="Amazon"/>
    <d v="2024-07-20T00:00:00"/>
    <x v="2"/>
    <n v="3985.3638000000019"/>
    <n v="927020"/>
  </r>
  <r>
    <s v="Biolage"/>
    <s v="Color Last"/>
    <s v="Display"/>
    <x v="3"/>
    <s v="Amazon"/>
    <d v="2024-07-27T00:00:00"/>
    <x v="2"/>
    <n v="6544.4733000000006"/>
    <n v="1792984"/>
  </r>
  <r>
    <s v="Biolage"/>
    <s v="Color Last"/>
    <s v="Display"/>
    <x v="3"/>
    <s v="Amazon"/>
    <d v="2024-08-03T00:00:00"/>
    <x v="2"/>
    <n v="5720.512000000007"/>
    <n v="1700850"/>
  </r>
  <r>
    <s v="Biolage"/>
    <s v="Color Last"/>
    <s v="Display"/>
    <x v="3"/>
    <s v="Amazon"/>
    <d v="2024-08-10T00:00:00"/>
    <x v="2"/>
    <n v="5663.8552999999993"/>
    <n v="1790774"/>
  </r>
  <r>
    <s v="Biolage"/>
    <s v="Color Last"/>
    <s v="Display"/>
    <x v="3"/>
    <s v="Amazon"/>
    <d v="2024-08-17T00:00:00"/>
    <x v="2"/>
    <n v="5591.6180000000013"/>
    <n v="1633791"/>
  </r>
  <r>
    <s v="Biolage"/>
    <s v="Color Last"/>
    <s v="Display"/>
    <x v="3"/>
    <s v="Amazon"/>
    <d v="2024-08-24T00:00:00"/>
    <x v="2"/>
    <n v="5620.3661000000047"/>
    <n v="1674106"/>
  </r>
  <r>
    <s v="Biolage"/>
    <s v="Color Last"/>
    <s v="Display"/>
    <x v="3"/>
    <s v="Amazon"/>
    <d v="2024-08-31T00:00:00"/>
    <x v="2"/>
    <n v="7576.036900000001"/>
    <n v="2037767"/>
  </r>
  <r>
    <s v="Biolage"/>
    <s v="Color Last"/>
    <s v="Display"/>
    <x v="3"/>
    <s v="Amazon"/>
    <d v="2024-09-07T00:00:00"/>
    <x v="2"/>
    <n v="9659.0651999999991"/>
    <n v="2241173"/>
  </r>
  <r>
    <s v="Biolage"/>
    <s v="Color Last"/>
    <s v="Display"/>
    <x v="3"/>
    <s v="Amazon"/>
    <d v="2024-09-14T00:00:00"/>
    <x v="2"/>
    <n v="9735.6572000000069"/>
    <n v="2344205"/>
  </r>
  <r>
    <s v="Biolage"/>
    <s v="Color Last"/>
    <s v="Display"/>
    <x v="3"/>
    <s v="Amazon"/>
    <d v="2024-09-21T00:00:00"/>
    <x v="2"/>
    <n v="9794.821699999995"/>
    <n v="2361275"/>
  </r>
  <r>
    <s v="Biolage"/>
    <s v="Color Last"/>
    <s v="Display"/>
    <x v="3"/>
    <s v="Amazon"/>
    <d v="2024-09-28T00:00:00"/>
    <x v="2"/>
    <n v="9758.4418999999962"/>
    <n v="2309108"/>
  </r>
  <r>
    <s v="Biolage"/>
    <s v="Color Last"/>
    <s v="Display"/>
    <x v="3"/>
    <s v="Amazon"/>
    <d v="2024-10-05T00:00:00"/>
    <x v="2"/>
    <n v="8334.4894000000022"/>
    <n v="2289715"/>
  </r>
  <r>
    <s v="Biolage"/>
    <s v="Color Last"/>
    <s v="Display"/>
    <x v="3"/>
    <s v="Amazon"/>
    <d v="2024-10-12T00:00:00"/>
    <x v="2"/>
    <n v="8824.4339999999956"/>
    <n v="2138255"/>
  </r>
  <r>
    <s v="Biolage"/>
    <s v="Color Last"/>
    <s v="Display"/>
    <x v="3"/>
    <s v="Amazon"/>
    <d v="2024-10-19T00:00:00"/>
    <x v="2"/>
    <n v="7314.5318000000043"/>
    <n v="4265804"/>
  </r>
  <r>
    <s v="Biolage"/>
    <s v="Color Last"/>
    <s v="Display"/>
    <x v="3"/>
    <s v="Amazon"/>
    <d v="2024-10-26T00:00:00"/>
    <x v="2"/>
    <n v="10091.927600000005"/>
    <n v="7023755"/>
  </r>
  <r>
    <s v="Biolage"/>
    <s v="Color Last"/>
    <s v="Display"/>
    <x v="3"/>
    <s v="Amazon"/>
    <d v="2024-11-02T00:00:00"/>
    <x v="2"/>
    <n v="11482.0893"/>
    <n v="5970169"/>
  </r>
  <r>
    <s v="Biolage"/>
    <s v="Color Last"/>
    <s v="Display"/>
    <x v="3"/>
    <s v="Amazon"/>
    <d v="2024-11-09T00:00:00"/>
    <x v="2"/>
    <n v="13038.100600000007"/>
    <n v="8132619"/>
  </r>
  <r>
    <s v="Biolage"/>
    <s v="Color Last"/>
    <s v="Display"/>
    <x v="3"/>
    <s v="Amazon"/>
    <d v="2024-11-16T00:00:00"/>
    <x v="2"/>
    <n v="12388.117099999998"/>
    <n v="6432203"/>
  </r>
  <r>
    <s v="Biolage"/>
    <s v="Color Last"/>
    <s v="Display"/>
    <x v="3"/>
    <s v="Amazon"/>
    <d v="2024-11-23T00:00:00"/>
    <x v="2"/>
    <n v="13146.266100000012"/>
    <n v="5898199"/>
  </r>
  <r>
    <s v="Biolage"/>
    <s v="Color Last"/>
    <s v="Display"/>
    <x v="3"/>
    <s v="Amazon"/>
    <d v="2024-11-30T00:00:00"/>
    <x v="2"/>
    <n v="16179.458799999989"/>
    <n v="5926870"/>
  </r>
  <r>
    <s v="Biolage"/>
    <s v="Color Last"/>
    <s v="Display"/>
    <x v="3"/>
    <s v="Amazon"/>
    <d v="2024-12-07T00:00:00"/>
    <x v="2"/>
    <n v="6228.6185999999989"/>
    <n v="2247514"/>
  </r>
  <r>
    <s v="Biolage"/>
    <s v="Color Last"/>
    <s v="Display"/>
    <x v="3"/>
    <s v="Amazon"/>
    <d v="2024-12-14T00:00:00"/>
    <x v="2"/>
    <n v="6338.3932999999997"/>
    <n v="2530733"/>
  </r>
  <r>
    <s v="Biolage"/>
    <s v="Color Last"/>
    <s v="Display"/>
    <x v="3"/>
    <s v="Amazon"/>
    <d v="2024-12-21T00:00:00"/>
    <x v="2"/>
    <n v="6421.0867000000026"/>
    <n v="2313687"/>
  </r>
  <r>
    <s v="Biolage"/>
    <s v="Color Last"/>
    <s v="Display"/>
    <x v="3"/>
    <s v="Amazon"/>
    <d v="2024-12-28T00:00:00"/>
    <x v="2"/>
    <n v="6293.3225999999986"/>
    <n v="2351550"/>
  </r>
  <r>
    <s v="Biolage"/>
    <s v="Color Last"/>
    <s v="Display"/>
    <x v="3"/>
    <s v="Amazon"/>
    <d v="2025-01-04T00:00:00"/>
    <x v="2"/>
    <n v="2470.8179000000005"/>
    <n v="882198"/>
  </r>
  <r>
    <s v="Biolage"/>
    <s v="Color Last"/>
    <s v="Display"/>
    <x v="3"/>
    <s v="Amazon"/>
    <d v="2025-01-04T00:00:00"/>
    <x v="0"/>
    <n v="4527.7916999999989"/>
    <n v="2090152"/>
  </r>
  <r>
    <s v="Biolage"/>
    <s v="Color Last"/>
    <s v="Display"/>
    <x v="3"/>
    <s v="Amazon"/>
    <d v="2025-01-11T00:00:00"/>
    <x v="0"/>
    <n v="7785.6547999999975"/>
    <n v="2869641"/>
  </r>
  <r>
    <s v="Biolage"/>
    <s v="Color Last"/>
    <s v="Display"/>
    <x v="3"/>
    <s v="Amazon"/>
    <d v="2025-01-18T00:00:00"/>
    <x v="0"/>
    <n v="7734.9034999999994"/>
    <n v="2806902"/>
  </r>
  <r>
    <s v="Biolage"/>
    <s v="Color Last"/>
    <s v="Display"/>
    <x v="3"/>
    <s v="Amazon"/>
    <d v="2025-01-25T00:00:00"/>
    <x v="0"/>
    <n v="7683.4050000000007"/>
    <n v="3250881"/>
  </r>
  <r>
    <s v="Biolage"/>
    <s v="Color Last"/>
    <s v="Display"/>
    <x v="3"/>
    <s v="Amazon"/>
    <d v="2025-02-01T00:00:00"/>
    <x v="0"/>
    <n v="7874.2349000000004"/>
    <n v="3165551"/>
  </r>
  <r>
    <s v="Biolage"/>
    <s v="Color Last"/>
    <s v="Display"/>
    <x v="3"/>
    <s v="Amazon"/>
    <d v="2025-02-08T00:00:00"/>
    <x v="0"/>
    <n v="9317.4222999999965"/>
    <n v="3930576"/>
  </r>
  <r>
    <s v="Biolage"/>
    <s v="Color Last"/>
    <s v="Display"/>
    <x v="3"/>
    <s v="Amazon"/>
    <d v="2025-02-15T00:00:00"/>
    <x v="0"/>
    <n v="9457.8002000000033"/>
    <n v="3671654"/>
  </r>
  <r>
    <s v="Biolage"/>
    <s v="Color Last"/>
    <s v="Display"/>
    <x v="3"/>
    <s v="Amazon"/>
    <d v="2025-02-22T00:00:00"/>
    <x v="0"/>
    <n v="9391.854099999995"/>
    <n v="3470966"/>
  </r>
  <r>
    <s v="Biolage"/>
    <s v="Color Last"/>
    <s v="Display"/>
    <x v="3"/>
    <s v="Amazon"/>
    <d v="2025-03-01T00:00:00"/>
    <x v="0"/>
    <n v="8587.9166000000023"/>
    <n v="2679552"/>
  </r>
  <r>
    <s v="Biolage"/>
    <s v="Color Last"/>
    <s v="Display"/>
    <x v="3"/>
    <s v="Amazon"/>
    <d v="2025-03-08T00:00:00"/>
    <x v="0"/>
    <n v="7960.5798999999997"/>
    <n v="2778758"/>
  </r>
  <r>
    <s v="Biolage"/>
    <s v="Color Last"/>
    <s v="Display"/>
    <x v="3"/>
    <s v="Amazon"/>
    <d v="2025-03-15T00:00:00"/>
    <x v="0"/>
    <n v="8602.3359000000037"/>
    <n v="2668676"/>
  </r>
  <r>
    <s v="Biolage"/>
    <s v="Color Last"/>
    <s v="Display"/>
    <x v="3"/>
    <s v="Amazon"/>
    <d v="2025-03-22T00:00:00"/>
    <x v="0"/>
    <n v="8361.9835999999996"/>
    <n v="1941711"/>
  </r>
  <r>
    <s v="Biolage"/>
    <s v="Color Last"/>
    <s v="Display"/>
    <x v="3"/>
    <s v="Amazon"/>
    <d v="2025-03-29T00:00:00"/>
    <x v="0"/>
    <n v="8353.868400000003"/>
    <n v="2061773"/>
  </r>
  <r>
    <s v="Biolage"/>
    <s v="Color Last"/>
    <s v="Display"/>
    <x v="3"/>
    <s v="Amazon"/>
    <d v="2025-04-05T00:00:00"/>
    <x v="0"/>
    <n v="8246.2480999999989"/>
    <n v="2078375"/>
  </r>
  <r>
    <s v="Biolage"/>
    <s v="Color Last"/>
    <s v="Display"/>
    <x v="3"/>
    <s v="Amazon"/>
    <d v="2025-04-12T00:00:00"/>
    <x v="0"/>
    <n v="8496.5743000000002"/>
    <n v="2150744"/>
  </r>
  <r>
    <s v="Biolage"/>
    <s v="Color Last"/>
    <s v="Display"/>
    <x v="3"/>
    <s v="Amazon"/>
    <d v="2025-04-19T00:00:00"/>
    <x v="0"/>
    <n v="8466.5890000000054"/>
    <n v="2033389"/>
  </r>
  <r>
    <s v="Biolage"/>
    <s v="Color Last"/>
    <s v="Display"/>
    <x v="3"/>
    <s v="Amazon"/>
    <d v="2025-04-26T00:00:00"/>
    <x v="0"/>
    <n v="8463.5318999999981"/>
    <n v="2121624"/>
  </r>
  <r>
    <s v="Biolage"/>
    <s v="Color Last"/>
    <s v="Display"/>
    <x v="3"/>
    <s v="Amazon"/>
    <d v="2025-05-03T00:00:00"/>
    <x v="0"/>
    <n v="7546.3607000000011"/>
    <n v="1884361"/>
  </r>
  <r>
    <s v="Biolage"/>
    <s v="Color Last"/>
    <s v="Display"/>
    <x v="3"/>
    <s v="Amazon"/>
    <d v="2025-05-10T00:00:00"/>
    <x v="0"/>
    <n v="8126.6434000000063"/>
    <n v="1756260"/>
  </r>
  <r>
    <s v="Biolage"/>
    <s v="Color Last"/>
    <s v="Display"/>
    <x v="3"/>
    <s v="Amazon"/>
    <d v="2025-05-17T00:00:00"/>
    <x v="0"/>
    <n v="8172.514000000001"/>
    <n v="1993530"/>
  </r>
  <r>
    <s v="Biolage"/>
    <s v="Color Last"/>
    <s v="Display"/>
    <x v="3"/>
    <s v="Amazon"/>
    <d v="2025-05-24T00:00:00"/>
    <x v="0"/>
    <n v="8177.1677"/>
    <n v="1978199"/>
  </r>
  <r>
    <s v="Biolage"/>
    <s v="Color Last"/>
    <s v="Display"/>
    <x v="3"/>
    <s v="Amazon"/>
    <d v="2025-05-31T00:00:00"/>
    <x v="0"/>
    <n v="7496.534700000002"/>
    <n v="2333585"/>
  </r>
  <r>
    <s v="Biolage"/>
    <s v="Color Last"/>
    <s v="Display"/>
    <x v="3"/>
    <s v="Amazon"/>
    <d v="2025-06-07T00:00:00"/>
    <x v="0"/>
    <n v="10693.669100000005"/>
    <n v="5307333"/>
  </r>
  <r>
    <s v="Biolage"/>
    <s v="Color Last"/>
    <s v="Display"/>
    <x v="3"/>
    <s v="Amazon"/>
    <d v="2025-06-14T00:00:00"/>
    <x v="0"/>
    <n v="12668.522499999997"/>
    <n v="6180854"/>
  </r>
  <r>
    <s v="Biolage"/>
    <s v="Color Last"/>
    <s v="Display"/>
    <x v="3"/>
    <s v="Amazon"/>
    <d v="2025-06-21T00:00:00"/>
    <x v="0"/>
    <n v="12548.576799999999"/>
    <n v="5930461"/>
  </r>
  <r>
    <s v="Biolage"/>
    <s v="Color Last"/>
    <s v="Display"/>
    <x v="3"/>
    <s v="Amazon"/>
    <d v="2025-06-28T00:00:00"/>
    <x v="0"/>
    <n v="11322.4141"/>
    <n v="3932780"/>
  </r>
  <r>
    <s v="Biolage"/>
    <s v="Color Last"/>
    <s v="Search"/>
    <x v="3"/>
    <s v="Amazon"/>
    <d v="2023-07-01T00:00:00"/>
    <x v="1"/>
    <n v="3155.5600000000004"/>
    <n v="401729"/>
  </r>
  <r>
    <s v="Biolage"/>
    <s v="Color Last"/>
    <s v="Search"/>
    <x v="3"/>
    <s v="Amazon"/>
    <d v="2023-07-08T00:00:00"/>
    <x v="1"/>
    <n v="16312.230000000001"/>
    <n v="2309552"/>
  </r>
  <r>
    <s v="Biolage"/>
    <s v="Color Last"/>
    <s v="Search"/>
    <x v="3"/>
    <s v="Amazon"/>
    <d v="2023-07-15T00:00:00"/>
    <x v="1"/>
    <n v="86543.2"/>
    <n v="6001537"/>
  </r>
  <r>
    <s v="Biolage"/>
    <s v="Color Last"/>
    <s v="Search"/>
    <x v="3"/>
    <s v="Amazon"/>
    <d v="2023-07-22T00:00:00"/>
    <x v="1"/>
    <n v="5971.3799999999992"/>
    <n v="1453405"/>
  </r>
  <r>
    <s v="Biolage"/>
    <s v="Color Last"/>
    <s v="Search"/>
    <x v="3"/>
    <s v="Amazon"/>
    <d v="2023-07-29T00:00:00"/>
    <x v="1"/>
    <n v="6216.0800000000027"/>
    <n v="1680381"/>
  </r>
  <r>
    <s v="Biolage"/>
    <s v="Color Last"/>
    <s v="Search"/>
    <x v="3"/>
    <s v="Amazon"/>
    <d v="2023-08-05T00:00:00"/>
    <x v="1"/>
    <n v="5883.1499999999978"/>
    <n v="1498878"/>
  </r>
  <r>
    <s v="Biolage"/>
    <s v="Color Last"/>
    <s v="Search"/>
    <x v="3"/>
    <s v="Amazon"/>
    <d v="2023-08-12T00:00:00"/>
    <x v="1"/>
    <n v="6986.8900000000012"/>
    <n v="1632708"/>
  </r>
  <r>
    <s v="Biolage"/>
    <s v="Color Last"/>
    <s v="Search"/>
    <x v="3"/>
    <s v="Amazon"/>
    <d v="2023-08-19T00:00:00"/>
    <x v="1"/>
    <n v="7911.0200000000013"/>
    <n v="1855963"/>
  </r>
  <r>
    <s v="Biolage"/>
    <s v="Color Last"/>
    <s v="Search"/>
    <x v="3"/>
    <s v="Amazon"/>
    <d v="2023-08-26T00:00:00"/>
    <x v="1"/>
    <n v="9311.6699999999983"/>
    <n v="2600185"/>
  </r>
  <r>
    <s v="Biolage"/>
    <s v="Color Last"/>
    <s v="Search"/>
    <x v="3"/>
    <s v="Amazon"/>
    <d v="2023-09-02T00:00:00"/>
    <x v="1"/>
    <n v="6580.8700000000026"/>
    <n v="1293897"/>
  </r>
  <r>
    <s v="Biolage"/>
    <s v="Color Last"/>
    <s v="Search"/>
    <x v="3"/>
    <s v="Amazon"/>
    <d v="2023-09-09T00:00:00"/>
    <x v="1"/>
    <n v="7492.2000000000016"/>
    <n v="1003932"/>
  </r>
  <r>
    <s v="Biolage"/>
    <s v="Color Last"/>
    <s v="Search"/>
    <x v="3"/>
    <s v="Amazon"/>
    <d v="2023-09-16T00:00:00"/>
    <x v="1"/>
    <n v="8166.6700000000055"/>
    <n v="1021776"/>
  </r>
  <r>
    <s v="Biolage"/>
    <s v="Color Last"/>
    <s v="Search"/>
    <x v="3"/>
    <s v="Amazon"/>
    <d v="2023-09-23T00:00:00"/>
    <x v="1"/>
    <n v="10469.630000000006"/>
    <n v="1331006"/>
  </r>
  <r>
    <s v="Biolage"/>
    <s v="Color Last"/>
    <s v="Search"/>
    <x v="3"/>
    <s v="Amazon"/>
    <d v="2023-09-30T00:00:00"/>
    <x v="1"/>
    <n v="7474.56"/>
    <n v="1446597"/>
  </r>
  <r>
    <s v="Biolage"/>
    <s v="Color Last"/>
    <s v="Search"/>
    <x v="3"/>
    <s v="Amazon"/>
    <d v="2023-10-07T00:00:00"/>
    <x v="1"/>
    <n v="10517.14"/>
    <n v="2393271"/>
  </r>
  <r>
    <s v="Biolage"/>
    <s v="Color Last"/>
    <s v="Search"/>
    <x v="3"/>
    <s v="Amazon"/>
    <d v="2023-10-14T00:00:00"/>
    <x v="1"/>
    <n v="11177.240000000003"/>
    <n v="2155957"/>
  </r>
  <r>
    <s v="Biolage"/>
    <s v="Color Last"/>
    <s v="Search"/>
    <x v="3"/>
    <s v="Amazon"/>
    <d v="2023-10-21T00:00:00"/>
    <x v="1"/>
    <n v="14642.900000000003"/>
    <n v="3258032"/>
  </r>
  <r>
    <s v="Biolage"/>
    <s v="Color Last"/>
    <s v="Search"/>
    <x v="3"/>
    <s v="Amazon"/>
    <d v="2023-10-28T00:00:00"/>
    <x v="1"/>
    <n v="13364.49"/>
    <n v="2852428"/>
  </r>
  <r>
    <s v="Biolage"/>
    <s v="Color Last"/>
    <s v="Search"/>
    <x v="3"/>
    <s v="Amazon"/>
    <d v="2023-11-04T00:00:00"/>
    <x v="1"/>
    <n v="12211.740000000003"/>
    <n v="2638022"/>
  </r>
  <r>
    <s v="Biolage"/>
    <s v="Color Last"/>
    <s v="Search"/>
    <x v="3"/>
    <s v="Amazon"/>
    <d v="2023-11-11T00:00:00"/>
    <x v="1"/>
    <n v="10620.699999999999"/>
    <n v="2029166"/>
  </r>
  <r>
    <s v="Biolage"/>
    <s v="Color Last"/>
    <s v="Search"/>
    <x v="3"/>
    <s v="Amazon"/>
    <d v="2023-11-18T00:00:00"/>
    <x v="1"/>
    <n v="11421.140000000001"/>
    <n v="2070626"/>
  </r>
  <r>
    <s v="Biolage"/>
    <s v="Color Last"/>
    <s v="Search"/>
    <x v="3"/>
    <s v="Amazon"/>
    <d v="2023-11-25T00:00:00"/>
    <x v="1"/>
    <n v="27711.41"/>
    <n v="4818433"/>
  </r>
  <r>
    <s v="Biolage"/>
    <s v="Color Last"/>
    <s v="Search"/>
    <x v="3"/>
    <s v="Amazon"/>
    <d v="2023-12-02T00:00:00"/>
    <x v="1"/>
    <n v="20340.710000000017"/>
    <n v="2791079"/>
  </r>
  <r>
    <s v="Biolage"/>
    <s v="Color Last"/>
    <s v="Search"/>
    <x v="3"/>
    <s v="Amazon"/>
    <d v="2023-12-09T00:00:00"/>
    <x v="1"/>
    <n v="8657.4700000000012"/>
    <n v="953837"/>
  </r>
  <r>
    <s v="Biolage"/>
    <s v="Color Last"/>
    <s v="Search"/>
    <x v="3"/>
    <s v="Amazon"/>
    <d v="2023-12-16T00:00:00"/>
    <x v="1"/>
    <n v="5653.81"/>
    <n v="762749"/>
  </r>
  <r>
    <s v="Biolage"/>
    <s v="Color Last"/>
    <s v="Search"/>
    <x v="3"/>
    <s v="Amazon"/>
    <d v="2023-12-23T00:00:00"/>
    <x v="1"/>
    <n v="4265.3600000000015"/>
    <n v="573301"/>
  </r>
  <r>
    <s v="Biolage"/>
    <s v="Color Last"/>
    <s v="Search"/>
    <x v="3"/>
    <s v="Amazon"/>
    <d v="2023-12-30T00:00:00"/>
    <x v="1"/>
    <n v="5065.0499999999993"/>
    <n v="750908"/>
  </r>
  <r>
    <s v="Biolage"/>
    <s v="Color Last"/>
    <s v="Search"/>
    <x v="3"/>
    <s v="Amazon"/>
    <d v="2024-01-06T00:00:00"/>
    <x v="2"/>
    <n v="4042.0499999999993"/>
    <n v="554106"/>
  </r>
  <r>
    <s v="Biolage"/>
    <s v="Color Last"/>
    <s v="Search"/>
    <x v="3"/>
    <s v="Amazon"/>
    <d v="2024-01-13T00:00:00"/>
    <x v="2"/>
    <n v="7692.01"/>
    <n v="923568"/>
  </r>
  <r>
    <s v="Biolage"/>
    <s v="Color Last"/>
    <s v="Search"/>
    <x v="3"/>
    <s v="Amazon"/>
    <d v="2024-01-20T00:00:00"/>
    <x v="2"/>
    <n v="8751.6799999999948"/>
    <n v="921726"/>
  </r>
  <r>
    <s v="Biolage"/>
    <s v="Color Last"/>
    <s v="Search"/>
    <x v="3"/>
    <s v="Amazon"/>
    <d v="2024-01-27T00:00:00"/>
    <x v="2"/>
    <n v="8821.2999999999938"/>
    <n v="967748"/>
  </r>
  <r>
    <s v="Biolage"/>
    <s v="Color Last"/>
    <s v="Search"/>
    <x v="3"/>
    <s v="Amazon"/>
    <d v="2024-02-03T00:00:00"/>
    <x v="2"/>
    <n v="7749.8700000000026"/>
    <n v="1036352"/>
  </r>
  <r>
    <s v="Biolage"/>
    <s v="Color Last"/>
    <s v="Search"/>
    <x v="3"/>
    <s v="Amazon"/>
    <d v="2024-02-10T00:00:00"/>
    <x v="2"/>
    <n v="7835.6700000000046"/>
    <n v="1029944"/>
  </r>
  <r>
    <s v="Biolage"/>
    <s v="Color Last"/>
    <s v="Search"/>
    <x v="3"/>
    <s v="Amazon"/>
    <d v="2024-02-17T00:00:00"/>
    <x v="2"/>
    <n v="8113.2199999999984"/>
    <n v="1045283"/>
  </r>
  <r>
    <s v="Biolage"/>
    <s v="Color Last"/>
    <s v="Search"/>
    <x v="3"/>
    <s v="Amazon"/>
    <d v="2024-02-24T00:00:00"/>
    <x v="2"/>
    <n v="8113.0300000000034"/>
    <n v="977996"/>
  </r>
  <r>
    <s v="Biolage"/>
    <s v="Color Last"/>
    <s v="Search"/>
    <x v="3"/>
    <s v="Amazon"/>
    <d v="2024-03-02T00:00:00"/>
    <x v="2"/>
    <n v="6394.0099999999993"/>
    <n v="1026525"/>
  </r>
  <r>
    <s v="Biolage"/>
    <s v="Color Last"/>
    <s v="Search"/>
    <x v="3"/>
    <s v="Amazon"/>
    <d v="2024-03-09T00:00:00"/>
    <x v="2"/>
    <n v="6616.9599999999982"/>
    <n v="1216949"/>
  </r>
  <r>
    <s v="Biolage"/>
    <s v="Color Last"/>
    <s v="Search"/>
    <x v="3"/>
    <s v="Amazon"/>
    <d v="2024-03-16T00:00:00"/>
    <x v="2"/>
    <n v="7251.72"/>
    <n v="1381239"/>
  </r>
  <r>
    <s v="Biolage"/>
    <s v="Color Last"/>
    <s v="Search"/>
    <x v="3"/>
    <s v="Amazon"/>
    <d v="2024-03-23T00:00:00"/>
    <x v="2"/>
    <n v="7676.3600000000006"/>
    <n v="1709971"/>
  </r>
  <r>
    <s v="Biolage"/>
    <s v="Color Last"/>
    <s v="Search"/>
    <x v="3"/>
    <s v="Amazon"/>
    <d v="2024-03-30T00:00:00"/>
    <x v="2"/>
    <n v="7304.0799999999972"/>
    <n v="1583344"/>
  </r>
  <r>
    <s v="Biolage"/>
    <s v="Color Last"/>
    <s v="Search"/>
    <x v="3"/>
    <s v="Amazon"/>
    <d v="2024-04-06T00:00:00"/>
    <x v="2"/>
    <n v="8249.980000000005"/>
    <n v="1826267"/>
  </r>
  <r>
    <s v="Biolage"/>
    <s v="Color Last"/>
    <s v="Search"/>
    <x v="3"/>
    <s v="Amazon"/>
    <d v="2024-04-13T00:00:00"/>
    <x v="2"/>
    <n v="10199.040000000003"/>
    <n v="2323604"/>
  </r>
  <r>
    <s v="Biolage"/>
    <s v="Color Last"/>
    <s v="Search"/>
    <x v="3"/>
    <s v="Amazon"/>
    <d v="2024-04-20T00:00:00"/>
    <x v="2"/>
    <n v="10692.359999999999"/>
    <n v="2777882"/>
  </r>
  <r>
    <s v="Biolage"/>
    <s v="Color Last"/>
    <s v="Search"/>
    <x v="3"/>
    <s v="Amazon"/>
    <d v="2024-04-27T00:00:00"/>
    <x v="2"/>
    <n v="9686.8300000000017"/>
    <n v="2330395"/>
  </r>
  <r>
    <s v="Biolage"/>
    <s v="Color Last"/>
    <s v="Search"/>
    <x v="3"/>
    <s v="Amazon"/>
    <d v="2024-05-04T00:00:00"/>
    <x v="2"/>
    <n v="10958.749999999998"/>
    <n v="3121063"/>
  </r>
  <r>
    <s v="Biolage"/>
    <s v="Color Last"/>
    <s v="Search"/>
    <x v="3"/>
    <s v="Amazon"/>
    <d v="2024-05-11T00:00:00"/>
    <x v="2"/>
    <n v="12529.640000000003"/>
    <n v="3519964"/>
  </r>
  <r>
    <s v="Biolage"/>
    <s v="Color Last"/>
    <s v="Search"/>
    <x v="3"/>
    <s v="Amazon"/>
    <d v="2024-05-18T00:00:00"/>
    <x v="2"/>
    <n v="11375.900000000007"/>
    <n v="3187719"/>
  </r>
  <r>
    <s v="Biolage"/>
    <s v="Color Last"/>
    <s v="Search"/>
    <x v="3"/>
    <s v="Amazon"/>
    <d v="2024-05-25T00:00:00"/>
    <x v="2"/>
    <n v="10666.44"/>
    <n v="2668502"/>
  </r>
  <r>
    <s v="Biolage"/>
    <s v="Color Last"/>
    <s v="Search"/>
    <x v="3"/>
    <s v="Amazon"/>
    <d v="2024-06-01T00:00:00"/>
    <x v="2"/>
    <n v="8255.7599999999984"/>
    <n v="1682349"/>
  </r>
  <r>
    <s v="Biolage"/>
    <s v="Color Last"/>
    <s v="Search"/>
    <x v="3"/>
    <s v="Amazon"/>
    <d v="2024-06-08T00:00:00"/>
    <x v="2"/>
    <n v="9942.159999999998"/>
    <n v="2122421"/>
  </r>
  <r>
    <s v="Biolage"/>
    <s v="Color Last"/>
    <s v="Search"/>
    <x v="3"/>
    <s v="Amazon"/>
    <d v="2024-06-15T00:00:00"/>
    <x v="2"/>
    <n v="9987.7000000000007"/>
    <n v="2584708"/>
  </r>
  <r>
    <s v="Biolage"/>
    <s v="Color Last"/>
    <s v="Search"/>
    <x v="3"/>
    <s v="Amazon"/>
    <d v="2024-06-22T00:00:00"/>
    <x v="2"/>
    <n v="11078.639999999996"/>
    <n v="2790583"/>
  </r>
  <r>
    <s v="Biolage"/>
    <s v="Color Last"/>
    <s v="Search"/>
    <x v="3"/>
    <s v="Amazon"/>
    <d v="2024-06-29T00:00:00"/>
    <x v="2"/>
    <n v="18048.659999999996"/>
    <n v="4382522"/>
  </r>
  <r>
    <s v="Biolage"/>
    <s v="Color Last"/>
    <s v="Search"/>
    <x v="3"/>
    <s v="Amazon"/>
    <d v="2024-07-06T00:00:00"/>
    <x v="2"/>
    <n v="18641.490000000009"/>
    <n v="3898367"/>
  </r>
  <r>
    <s v="Biolage"/>
    <s v="Color Last"/>
    <s v="Search"/>
    <x v="3"/>
    <s v="Amazon"/>
    <d v="2024-07-13T00:00:00"/>
    <x v="2"/>
    <n v="18644.260000000006"/>
    <n v="3344353"/>
  </r>
  <r>
    <s v="Biolage"/>
    <s v="Color Last"/>
    <s v="Search"/>
    <x v="3"/>
    <s v="Amazon"/>
    <d v="2024-07-20T00:00:00"/>
    <x v="2"/>
    <n v="119138.89999999997"/>
    <n v="10577276"/>
  </r>
  <r>
    <s v="Biolage"/>
    <s v="Color Last"/>
    <s v="Search"/>
    <x v="3"/>
    <s v="Amazon"/>
    <d v="2024-07-27T00:00:00"/>
    <x v="2"/>
    <n v="12994.579999999998"/>
    <n v="1926591"/>
  </r>
  <r>
    <s v="Biolage"/>
    <s v="Color Last"/>
    <s v="Search"/>
    <x v="3"/>
    <s v="Amazon"/>
    <d v="2024-08-03T00:00:00"/>
    <x v="2"/>
    <n v="10939.349999999997"/>
    <n v="1597468"/>
  </r>
  <r>
    <s v="Biolage"/>
    <s v="Color Last"/>
    <s v="Search"/>
    <x v="3"/>
    <s v="Amazon"/>
    <d v="2024-08-10T00:00:00"/>
    <x v="2"/>
    <n v="10800.960000000003"/>
    <n v="1605280"/>
  </r>
  <r>
    <s v="Biolage"/>
    <s v="Color Last"/>
    <s v="Search"/>
    <x v="3"/>
    <s v="Amazon"/>
    <d v="2024-08-17T00:00:00"/>
    <x v="2"/>
    <n v="8216.369999999999"/>
    <n v="1041815"/>
  </r>
  <r>
    <s v="Biolage"/>
    <s v="Color Last"/>
    <s v="Search"/>
    <x v="3"/>
    <s v="Amazon"/>
    <d v="2024-08-24T00:00:00"/>
    <x v="2"/>
    <n v="8132.2499999999991"/>
    <n v="893299"/>
  </r>
  <r>
    <s v="Biolage"/>
    <s v="Color Last"/>
    <s v="Search"/>
    <x v="3"/>
    <s v="Amazon"/>
    <d v="2024-08-31T00:00:00"/>
    <x v="2"/>
    <n v="8737.8800000000028"/>
    <n v="1024885"/>
  </r>
  <r>
    <s v="Biolage"/>
    <s v="Color Last"/>
    <s v="Search"/>
    <x v="3"/>
    <s v="Amazon"/>
    <d v="2024-09-07T00:00:00"/>
    <x v="2"/>
    <n v="9205.07"/>
    <n v="1247407"/>
  </r>
  <r>
    <s v="Biolage"/>
    <s v="Color Last"/>
    <s v="Search"/>
    <x v="3"/>
    <s v="Amazon"/>
    <d v="2024-09-14T00:00:00"/>
    <x v="2"/>
    <n v="10137.550000000005"/>
    <n v="1349807"/>
  </r>
  <r>
    <s v="Biolage"/>
    <s v="Color Last"/>
    <s v="Search"/>
    <x v="3"/>
    <s v="Amazon"/>
    <d v="2024-09-21T00:00:00"/>
    <x v="2"/>
    <n v="8969.6500000000015"/>
    <n v="1143539"/>
  </r>
  <r>
    <s v="Biolage"/>
    <s v="Color Last"/>
    <s v="Search"/>
    <x v="3"/>
    <s v="Amazon"/>
    <d v="2024-09-28T00:00:00"/>
    <x v="2"/>
    <n v="9669.1899999999932"/>
    <n v="1355070"/>
  </r>
  <r>
    <s v="Biolage"/>
    <s v="Color Last"/>
    <s v="Search"/>
    <x v="3"/>
    <s v="Amazon"/>
    <d v="2024-10-05T00:00:00"/>
    <x v="2"/>
    <n v="9191.1999999999971"/>
    <n v="1181800"/>
  </r>
  <r>
    <s v="Biolage"/>
    <s v="Color Last"/>
    <s v="Search"/>
    <x v="3"/>
    <s v="Amazon"/>
    <d v="2024-10-12T00:00:00"/>
    <x v="2"/>
    <n v="17724.05000000001"/>
    <n v="1602659"/>
  </r>
  <r>
    <s v="Biolage"/>
    <s v="Color Last"/>
    <s v="Search"/>
    <x v="3"/>
    <s v="Amazon"/>
    <d v="2024-10-19T00:00:00"/>
    <x v="2"/>
    <n v="6309.83"/>
    <n v="688820"/>
  </r>
  <r>
    <s v="Biolage"/>
    <s v="Color Last"/>
    <s v="Search"/>
    <x v="3"/>
    <s v="Amazon"/>
    <d v="2024-10-26T00:00:00"/>
    <x v="2"/>
    <n v="7374.5000000000018"/>
    <n v="1274154"/>
  </r>
  <r>
    <s v="Biolage"/>
    <s v="Color Last"/>
    <s v="Search"/>
    <x v="3"/>
    <s v="Amazon"/>
    <d v="2024-11-02T00:00:00"/>
    <x v="2"/>
    <n v="8146.8199999999979"/>
    <n v="1494154"/>
  </r>
  <r>
    <s v="Biolage"/>
    <s v="Color Last"/>
    <s v="Search"/>
    <x v="3"/>
    <s v="Amazon"/>
    <d v="2024-11-09T00:00:00"/>
    <x v="2"/>
    <n v="8080.0500000000011"/>
    <n v="1546815"/>
  </r>
  <r>
    <s v="Biolage"/>
    <s v="Color Last"/>
    <s v="Search"/>
    <x v="3"/>
    <s v="Amazon"/>
    <d v="2024-11-16T00:00:00"/>
    <x v="2"/>
    <n v="8343.0800000000017"/>
    <n v="1661747"/>
  </r>
  <r>
    <s v="Biolage"/>
    <s v="Color Last"/>
    <s v="Search"/>
    <x v="3"/>
    <s v="Amazon"/>
    <d v="2024-11-23T00:00:00"/>
    <x v="2"/>
    <n v="9283.880000000001"/>
    <n v="1333454"/>
  </r>
  <r>
    <s v="Biolage"/>
    <s v="Color Last"/>
    <s v="Search"/>
    <x v="3"/>
    <s v="Amazon"/>
    <d v="2024-11-30T00:00:00"/>
    <x v="2"/>
    <n v="20079.929999999993"/>
    <n v="1547940"/>
  </r>
  <r>
    <s v="Biolage"/>
    <s v="Color Last"/>
    <s v="Search"/>
    <x v="3"/>
    <s v="Amazon"/>
    <d v="2024-12-07T00:00:00"/>
    <x v="2"/>
    <n v="9933.5699999999979"/>
    <n v="1144302"/>
  </r>
  <r>
    <s v="Biolage"/>
    <s v="Color Last"/>
    <s v="Search"/>
    <x v="3"/>
    <s v="Amazon"/>
    <d v="2024-12-14T00:00:00"/>
    <x v="2"/>
    <n v="7308.09"/>
    <n v="889448"/>
  </r>
  <r>
    <s v="Biolage"/>
    <s v="Color Last"/>
    <s v="Search"/>
    <x v="3"/>
    <s v="Amazon"/>
    <d v="2024-12-21T00:00:00"/>
    <x v="2"/>
    <n v="9057.4399999999951"/>
    <n v="1220649"/>
  </r>
  <r>
    <s v="Biolage"/>
    <s v="Color Last"/>
    <s v="Search"/>
    <x v="3"/>
    <s v="Amazon"/>
    <d v="2024-12-28T00:00:00"/>
    <x v="2"/>
    <n v="14821.449999999995"/>
    <n v="1573356"/>
  </r>
  <r>
    <s v="Biolage"/>
    <s v="Color Last"/>
    <s v="Search"/>
    <x v="3"/>
    <s v="Amazon"/>
    <d v="2025-01-04T00:00:00"/>
    <x v="2"/>
    <n v="5394.5599999999986"/>
    <n v="518369"/>
  </r>
  <r>
    <s v="Biolage"/>
    <s v="Color Last"/>
    <s v="Search"/>
    <x v="3"/>
    <s v="Amazon"/>
    <d v="2025-01-04T00:00:00"/>
    <x v="0"/>
    <n v="4735.8400000000011"/>
    <n v="423993"/>
  </r>
  <r>
    <s v="Biolage"/>
    <s v="Color Last"/>
    <s v="Search"/>
    <x v="3"/>
    <s v="Amazon"/>
    <d v="2025-01-11T00:00:00"/>
    <x v="0"/>
    <n v="7348.7800000000007"/>
    <n v="626984"/>
  </r>
  <r>
    <s v="Biolage"/>
    <s v="Color Last"/>
    <s v="Search"/>
    <x v="3"/>
    <s v="Amazon"/>
    <d v="2025-01-18T00:00:00"/>
    <x v="0"/>
    <n v="7391.1700000000019"/>
    <n v="696930"/>
  </r>
  <r>
    <s v="Biolage"/>
    <s v="Color Last"/>
    <s v="Search"/>
    <x v="3"/>
    <s v="Amazon"/>
    <d v="2025-01-25T00:00:00"/>
    <x v="0"/>
    <n v="12675.250000000004"/>
    <n v="1368185"/>
  </r>
  <r>
    <s v="Biolage"/>
    <s v="Color Last"/>
    <s v="Search"/>
    <x v="3"/>
    <s v="Amazon"/>
    <d v="2025-02-01T00:00:00"/>
    <x v="0"/>
    <n v="10814.579999999998"/>
    <n v="2291145"/>
  </r>
  <r>
    <s v="Biolage"/>
    <s v="Color Last"/>
    <s v="Search"/>
    <x v="3"/>
    <s v="Amazon"/>
    <d v="2025-02-08T00:00:00"/>
    <x v="0"/>
    <n v="10648.5"/>
    <n v="2420628"/>
  </r>
  <r>
    <s v="Biolage"/>
    <s v="Color Last"/>
    <s v="Search"/>
    <x v="3"/>
    <s v="Amazon"/>
    <d v="2025-02-15T00:00:00"/>
    <x v="0"/>
    <n v="11220.300000000001"/>
    <n v="1890806"/>
  </r>
  <r>
    <s v="Biolage"/>
    <s v="Color Last"/>
    <s v="Search"/>
    <x v="3"/>
    <s v="Amazon"/>
    <d v="2025-02-22T00:00:00"/>
    <x v="0"/>
    <n v="13415.84"/>
    <n v="2078140"/>
  </r>
  <r>
    <s v="Biolage"/>
    <s v="Color Last"/>
    <s v="Search"/>
    <x v="3"/>
    <s v="Amazon"/>
    <d v="2025-03-01T00:00:00"/>
    <x v="0"/>
    <n v="17359.29"/>
    <n v="2818319"/>
  </r>
  <r>
    <s v="Biolage"/>
    <s v="Color Last"/>
    <s v="Search"/>
    <x v="3"/>
    <s v="Amazon"/>
    <d v="2025-03-08T00:00:00"/>
    <x v="0"/>
    <n v="15311.380000000006"/>
    <n v="2293520"/>
  </r>
  <r>
    <s v="Biolage"/>
    <s v="Color Last"/>
    <s v="Search"/>
    <x v="3"/>
    <s v="Amazon"/>
    <d v="2025-03-15T00:00:00"/>
    <x v="0"/>
    <n v="15049.17"/>
    <n v="2204845"/>
  </r>
  <r>
    <s v="Biolage"/>
    <s v="Color Last"/>
    <s v="Search"/>
    <x v="3"/>
    <s v="Amazon"/>
    <d v="2025-03-22T00:00:00"/>
    <x v="0"/>
    <n v="12368.700000000004"/>
    <n v="1827911"/>
  </r>
  <r>
    <s v="Biolage"/>
    <s v="Color Last"/>
    <s v="Search"/>
    <x v="3"/>
    <s v="Amazon"/>
    <d v="2025-03-29T00:00:00"/>
    <x v="0"/>
    <n v="7813.1600000000017"/>
    <n v="963845"/>
  </r>
  <r>
    <s v="Biolage"/>
    <s v="Color Last"/>
    <s v="Search"/>
    <x v="3"/>
    <s v="Amazon"/>
    <d v="2025-04-05T00:00:00"/>
    <x v="0"/>
    <n v="7786.7500000000018"/>
    <n v="1536387"/>
  </r>
  <r>
    <s v="Biolage"/>
    <s v="Color Last"/>
    <s v="Search"/>
    <x v="3"/>
    <s v="Amazon"/>
    <d v="2025-04-12T00:00:00"/>
    <x v="0"/>
    <n v="9899.9800000000014"/>
    <n v="1704203"/>
  </r>
  <r>
    <s v="Biolage"/>
    <s v="Color Last"/>
    <s v="Search"/>
    <x v="3"/>
    <s v="Amazon"/>
    <d v="2025-04-19T00:00:00"/>
    <x v="0"/>
    <n v="14805.809999999998"/>
    <n v="2129684"/>
  </r>
  <r>
    <s v="Biolage"/>
    <s v="Color Last"/>
    <s v="Search"/>
    <x v="3"/>
    <s v="Amazon"/>
    <d v="2025-04-26T00:00:00"/>
    <x v="0"/>
    <n v="19654.550000000003"/>
    <n v="2718498"/>
  </r>
  <r>
    <s v="Biolage"/>
    <s v="Color Last"/>
    <s v="Search"/>
    <x v="3"/>
    <s v="Amazon"/>
    <d v="2025-05-03T00:00:00"/>
    <x v="0"/>
    <n v="19391.520000000004"/>
    <n v="2725620"/>
  </r>
  <r>
    <s v="Biolage"/>
    <s v="Color Last"/>
    <s v="Search"/>
    <x v="3"/>
    <s v="Amazon"/>
    <d v="2025-05-10T00:00:00"/>
    <x v="0"/>
    <n v="14111.450000000004"/>
    <n v="2089023"/>
  </r>
  <r>
    <s v="Biolage"/>
    <s v="Color Last"/>
    <s v="Search"/>
    <x v="3"/>
    <s v="Amazon"/>
    <d v="2025-05-17T00:00:00"/>
    <x v="0"/>
    <n v="13057.840000000006"/>
    <n v="1948863"/>
  </r>
  <r>
    <s v="Biolage"/>
    <s v="Color Last"/>
    <s v="Search"/>
    <x v="3"/>
    <s v="Amazon"/>
    <d v="2025-05-24T00:00:00"/>
    <x v="0"/>
    <n v="10933.79"/>
    <n v="1571145"/>
  </r>
  <r>
    <s v="Biolage"/>
    <s v="Color Last"/>
    <s v="Search"/>
    <x v="3"/>
    <s v="Amazon"/>
    <d v="2025-05-31T00:00:00"/>
    <x v="0"/>
    <n v="8796.4200000000037"/>
    <n v="1437208"/>
  </r>
  <r>
    <s v="Biolage"/>
    <s v="Color Last"/>
    <s v="Search"/>
    <x v="3"/>
    <s v="Amazon"/>
    <d v="2025-06-07T00:00:00"/>
    <x v="0"/>
    <n v="17545.849999999999"/>
    <n v="2237688"/>
  </r>
  <r>
    <s v="Biolage"/>
    <s v="Color Last"/>
    <s v="Search"/>
    <x v="3"/>
    <s v="Amazon"/>
    <d v="2025-06-14T00:00:00"/>
    <x v="0"/>
    <n v="19847.09"/>
    <n v="2236322"/>
  </r>
  <r>
    <s v="Biolage"/>
    <s v="Color Last"/>
    <s v="Search"/>
    <x v="3"/>
    <s v="Amazon"/>
    <d v="2025-06-21T00:00:00"/>
    <x v="0"/>
    <n v="12027.609999999993"/>
    <n v="1183701"/>
  </r>
  <r>
    <s v="Biolage"/>
    <s v="Color Last"/>
    <s v="Search"/>
    <x v="3"/>
    <s v="Amazon"/>
    <d v="2025-06-28T00:00:00"/>
    <x v="0"/>
    <n v="3918.61"/>
    <n v="471233"/>
  </r>
  <r>
    <s v="Biolage"/>
    <s v="Strength Recovery"/>
    <s v="Display"/>
    <x v="3"/>
    <s v="Amazon"/>
    <d v="2023-07-01T00:00:00"/>
    <x v="1"/>
    <n v="740.48889999999994"/>
    <n v="87514"/>
  </r>
  <r>
    <s v="Biolage"/>
    <s v="Strength Recovery"/>
    <s v="Display"/>
    <x v="3"/>
    <s v="Amazon"/>
    <d v="2023-07-08T00:00:00"/>
    <x v="1"/>
    <n v="5084.612799999999"/>
    <n v="644944"/>
  </r>
  <r>
    <s v="Biolage"/>
    <s v="Strength Recovery"/>
    <s v="Display"/>
    <x v="3"/>
    <s v="Amazon"/>
    <d v="2023-07-15T00:00:00"/>
    <x v="1"/>
    <n v="5096.2629999999981"/>
    <n v="705589"/>
  </r>
  <r>
    <s v="Biolage"/>
    <s v="Strength Recovery"/>
    <s v="Display"/>
    <x v="3"/>
    <s v="Amazon"/>
    <d v="2023-07-22T00:00:00"/>
    <x v="1"/>
    <n v="6071.4559000000008"/>
    <n v="949823"/>
  </r>
  <r>
    <s v="Biolage"/>
    <s v="Strength Recovery"/>
    <s v="Display"/>
    <x v="3"/>
    <s v="Amazon"/>
    <d v="2023-07-29T00:00:00"/>
    <x v="1"/>
    <n v="6057.3192000000008"/>
    <n v="932308"/>
  </r>
  <r>
    <s v="Biolage"/>
    <s v="Strength Recovery"/>
    <s v="Display"/>
    <x v="3"/>
    <s v="Amazon"/>
    <d v="2023-08-05T00:00:00"/>
    <x v="1"/>
    <n v="6018.5332000000017"/>
    <n v="852071"/>
  </r>
  <r>
    <s v="Biolage"/>
    <s v="Strength Recovery"/>
    <s v="Display"/>
    <x v="3"/>
    <s v="Amazon"/>
    <d v="2023-08-12T00:00:00"/>
    <x v="1"/>
    <n v="5830.0846000000001"/>
    <n v="830217"/>
  </r>
  <r>
    <s v="Biolage"/>
    <s v="Strength Recovery"/>
    <s v="Display"/>
    <x v="3"/>
    <s v="Amazon"/>
    <d v="2023-08-19T00:00:00"/>
    <x v="1"/>
    <n v="4737.5258000000003"/>
    <n v="592965"/>
  </r>
  <r>
    <s v="Biolage"/>
    <s v="Strength Recovery"/>
    <s v="Display"/>
    <x v="3"/>
    <s v="Amazon"/>
    <d v="2023-08-26T00:00:00"/>
    <x v="1"/>
    <n v="4058.3792000000008"/>
    <n v="557078"/>
  </r>
  <r>
    <s v="Biolage"/>
    <s v="Strength Recovery"/>
    <s v="Display"/>
    <x v="3"/>
    <s v="Amazon"/>
    <d v="2023-09-02T00:00:00"/>
    <x v="1"/>
    <n v="5023.656600000003"/>
    <n v="554421"/>
  </r>
  <r>
    <s v="Biolage"/>
    <s v="Strength Recovery"/>
    <s v="Display"/>
    <x v="3"/>
    <s v="Amazon"/>
    <d v="2023-09-09T00:00:00"/>
    <x v="1"/>
    <n v="3559.2014000000004"/>
    <n v="461366"/>
  </r>
  <r>
    <s v="Biolage"/>
    <s v="Strength Recovery"/>
    <s v="Display"/>
    <x v="3"/>
    <s v="Amazon"/>
    <d v="2023-09-16T00:00:00"/>
    <x v="1"/>
    <n v="3982.9713999999985"/>
    <n v="512097"/>
  </r>
  <r>
    <s v="Biolage"/>
    <s v="Strength Recovery"/>
    <s v="Display"/>
    <x v="3"/>
    <s v="Amazon"/>
    <d v="2023-09-23T00:00:00"/>
    <x v="1"/>
    <n v="4712.5533999999989"/>
    <n v="641220"/>
  </r>
  <r>
    <s v="Biolage"/>
    <s v="Strength Recovery"/>
    <s v="Display"/>
    <x v="3"/>
    <s v="Amazon"/>
    <d v="2023-09-30T00:00:00"/>
    <x v="1"/>
    <n v="5622.0327999999981"/>
    <n v="801519"/>
  </r>
  <r>
    <s v="Biolage"/>
    <s v="Strength Recovery"/>
    <s v="Display"/>
    <x v="3"/>
    <s v="Amazon"/>
    <d v="2023-10-07T00:00:00"/>
    <x v="1"/>
    <n v="6333.9197999999997"/>
    <n v="950677"/>
  </r>
  <r>
    <s v="Biolage"/>
    <s v="Strength Recovery"/>
    <s v="Display"/>
    <x v="3"/>
    <s v="Amazon"/>
    <d v="2023-10-14T00:00:00"/>
    <x v="1"/>
    <n v="7147.4304999999986"/>
    <n v="956615"/>
  </r>
  <r>
    <s v="Biolage"/>
    <s v="Strength Recovery"/>
    <s v="Display"/>
    <x v="3"/>
    <s v="Amazon"/>
    <d v="2023-10-21T00:00:00"/>
    <x v="1"/>
    <n v="7395.7773999999981"/>
    <n v="1016879"/>
  </r>
  <r>
    <s v="Biolage"/>
    <s v="Strength Recovery"/>
    <s v="Display"/>
    <x v="3"/>
    <s v="Amazon"/>
    <d v="2023-10-28T00:00:00"/>
    <x v="1"/>
    <n v="6055.8194000000003"/>
    <n v="834271"/>
  </r>
  <r>
    <s v="Biolage"/>
    <s v="Strength Recovery"/>
    <s v="Display"/>
    <x v="3"/>
    <s v="Amazon"/>
    <d v="2023-11-04T00:00:00"/>
    <x v="1"/>
    <n v="6126.4387999999999"/>
    <n v="967771"/>
  </r>
  <r>
    <s v="Biolage"/>
    <s v="Strength Recovery"/>
    <s v="Display"/>
    <x v="3"/>
    <s v="Amazon"/>
    <d v="2023-11-11T00:00:00"/>
    <x v="1"/>
    <n v="6427.3482999999997"/>
    <n v="1018394"/>
  </r>
  <r>
    <s v="Biolage"/>
    <s v="Strength Recovery"/>
    <s v="Display"/>
    <x v="3"/>
    <s v="Amazon"/>
    <d v="2023-11-18T00:00:00"/>
    <x v="1"/>
    <n v="5854.1636000000008"/>
    <n v="749629"/>
  </r>
  <r>
    <s v="Biolage"/>
    <s v="Strength Recovery"/>
    <s v="Display"/>
    <x v="3"/>
    <s v="Amazon"/>
    <d v="2023-11-25T00:00:00"/>
    <x v="1"/>
    <n v="6900.4465000000009"/>
    <n v="756932"/>
  </r>
  <r>
    <s v="Biolage"/>
    <s v="Strength Recovery"/>
    <s v="Display"/>
    <x v="3"/>
    <s v="Amazon"/>
    <d v="2023-12-02T00:00:00"/>
    <x v="1"/>
    <n v="4389.4712999999983"/>
    <n v="492355"/>
  </r>
  <r>
    <s v="Biolage"/>
    <s v="Strength Recovery"/>
    <s v="Display"/>
    <x v="3"/>
    <s v="Amazon"/>
    <d v="2023-12-09T00:00:00"/>
    <x v="1"/>
    <n v="3894.8914999999979"/>
    <n v="552124"/>
  </r>
  <r>
    <s v="Biolage"/>
    <s v="Strength Recovery"/>
    <s v="Display"/>
    <x v="3"/>
    <s v="Amazon"/>
    <d v="2023-12-16T00:00:00"/>
    <x v="1"/>
    <n v="3982.0275999999999"/>
    <n v="609108"/>
  </r>
  <r>
    <s v="Biolage"/>
    <s v="Strength Recovery"/>
    <s v="Display"/>
    <x v="3"/>
    <s v="Amazon"/>
    <d v="2023-12-23T00:00:00"/>
    <x v="1"/>
    <n v="3936.3377000000005"/>
    <n v="592829"/>
  </r>
  <r>
    <s v="Biolage"/>
    <s v="Strength Recovery"/>
    <s v="Display"/>
    <x v="3"/>
    <s v="Amazon"/>
    <d v="2023-12-30T00:00:00"/>
    <x v="1"/>
    <n v="2807.4654"/>
    <n v="566892"/>
  </r>
  <r>
    <s v="Biolage"/>
    <s v="Strength Recovery"/>
    <s v="Display"/>
    <x v="3"/>
    <s v="Amazon"/>
    <d v="2024-01-06T00:00:00"/>
    <x v="1"/>
    <n v="12.6975"/>
    <n v="2498"/>
  </r>
  <r>
    <s v="Biolage"/>
    <s v="Strength Recovery"/>
    <s v="Display"/>
    <x v="3"/>
    <s v="Amazon"/>
    <d v="2024-01-06T00:00:00"/>
    <x v="2"/>
    <n v="3965.7071999999989"/>
    <n v="735327"/>
  </r>
  <r>
    <s v="Biolage"/>
    <s v="Strength Recovery"/>
    <s v="Display"/>
    <x v="3"/>
    <s v="Amazon"/>
    <d v="2024-01-13T00:00:00"/>
    <x v="2"/>
    <n v="6733.6956999999975"/>
    <n v="1276008"/>
  </r>
  <r>
    <s v="Biolage"/>
    <s v="Strength Recovery"/>
    <s v="Display"/>
    <x v="3"/>
    <s v="Amazon"/>
    <d v="2024-01-20T00:00:00"/>
    <x v="2"/>
    <n v="6672.8546999999971"/>
    <n v="1117978"/>
  </r>
  <r>
    <s v="Biolage"/>
    <s v="Strength Recovery"/>
    <s v="Display"/>
    <x v="3"/>
    <s v="Amazon"/>
    <d v="2024-01-27T00:00:00"/>
    <x v="2"/>
    <n v="6798.0000999999993"/>
    <n v="1131771"/>
  </r>
  <r>
    <s v="Biolage"/>
    <s v="Strength Recovery"/>
    <s v="Display"/>
    <x v="3"/>
    <s v="Amazon"/>
    <d v="2024-02-03T00:00:00"/>
    <x v="2"/>
    <n v="4110.6302999999998"/>
    <n v="681126"/>
  </r>
  <r>
    <s v="Biolage"/>
    <s v="Strength Recovery"/>
    <s v="Display"/>
    <x v="3"/>
    <s v="Amazon"/>
    <d v="2024-02-10T00:00:00"/>
    <x v="2"/>
    <n v="7140.3116999999975"/>
    <n v="1924448"/>
  </r>
  <r>
    <s v="Biolage"/>
    <s v="Strength Recovery"/>
    <s v="Display"/>
    <x v="3"/>
    <s v="Amazon"/>
    <d v="2024-02-17T00:00:00"/>
    <x v="2"/>
    <n v="6866.8573000000024"/>
    <n v="2091803"/>
  </r>
  <r>
    <s v="Biolage"/>
    <s v="Strength Recovery"/>
    <s v="Display"/>
    <x v="3"/>
    <s v="Amazon"/>
    <d v="2024-02-24T00:00:00"/>
    <x v="2"/>
    <n v="6912.5581000000038"/>
    <n v="2590070"/>
  </r>
  <r>
    <s v="Biolage"/>
    <s v="Strength Recovery"/>
    <s v="Display"/>
    <x v="3"/>
    <s v="Amazon"/>
    <d v="2024-03-02T00:00:00"/>
    <x v="2"/>
    <n v="4421.9359000000004"/>
    <n v="1435783"/>
  </r>
  <r>
    <s v="Biolage"/>
    <s v="Strength Recovery"/>
    <s v="Display"/>
    <x v="3"/>
    <s v="Amazon"/>
    <d v="2024-03-09T00:00:00"/>
    <x v="2"/>
    <n v="5621.4567999999972"/>
    <n v="1529708"/>
  </r>
  <r>
    <s v="Biolage"/>
    <s v="Strength Recovery"/>
    <s v="Display"/>
    <x v="3"/>
    <s v="Amazon"/>
    <d v="2024-03-16T00:00:00"/>
    <x v="2"/>
    <n v="5609.5313999999971"/>
    <n v="1588380"/>
  </r>
  <r>
    <s v="Biolage"/>
    <s v="Strength Recovery"/>
    <s v="Display"/>
    <x v="3"/>
    <s v="Amazon"/>
    <d v="2024-03-23T00:00:00"/>
    <x v="2"/>
    <n v="5647.7424999999976"/>
    <n v="1291095"/>
  </r>
  <r>
    <s v="Biolage"/>
    <s v="Strength Recovery"/>
    <s v="Display"/>
    <x v="3"/>
    <s v="Amazon"/>
    <d v="2024-03-30T00:00:00"/>
    <x v="2"/>
    <n v="5170.1101999999983"/>
    <n v="585118"/>
  </r>
  <r>
    <s v="Biolage"/>
    <s v="Strength Recovery"/>
    <s v="Display"/>
    <x v="3"/>
    <s v="Amazon"/>
    <d v="2024-04-06T00:00:00"/>
    <x v="2"/>
    <n v="5417.0466999999981"/>
    <n v="900266"/>
  </r>
  <r>
    <s v="Biolage"/>
    <s v="Strength Recovery"/>
    <s v="Display"/>
    <x v="3"/>
    <s v="Amazon"/>
    <d v="2024-04-13T00:00:00"/>
    <x v="2"/>
    <n v="7143.3048000000017"/>
    <n v="1192619"/>
  </r>
  <r>
    <s v="Biolage"/>
    <s v="Strength Recovery"/>
    <s v="Display"/>
    <x v="3"/>
    <s v="Amazon"/>
    <d v="2024-04-20T00:00:00"/>
    <x v="2"/>
    <n v="5046.263899999999"/>
    <n v="722557"/>
  </r>
  <r>
    <s v="Biolage"/>
    <s v="Strength Recovery"/>
    <s v="Display"/>
    <x v="3"/>
    <s v="Amazon"/>
    <d v="2024-04-27T00:00:00"/>
    <x v="2"/>
    <n v="4555.7056999999986"/>
    <n v="649587"/>
  </r>
  <r>
    <s v="Biolage"/>
    <s v="Strength Recovery"/>
    <s v="Display"/>
    <x v="3"/>
    <s v="Amazon"/>
    <d v="2024-05-04T00:00:00"/>
    <x v="2"/>
    <n v="4971.2066000000004"/>
    <n v="756164"/>
  </r>
  <r>
    <s v="Biolage"/>
    <s v="Strength Recovery"/>
    <s v="Display"/>
    <x v="3"/>
    <s v="Amazon"/>
    <d v="2024-05-11T00:00:00"/>
    <x v="2"/>
    <n v="5077.7660999999989"/>
    <n v="770550"/>
  </r>
  <r>
    <s v="Biolage"/>
    <s v="Strength Recovery"/>
    <s v="Display"/>
    <x v="3"/>
    <s v="Amazon"/>
    <d v="2024-05-18T00:00:00"/>
    <x v="2"/>
    <n v="4879.5247999999983"/>
    <n v="612402"/>
  </r>
  <r>
    <s v="Biolage"/>
    <s v="Strength Recovery"/>
    <s v="Display"/>
    <x v="3"/>
    <s v="Amazon"/>
    <d v="2024-05-25T00:00:00"/>
    <x v="2"/>
    <n v="5004.9694000000027"/>
    <n v="532733"/>
  </r>
  <r>
    <s v="Biolage"/>
    <s v="Strength Recovery"/>
    <s v="Display"/>
    <x v="3"/>
    <s v="Amazon"/>
    <d v="2024-06-01T00:00:00"/>
    <x v="2"/>
    <n v="4825.0331999999999"/>
    <n v="451209"/>
  </r>
  <r>
    <s v="Biolage"/>
    <s v="Strength Recovery"/>
    <s v="Display"/>
    <x v="3"/>
    <s v="Amazon"/>
    <d v="2024-06-08T00:00:00"/>
    <x v="2"/>
    <n v="4343.7521000000006"/>
    <n v="407698"/>
  </r>
  <r>
    <s v="Biolage"/>
    <s v="Strength Recovery"/>
    <s v="Display"/>
    <x v="3"/>
    <s v="Amazon"/>
    <d v="2024-06-15T00:00:00"/>
    <x v="2"/>
    <n v="4872.1052"/>
    <n v="400325"/>
  </r>
  <r>
    <s v="Biolage"/>
    <s v="Strength Recovery"/>
    <s v="Display"/>
    <x v="3"/>
    <s v="Amazon"/>
    <d v="2024-06-22T00:00:00"/>
    <x v="2"/>
    <n v="4945.9644000000017"/>
    <n v="378190"/>
  </r>
  <r>
    <s v="Biolage"/>
    <s v="Strength Recovery"/>
    <s v="Display"/>
    <x v="3"/>
    <s v="Amazon"/>
    <d v="2024-06-29T00:00:00"/>
    <x v="2"/>
    <n v="4556.9813999999997"/>
    <n v="331957"/>
  </r>
  <r>
    <s v="Biolage"/>
    <s v="Strength Recovery"/>
    <s v="Display"/>
    <x v="3"/>
    <s v="Amazon"/>
    <d v="2024-07-06T00:00:00"/>
    <x v="2"/>
    <n v="3781.5192000000029"/>
    <n v="390041"/>
  </r>
  <r>
    <s v="Biolage"/>
    <s v="Strength Recovery"/>
    <s v="Display"/>
    <x v="3"/>
    <s v="Amazon"/>
    <d v="2024-07-13T00:00:00"/>
    <x v="2"/>
    <n v="3797.8841999999986"/>
    <n v="409674"/>
  </r>
  <r>
    <s v="Biolage"/>
    <s v="Strength Recovery"/>
    <s v="Display"/>
    <x v="3"/>
    <s v="Amazon"/>
    <d v="2024-07-20T00:00:00"/>
    <x v="2"/>
    <n v="2709.2779"/>
    <n v="224649"/>
  </r>
  <r>
    <s v="Biolage"/>
    <s v="Strength Recovery"/>
    <s v="Display"/>
    <x v="3"/>
    <s v="Amazon"/>
    <d v="2024-07-27T00:00:00"/>
    <x v="2"/>
    <n v="4492.3219000000008"/>
    <n v="678716"/>
  </r>
  <r>
    <s v="Biolage"/>
    <s v="Strength Recovery"/>
    <s v="Display"/>
    <x v="3"/>
    <s v="Amazon"/>
    <d v="2024-08-03T00:00:00"/>
    <x v="2"/>
    <n v="3927.7318000000018"/>
    <n v="573244"/>
  </r>
  <r>
    <s v="Biolage"/>
    <s v="Strength Recovery"/>
    <s v="Display"/>
    <x v="3"/>
    <s v="Amazon"/>
    <d v="2024-08-10T00:00:00"/>
    <x v="2"/>
    <n v="3875.8870999999999"/>
    <n v="381959"/>
  </r>
  <r>
    <s v="Biolage"/>
    <s v="Strength Recovery"/>
    <s v="Display"/>
    <x v="3"/>
    <s v="Amazon"/>
    <d v="2024-08-17T00:00:00"/>
    <x v="2"/>
    <n v="3808.0692000000004"/>
    <n v="271473"/>
  </r>
  <r>
    <s v="Biolage"/>
    <s v="Strength Recovery"/>
    <s v="Display"/>
    <x v="3"/>
    <s v="Amazon"/>
    <d v="2024-08-24T00:00:00"/>
    <x v="2"/>
    <n v="3863.3629000000001"/>
    <n v="379083"/>
  </r>
  <r>
    <s v="Biolage"/>
    <s v="Strength Recovery"/>
    <s v="Display"/>
    <x v="3"/>
    <s v="Amazon"/>
    <d v="2024-08-31T00:00:00"/>
    <x v="2"/>
    <n v="3619.2930999999994"/>
    <n v="332881"/>
  </r>
  <r>
    <s v="Biolage"/>
    <s v="Strength Recovery"/>
    <s v="Display"/>
    <x v="3"/>
    <s v="Amazon"/>
    <d v="2024-09-07T00:00:00"/>
    <x v="2"/>
    <n v="3973.7300999999998"/>
    <n v="336205"/>
  </r>
  <r>
    <s v="Biolage"/>
    <s v="Strength Recovery"/>
    <s v="Display"/>
    <x v="3"/>
    <s v="Amazon"/>
    <d v="2024-09-14T00:00:00"/>
    <x v="2"/>
    <n v="4018.8783000000003"/>
    <n v="269303"/>
  </r>
  <r>
    <s v="Biolage"/>
    <s v="Strength Recovery"/>
    <s v="Display"/>
    <x v="3"/>
    <s v="Amazon"/>
    <d v="2024-09-21T00:00:00"/>
    <x v="2"/>
    <n v="3581.4115999999999"/>
    <n v="179244"/>
  </r>
  <r>
    <s v="Biolage"/>
    <s v="Strength Recovery"/>
    <s v="Display"/>
    <x v="3"/>
    <s v="Amazon"/>
    <d v="2024-09-28T00:00:00"/>
    <x v="2"/>
    <n v="3013.6907999999989"/>
    <n v="268021"/>
  </r>
  <r>
    <s v="Biolage"/>
    <s v="Strength Recovery"/>
    <s v="Display"/>
    <x v="3"/>
    <s v="Amazon"/>
    <d v="2024-10-05T00:00:00"/>
    <x v="2"/>
    <n v="5049.5283000000027"/>
    <n v="542178"/>
  </r>
  <r>
    <s v="Biolage"/>
    <s v="Strength Recovery"/>
    <s v="Display"/>
    <x v="3"/>
    <s v="Amazon"/>
    <d v="2024-10-12T00:00:00"/>
    <x v="2"/>
    <n v="5954.2887000000001"/>
    <n v="584005"/>
  </r>
  <r>
    <s v="Biolage"/>
    <s v="Strength Recovery"/>
    <s v="Display"/>
    <x v="3"/>
    <s v="Amazon"/>
    <d v="2024-10-19T00:00:00"/>
    <x v="2"/>
    <n v="5721.1953000000021"/>
    <n v="677779"/>
  </r>
  <r>
    <s v="Biolage"/>
    <s v="Strength Recovery"/>
    <s v="Display"/>
    <x v="3"/>
    <s v="Amazon"/>
    <d v="2024-10-26T00:00:00"/>
    <x v="2"/>
    <n v="5844.5855999999976"/>
    <n v="772959"/>
  </r>
  <r>
    <s v="Biolage"/>
    <s v="Strength Recovery"/>
    <s v="Display"/>
    <x v="3"/>
    <s v="Amazon"/>
    <d v="2024-11-02T00:00:00"/>
    <x v="2"/>
    <n v="4705.0527999999986"/>
    <n v="613862"/>
  </r>
  <r>
    <s v="Biolage"/>
    <s v="Strength Recovery"/>
    <s v="Display"/>
    <x v="3"/>
    <s v="Amazon"/>
    <d v="2024-11-09T00:00:00"/>
    <x v="2"/>
    <n v="5040.7197000000024"/>
    <n v="615088"/>
  </r>
  <r>
    <s v="Biolage"/>
    <s v="Strength Recovery"/>
    <s v="Display"/>
    <x v="3"/>
    <s v="Amazon"/>
    <d v="2024-11-16T00:00:00"/>
    <x v="2"/>
    <n v="4798.9595000000008"/>
    <n v="772285"/>
  </r>
  <r>
    <s v="Biolage"/>
    <s v="Strength Recovery"/>
    <s v="Display"/>
    <x v="3"/>
    <s v="Amazon"/>
    <d v="2024-11-23T00:00:00"/>
    <x v="2"/>
    <n v="4659.5454"/>
    <n v="864981"/>
  </r>
  <r>
    <s v="Biolage"/>
    <s v="Strength Recovery"/>
    <s v="Display"/>
    <x v="3"/>
    <s v="Amazon"/>
    <d v="2024-11-30T00:00:00"/>
    <x v="2"/>
    <n v="3969.1189000000027"/>
    <n v="567003"/>
  </r>
  <r>
    <s v="Biolage"/>
    <s v="Strength Recovery"/>
    <s v="Display"/>
    <x v="3"/>
    <s v="Amazon"/>
    <d v="2024-12-07T00:00:00"/>
    <x v="2"/>
    <n v="4294.7366000000002"/>
    <n v="690296"/>
  </r>
  <r>
    <s v="Biolage"/>
    <s v="Strength Recovery"/>
    <s v="Display"/>
    <x v="3"/>
    <s v="Amazon"/>
    <d v="2024-12-14T00:00:00"/>
    <x v="2"/>
    <n v="4376.7573999999977"/>
    <n v="1000654"/>
  </r>
  <r>
    <s v="Biolage"/>
    <s v="Strength Recovery"/>
    <s v="Display"/>
    <x v="3"/>
    <s v="Amazon"/>
    <d v="2024-12-21T00:00:00"/>
    <x v="2"/>
    <n v="4093.4698999999996"/>
    <n v="959594"/>
  </r>
  <r>
    <s v="Biolage"/>
    <s v="Strength Recovery"/>
    <s v="Display"/>
    <x v="3"/>
    <s v="Amazon"/>
    <d v="2024-12-28T00:00:00"/>
    <x v="2"/>
    <n v="4011.7960000000003"/>
    <n v="990452"/>
  </r>
  <r>
    <s v="Biolage"/>
    <s v="Strength Recovery"/>
    <s v="Display"/>
    <x v="3"/>
    <s v="Amazon"/>
    <d v="2025-01-04T00:00:00"/>
    <x v="2"/>
    <n v="1385.2909"/>
    <n v="365275"/>
  </r>
  <r>
    <s v="Biolage"/>
    <s v="Strength Recovery"/>
    <s v="Display"/>
    <x v="3"/>
    <s v="Amazon"/>
    <d v="2025-01-04T00:00:00"/>
    <x v="0"/>
    <n v="2869.1986999999995"/>
    <n v="1123338"/>
  </r>
  <r>
    <s v="Biolage"/>
    <s v="Strength Recovery"/>
    <s v="Display"/>
    <x v="3"/>
    <s v="Amazon"/>
    <d v="2025-01-11T00:00:00"/>
    <x v="0"/>
    <n v="5233.235200000001"/>
    <n v="2231767"/>
  </r>
  <r>
    <s v="Biolage"/>
    <s v="Strength Recovery"/>
    <s v="Display"/>
    <x v="3"/>
    <s v="Amazon"/>
    <d v="2025-01-18T00:00:00"/>
    <x v="0"/>
    <n v="5106.0614999999962"/>
    <n v="2053609"/>
  </r>
  <r>
    <s v="Biolage"/>
    <s v="Strength Recovery"/>
    <s v="Display"/>
    <x v="3"/>
    <s v="Amazon"/>
    <d v="2025-01-25T00:00:00"/>
    <x v="0"/>
    <n v="4646.7890000000007"/>
    <n v="1949103"/>
  </r>
  <r>
    <s v="Biolage"/>
    <s v="Strength Recovery"/>
    <s v="Display"/>
    <x v="3"/>
    <s v="Amazon"/>
    <d v="2025-02-01T00:00:00"/>
    <x v="0"/>
    <n v="5485.3549999999996"/>
    <n v="1838178"/>
  </r>
  <r>
    <s v="Biolage"/>
    <s v="Strength Recovery"/>
    <s v="Display"/>
    <x v="3"/>
    <s v="Amazon"/>
    <d v="2025-02-08T00:00:00"/>
    <x v="0"/>
    <n v="6054.2161000000033"/>
    <n v="2263315"/>
  </r>
  <r>
    <s v="Biolage"/>
    <s v="Strength Recovery"/>
    <s v="Display"/>
    <x v="3"/>
    <s v="Amazon"/>
    <d v="2025-02-15T00:00:00"/>
    <x v="0"/>
    <n v="6314.694300000001"/>
    <n v="2115332"/>
  </r>
  <r>
    <s v="Biolage"/>
    <s v="Strength Recovery"/>
    <s v="Display"/>
    <x v="3"/>
    <s v="Amazon"/>
    <d v="2025-02-22T00:00:00"/>
    <x v="0"/>
    <n v="6082.183299999997"/>
    <n v="1720229"/>
  </r>
  <r>
    <s v="Biolage"/>
    <s v="Strength Recovery"/>
    <s v="Display"/>
    <x v="3"/>
    <s v="Amazon"/>
    <d v="2025-03-01T00:00:00"/>
    <x v="0"/>
    <n v="7846.6367999999993"/>
    <n v="1537693"/>
  </r>
  <r>
    <s v="Biolage"/>
    <s v="Strength Recovery"/>
    <s v="Display"/>
    <x v="3"/>
    <s v="Amazon"/>
    <d v="2025-03-08T00:00:00"/>
    <x v="0"/>
    <n v="9415.9598000000005"/>
    <n v="1733998"/>
  </r>
  <r>
    <s v="Biolage"/>
    <s v="Strength Recovery"/>
    <s v="Display"/>
    <x v="3"/>
    <s v="Amazon"/>
    <d v="2025-03-15T00:00:00"/>
    <x v="0"/>
    <n v="10466.7904"/>
    <n v="1600171"/>
  </r>
  <r>
    <s v="Biolage"/>
    <s v="Strength Recovery"/>
    <s v="Display"/>
    <x v="3"/>
    <s v="Amazon"/>
    <d v="2025-03-22T00:00:00"/>
    <x v="0"/>
    <n v="9543.1287999999986"/>
    <n v="1181010"/>
  </r>
  <r>
    <s v="Biolage"/>
    <s v="Strength Recovery"/>
    <s v="Display"/>
    <x v="3"/>
    <s v="Amazon"/>
    <d v="2025-03-29T00:00:00"/>
    <x v="0"/>
    <n v="9954.8606"/>
    <n v="1327317"/>
  </r>
  <r>
    <s v="Biolage"/>
    <s v="Strength Recovery"/>
    <s v="Display"/>
    <x v="3"/>
    <s v="Amazon"/>
    <d v="2025-04-05T00:00:00"/>
    <x v="0"/>
    <n v="6163.0784000000003"/>
    <n v="1813170"/>
  </r>
  <r>
    <s v="Biolage"/>
    <s v="Strength Recovery"/>
    <s v="Display"/>
    <x v="3"/>
    <s v="Amazon"/>
    <d v="2025-04-12T00:00:00"/>
    <x v="0"/>
    <n v="4744.9227000000001"/>
    <n v="1036727"/>
  </r>
  <r>
    <s v="Biolage"/>
    <s v="Strength Recovery"/>
    <s v="Display"/>
    <x v="3"/>
    <s v="Amazon"/>
    <d v="2025-04-19T00:00:00"/>
    <x v="0"/>
    <n v="5896.0440999999973"/>
    <n v="959634"/>
  </r>
  <r>
    <s v="Biolage"/>
    <s v="Strength Recovery"/>
    <s v="Display"/>
    <x v="3"/>
    <s v="Amazon"/>
    <d v="2025-04-26T00:00:00"/>
    <x v="0"/>
    <n v="5758.6119000000008"/>
    <n v="905307"/>
  </r>
  <r>
    <s v="Biolage"/>
    <s v="Strength Recovery"/>
    <s v="Display"/>
    <x v="3"/>
    <s v="Amazon"/>
    <d v="2025-05-03T00:00:00"/>
    <x v="0"/>
    <n v="5251.421000000003"/>
    <n v="981304"/>
  </r>
  <r>
    <s v="Biolage"/>
    <s v="Strength Recovery"/>
    <s v="Display"/>
    <x v="3"/>
    <s v="Amazon"/>
    <d v="2025-05-10T00:00:00"/>
    <x v="0"/>
    <n v="5619.1816000000026"/>
    <n v="993272"/>
  </r>
  <r>
    <s v="Biolage"/>
    <s v="Strength Recovery"/>
    <s v="Display"/>
    <x v="3"/>
    <s v="Amazon"/>
    <d v="2025-05-17T00:00:00"/>
    <x v="0"/>
    <n v="5533.3743000000004"/>
    <n v="944163"/>
  </r>
  <r>
    <s v="Biolage"/>
    <s v="Strength Recovery"/>
    <s v="Display"/>
    <x v="3"/>
    <s v="Amazon"/>
    <d v="2025-05-24T00:00:00"/>
    <x v="0"/>
    <n v="5642.2011999999941"/>
    <n v="1003548"/>
  </r>
  <r>
    <s v="Biolage"/>
    <s v="Strength Recovery"/>
    <s v="Display"/>
    <x v="3"/>
    <s v="Amazon"/>
    <d v="2025-05-31T00:00:00"/>
    <x v="0"/>
    <n v="5526.1924000000017"/>
    <n v="1267171"/>
  </r>
  <r>
    <s v="Biolage"/>
    <s v="Strength Recovery"/>
    <s v="Display"/>
    <x v="3"/>
    <s v="Amazon"/>
    <d v="2025-06-07T00:00:00"/>
    <x v="0"/>
    <n v="9485.8097000000016"/>
    <n v="2035215"/>
  </r>
  <r>
    <s v="Biolage"/>
    <s v="Strength Recovery"/>
    <s v="Display"/>
    <x v="3"/>
    <s v="Amazon"/>
    <d v="2025-06-14T00:00:00"/>
    <x v="0"/>
    <n v="9818.1250999999975"/>
    <n v="3081455"/>
  </r>
  <r>
    <s v="Biolage"/>
    <s v="Strength Recovery"/>
    <s v="Display"/>
    <x v="3"/>
    <s v="Amazon"/>
    <d v="2025-06-21T00:00:00"/>
    <x v="0"/>
    <n v="9619.2668999999987"/>
    <n v="3345326"/>
  </r>
  <r>
    <s v="Biolage"/>
    <s v="Strength Recovery"/>
    <s v="Display"/>
    <x v="3"/>
    <s v="Amazon"/>
    <d v="2025-06-28T00:00:00"/>
    <x v="0"/>
    <n v="9685.1985999999961"/>
    <n v="1831650"/>
  </r>
  <r>
    <s v="Biolage"/>
    <s v="Strength Recovery"/>
    <s v="Search"/>
    <x v="3"/>
    <s v="Amazon"/>
    <d v="2023-07-01T00:00:00"/>
    <x v="1"/>
    <n v="1117.17"/>
    <n v="142010"/>
  </r>
  <r>
    <s v="Biolage"/>
    <s v="Strength Recovery"/>
    <s v="Search"/>
    <x v="3"/>
    <s v="Amazon"/>
    <d v="2023-07-08T00:00:00"/>
    <x v="1"/>
    <n v="6553.2099999999982"/>
    <n v="981257"/>
  </r>
  <r>
    <s v="Biolage"/>
    <s v="Strength Recovery"/>
    <s v="Search"/>
    <x v="3"/>
    <s v="Amazon"/>
    <d v="2023-07-15T00:00:00"/>
    <x v="1"/>
    <n v="26588.239999999987"/>
    <n v="2463552"/>
  </r>
  <r>
    <s v="Biolage"/>
    <s v="Strength Recovery"/>
    <s v="Search"/>
    <x v="3"/>
    <s v="Amazon"/>
    <d v="2023-07-22T00:00:00"/>
    <x v="1"/>
    <n v="3061.0800000000013"/>
    <n v="1221281"/>
  </r>
  <r>
    <s v="Biolage"/>
    <s v="Strength Recovery"/>
    <s v="Search"/>
    <x v="3"/>
    <s v="Amazon"/>
    <d v="2023-07-29T00:00:00"/>
    <x v="1"/>
    <n v="8279.9100000000017"/>
    <n v="2752806"/>
  </r>
  <r>
    <s v="Biolage"/>
    <s v="Strength Recovery"/>
    <s v="Search"/>
    <x v="3"/>
    <s v="Amazon"/>
    <d v="2023-08-05T00:00:00"/>
    <x v="1"/>
    <n v="13286.260000000002"/>
    <n v="3596361"/>
  </r>
  <r>
    <s v="Biolage"/>
    <s v="Strength Recovery"/>
    <s v="Search"/>
    <x v="3"/>
    <s v="Amazon"/>
    <d v="2023-08-12T00:00:00"/>
    <x v="1"/>
    <n v="5642.86"/>
    <n v="1178802"/>
  </r>
  <r>
    <s v="Biolage"/>
    <s v="Strength Recovery"/>
    <s v="Search"/>
    <x v="3"/>
    <s v="Amazon"/>
    <d v="2023-08-19T00:00:00"/>
    <x v="1"/>
    <n v="2912.7300000000014"/>
    <n v="708787"/>
  </r>
  <r>
    <s v="Biolage"/>
    <s v="Strength Recovery"/>
    <s v="Search"/>
    <x v="3"/>
    <s v="Amazon"/>
    <d v="2023-08-26T00:00:00"/>
    <x v="1"/>
    <n v="3040.0099999999993"/>
    <n v="770475"/>
  </r>
  <r>
    <s v="Biolage"/>
    <s v="Strength Recovery"/>
    <s v="Search"/>
    <x v="3"/>
    <s v="Amazon"/>
    <d v="2023-09-02T00:00:00"/>
    <x v="1"/>
    <n v="3448.2400000000007"/>
    <n v="1029309"/>
  </r>
  <r>
    <s v="Biolage"/>
    <s v="Strength Recovery"/>
    <s v="Search"/>
    <x v="3"/>
    <s v="Amazon"/>
    <d v="2023-09-09T00:00:00"/>
    <x v="1"/>
    <n v="3757.8999999999992"/>
    <n v="911126"/>
  </r>
  <r>
    <s v="Biolage"/>
    <s v="Strength Recovery"/>
    <s v="Search"/>
    <x v="3"/>
    <s v="Amazon"/>
    <d v="2023-09-16T00:00:00"/>
    <x v="1"/>
    <n v="3708.8599999999983"/>
    <n v="868829"/>
  </r>
  <r>
    <s v="Biolage"/>
    <s v="Strength Recovery"/>
    <s v="Search"/>
    <x v="3"/>
    <s v="Amazon"/>
    <d v="2023-09-23T00:00:00"/>
    <x v="1"/>
    <n v="8455.8700000000026"/>
    <n v="1116221"/>
  </r>
  <r>
    <s v="Biolage"/>
    <s v="Strength Recovery"/>
    <s v="Search"/>
    <x v="3"/>
    <s v="Amazon"/>
    <d v="2023-09-30T00:00:00"/>
    <x v="1"/>
    <n v="9952.9200000000037"/>
    <n v="1649973"/>
  </r>
  <r>
    <s v="Biolage"/>
    <s v="Strength Recovery"/>
    <s v="Search"/>
    <x v="3"/>
    <s v="Amazon"/>
    <d v="2023-10-07T00:00:00"/>
    <x v="1"/>
    <n v="14860.779999999997"/>
    <n v="2247214"/>
  </r>
  <r>
    <s v="Biolage"/>
    <s v="Strength Recovery"/>
    <s v="Search"/>
    <x v="3"/>
    <s v="Amazon"/>
    <d v="2023-10-14T00:00:00"/>
    <x v="1"/>
    <n v="10218.710000000003"/>
    <n v="1598013"/>
  </r>
  <r>
    <s v="Biolage"/>
    <s v="Strength Recovery"/>
    <s v="Search"/>
    <x v="3"/>
    <s v="Amazon"/>
    <d v="2023-10-21T00:00:00"/>
    <x v="1"/>
    <n v="9837.1699999999983"/>
    <n v="1826835"/>
  </r>
  <r>
    <s v="Biolage"/>
    <s v="Strength Recovery"/>
    <s v="Search"/>
    <x v="3"/>
    <s v="Amazon"/>
    <d v="2023-10-28T00:00:00"/>
    <x v="1"/>
    <n v="12847.099999999997"/>
    <n v="2205993"/>
  </r>
  <r>
    <s v="Biolage"/>
    <s v="Strength Recovery"/>
    <s v="Search"/>
    <x v="3"/>
    <s v="Amazon"/>
    <d v="2023-11-04T00:00:00"/>
    <x v="1"/>
    <n v="16932.13"/>
    <n v="3120262"/>
  </r>
  <r>
    <s v="Biolage"/>
    <s v="Strength Recovery"/>
    <s v="Search"/>
    <x v="3"/>
    <s v="Amazon"/>
    <d v="2023-11-11T00:00:00"/>
    <x v="1"/>
    <n v="17857.470000000005"/>
    <n v="3072266"/>
  </r>
  <r>
    <s v="Biolage"/>
    <s v="Strength Recovery"/>
    <s v="Search"/>
    <x v="3"/>
    <s v="Amazon"/>
    <d v="2023-11-18T00:00:00"/>
    <x v="1"/>
    <n v="17767.500000000007"/>
    <n v="3147404"/>
  </r>
  <r>
    <s v="Biolage"/>
    <s v="Strength Recovery"/>
    <s v="Search"/>
    <x v="3"/>
    <s v="Amazon"/>
    <d v="2023-11-25T00:00:00"/>
    <x v="1"/>
    <n v="36047.94000000001"/>
    <n v="5751637"/>
  </r>
  <r>
    <s v="Biolage"/>
    <s v="Strength Recovery"/>
    <s v="Search"/>
    <x v="3"/>
    <s v="Amazon"/>
    <d v="2023-12-02T00:00:00"/>
    <x v="1"/>
    <n v="20122.900000000012"/>
    <n v="2925258"/>
  </r>
  <r>
    <s v="Biolage"/>
    <s v="Strength Recovery"/>
    <s v="Search"/>
    <x v="3"/>
    <s v="Amazon"/>
    <d v="2023-12-09T00:00:00"/>
    <x v="1"/>
    <n v="5738.7099999999991"/>
    <n v="1198458"/>
  </r>
  <r>
    <s v="Biolage"/>
    <s v="Strength Recovery"/>
    <s v="Search"/>
    <x v="3"/>
    <s v="Amazon"/>
    <d v="2023-12-16T00:00:00"/>
    <x v="1"/>
    <n v="3770.6200000000022"/>
    <n v="1017212"/>
  </r>
  <r>
    <s v="Biolage"/>
    <s v="Strength Recovery"/>
    <s v="Search"/>
    <x v="3"/>
    <s v="Amazon"/>
    <d v="2023-12-23T00:00:00"/>
    <x v="1"/>
    <n v="3155.8799999999987"/>
    <n v="582934"/>
  </r>
  <r>
    <s v="Biolage"/>
    <s v="Strength Recovery"/>
    <s v="Search"/>
    <x v="3"/>
    <s v="Amazon"/>
    <d v="2023-12-30T00:00:00"/>
    <x v="1"/>
    <n v="3970.6599999999985"/>
    <n v="979038"/>
  </r>
  <r>
    <s v="Biolage"/>
    <s v="Strength Recovery"/>
    <s v="Search"/>
    <x v="3"/>
    <s v="Amazon"/>
    <d v="2024-01-06T00:00:00"/>
    <x v="2"/>
    <n v="3402.35"/>
    <n v="913261"/>
  </r>
  <r>
    <s v="Biolage"/>
    <s v="Strength Recovery"/>
    <s v="Search"/>
    <x v="3"/>
    <s v="Amazon"/>
    <d v="2024-01-13T00:00:00"/>
    <x v="2"/>
    <n v="6201.35"/>
    <n v="1376831"/>
  </r>
  <r>
    <s v="Biolage"/>
    <s v="Strength Recovery"/>
    <s v="Search"/>
    <x v="3"/>
    <s v="Amazon"/>
    <d v="2024-01-20T00:00:00"/>
    <x v="2"/>
    <n v="8708.2700000000059"/>
    <n v="1653547"/>
  </r>
  <r>
    <s v="Biolage"/>
    <s v="Strength Recovery"/>
    <s v="Search"/>
    <x v="3"/>
    <s v="Amazon"/>
    <d v="2024-01-27T00:00:00"/>
    <x v="2"/>
    <n v="10380.179999999997"/>
    <n v="1857468"/>
  </r>
  <r>
    <s v="Biolage"/>
    <s v="Strength Recovery"/>
    <s v="Search"/>
    <x v="3"/>
    <s v="Amazon"/>
    <d v="2024-02-03T00:00:00"/>
    <x v="2"/>
    <n v="10760.730000000005"/>
    <n v="2143416"/>
  </r>
  <r>
    <s v="Biolage"/>
    <s v="Strength Recovery"/>
    <s v="Search"/>
    <x v="3"/>
    <s v="Amazon"/>
    <d v="2024-02-10T00:00:00"/>
    <x v="2"/>
    <n v="11372.780000000004"/>
    <n v="2234018"/>
  </r>
  <r>
    <s v="Biolage"/>
    <s v="Strength Recovery"/>
    <s v="Search"/>
    <x v="3"/>
    <s v="Amazon"/>
    <d v="2024-02-17T00:00:00"/>
    <x v="2"/>
    <n v="11950.14"/>
    <n v="2695161"/>
  </r>
  <r>
    <s v="Biolage"/>
    <s v="Strength Recovery"/>
    <s v="Search"/>
    <x v="3"/>
    <s v="Amazon"/>
    <d v="2024-02-24T00:00:00"/>
    <x v="2"/>
    <n v="10986.860000000002"/>
    <n v="2281546"/>
  </r>
  <r>
    <s v="Biolage"/>
    <s v="Strength Recovery"/>
    <s v="Search"/>
    <x v="3"/>
    <s v="Amazon"/>
    <d v="2024-03-02T00:00:00"/>
    <x v="2"/>
    <n v="10210.839999999997"/>
    <n v="2025046"/>
  </r>
  <r>
    <s v="Biolage"/>
    <s v="Strength Recovery"/>
    <s v="Search"/>
    <x v="3"/>
    <s v="Amazon"/>
    <d v="2024-03-09T00:00:00"/>
    <x v="2"/>
    <n v="8081.3200000000006"/>
    <n v="1850263"/>
  </r>
  <r>
    <s v="Biolage"/>
    <s v="Strength Recovery"/>
    <s v="Search"/>
    <x v="3"/>
    <s v="Amazon"/>
    <d v="2024-03-16T00:00:00"/>
    <x v="2"/>
    <n v="4763.0299999999979"/>
    <n v="1189621"/>
  </r>
  <r>
    <s v="Biolage"/>
    <s v="Strength Recovery"/>
    <s v="Search"/>
    <x v="3"/>
    <s v="Amazon"/>
    <d v="2024-03-23T00:00:00"/>
    <x v="2"/>
    <n v="5309.619999999999"/>
    <n v="1388342"/>
  </r>
  <r>
    <s v="Biolage"/>
    <s v="Strength Recovery"/>
    <s v="Search"/>
    <x v="3"/>
    <s v="Amazon"/>
    <d v="2024-03-30T00:00:00"/>
    <x v="2"/>
    <n v="4104.6499999999987"/>
    <n v="1114538"/>
  </r>
  <r>
    <s v="Biolage"/>
    <s v="Strength Recovery"/>
    <s v="Search"/>
    <x v="3"/>
    <s v="Amazon"/>
    <d v="2024-04-06T00:00:00"/>
    <x v="2"/>
    <n v="3517.9199999999978"/>
    <n v="1022832"/>
  </r>
  <r>
    <s v="Biolage"/>
    <s v="Strength Recovery"/>
    <s v="Search"/>
    <x v="3"/>
    <s v="Amazon"/>
    <d v="2024-04-13T00:00:00"/>
    <x v="2"/>
    <n v="6111.28"/>
    <n v="1469080"/>
  </r>
  <r>
    <s v="Biolage"/>
    <s v="Strength Recovery"/>
    <s v="Search"/>
    <x v="3"/>
    <s v="Amazon"/>
    <d v="2024-04-20T00:00:00"/>
    <x v="2"/>
    <n v="11089.740000000005"/>
    <n v="2991511"/>
  </r>
  <r>
    <s v="Biolage"/>
    <s v="Strength Recovery"/>
    <s v="Search"/>
    <x v="3"/>
    <s v="Amazon"/>
    <d v="2024-04-27T00:00:00"/>
    <x v="2"/>
    <n v="9661.4299999999985"/>
    <n v="2144664"/>
  </r>
  <r>
    <s v="Biolage"/>
    <s v="Strength Recovery"/>
    <s v="Search"/>
    <x v="3"/>
    <s v="Amazon"/>
    <d v="2024-05-04T00:00:00"/>
    <x v="2"/>
    <n v="11751.45"/>
    <n v="2923735"/>
  </r>
  <r>
    <s v="Biolage"/>
    <s v="Strength Recovery"/>
    <s v="Search"/>
    <x v="3"/>
    <s v="Amazon"/>
    <d v="2024-05-11T00:00:00"/>
    <x v="2"/>
    <n v="14041.000000000005"/>
    <n v="2804773"/>
  </r>
  <r>
    <s v="Biolage"/>
    <s v="Strength Recovery"/>
    <s v="Search"/>
    <x v="3"/>
    <s v="Amazon"/>
    <d v="2024-05-18T00:00:00"/>
    <x v="2"/>
    <n v="9946.6500000000033"/>
    <n v="1972140"/>
  </r>
  <r>
    <s v="Biolage"/>
    <s v="Strength Recovery"/>
    <s v="Search"/>
    <x v="3"/>
    <s v="Amazon"/>
    <d v="2024-05-25T00:00:00"/>
    <x v="2"/>
    <n v="7359.6599999999971"/>
    <n v="1702387"/>
  </r>
  <r>
    <s v="Biolage"/>
    <s v="Strength Recovery"/>
    <s v="Search"/>
    <x v="3"/>
    <s v="Amazon"/>
    <d v="2024-06-01T00:00:00"/>
    <x v="2"/>
    <n v="4014.0199999999991"/>
    <n v="1053647"/>
  </r>
  <r>
    <s v="Biolage"/>
    <s v="Strength Recovery"/>
    <s v="Search"/>
    <x v="3"/>
    <s v="Amazon"/>
    <d v="2024-06-08T00:00:00"/>
    <x v="2"/>
    <n v="6085.869999999999"/>
    <n v="1311079"/>
  </r>
  <r>
    <s v="Biolage"/>
    <s v="Strength Recovery"/>
    <s v="Search"/>
    <x v="3"/>
    <s v="Amazon"/>
    <d v="2024-06-15T00:00:00"/>
    <x v="2"/>
    <n v="12008.620000000004"/>
    <n v="2352520"/>
  </r>
  <r>
    <s v="Biolage"/>
    <s v="Strength Recovery"/>
    <s v="Search"/>
    <x v="3"/>
    <s v="Amazon"/>
    <d v="2024-06-22T00:00:00"/>
    <x v="2"/>
    <n v="13801.55"/>
    <n v="2467356"/>
  </r>
  <r>
    <s v="Biolage"/>
    <s v="Strength Recovery"/>
    <s v="Search"/>
    <x v="3"/>
    <s v="Amazon"/>
    <d v="2024-06-29T00:00:00"/>
    <x v="2"/>
    <n v="14100.420000000004"/>
    <n v="2888116"/>
  </r>
  <r>
    <s v="Biolage"/>
    <s v="Strength Recovery"/>
    <s v="Search"/>
    <x v="3"/>
    <s v="Amazon"/>
    <d v="2024-07-06T00:00:00"/>
    <x v="2"/>
    <n v="12565.890000000003"/>
    <n v="2615513"/>
  </r>
  <r>
    <s v="Biolage"/>
    <s v="Strength Recovery"/>
    <s v="Search"/>
    <x v="3"/>
    <s v="Amazon"/>
    <d v="2024-07-13T00:00:00"/>
    <x v="2"/>
    <n v="13158.420000000007"/>
    <n v="2437396"/>
  </r>
  <r>
    <s v="Biolage"/>
    <s v="Strength Recovery"/>
    <s v="Search"/>
    <x v="3"/>
    <s v="Amazon"/>
    <d v="2024-07-20T00:00:00"/>
    <x v="2"/>
    <n v="44521.04"/>
    <n v="6767775"/>
  </r>
  <r>
    <s v="Biolage"/>
    <s v="Strength Recovery"/>
    <s v="Search"/>
    <x v="3"/>
    <s v="Amazon"/>
    <d v="2024-07-27T00:00:00"/>
    <x v="2"/>
    <n v="6349.4299999999994"/>
    <n v="1517424"/>
  </r>
  <r>
    <s v="Biolage"/>
    <s v="Strength Recovery"/>
    <s v="Search"/>
    <x v="3"/>
    <s v="Amazon"/>
    <d v="2024-08-03T00:00:00"/>
    <x v="2"/>
    <n v="5789.1799999999985"/>
    <n v="1224756"/>
  </r>
  <r>
    <s v="Biolage"/>
    <s v="Strength Recovery"/>
    <s v="Search"/>
    <x v="3"/>
    <s v="Amazon"/>
    <d v="2024-08-10T00:00:00"/>
    <x v="2"/>
    <n v="5695.7400000000016"/>
    <n v="1042083"/>
  </r>
  <r>
    <s v="Biolage"/>
    <s v="Strength Recovery"/>
    <s v="Search"/>
    <x v="3"/>
    <s v="Amazon"/>
    <d v="2024-08-17T00:00:00"/>
    <x v="2"/>
    <n v="5590.8299999999981"/>
    <n v="1075691"/>
  </r>
  <r>
    <s v="Biolage"/>
    <s v="Strength Recovery"/>
    <s v="Search"/>
    <x v="3"/>
    <s v="Amazon"/>
    <d v="2024-08-24T00:00:00"/>
    <x v="2"/>
    <n v="5471.8999999999942"/>
    <n v="939766"/>
  </r>
  <r>
    <s v="Biolage"/>
    <s v="Strength Recovery"/>
    <s v="Search"/>
    <x v="3"/>
    <s v="Amazon"/>
    <d v="2024-08-31T00:00:00"/>
    <x v="2"/>
    <n v="5674.199999999998"/>
    <n v="1038285"/>
  </r>
  <r>
    <s v="Biolage"/>
    <s v="Strength Recovery"/>
    <s v="Search"/>
    <x v="3"/>
    <s v="Amazon"/>
    <d v="2024-09-07T00:00:00"/>
    <x v="2"/>
    <n v="5793.3099999999977"/>
    <n v="1080414"/>
  </r>
  <r>
    <s v="Biolage"/>
    <s v="Strength Recovery"/>
    <s v="Search"/>
    <x v="3"/>
    <s v="Amazon"/>
    <d v="2024-09-14T00:00:00"/>
    <x v="2"/>
    <n v="6219.8099999999986"/>
    <n v="1324149"/>
  </r>
  <r>
    <s v="Biolage"/>
    <s v="Strength Recovery"/>
    <s v="Search"/>
    <x v="3"/>
    <s v="Amazon"/>
    <d v="2024-09-21T00:00:00"/>
    <x v="2"/>
    <n v="6045.2000000000016"/>
    <n v="1369316"/>
  </r>
  <r>
    <s v="Biolage"/>
    <s v="Strength Recovery"/>
    <s v="Search"/>
    <x v="3"/>
    <s v="Amazon"/>
    <d v="2024-09-28T00:00:00"/>
    <x v="2"/>
    <n v="6493.5199999999977"/>
    <n v="1308122"/>
  </r>
  <r>
    <s v="Biolage"/>
    <s v="Strength Recovery"/>
    <s v="Search"/>
    <x v="3"/>
    <s v="Amazon"/>
    <d v="2024-10-05T00:00:00"/>
    <x v="2"/>
    <n v="6737.9100000000008"/>
    <n v="1410010"/>
  </r>
  <r>
    <s v="Biolage"/>
    <s v="Strength Recovery"/>
    <s v="Search"/>
    <x v="3"/>
    <s v="Amazon"/>
    <d v="2024-10-12T00:00:00"/>
    <x v="2"/>
    <n v="38742.649999999994"/>
    <n v="4956025"/>
  </r>
  <r>
    <s v="Biolage"/>
    <s v="Strength Recovery"/>
    <s v="Search"/>
    <x v="3"/>
    <s v="Amazon"/>
    <d v="2024-10-19T00:00:00"/>
    <x v="2"/>
    <n v="14991.080000000005"/>
    <n v="2892180"/>
  </r>
  <r>
    <s v="Biolage"/>
    <s v="Strength Recovery"/>
    <s v="Search"/>
    <x v="3"/>
    <s v="Amazon"/>
    <d v="2024-10-26T00:00:00"/>
    <x v="2"/>
    <n v="13227.59"/>
    <n v="2963388"/>
  </r>
  <r>
    <s v="Biolage"/>
    <s v="Strength Recovery"/>
    <s v="Search"/>
    <x v="3"/>
    <s v="Amazon"/>
    <d v="2024-11-02T00:00:00"/>
    <x v="2"/>
    <n v="15917.649999999996"/>
    <n v="3331194"/>
  </r>
  <r>
    <s v="Biolage"/>
    <s v="Strength Recovery"/>
    <s v="Search"/>
    <x v="3"/>
    <s v="Amazon"/>
    <d v="2024-11-09T00:00:00"/>
    <x v="2"/>
    <n v="11478.029999999997"/>
    <n v="2528480"/>
  </r>
  <r>
    <s v="Biolage"/>
    <s v="Strength Recovery"/>
    <s v="Search"/>
    <x v="3"/>
    <s v="Amazon"/>
    <d v="2024-11-16T00:00:00"/>
    <x v="2"/>
    <n v="8747.6200000000008"/>
    <n v="1836934"/>
  </r>
  <r>
    <s v="Biolage"/>
    <s v="Strength Recovery"/>
    <s v="Search"/>
    <x v="3"/>
    <s v="Amazon"/>
    <d v="2024-11-23T00:00:00"/>
    <x v="2"/>
    <n v="7915.41"/>
    <n v="1471022"/>
  </r>
  <r>
    <s v="Biolage"/>
    <s v="Strength Recovery"/>
    <s v="Search"/>
    <x v="3"/>
    <s v="Amazon"/>
    <d v="2024-11-30T00:00:00"/>
    <x v="2"/>
    <n v="7116.84"/>
    <n v="1426249"/>
  </r>
  <r>
    <s v="Biolage"/>
    <s v="Strength Recovery"/>
    <s v="Search"/>
    <x v="3"/>
    <s v="Amazon"/>
    <d v="2024-12-07T00:00:00"/>
    <x v="2"/>
    <n v="6116.1099999999979"/>
    <n v="1326915"/>
  </r>
  <r>
    <s v="Biolage"/>
    <s v="Strength Recovery"/>
    <s v="Search"/>
    <x v="3"/>
    <s v="Amazon"/>
    <d v="2024-12-14T00:00:00"/>
    <x v="2"/>
    <n v="4688.2699999999977"/>
    <n v="896891"/>
  </r>
  <r>
    <s v="Biolage"/>
    <s v="Strength Recovery"/>
    <s v="Search"/>
    <x v="3"/>
    <s v="Amazon"/>
    <d v="2024-12-21T00:00:00"/>
    <x v="2"/>
    <n v="4535.72"/>
    <n v="1024595"/>
  </r>
  <r>
    <s v="Biolage"/>
    <s v="Strength Recovery"/>
    <s v="Search"/>
    <x v="3"/>
    <s v="Amazon"/>
    <d v="2024-12-28T00:00:00"/>
    <x v="2"/>
    <n v="5285.8399999999983"/>
    <n v="796358"/>
  </r>
  <r>
    <s v="Biolage"/>
    <s v="Strength Recovery"/>
    <s v="Search"/>
    <x v="3"/>
    <s v="Amazon"/>
    <d v="2025-01-04T00:00:00"/>
    <x v="2"/>
    <n v="1072.8599999999999"/>
    <n v="164744"/>
  </r>
  <r>
    <s v="Biolage"/>
    <s v="Strength Recovery"/>
    <s v="Search"/>
    <x v="3"/>
    <s v="Amazon"/>
    <d v="2025-01-04T00:00:00"/>
    <x v="0"/>
    <n v="1305"/>
    <n v="255201"/>
  </r>
  <r>
    <s v="Biolage"/>
    <s v="Strength Recovery"/>
    <s v="Search"/>
    <x v="3"/>
    <s v="Amazon"/>
    <d v="2025-01-11T00:00:00"/>
    <x v="0"/>
    <n v="3048.2499999999995"/>
    <n v="668127"/>
  </r>
  <r>
    <s v="Biolage"/>
    <s v="Strength Recovery"/>
    <s v="Search"/>
    <x v="3"/>
    <s v="Amazon"/>
    <d v="2025-01-18T00:00:00"/>
    <x v="0"/>
    <n v="3125.7099999999987"/>
    <n v="767922"/>
  </r>
  <r>
    <s v="Biolage"/>
    <s v="Strength Recovery"/>
    <s v="Search"/>
    <x v="3"/>
    <s v="Amazon"/>
    <d v="2025-01-25T00:00:00"/>
    <x v="0"/>
    <n v="7073.2199999999993"/>
    <n v="1569889"/>
  </r>
  <r>
    <s v="Biolage"/>
    <s v="Strength Recovery"/>
    <s v="Search"/>
    <x v="3"/>
    <s v="Amazon"/>
    <d v="2025-02-01T00:00:00"/>
    <x v="0"/>
    <n v="7290.6299999999992"/>
    <n v="1661418"/>
  </r>
  <r>
    <s v="Biolage"/>
    <s v="Strength Recovery"/>
    <s v="Search"/>
    <x v="3"/>
    <s v="Amazon"/>
    <d v="2025-02-08T00:00:00"/>
    <x v="0"/>
    <n v="6991.0099999999993"/>
    <n v="1615521"/>
  </r>
  <r>
    <s v="Biolage"/>
    <s v="Strength Recovery"/>
    <s v="Search"/>
    <x v="3"/>
    <s v="Amazon"/>
    <d v="2025-02-15T00:00:00"/>
    <x v="0"/>
    <n v="8257.9299999999985"/>
    <n v="1732362"/>
  </r>
  <r>
    <s v="Biolage"/>
    <s v="Strength Recovery"/>
    <s v="Search"/>
    <x v="3"/>
    <s v="Amazon"/>
    <d v="2025-02-22T00:00:00"/>
    <x v="0"/>
    <n v="10187.25"/>
    <n v="1953684"/>
  </r>
  <r>
    <s v="Biolage"/>
    <s v="Strength Recovery"/>
    <s v="Search"/>
    <x v="3"/>
    <s v="Amazon"/>
    <d v="2025-03-01T00:00:00"/>
    <x v="0"/>
    <n v="16391.220000000008"/>
    <n v="2427377"/>
  </r>
  <r>
    <s v="Biolage"/>
    <s v="Strength Recovery"/>
    <s v="Search"/>
    <x v="3"/>
    <s v="Amazon"/>
    <d v="2025-03-08T00:00:00"/>
    <x v="0"/>
    <n v="11619.620000000003"/>
    <n v="2128617"/>
  </r>
  <r>
    <s v="Biolage"/>
    <s v="Strength Recovery"/>
    <s v="Search"/>
    <x v="3"/>
    <s v="Amazon"/>
    <d v="2025-03-15T00:00:00"/>
    <x v="0"/>
    <n v="11602.000000000004"/>
    <n v="1919597"/>
  </r>
  <r>
    <s v="Biolage"/>
    <s v="Strength Recovery"/>
    <s v="Search"/>
    <x v="3"/>
    <s v="Amazon"/>
    <d v="2025-03-22T00:00:00"/>
    <x v="0"/>
    <n v="10035.230000000003"/>
    <n v="1419487"/>
  </r>
  <r>
    <s v="Biolage"/>
    <s v="Strength Recovery"/>
    <s v="Search"/>
    <x v="3"/>
    <s v="Amazon"/>
    <d v="2025-03-29T00:00:00"/>
    <x v="0"/>
    <n v="4012.2799999999988"/>
    <n v="1142963"/>
  </r>
  <r>
    <s v="Biolage"/>
    <s v="Strength Recovery"/>
    <s v="Search"/>
    <x v="3"/>
    <s v="Amazon"/>
    <d v="2025-04-05T00:00:00"/>
    <x v="0"/>
    <n v="3301.03"/>
    <n v="956670"/>
  </r>
  <r>
    <s v="Biolage"/>
    <s v="Strength Recovery"/>
    <s v="Search"/>
    <x v="3"/>
    <s v="Amazon"/>
    <d v="2025-04-12T00:00:00"/>
    <x v="0"/>
    <n v="3316.6000000000004"/>
    <n v="582146"/>
  </r>
  <r>
    <s v="Biolage"/>
    <s v="Strength Recovery"/>
    <s v="Search"/>
    <x v="3"/>
    <s v="Amazon"/>
    <d v="2025-04-19T00:00:00"/>
    <x v="0"/>
    <n v="5024.0800000000027"/>
    <n v="696722"/>
  </r>
  <r>
    <s v="Biolage"/>
    <s v="Strength Recovery"/>
    <s v="Search"/>
    <x v="3"/>
    <s v="Amazon"/>
    <d v="2025-04-26T00:00:00"/>
    <x v="0"/>
    <n v="8380.9799999999959"/>
    <n v="980084"/>
  </r>
  <r>
    <s v="Biolage"/>
    <s v="Strength Recovery"/>
    <s v="Search"/>
    <x v="3"/>
    <s v="Amazon"/>
    <d v="2025-05-03T00:00:00"/>
    <x v="0"/>
    <n v="8360.7899999999972"/>
    <n v="1071401"/>
  </r>
  <r>
    <s v="Biolage"/>
    <s v="Strength Recovery"/>
    <s v="Search"/>
    <x v="3"/>
    <s v="Amazon"/>
    <d v="2025-05-10T00:00:00"/>
    <x v="0"/>
    <n v="4768.9700000000012"/>
    <n v="770234"/>
  </r>
  <r>
    <s v="Biolage"/>
    <s v="Strength Recovery"/>
    <s v="Search"/>
    <x v="3"/>
    <s v="Amazon"/>
    <d v="2025-05-17T00:00:00"/>
    <x v="0"/>
    <n v="4099.3500000000004"/>
    <n v="743408"/>
  </r>
  <r>
    <s v="Biolage"/>
    <s v="Strength Recovery"/>
    <s v="Search"/>
    <x v="3"/>
    <s v="Amazon"/>
    <d v="2025-05-24T00:00:00"/>
    <x v="0"/>
    <n v="4343.9799999999977"/>
    <n v="792197"/>
  </r>
  <r>
    <s v="Biolage"/>
    <s v="Strength Recovery"/>
    <s v="Search"/>
    <x v="3"/>
    <s v="Amazon"/>
    <d v="2025-05-31T00:00:00"/>
    <x v="0"/>
    <n v="4381.47"/>
    <n v="868333"/>
  </r>
  <r>
    <s v="Biolage"/>
    <s v="Strength Recovery"/>
    <s v="Search"/>
    <x v="3"/>
    <s v="Amazon"/>
    <d v="2025-06-07T00:00:00"/>
    <x v="0"/>
    <n v="6329.3999999999969"/>
    <n v="1182353"/>
  </r>
  <r>
    <s v="Biolage"/>
    <s v="Strength Recovery"/>
    <s v="Search"/>
    <x v="3"/>
    <s v="Amazon"/>
    <d v="2025-06-14T00:00:00"/>
    <x v="0"/>
    <n v="6930.8500000000022"/>
    <n v="1414174"/>
  </r>
  <r>
    <s v="Biolage"/>
    <s v="Strength Recovery"/>
    <s v="Search"/>
    <x v="3"/>
    <s v="Amazon"/>
    <d v="2025-06-21T00:00:00"/>
    <x v="0"/>
    <n v="12009.069999999998"/>
    <n v="1599490"/>
  </r>
  <r>
    <s v="Biolage"/>
    <s v="Strength Recovery"/>
    <s v="Search"/>
    <x v="3"/>
    <s v="Amazon"/>
    <d v="2025-06-28T00:00:00"/>
    <x v="0"/>
    <n v="11668.01999999999"/>
    <n v="1484478"/>
  </r>
  <r>
    <s v="Biolage"/>
    <s v="Volume Bloom"/>
    <s v="Display"/>
    <x v="3"/>
    <s v="Amazon"/>
    <d v="2023-07-01T00:00:00"/>
    <x v="1"/>
    <n v="709.24260000000004"/>
    <n v="102065"/>
  </r>
  <r>
    <s v="Biolage"/>
    <s v="Volume Bloom"/>
    <s v="Display"/>
    <x v="3"/>
    <s v="Amazon"/>
    <d v="2023-07-08T00:00:00"/>
    <x v="1"/>
    <n v="5234.5829000000022"/>
    <n v="724079"/>
  </r>
  <r>
    <s v="Biolage"/>
    <s v="Volume Bloom"/>
    <s v="Display"/>
    <x v="3"/>
    <s v="Amazon"/>
    <d v="2023-07-15T00:00:00"/>
    <x v="1"/>
    <n v="5347.2809999999999"/>
    <n v="787074"/>
  </r>
  <r>
    <s v="Biolage"/>
    <s v="Volume Bloom"/>
    <s v="Display"/>
    <x v="3"/>
    <s v="Amazon"/>
    <d v="2023-07-22T00:00:00"/>
    <x v="1"/>
    <n v="5748.3383999999987"/>
    <n v="844367"/>
  </r>
  <r>
    <s v="Biolage"/>
    <s v="Volume Bloom"/>
    <s v="Display"/>
    <x v="3"/>
    <s v="Amazon"/>
    <d v="2023-07-29T00:00:00"/>
    <x v="1"/>
    <n v="5831.0729000000028"/>
    <n v="827455"/>
  </r>
  <r>
    <s v="Biolage"/>
    <s v="Volume Bloom"/>
    <s v="Display"/>
    <x v="3"/>
    <s v="Amazon"/>
    <d v="2023-08-05T00:00:00"/>
    <x v="1"/>
    <n v="5907.6620999999986"/>
    <n v="966883"/>
  </r>
  <r>
    <s v="Biolage"/>
    <s v="Volume Bloom"/>
    <s v="Display"/>
    <x v="3"/>
    <s v="Amazon"/>
    <d v="2023-08-12T00:00:00"/>
    <x v="1"/>
    <n v="6305.6124999999993"/>
    <n v="972514"/>
  </r>
  <r>
    <s v="Biolage"/>
    <s v="Volume Bloom"/>
    <s v="Display"/>
    <x v="3"/>
    <s v="Amazon"/>
    <d v="2023-08-19T00:00:00"/>
    <x v="1"/>
    <n v="4965.8113999999978"/>
    <n v="685325"/>
  </r>
  <r>
    <s v="Biolage"/>
    <s v="Volume Bloom"/>
    <s v="Display"/>
    <x v="3"/>
    <s v="Amazon"/>
    <d v="2023-08-26T00:00:00"/>
    <x v="1"/>
    <n v="4450.6425000000027"/>
    <n v="579105"/>
  </r>
  <r>
    <s v="Biolage"/>
    <s v="Volume Bloom"/>
    <s v="Display"/>
    <x v="3"/>
    <s v="Amazon"/>
    <d v="2023-09-02T00:00:00"/>
    <x v="1"/>
    <n v="4754.7316000000001"/>
    <n v="537208"/>
  </r>
  <r>
    <s v="Biolage"/>
    <s v="Volume Bloom"/>
    <s v="Display"/>
    <x v="3"/>
    <s v="Amazon"/>
    <d v="2023-09-09T00:00:00"/>
    <x v="1"/>
    <n v="3636.9271999999992"/>
    <n v="550405"/>
  </r>
  <r>
    <s v="Biolage"/>
    <s v="Volume Bloom"/>
    <s v="Display"/>
    <x v="3"/>
    <s v="Amazon"/>
    <d v="2023-09-16T00:00:00"/>
    <x v="1"/>
    <n v="3601.9108000000001"/>
    <n v="549674"/>
  </r>
  <r>
    <s v="Biolage"/>
    <s v="Volume Bloom"/>
    <s v="Display"/>
    <x v="3"/>
    <s v="Amazon"/>
    <d v="2023-09-23T00:00:00"/>
    <x v="1"/>
    <n v="4453.5141000000012"/>
    <n v="601611"/>
  </r>
  <r>
    <s v="Biolage"/>
    <s v="Volume Bloom"/>
    <s v="Display"/>
    <x v="3"/>
    <s v="Amazon"/>
    <d v="2023-09-30T00:00:00"/>
    <x v="1"/>
    <n v="6152.8482999999978"/>
    <n v="753805"/>
  </r>
  <r>
    <s v="Biolage"/>
    <s v="Volume Bloom"/>
    <s v="Display"/>
    <x v="3"/>
    <s v="Amazon"/>
    <d v="2023-10-07T00:00:00"/>
    <x v="1"/>
    <n v="6076.0272000000004"/>
    <n v="828135"/>
  </r>
  <r>
    <s v="Biolage"/>
    <s v="Volume Bloom"/>
    <s v="Display"/>
    <x v="3"/>
    <s v="Amazon"/>
    <d v="2023-10-14T00:00:00"/>
    <x v="1"/>
    <n v="6950.9208999999973"/>
    <n v="844111"/>
  </r>
  <r>
    <s v="Biolage"/>
    <s v="Volume Bloom"/>
    <s v="Display"/>
    <x v="3"/>
    <s v="Amazon"/>
    <d v="2023-10-21T00:00:00"/>
    <x v="1"/>
    <n v="7436.8347999999996"/>
    <n v="957656"/>
  </r>
  <r>
    <s v="Biolage"/>
    <s v="Volume Bloom"/>
    <s v="Display"/>
    <x v="3"/>
    <s v="Amazon"/>
    <d v="2023-10-28T00:00:00"/>
    <x v="1"/>
    <n v="6404.5790999999999"/>
    <n v="874961"/>
  </r>
  <r>
    <s v="Biolage"/>
    <s v="Volume Bloom"/>
    <s v="Display"/>
    <x v="3"/>
    <s v="Amazon"/>
    <d v="2023-11-04T00:00:00"/>
    <x v="1"/>
    <n v="6509.9135999999999"/>
    <n v="969424"/>
  </r>
  <r>
    <s v="Biolage"/>
    <s v="Volume Bloom"/>
    <s v="Display"/>
    <x v="3"/>
    <s v="Amazon"/>
    <d v="2023-11-11T00:00:00"/>
    <x v="1"/>
    <n v="6396.5228000000043"/>
    <n v="872453"/>
  </r>
  <r>
    <s v="Biolage"/>
    <s v="Volume Bloom"/>
    <s v="Display"/>
    <x v="3"/>
    <s v="Amazon"/>
    <d v="2023-11-18T00:00:00"/>
    <x v="1"/>
    <n v="6545.3453000000027"/>
    <n v="1416239"/>
  </r>
  <r>
    <s v="Biolage"/>
    <s v="Volume Bloom"/>
    <s v="Display"/>
    <x v="3"/>
    <s v="Amazon"/>
    <d v="2023-11-25T00:00:00"/>
    <x v="1"/>
    <n v="6232.3820999999989"/>
    <n v="1647049"/>
  </r>
  <r>
    <s v="Biolage"/>
    <s v="Volume Bloom"/>
    <s v="Display"/>
    <x v="3"/>
    <s v="Amazon"/>
    <d v="2023-12-02T00:00:00"/>
    <x v="1"/>
    <n v="2789.8084999999992"/>
    <n v="703551"/>
  </r>
  <r>
    <s v="Biolage"/>
    <s v="Volume Bloom"/>
    <s v="Display"/>
    <x v="3"/>
    <s v="Amazon"/>
    <d v="2023-12-09T00:00:00"/>
    <x v="1"/>
    <n v="3896.7898000000005"/>
    <n v="1010465"/>
  </r>
  <r>
    <s v="Biolage"/>
    <s v="Volume Bloom"/>
    <s v="Display"/>
    <x v="3"/>
    <s v="Amazon"/>
    <d v="2023-12-16T00:00:00"/>
    <x v="1"/>
    <n v="3952.2930000000001"/>
    <n v="1094318"/>
  </r>
  <r>
    <s v="Biolage"/>
    <s v="Volume Bloom"/>
    <s v="Display"/>
    <x v="3"/>
    <s v="Amazon"/>
    <d v="2023-12-23T00:00:00"/>
    <x v="1"/>
    <n v="3927.8930999999993"/>
    <n v="1014469"/>
  </r>
  <r>
    <s v="Biolage"/>
    <s v="Volume Bloom"/>
    <s v="Display"/>
    <x v="3"/>
    <s v="Amazon"/>
    <d v="2023-12-30T00:00:00"/>
    <x v="1"/>
    <n v="2842.0390999999991"/>
    <n v="742659"/>
  </r>
  <r>
    <s v="Biolage"/>
    <s v="Volume Bloom"/>
    <s v="Display"/>
    <x v="3"/>
    <s v="Amazon"/>
    <d v="2024-01-06T00:00:00"/>
    <x v="1"/>
    <n v="22.471200000000003"/>
    <n v="4896"/>
  </r>
  <r>
    <s v="Biolage"/>
    <s v="Volume Bloom"/>
    <s v="Display"/>
    <x v="3"/>
    <s v="Amazon"/>
    <d v="2024-01-06T00:00:00"/>
    <x v="2"/>
    <n v="3768.9037000000003"/>
    <n v="911414"/>
  </r>
  <r>
    <s v="Biolage"/>
    <s v="Volume Bloom"/>
    <s v="Display"/>
    <x v="3"/>
    <s v="Amazon"/>
    <d v="2024-01-13T00:00:00"/>
    <x v="2"/>
    <n v="6710.7088000000022"/>
    <n v="1821449"/>
  </r>
  <r>
    <s v="Biolage"/>
    <s v="Volume Bloom"/>
    <s v="Display"/>
    <x v="3"/>
    <s v="Amazon"/>
    <d v="2024-01-20T00:00:00"/>
    <x v="2"/>
    <n v="6873.7996999999978"/>
    <n v="1914580"/>
  </r>
  <r>
    <s v="Biolage"/>
    <s v="Volume Bloom"/>
    <s v="Display"/>
    <x v="3"/>
    <s v="Amazon"/>
    <d v="2024-01-27T00:00:00"/>
    <x v="2"/>
    <n v="6728.8148999999903"/>
    <n v="1814655"/>
  </r>
  <r>
    <s v="Biolage"/>
    <s v="Volume Bloom"/>
    <s v="Display"/>
    <x v="3"/>
    <s v="Amazon"/>
    <d v="2024-02-03T00:00:00"/>
    <x v="2"/>
    <n v="4012.1473000000001"/>
    <n v="1025229"/>
  </r>
  <r>
    <s v="Biolage"/>
    <s v="Volume Bloom"/>
    <s v="Display"/>
    <x v="3"/>
    <s v="Amazon"/>
    <d v="2024-02-10T00:00:00"/>
    <x v="2"/>
    <n v="7182.4997999999987"/>
    <n v="2084171"/>
  </r>
  <r>
    <s v="Biolage"/>
    <s v="Volume Bloom"/>
    <s v="Display"/>
    <x v="3"/>
    <s v="Amazon"/>
    <d v="2024-02-17T00:00:00"/>
    <x v="2"/>
    <n v="7090.4279000000006"/>
    <n v="2065178"/>
  </r>
  <r>
    <s v="Biolage"/>
    <s v="Volume Bloom"/>
    <s v="Display"/>
    <x v="3"/>
    <s v="Amazon"/>
    <d v="2024-02-24T00:00:00"/>
    <x v="2"/>
    <n v="6799.8084999999992"/>
    <n v="2431884"/>
  </r>
  <r>
    <s v="Biolage"/>
    <s v="Volume Bloom"/>
    <s v="Display"/>
    <x v="3"/>
    <s v="Amazon"/>
    <d v="2024-03-02T00:00:00"/>
    <x v="2"/>
    <n v="3655.9493000000034"/>
    <n v="1355308"/>
  </r>
  <r>
    <s v="Biolage"/>
    <s v="Volume Bloom"/>
    <s v="Display"/>
    <x v="3"/>
    <s v="Amazon"/>
    <d v="2024-03-09T00:00:00"/>
    <x v="2"/>
    <n v="5333.349299999998"/>
    <n v="1991177"/>
  </r>
  <r>
    <s v="Biolage"/>
    <s v="Volume Bloom"/>
    <s v="Display"/>
    <x v="3"/>
    <s v="Amazon"/>
    <d v="2024-03-16T00:00:00"/>
    <x v="2"/>
    <n v="5476.7584999999954"/>
    <n v="1809762"/>
  </r>
  <r>
    <s v="Biolage"/>
    <s v="Volume Bloom"/>
    <s v="Display"/>
    <x v="3"/>
    <s v="Amazon"/>
    <d v="2024-03-23T00:00:00"/>
    <x v="2"/>
    <n v="5443.6207999999997"/>
    <n v="1622812"/>
  </r>
  <r>
    <s v="Biolage"/>
    <s v="Volume Bloom"/>
    <s v="Display"/>
    <x v="3"/>
    <s v="Amazon"/>
    <d v="2024-03-30T00:00:00"/>
    <x v="2"/>
    <n v="4597.78"/>
    <n v="1151580"/>
  </r>
  <r>
    <s v="Biolage"/>
    <s v="Volume Bloom"/>
    <s v="Display"/>
    <x v="3"/>
    <s v="Amazon"/>
    <d v="2024-04-06T00:00:00"/>
    <x v="2"/>
    <n v="11820.418499999998"/>
    <n v="2465604"/>
  </r>
  <r>
    <s v="Biolage"/>
    <s v="Volume Bloom"/>
    <s v="Display"/>
    <x v="3"/>
    <s v="Amazon"/>
    <d v="2024-04-13T00:00:00"/>
    <x v="2"/>
    <n v="5290.145300000001"/>
    <n v="1448631"/>
  </r>
  <r>
    <s v="Biolage"/>
    <s v="Volume Bloom"/>
    <s v="Display"/>
    <x v="3"/>
    <s v="Amazon"/>
    <d v="2024-04-20T00:00:00"/>
    <x v="2"/>
    <n v="3743.4843999999989"/>
    <n v="888574"/>
  </r>
  <r>
    <s v="Biolage"/>
    <s v="Volume Bloom"/>
    <s v="Display"/>
    <x v="3"/>
    <s v="Amazon"/>
    <d v="2024-04-27T00:00:00"/>
    <x v="2"/>
    <n v="3132.7918000000009"/>
    <n v="703411"/>
  </r>
  <r>
    <s v="Biolage"/>
    <s v="Volume Bloom"/>
    <s v="Display"/>
    <x v="3"/>
    <s v="Amazon"/>
    <d v="2024-05-04T00:00:00"/>
    <x v="2"/>
    <n v="3488.1769999999992"/>
    <n v="1137741"/>
  </r>
  <r>
    <s v="Biolage"/>
    <s v="Volume Bloom"/>
    <s v="Display"/>
    <x v="3"/>
    <s v="Amazon"/>
    <d v="2024-05-11T00:00:00"/>
    <x v="2"/>
    <n v="5626.529300000002"/>
    <n v="1621307"/>
  </r>
  <r>
    <s v="Biolage"/>
    <s v="Volume Bloom"/>
    <s v="Display"/>
    <x v="3"/>
    <s v="Amazon"/>
    <d v="2024-05-18T00:00:00"/>
    <x v="2"/>
    <n v="5677.1150000000016"/>
    <n v="1278134"/>
  </r>
  <r>
    <s v="Biolage"/>
    <s v="Volume Bloom"/>
    <s v="Display"/>
    <x v="3"/>
    <s v="Amazon"/>
    <d v="2024-05-25T00:00:00"/>
    <x v="2"/>
    <n v="6194.6886000000031"/>
    <n v="1297820"/>
  </r>
  <r>
    <s v="Biolage"/>
    <s v="Volume Bloom"/>
    <s v="Display"/>
    <x v="3"/>
    <s v="Amazon"/>
    <d v="2024-06-01T00:00:00"/>
    <x v="2"/>
    <n v="5699.2451999999994"/>
    <n v="1418429"/>
  </r>
  <r>
    <s v="Biolage"/>
    <s v="Volume Bloom"/>
    <s v="Display"/>
    <x v="3"/>
    <s v="Amazon"/>
    <d v="2024-06-08T00:00:00"/>
    <x v="2"/>
    <n v="5115.6659000000027"/>
    <n v="1292080"/>
  </r>
  <r>
    <s v="Biolage"/>
    <s v="Volume Bloom"/>
    <s v="Display"/>
    <x v="3"/>
    <s v="Amazon"/>
    <d v="2024-06-15T00:00:00"/>
    <x v="2"/>
    <n v="5133.7747999999974"/>
    <n v="1397267"/>
  </r>
  <r>
    <s v="Biolage"/>
    <s v="Volume Bloom"/>
    <s v="Display"/>
    <x v="3"/>
    <s v="Amazon"/>
    <d v="2024-06-22T00:00:00"/>
    <x v="2"/>
    <n v="5288.122800000001"/>
    <n v="993546"/>
  </r>
  <r>
    <s v="Biolage"/>
    <s v="Volume Bloom"/>
    <s v="Display"/>
    <x v="3"/>
    <s v="Amazon"/>
    <d v="2024-06-29T00:00:00"/>
    <x v="2"/>
    <n v="5009.6037000000015"/>
    <n v="1014080"/>
  </r>
  <r>
    <s v="Biolage"/>
    <s v="Volume Bloom"/>
    <s v="Display"/>
    <x v="3"/>
    <s v="Amazon"/>
    <d v="2024-07-06T00:00:00"/>
    <x v="2"/>
    <n v="4243.3991000000005"/>
    <n v="1341897"/>
  </r>
  <r>
    <s v="Biolage"/>
    <s v="Volume Bloom"/>
    <s v="Display"/>
    <x v="3"/>
    <s v="Amazon"/>
    <d v="2024-07-13T00:00:00"/>
    <x v="2"/>
    <n v="4239.3718999999992"/>
    <n v="1599537"/>
  </r>
  <r>
    <s v="Biolage"/>
    <s v="Volume Bloom"/>
    <s v="Display"/>
    <x v="3"/>
    <s v="Amazon"/>
    <d v="2024-07-20T00:00:00"/>
    <x v="2"/>
    <n v="3059.0468000000001"/>
    <n v="917642"/>
  </r>
  <r>
    <s v="Biolage"/>
    <s v="Volume Bloom"/>
    <s v="Display"/>
    <x v="3"/>
    <s v="Amazon"/>
    <d v="2024-07-27T00:00:00"/>
    <x v="2"/>
    <n v="5106.9132"/>
    <n v="1919940"/>
  </r>
  <r>
    <s v="Biolage"/>
    <s v="Volume Bloom"/>
    <s v="Display"/>
    <x v="3"/>
    <s v="Amazon"/>
    <d v="2024-08-03T00:00:00"/>
    <x v="2"/>
    <n v="4489.3201000000017"/>
    <n v="1254008"/>
  </r>
  <r>
    <s v="Biolage"/>
    <s v="Volume Bloom"/>
    <s v="Display"/>
    <x v="3"/>
    <s v="Amazon"/>
    <d v="2024-08-10T00:00:00"/>
    <x v="2"/>
    <n v="4266.7728000000034"/>
    <n v="1232221"/>
  </r>
  <r>
    <s v="Biolage"/>
    <s v="Volume Bloom"/>
    <s v="Display"/>
    <x v="3"/>
    <s v="Amazon"/>
    <d v="2024-08-17T00:00:00"/>
    <x v="2"/>
    <n v="4253.0930000000017"/>
    <n v="1234188"/>
  </r>
  <r>
    <s v="Biolage"/>
    <s v="Volume Bloom"/>
    <s v="Display"/>
    <x v="3"/>
    <s v="Amazon"/>
    <d v="2024-08-24T00:00:00"/>
    <x v="2"/>
    <n v="4317.2237000000005"/>
    <n v="1212931"/>
  </r>
  <r>
    <s v="Biolage"/>
    <s v="Volume Bloom"/>
    <s v="Display"/>
    <x v="3"/>
    <s v="Amazon"/>
    <d v="2024-08-31T00:00:00"/>
    <x v="2"/>
    <n v="6578.3256000000029"/>
    <n v="2742347"/>
  </r>
  <r>
    <s v="Biolage"/>
    <s v="Volume Bloom"/>
    <s v="Display"/>
    <x v="3"/>
    <s v="Amazon"/>
    <d v="2024-09-07T00:00:00"/>
    <x v="2"/>
    <n v="8363.6358000000018"/>
    <n v="3325015"/>
  </r>
  <r>
    <s v="Biolage"/>
    <s v="Volume Bloom"/>
    <s v="Display"/>
    <x v="3"/>
    <s v="Amazon"/>
    <d v="2024-09-14T00:00:00"/>
    <x v="2"/>
    <n v="8454.2747999999938"/>
    <n v="3222894"/>
  </r>
  <r>
    <s v="Biolage"/>
    <s v="Volume Bloom"/>
    <s v="Display"/>
    <x v="3"/>
    <s v="Amazon"/>
    <d v="2024-09-21T00:00:00"/>
    <x v="2"/>
    <n v="7981.8233000000009"/>
    <n v="1603266"/>
  </r>
  <r>
    <s v="Biolage"/>
    <s v="Volume Bloom"/>
    <s v="Display"/>
    <x v="3"/>
    <s v="Amazon"/>
    <d v="2024-09-28T00:00:00"/>
    <x v="2"/>
    <n v="7335.7093000000004"/>
    <n v="1383942"/>
  </r>
  <r>
    <s v="Biolage"/>
    <s v="Volume Bloom"/>
    <s v="Display"/>
    <x v="3"/>
    <s v="Amazon"/>
    <d v="2024-10-05T00:00:00"/>
    <x v="2"/>
    <n v="6258.0273000000025"/>
    <n v="1144394"/>
  </r>
  <r>
    <s v="Biolage"/>
    <s v="Volume Bloom"/>
    <s v="Display"/>
    <x v="3"/>
    <s v="Amazon"/>
    <d v="2024-10-12T00:00:00"/>
    <x v="2"/>
    <n v="6824.5480999999982"/>
    <n v="1019985"/>
  </r>
  <r>
    <s v="Biolage"/>
    <s v="Volume Bloom"/>
    <s v="Display"/>
    <x v="3"/>
    <s v="Amazon"/>
    <d v="2024-10-19T00:00:00"/>
    <x v="2"/>
    <n v="6757.0432000000001"/>
    <n v="1434952"/>
  </r>
  <r>
    <s v="Biolage"/>
    <s v="Volume Bloom"/>
    <s v="Display"/>
    <x v="3"/>
    <s v="Amazon"/>
    <d v="2024-10-26T00:00:00"/>
    <x v="2"/>
    <n v="6978.1048999999994"/>
    <n v="1682957"/>
  </r>
  <r>
    <s v="Biolage"/>
    <s v="Volume Bloom"/>
    <s v="Display"/>
    <x v="3"/>
    <s v="Amazon"/>
    <d v="2024-11-02T00:00:00"/>
    <x v="2"/>
    <n v="6181.1669000000011"/>
    <n v="1405652"/>
  </r>
  <r>
    <s v="Biolage"/>
    <s v="Volume Bloom"/>
    <s v="Display"/>
    <x v="3"/>
    <s v="Amazon"/>
    <d v="2024-11-09T00:00:00"/>
    <x v="2"/>
    <n v="5729.2723999999998"/>
    <n v="1385392"/>
  </r>
  <r>
    <s v="Biolage"/>
    <s v="Volume Bloom"/>
    <s v="Display"/>
    <x v="3"/>
    <s v="Amazon"/>
    <d v="2024-11-16T00:00:00"/>
    <x v="2"/>
    <n v="5253.5214000000005"/>
    <n v="1173942"/>
  </r>
  <r>
    <s v="Biolage"/>
    <s v="Volume Bloom"/>
    <s v="Display"/>
    <x v="3"/>
    <s v="Amazon"/>
    <d v="2024-11-23T00:00:00"/>
    <x v="2"/>
    <n v="5286.8309999999974"/>
    <n v="916496"/>
  </r>
  <r>
    <s v="Biolage"/>
    <s v="Volume Bloom"/>
    <s v="Display"/>
    <x v="3"/>
    <s v="Amazon"/>
    <d v="2024-11-30T00:00:00"/>
    <x v="2"/>
    <n v="4361.3540000000003"/>
    <n v="526250"/>
  </r>
  <r>
    <s v="Biolage"/>
    <s v="Volume Bloom"/>
    <s v="Display"/>
    <x v="3"/>
    <s v="Amazon"/>
    <d v="2024-12-07T00:00:00"/>
    <x v="2"/>
    <n v="4700.6687000000011"/>
    <n v="921609"/>
  </r>
  <r>
    <s v="Biolage"/>
    <s v="Volume Bloom"/>
    <s v="Display"/>
    <x v="3"/>
    <s v="Amazon"/>
    <d v="2024-12-14T00:00:00"/>
    <x v="2"/>
    <n v="4915.8602999999994"/>
    <n v="1162551"/>
  </r>
  <r>
    <s v="Biolage"/>
    <s v="Volume Bloom"/>
    <s v="Display"/>
    <x v="3"/>
    <s v="Amazon"/>
    <d v="2024-12-21T00:00:00"/>
    <x v="2"/>
    <n v="4879.0752000000011"/>
    <n v="1264896"/>
  </r>
  <r>
    <s v="Biolage"/>
    <s v="Volume Bloom"/>
    <s v="Display"/>
    <x v="3"/>
    <s v="Amazon"/>
    <d v="2024-12-28T00:00:00"/>
    <x v="2"/>
    <n v="4789.3036999999986"/>
    <n v="1396088"/>
  </r>
  <r>
    <s v="Biolage"/>
    <s v="Volume Bloom"/>
    <s v="Display"/>
    <x v="3"/>
    <s v="Amazon"/>
    <d v="2025-01-04T00:00:00"/>
    <x v="2"/>
    <n v="1731.0464000000004"/>
    <n v="508297"/>
  </r>
  <r>
    <s v="Biolage"/>
    <s v="Volume Bloom"/>
    <s v="Display"/>
    <x v="3"/>
    <s v="Amazon"/>
    <d v="2025-01-04T00:00:00"/>
    <x v="0"/>
    <n v="3109.6780000000012"/>
    <n v="1325025"/>
  </r>
  <r>
    <s v="Biolage"/>
    <s v="Volume Bloom"/>
    <s v="Display"/>
    <x v="3"/>
    <s v="Amazon"/>
    <d v="2025-01-11T00:00:00"/>
    <x v="0"/>
    <n v="5477.4909999999954"/>
    <n v="2100834"/>
  </r>
  <r>
    <s v="Biolage"/>
    <s v="Volume Bloom"/>
    <s v="Display"/>
    <x v="3"/>
    <s v="Amazon"/>
    <d v="2025-01-18T00:00:00"/>
    <x v="0"/>
    <n v="5626.1701000000012"/>
    <n v="1982006"/>
  </r>
  <r>
    <s v="Biolage"/>
    <s v="Volume Bloom"/>
    <s v="Display"/>
    <x v="3"/>
    <s v="Amazon"/>
    <d v="2025-01-25T00:00:00"/>
    <x v="0"/>
    <n v="5485.9715000000024"/>
    <n v="1918806"/>
  </r>
  <r>
    <s v="Biolage"/>
    <s v="Volume Bloom"/>
    <s v="Display"/>
    <x v="3"/>
    <s v="Amazon"/>
    <d v="2025-02-01T00:00:00"/>
    <x v="0"/>
    <n v="5613.6606999999985"/>
    <n v="1876996"/>
  </r>
  <r>
    <s v="Biolage"/>
    <s v="Volume Bloom"/>
    <s v="Display"/>
    <x v="3"/>
    <s v="Amazon"/>
    <d v="2025-02-08T00:00:00"/>
    <x v="0"/>
    <n v="6531.9242000000022"/>
    <n v="2359367"/>
  </r>
  <r>
    <s v="Biolage"/>
    <s v="Volume Bloom"/>
    <s v="Display"/>
    <x v="3"/>
    <s v="Amazon"/>
    <d v="2025-02-15T00:00:00"/>
    <x v="0"/>
    <n v="6550.547599999999"/>
    <n v="2406420"/>
  </r>
  <r>
    <s v="Biolage"/>
    <s v="Volume Bloom"/>
    <s v="Display"/>
    <x v="3"/>
    <s v="Amazon"/>
    <d v="2025-02-22T00:00:00"/>
    <x v="0"/>
    <n v="6568.3112999999967"/>
    <n v="1912617"/>
  </r>
  <r>
    <s v="Biolage"/>
    <s v="Volume Bloom"/>
    <s v="Display"/>
    <x v="3"/>
    <s v="Amazon"/>
    <d v="2025-03-01T00:00:00"/>
    <x v="0"/>
    <n v="8286.0642000000007"/>
    <n v="1709882"/>
  </r>
  <r>
    <s v="Biolage"/>
    <s v="Volume Bloom"/>
    <s v="Display"/>
    <x v="3"/>
    <s v="Amazon"/>
    <d v="2025-03-08T00:00:00"/>
    <x v="0"/>
    <n v="10020.850700000001"/>
    <n v="2018966"/>
  </r>
  <r>
    <s v="Biolage"/>
    <s v="Volume Bloom"/>
    <s v="Display"/>
    <x v="3"/>
    <s v="Amazon"/>
    <d v="2025-03-15T00:00:00"/>
    <x v="0"/>
    <n v="10508.572899999996"/>
    <n v="1920551"/>
  </r>
  <r>
    <s v="Biolage"/>
    <s v="Volume Bloom"/>
    <s v="Display"/>
    <x v="3"/>
    <s v="Amazon"/>
    <d v="2025-03-22T00:00:00"/>
    <x v="0"/>
    <n v="10253.666600000006"/>
    <n v="1799015"/>
  </r>
  <r>
    <s v="Biolage"/>
    <s v="Volume Bloom"/>
    <s v="Display"/>
    <x v="3"/>
    <s v="Amazon"/>
    <d v="2025-03-29T00:00:00"/>
    <x v="0"/>
    <n v="10192.703600000003"/>
    <n v="1895955"/>
  </r>
  <r>
    <s v="Biolage"/>
    <s v="Volume Bloom"/>
    <s v="Display"/>
    <x v="3"/>
    <s v="Amazon"/>
    <d v="2025-04-05T00:00:00"/>
    <x v="0"/>
    <n v="6386.5364000000018"/>
    <n v="1491745"/>
  </r>
  <r>
    <s v="Biolage"/>
    <s v="Volume Bloom"/>
    <s v="Display"/>
    <x v="3"/>
    <s v="Amazon"/>
    <d v="2025-04-12T00:00:00"/>
    <x v="0"/>
    <n v="5975.5874000000013"/>
    <n v="1266838"/>
  </r>
  <r>
    <s v="Biolage"/>
    <s v="Volume Bloom"/>
    <s v="Display"/>
    <x v="3"/>
    <s v="Amazon"/>
    <d v="2025-04-19T00:00:00"/>
    <x v="0"/>
    <n v="5866.896200000001"/>
    <n v="1164750"/>
  </r>
  <r>
    <s v="Biolage"/>
    <s v="Volume Bloom"/>
    <s v="Display"/>
    <x v="3"/>
    <s v="Amazon"/>
    <d v="2025-04-26T00:00:00"/>
    <x v="0"/>
    <n v="5831.7265000000034"/>
    <n v="1290810"/>
  </r>
  <r>
    <s v="Biolage"/>
    <s v="Volume Bloom"/>
    <s v="Display"/>
    <x v="3"/>
    <s v="Amazon"/>
    <d v="2025-05-03T00:00:00"/>
    <x v="0"/>
    <n v="5033.9136000000008"/>
    <n v="1292797"/>
  </r>
  <r>
    <s v="Biolage"/>
    <s v="Volume Bloom"/>
    <s v="Display"/>
    <x v="3"/>
    <s v="Amazon"/>
    <d v="2025-05-10T00:00:00"/>
    <x v="0"/>
    <n v="5087.9211000000005"/>
    <n v="1049895"/>
  </r>
  <r>
    <s v="Biolage"/>
    <s v="Volume Bloom"/>
    <s v="Display"/>
    <x v="3"/>
    <s v="Amazon"/>
    <d v="2025-05-17T00:00:00"/>
    <x v="0"/>
    <n v="5092.7151999999996"/>
    <n v="1084087"/>
  </r>
  <r>
    <s v="Biolage"/>
    <s v="Volume Bloom"/>
    <s v="Display"/>
    <x v="3"/>
    <s v="Amazon"/>
    <d v="2025-05-24T00:00:00"/>
    <x v="0"/>
    <n v="5059.7958999999983"/>
    <n v="1355982"/>
  </r>
  <r>
    <s v="Biolage"/>
    <s v="Volume Bloom"/>
    <s v="Display"/>
    <x v="3"/>
    <s v="Amazon"/>
    <d v="2025-05-31T00:00:00"/>
    <x v="0"/>
    <n v="4628.8854000000001"/>
    <n v="1417167"/>
  </r>
  <r>
    <s v="Biolage"/>
    <s v="Volume Bloom"/>
    <s v="Display"/>
    <x v="3"/>
    <s v="Amazon"/>
    <d v="2025-06-07T00:00:00"/>
    <x v="0"/>
    <n v="8768.9116999999987"/>
    <n v="3505624"/>
  </r>
  <r>
    <s v="Biolage"/>
    <s v="Volume Bloom"/>
    <s v="Display"/>
    <x v="3"/>
    <s v="Amazon"/>
    <d v="2025-06-14T00:00:00"/>
    <x v="0"/>
    <n v="9116.9534999999978"/>
    <n v="3437513"/>
  </r>
  <r>
    <s v="Biolage"/>
    <s v="Volume Bloom"/>
    <s v="Display"/>
    <x v="3"/>
    <s v="Amazon"/>
    <d v="2025-06-21T00:00:00"/>
    <x v="0"/>
    <n v="9158.1856000000007"/>
    <n v="3290186"/>
  </r>
  <r>
    <s v="Biolage"/>
    <s v="Volume Bloom"/>
    <s v="Display"/>
    <x v="3"/>
    <s v="Amazon"/>
    <d v="2025-06-28T00:00:00"/>
    <x v="0"/>
    <n v="7839.1786999999995"/>
    <n v="2938080"/>
  </r>
  <r>
    <s v="Biolage"/>
    <s v="Volume Bloom"/>
    <s v="Search"/>
    <x v="3"/>
    <s v="Amazon"/>
    <d v="2023-07-01T00:00:00"/>
    <x v="1"/>
    <n v="503.13"/>
    <n v="89476"/>
  </r>
  <r>
    <s v="Biolage"/>
    <s v="Volume Bloom"/>
    <s v="Search"/>
    <x v="3"/>
    <s v="Amazon"/>
    <d v="2023-07-08T00:00:00"/>
    <x v="1"/>
    <n v="4101.8500000000004"/>
    <n v="988367"/>
  </r>
  <r>
    <s v="Biolage"/>
    <s v="Volume Bloom"/>
    <s v="Search"/>
    <x v="3"/>
    <s v="Amazon"/>
    <d v="2023-07-15T00:00:00"/>
    <x v="1"/>
    <n v="20015.16"/>
    <n v="2356562"/>
  </r>
  <r>
    <s v="Biolage"/>
    <s v="Volume Bloom"/>
    <s v="Search"/>
    <x v="3"/>
    <s v="Amazon"/>
    <d v="2023-07-22T00:00:00"/>
    <x v="1"/>
    <n v="2718.9999999999995"/>
    <n v="1385964"/>
  </r>
  <r>
    <s v="Biolage"/>
    <s v="Volume Bloom"/>
    <s v="Search"/>
    <x v="3"/>
    <s v="Amazon"/>
    <d v="2023-07-29T00:00:00"/>
    <x v="1"/>
    <n v="3139.6"/>
    <n v="1509103"/>
  </r>
  <r>
    <s v="Biolage"/>
    <s v="Volume Bloom"/>
    <s v="Search"/>
    <x v="3"/>
    <s v="Amazon"/>
    <d v="2023-08-05T00:00:00"/>
    <x v="1"/>
    <n v="3918.1000000000008"/>
    <n v="2303619"/>
  </r>
  <r>
    <s v="Biolage"/>
    <s v="Volume Bloom"/>
    <s v="Search"/>
    <x v="3"/>
    <s v="Amazon"/>
    <d v="2023-08-12T00:00:00"/>
    <x v="1"/>
    <n v="3812.1299999999992"/>
    <n v="1478237"/>
  </r>
  <r>
    <s v="Biolage"/>
    <s v="Volume Bloom"/>
    <s v="Search"/>
    <x v="3"/>
    <s v="Amazon"/>
    <d v="2023-08-19T00:00:00"/>
    <x v="1"/>
    <n v="4888.55"/>
    <n v="1936216"/>
  </r>
  <r>
    <s v="Biolage"/>
    <s v="Volume Bloom"/>
    <s v="Search"/>
    <x v="3"/>
    <s v="Amazon"/>
    <d v="2023-08-26T00:00:00"/>
    <x v="1"/>
    <n v="5839.829999999999"/>
    <n v="2191585"/>
  </r>
  <r>
    <s v="Biolage"/>
    <s v="Volume Bloom"/>
    <s v="Search"/>
    <x v="3"/>
    <s v="Amazon"/>
    <d v="2023-09-02T00:00:00"/>
    <x v="1"/>
    <n v="4232.1999999999989"/>
    <n v="1611220"/>
  </r>
  <r>
    <s v="Biolage"/>
    <s v="Volume Bloom"/>
    <s v="Search"/>
    <x v="3"/>
    <s v="Amazon"/>
    <d v="2023-09-09T00:00:00"/>
    <x v="1"/>
    <n v="4772.46"/>
    <n v="1962236"/>
  </r>
  <r>
    <s v="Biolage"/>
    <s v="Volume Bloom"/>
    <s v="Search"/>
    <x v="3"/>
    <s v="Amazon"/>
    <d v="2023-09-16T00:00:00"/>
    <x v="1"/>
    <n v="4385.33"/>
    <n v="1669530"/>
  </r>
  <r>
    <s v="Biolage"/>
    <s v="Volume Bloom"/>
    <s v="Search"/>
    <x v="3"/>
    <s v="Amazon"/>
    <d v="2023-09-23T00:00:00"/>
    <x v="1"/>
    <n v="5088.2300000000005"/>
    <n v="1614233"/>
  </r>
  <r>
    <s v="Biolage"/>
    <s v="Volume Bloom"/>
    <s v="Search"/>
    <x v="3"/>
    <s v="Amazon"/>
    <d v="2023-09-30T00:00:00"/>
    <x v="1"/>
    <n v="6291.2899999999991"/>
    <n v="2292534"/>
  </r>
  <r>
    <s v="Biolage"/>
    <s v="Volume Bloom"/>
    <s v="Search"/>
    <x v="3"/>
    <s v="Amazon"/>
    <d v="2023-10-07T00:00:00"/>
    <x v="1"/>
    <n v="7981.7900000000009"/>
    <n v="2662704"/>
  </r>
  <r>
    <s v="Biolage"/>
    <s v="Volume Bloom"/>
    <s v="Search"/>
    <x v="3"/>
    <s v="Amazon"/>
    <d v="2023-10-14T00:00:00"/>
    <x v="1"/>
    <n v="6973.41"/>
    <n v="2068444"/>
  </r>
  <r>
    <s v="Biolage"/>
    <s v="Volume Bloom"/>
    <s v="Search"/>
    <x v="3"/>
    <s v="Amazon"/>
    <d v="2023-10-21T00:00:00"/>
    <x v="1"/>
    <n v="8162.79"/>
    <n v="2326724"/>
  </r>
  <r>
    <s v="Biolage"/>
    <s v="Volume Bloom"/>
    <s v="Search"/>
    <x v="3"/>
    <s v="Amazon"/>
    <d v="2023-10-28T00:00:00"/>
    <x v="1"/>
    <n v="9470.5499999999993"/>
    <n v="2601230"/>
  </r>
  <r>
    <s v="Biolage"/>
    <s v="Volume Bloom"/>
    <s v="Search"/>
    <x v="3"/>
    <s v="Amazon"/>
    <d v="2023-11-04T00:00:00"/>
    <x v="1"/>
    <n v="8418.17"/>
    <n v="2714220"/>
  </r>
  <r>
    <s v="Biolage"/>
    <s v="Volume Bloom"/>
    <s v="Search"/>
    <x v="3"/>
    <s v="Amazon"/>
    <d v="2023-11-11T00:00:00"/>
    <x v="1"/>
    <n v="8786.69"/>
    <n v="2401367"/>
  </r>
  <r>
    <s v="Biolage"/>
    <s v="Volume Bloom"/>
    <s v="Search"/>
    <x v="3"/>
    <s v="Amazon"/>
    <d v="2023-11-18T00:00:00"/>
    <x v="1"/>
    <n v="9637.909999999998"/>
    <n v="2662615"/>
  </r>
  <r>
    <s v="Biolage"/>
    <s v="Volume Bloom"/>
    <s v="Search"/>
    <x v="3"/>
    <s v="Amazon"/>
    <d v="2023-11-25T00:00:00"/>
    <x v="1"/>
    <n v="17396.099999999995"/>
    <n v="3611993"/>
  </r>
  <r>
    <s v="Biolage"/>
    <s v="Volume Bloom"/>
    <s v="Search"/>
    <x v="3"/>
    <s v="Amazon"/>
    <d v="2023-12-02T00:00:00"/>
    <x v="1"/>
    <n v="7475.5600000000022"/>
    <n v="1553001"/>
  </r>
  <r>
    <s v="Biolage"/>
    <s v="Volume Bloom"/>
    <s v="Search"/>
    <x v="3"/>
    <s v="Amazon"/>
    <d v="2023-12-09T00:00:00"/>
    <x v="1"/>
    <n v="2958.3299999999986"/>
    <n v="868175"/>
  </r>
  <r>
    <s v="Biolage"/>
    <s v="Volume Bloom"/>
    <s v="Search"/>
    <x v="3"/>
    <s v="Amazon"/>
    <d v="2023-12-16T00:00:00"/>
    <x v="1"/>
    <n v="1611.1199999999994"/>
    <n v="319036"/>
  </r>
  <r>
    <s v="Biolage"/>
    <s v="Volume Bloom"/>
    <s v="Search"/>
    <x v="3"/>
    <s v="Amazon"/>
    <d v="2023-12-23T00:00:00"/>
    <x v="1"/>
    <n v="1110.8199999999995"/>
    <n v="254163"/>
  </r>
  <r>
    <s v="Biolage"/>
    <s v="Volume Bloom"/>
    <s v="Search"/>
    <x v="3"/>
    <s v="Amazon"/>
    <d v="2023-12-30T00:00:00"/>
    <x v="1"/>
    <n v="1359.9299999999998"/>
    <n v="284609"/>
  </r>
  <r>
    <s v="Biolage"/>
    <s v="Volume Bloom"/>
    <s v="Search"/>
    <x v="3"/>
    <s v="Amazon"/>
    <d v="2024-01-06T00:00:00"/>
    <x v="2"/>
    <n v="1015.0899999999998"/>
    <n v="205155"/>
  </r>
  <r>
    <s v="Biolage"/>
    <s v="Volume Bloom"/>
    <s v="Search"/>
    <x v="3"/>
    <s v="Amazon"/>
    <d v="2024-01-13T00:00:00"/>
    <x v="2"/>
    <n v="3228.6599999999994"/>
    <n v="408094"/>
  </r>
  <r>
    <s v="Biolage"/>
    <s v="Volume Bloom"/>
    <s v="Search"/>
    <x v="3"/>
    <s v="Amazon"/>
    <d v="2024-01-20T00:00:00"/>
    <x v="2"/>
    <n v="7322.7899999999991"/>
    <n v="1059238"/>
  </r>
  <r>
    <s v="Biolage"/>
    <s v="Volume Bloom"/>
    <s v="Search"/>
    <x v="3"/>
    <s v="Amazon"/>
    <d v="2024-01-27T00:00:00"/>
    <x v="2"/>
    <n v="10397.080000000002"/>
    <n v="1657871"/>
  </r>
  <r>
    <s v="Biolage"/>
    <s v="Volume Bloom"/>
    <s v="Search"/>
    <x v="3"/>
    <s v="Amazon"/>
    <d v="2024-02-03T00:00:00"/>
    <x v="2"/>
    <n v="9656.9799999999977"/>
    <n v="2054668"/>
  </r>
  <r>
    <s v="Biolage"/>
    <s v="Volume Bloom"/>
    <s v="Search"/>
    <x v="3"/>
    <s v="Amazon"/>
    <d v="2024-02-10T00:00:00"/>
    <x v="2"/>
    <n v="7979.699999999998"/>
    <n v="1740487"/>
  </r>
  <r>
    <s v="Biolage"/>
    <s v="Volume Bloom"/>
    <s v="Search"/>
    <x v="3"/>
    <s v="Amazon"/>
    <d v="2024-02-17T00:00:00"/>
    <x v="2"/>
    <n v="5484.7800000000016"/>
    <n v="1001649"/>
  </r>
  <r>
    <s v="Biolage"/>
    <s v="Volume Bloom"/>
    <s v="Search"/>
    <x v="3"/>
    <s v="Amazon"/>
    <d v="2024-02-24T00:00:00"/>
    <x v="2"/>
    <n v="4650.1900000000005"/>
    <n v="831149"/>
  </r>
  <r>
    <s v="Biolage"/>
    <s v="Volume Bloom"/>
    <s v="Search"/>
    <x v="3"/>
    <s v="Amazon"/>
    <d v="2024-03-02T00:00:00"/>
    <x v="2"/>
    <n v="3712.7299999999991"/>
    <n v="1052250"/>
  </r>
  <r>
    <s v="Biolage"/>
    <s v="Volume Bloom"/>
    <s v="Search"/>
    <x v="3"/>
    <s v="Amazon"/>
    <d v="2024-03-09T00:00:00"/>
    <x v="2"/>
    <n v="3538.48"/>
    <n v="1214141"/>
  </r>
  <r>
    <s v="Biolage"/>
    <s v="Volume Bloom"/>
    <s v="Search"/>
    <x v="3"/>
    <s v="Amazon"/>
    <d v="2024-03-16T00:00:00"/>
    <x v="2"/>
    <n v="3903.3199999999993"/>
    <n v="1580471"/>
  </r>
  <r>
    <s v="Biolage"/>
    <s v="Volume Bloom"/>
    <s v="Search"/>
    <x v="3"/>
    <s v="Amazon"/>
    <d v="2024-03-23T00:00:00"/>
    <x v="2"/>
    <n v="7051.7300000000014"/>
    <n v="2463931"/>
  </r>
  <r>
    <s v="Biolage"/>
    <s v="Volume Bloom"/>
    <s v="Search"/>
    <x v="3"/>
    <s v="Amazon"/>
    <d v="2024-03-30T00:00:00"/>
    <x v="2"/>
    <n v="9884.9500000000007"/>
    <n v="3279343"/>
  </r>
  <r>
    <s v="Biolage"/>
    <s v="Volume Bloom"/>
    <s v="Search"/>
    <x v="3"/>
    <s v="Amazon"/>
    <d v="2024-04-06T00:00:00"/>
    <x v="2"/>
    <n v="9863.5500000000029"/>
    <n v="3232867"/>
  </r>
  <r>
    <s v="Biolage"/>
    <s v="Volume Bloom"/>
    <s v="Search"/>
    <x v="3"/>
    <s v="Amazon"/>
    <d v="2024-04-13T00:00:00"/>
    <x v="2"/>
    <n v="7098.7800000000007"/>
    <n v="2443805"/>
  </r>
  <r>
    <s v="Biolage"/>
    <s v="Volume Bloom"/>
    <s v="Search"/>
    <x v="3"/>
    <s v="Amazon"/>
    <d v="2024-04-20T00:00:00"/>
    <x v="2"/>
    <n v="8467.2599999999984"/>
    <n v="2409767"/>
  </r>
  <r>
    <s v="Biolage"/>
    <s v="Volume Bloom"/>
    <s v="Search"/>
    <x v="3"/>
    <s v="Amazon"/>
    <d v="2024-04-27T00:00:00"/>
    <x v="2"/>
    <n v="4568.1800000000012"/>
    <n v="1363715"/>
  </r>
  <r>
    <s v="Biolage"/>
    <s v="Volume Bloom"/>
    <s v="Search"/>
    <x v="3"/>
    <s v="Amazon"/>
    <d v="2024-05-04T00:00:00"/>
    <x v="2"/>
    <n v="3854.3899999999994"/>
    <n v="1361116"/>
  </r>
  <r>
    <s v="Biolage"/>
    <s v="Volume Bloom"/>
    <s v="Search"/>
    <x v="3"/>
    <s v="Amazon"/>
    <d v="2024-05-11T00:00:00"/>
    <x v="2"/>
    <n v="4683.7299999999977"/>
    <n v="1522065"/>
  </r>
  <r>
    <s v="Biolage"/>
    <s v="Volume Bloom"/>
    <s v="Search"/>
    <x v="3"/>
    <s v="Amazon"/>
    <d v="2024-05-18T00:00:00"/>
    <x v="2"/>
    <n v="9328.31"/>
    <n v="3019010"/>
  </r>
  <r>
    <s v="Biolage"/>
    <s v="Volume Bloom"/>
    <s v="Search"/>
    <x v="3"/>
    <s v="Amazon"/>
    <d v="2024-05-25T00:00:00"/>
    <x v="2"/>
    <n v="8773.1"/>
    <n v="2937948"/>
  </r>
  <r>
    <s v="Biolage"/>
    <s v="Volume Bloom"/>
    <s v="Search"/>
    <x v="3"/>
    <s v="Amazon"/>
    <d v="2024-06-01T00:00:00"/>
    <x v="2"/>
    <n v="7167.0100000000011"/>
    <n v="2387037"/>
  </r>
  <r>
    <s v="Biolage"/>
    <s v="Volume Bloom"/>
    <s v="Search"/>
    <x v="3"/>
    <s v="Amazon"/>
    <d v="2024-06-08T00:00:00"/>
    <x v="2"/>
    <n v="6891.57"/>
    <n v="1642643"/>
  </r>
  <r>
    <s v="Biolage"/>
    <s v="Volume Bloom"/>
    <s v="Search"/>
    <x v="3"/>
    <s v="Amazon"/>
    <d v="2024-06-15T00:00:00"/>
    <x v="2"/>
    <n v="6025.04"/>
    <n v="1460313"/>
  </r>
  <r>
    <s v="Biolage"/>
    <s v="Volume Bloom"/>
    <s v="Search"/>
    <x v="3"/>
    <s v="Amazon"/>
    <d v="2024-06-22T00:00:00"/>
    <x v="2"/>
    <n v="6784.2300000000032"/>
    <n v="1470743"/>
  </r>
  <r>
    <s v="Biolage"/>
    <s v="Volume Bloom"/>
    <s v="Search"/>
    <x v="3"/>
    <s v="Amazon"/>
    <d v="2024-06-29T00:00:00"/>
    <x v="2"/>
    <n v="11151.809999999998"/>
    <n v="2019016"/>
  </r>
  <r>
    <s v="Biolage"/>
    <s v="Volume Bloom"/>
    <s v="Search"/>
    <x v="3"/>
    <s v="Amazon"/>
    <d v="2024-07-06T00:00:00"/>
    <x v="2"/>
    <n v="9182.5099999999966"/>
    <n v="1674567"/>
  </r>
  <r>
    <s v="Biolage"/>
    <s v="Volume Bloom"/>
    <s v="Search"/>
    <x v="3"/>
    <s v="Amazon"/>
    <d v="2024-07-13T00:00:00"/>
    <x v="2"/>
    <n v="7462.8800000000019"/>
    <n v="1499788"/>
  </r>
  <r>
    <s v="Biolage"/>
    <s v="Volume Bloom"/>
    <s v="Search"/>
    <x v="3"/>
    <s v="Amazon"/>
    <d v="2024-07-20T00:00:00"/>
    <x v="2"/>
    <n v="7504.079999999999"/>
    <n v="2222193"/>
  </r>
  <r>
    <s v="Biolage"/>
    <s v="Volume Bloom"/>
    <s v="Search"/>
    <x v="3"/>
    <s v="Amazon"/>
    <d v="2024-07-27T00:00:00"/>
    <x v="2"/>
    <n v="4627.78"/>
    <n v="1272916"/>
  </r>
  <r>
    <s v="Biolage"/>
    <s v="Volume Bloom"/>
    <s v="Search"/>
    <x v="3"/>
    <s v="Amazon"/>
    <d v="2024-08-03T00:00:00"/>
    <x v="2"/>
    <n v="4372.8599999999988"/>
    <n v="1185140"/>
  </r>
  <r>
    <s v="Biolage"/>
    <s v="Volume Bloom"/>
    <s v="Search"/>
    <x v="3"/>
    <s v="Amazon"/>
    <d v="2024-08-10T00:00:00"/>
    <x v="2"/>
    <n v="5085.5999999999958"/>
    <n v="1404284"/>
  </r>
  <r>
    <s v="Biolage"/>
    <s v="Volume Bloom"/>
    <s v="Search"/>
    <x v="3"/>
    <s v="Amazon"/>
    <d v="2024-08-17T00:00:00"/>
    <x v="2"/>
    <n v="6777.92"/>
    <n v="1533777"/>
  </r>
  <r>
    <s v="Biolage"/>
    <s v="Volume Bloom"/>
    <s v="Search"/>
    <x v="3"/>
    <s v="Amazon"/>
    <d v="2024-08-24T00:00:00"/>
    <x v="2"/>
    <n v="9689.32"/>
    <n v="1814789"/>
  </r>
  <r>
    <s v="Biolage"/>
    <s v="Volume Bloom"/>
    <s v="Search"/>
    <x v="3"/>
    <s v="Amazon"/>
    <d v="2024-08-31T00:00:00"/>
    <x v="2"/>
    <n v="10096.570000000002"/>
    <n v="1810676"/>
  </r>
  <r>
    <s v="Biolage"/>
    <s v="Volume Bloom"/>
    <s v="Search"/>
    <x v="3"/>
    <s v="Amazon"/>
    <d v="2024-09-07T00:00:00"/>
    <x v="2"/>
    <n v="9015.3799999999992"/>
    <n v="1910006"/>
  </r>
  <r>
    <s v="Biolage"/>
    <s v="Volume Bloom"/>
    <s v="Search"/>
    <x v="3"/>
    <s v="Amazon"/>
    <d v="2024-09-14T00:00:00"/>
    <x v="2"/>
    <n v="5501.1900000000005"/>
    <n v="1511624"/>
  </r>
  <r>
    <s v="Biolage"/>
    <s v="Volume Bloom"/>
    <s v="Search"/>
    <x v="3"/>
    <s v="Amazon"/>
    <d v="2024-09-21T00:00:00"/>
    <x v="2"/>
    <n v="5121.1800000000012"/>
    <n v="1430201"/>
  </r>
  <r>
    <s v="Biolage"/>
    <s v="Volume Bloom"/>
    <s v="Search"/>
    <x v="3"/>
    <s v="Amazon"/>
    <d v="2024-09-28T00:00:00"/>
    <x v="2"/>
    <n v="5557.31"/>
    <n v="1653033"/>
  </r>
  <r>
    <s v="Biolage"/>
    <s v="Volume Bloom"/>
    <s v="Search"/>
    <x v="3"/>
    <s v="Amazon"/>
    <d v="2024-10-05T00:00:00"/>
    <x v="2"/>
    <n v="5842.82"/>
    <n v="1809204"/>
  </r>
  <r>
    <s v="Biolage"/>
    <s v="Volume Bloom"/>
    <s v="Search"/>
    <x v="3"/>
    <s v="Amazon"/>
    <d v="2024-10-12T00:00:00"/>
    <x v="2"/>
    <n v="37256.219999999994"/>
    <n v="4895523"/>
  </r>
  <r>
    <s v="Biolage"/>
    <s v="Volume Bloom"/>
    <s v="Search"/>
    <x v="3"/>
    <s v="Amazon"/>
    <d v="2024-10-19T00:00:00"/>
    <x v="2"/>
    <n v="14096.289999999988"/>
    <n v="2460439"/>
  </r>
  <r>
    <s v="Biolage"/>
    <s v="Volume Bloom"/>
    <s v="Search"/>
    <x v="3"/>
    <s v="Amazon"/>
    <d v="2024-10-26T00:00:00"/>
    <x v="2"/>
    <n v="12077.110000000006"/>
    <n v="2661966"/>
  </r>
  <r>
    <s v="Biolage"/>
    <s v="Volume Bloom"/>
    <s v="Search"/>
    <x v="3"/>
    <s v="Amazon"/>
    <d v="2024-11-02T00:00:00"/>
    <x v="2"/>
    <n v="13169.269999999997"/>
    <n v="2887031"/>
  </r>
  <r>
    <s v="Biolage"/>
    <s v="Volume Bloom"/>
    <s v="Search"/>
    <x v="3"/>
    <s v="Amazon"/>
    <d v="2024-11-09T00:00:00"/>
    <x v="2"/>
    <n v="9806.1299999999974"/>
    <n v="2495570"/>
  </r>
  <r>
    <s v="Biolage"/>
    <s v="Volume Bloom"/>
    <s v="Search"/>
    <x v="3"/>
    <s v="Amazon"/>
    <d v="2024-11-16T00:00:00"/>
    <x v="2"/>
    <n v="8590.2999999999993"/>
    <n v="1919712"/>
  </r>
  <r>
    <s v="Biolage"/>
    <s v="Volume Bloom"/>
    <s v="Search"/>
    <x v="3"/>
    <s v="Amazon"/>
    <d v="2024-11-23T00:00:00"/>
    <x v="2"/>
    <n v="8070.4900000000007"/>
    <n v="1784095"/>
  </r>
  <r>
    <s v="Biolage"/>
    <s v="Volume Bloom"/>
    <s v="Search"/>
    <x v="3"/>
    <s v="Amazon"/>
    <d v="2024-11-30T00:00:00"/>
    <x v="2"/>
    <n v="10166.380000000003"/>
    <n v="1796120"/>
  </r>
  <r>
    <s v="Biolage"/>
    <s v="Volume Bloom"/>
    <s v="Search"/>
    <x v="3"/>
    <s v="Amazon"/>
    <d v="2024-12-07T00:00:00"/>
    <x v="2"/>
    <n v="7785.4799999999987"/>
    <n v="1839244"/>
  </r>
  <r>
    <s v="Biolage"/>
    <s v="Volume Bloom"/>
    <s v="Search"/>
    <x v="3"/>
    <s v="Amazon"/>
    <d v="2024-12-14T00:00:00"/>
    <x v="2"/>
    <n v="6689.01"/>
    <n v="1315799"/>
  </r>
  <r>
    <s v="Biolage"/>
    <s v="Volume Bloom"/>
    <s v="Search"/>
    <x v="3"/>
    <s v="Amazon"/>
    <d v="2024-12-21T00:00:00"/>
    <x v="2"/>
    <n v="3744.5500000000006"/>
    <n v="834912"/>
  </r>
  <r>
    <s v="Biolage"/>
    <s v="Volume Bloom"/>
    <s v="Search"/>
    <x v="3"/>
    <s v="Amazon"/>
    <d v="2024-12-28T00:00:00"/>
    <x v="2"/>
    <n v="2467.0400000000004"/>
    <n v="465872"/>
  </r>
  <r>
    <s v="Biolage"/>
    <s v="Volume Bloom"/>
    <s v="Search"/>
    <x v="3"/>
    <s v="Amazon"/>
    <d v="2025-01-04T00:00:00"/>
    <x v="2"/>
    <n v="735.82999999999993"/>
    <n v="98308"/>
  </r>
  <r>
    <s v="Biolage"/>
    <s v="Volume Bloom"/>
    <s v="Search"/>
    <x v="3"/>
    <s v="Amazon"/>
    <d v="2025-01-04T00:00:00"/>
    <x v="0"/>
    <n v="1475.0899999999995"/>
    <n v="232248"/>
  </r>
  <r>
    <s v="Biolage"/>
    <s v="Volume Bloom"/>
    <s v="Search"/>
    <x v="3"/>
    <s v="Amazon"/>
    <d v="2025-01-11T00:00:00"/>
    <x v="0"/>
    <n v="4227.16"/>
    <n v="615838"/>
  </r>
  <r>
    <s v="Biolage"/>
    <s v="Volume Bloom"/>
    <s v="Search"/>
    <x v="3"/>
    <s v="Amazon"/>
    <d v="2025-01-18T00:00:00"/>
    <x v="0"/>
    <n v="4237.6699999999992"/>
    <n v="755747"/>
  </r>
  <r>
    <s v="Biolage"/>
    <s v="Volume Bloom"/>
    <s v="Search"/>
    <x v="3"/>
    <s v="Amazon"/>
    <d v="2025-01-25T00:00:00"/>
    <x v="0"/>
    <n v="5789.3500000000013"/>
    <n v="1013864"/>
  </r>
  <r>
    <s v="Biolage"/>
    <s v="Volume Bloom"/>
    <s v="Search"/>
    <x v="3"/>
    <s v="Amazon"/>
    <d v="2025-02-01T00:00:00"/>
    <x v="0"/>
    <n v="5812.6900000000032"/>
    <n v="1635917"/>
  </r>
  <r>
    <s v="Biolage"/>
    <s v="Volume Bloom"/>
    <s v="Search"/>
    <x v="3"/>
    <s v="Amazon"/>
    <d v="2025-02-08T00:00:00"/>
    <x v="0"/>
    <n v="5722.4999999999991"/>
    <n v="2324076"/>
  </r>
  <r>
    <s v="Biolage"/>
    <s v="Volume Bloom"/>
    <s v="Search"/>
    <x v="3"/>
    <s v="Amazon"/>
    <d v="2025-02-15T00:00:00"/>
    <x v="0"/>
    <n v="8752.9200000000019"/>
    <n v="2344105"/>
  </r>
  <r>
    <s v="Biolage"/>
    <s v="Volume Bloom"/>
    <s v="Search"/>
    <x v="3"/>
    <s v="Amazon"/>
    <d v="2025-02-22T00:00:00"/>
    <x v="0"/>
    <n v="10576.800000000001"/>
    <n v="2183192"/>
  </r>
  <r>
    <s v="Biolage"/>
    <s v="Volume Bloom"/>
    <s v="Search"/>
    <x v="3"/>
    <s v="Amazon"/>
    <d v="2025-03-01T00:00:00"/>
    <x v="0"/>
    <n v="7956.619999999999"/>
    <n v="1733366"/>
  </r>
  <r>
    <s v="Biolage"/>
    <s v="Volume Bloom"/>
    <s v="Search"/>
    <x v="3"/>
    <s v="Amazon"/>
    <d v="2025-03-08T00:00:00"/>
    <x v="0"/>
    <n v="8487.9"/>
    <n v="1908382"/>
  </r>
  <r>
    <s v="Biolage"/>
    <s v="Volume Bloom"/>
    <s v="Search"/>
    <x v="3"/>
    <s v="Amazon"/>
    <d v="2025-03-15T00:00:00"/>
    <x v="0"/>
    <n v="8638.9000000000015"/>
    <n v="1873703"/>
  </r>
  <r>
    <s v="Biolage"/>
    <s v="Volume Bloom"/>
    <s v="Search"/>
    <x v="3"/>
    <s v="Amazon"/>
    <d v="2025-03-22T00:00:00"/>
    <x v="0"/>
    <n v="8810.0499999999993"/>
    <n v="2017348"/>
  </r>
  <r>
    <s v="Biolage"/>
    <s v="Volume Bloom"/>
    <s v="Search"/>
    <x v="3"/>
    <s v="Amazon"/>
    <d v="2025-03-29T00:00:00"/>
    <x v="0"/>
    <n v="8141.2699999999995"/>
    <n v="2206850"/>
  </r>
  <r>
    <s v="Biolage"/>
    <s v="Volume Bloom"/>
    <s v="Search"/>
    <x v="3"/>
    <s v="Amazon"/>
    <d v="2025-04-05T00:00:00"/>
    <x v="0"/>
    <n v="6811.37"/>
    <n v="1755277"/>
  </r>
  <r>
    <s v="Biolage"/>
    <s v="Volume Bloom"/>
    <s v="Search"/>
    <x v="3"/>
    <s v="Amazon"/>
    <d v="2025-04-12T00:00:00"/>
    <x v="0"/>
    <n v="8798.41"/>
    <n v="2276153"/>
  </r>
  <r>
    <s v="Biolage"/>
    <s v="Volume Bloom"/>
    <s v="Search"/>
    <x v="3"/>
    <s v="Amazon"/>
    <d v="2025-04-19T00:00:00"/>
    <x v="0"/>
    <n v="12109.039999999997"/>
    <n v="2199563"/>
  </r>
  <r>
    <s v="Biolage"/>
    <s v="Volume Bloom"/>
    <s v="Search"/>
    <x v="3"/>
    <s v="Amazon"/>
    <d v="2025-04-26T00:00:00"/>
    <x v="0"/>
    <n v="11552.710000000005"/>
    <n v="2126641"/>
  </r>
  <r>
    <s v="Biolage"/>
    <s v="Volume Bloom"/>
    <s v="Search"/>
    <x v="3"/>
    <s v="Amazon"/>
    <d v="2025-05-03T00:00:00"/>
    <x v="0"/>
    <n v="10520.53"/>
    <n v="2178083"/>
  </r>
  <r>
    <s v="Biolage"/>
    <s v="Volume Bloom"/>
    <s v="Search"/>
    <x v="3"/>
    <s v="Amazon"/>
    <d v="2025-05-10T00:00:00"/>
    <x v="0"/>
    <n v="8137.5899999999965"/>
    <n v="2037439"/>
  </r>
  <r>
    <s v="Biolage"/>
    <s v="Volume Bloom"/>
    <s v="Search"/>
    <x v="3"/>
    <s v="Amazon"/>
    <d v="2025-05-17T00:00:00"/>
    <x v="0"/>
    <n v="7662.8600000000015"/>
    <n v="1994089"/>
  </r>
  <r>
    <s v="Biolage"/>
    <s v="Volume Bloom"/>
    <s v="Search"/>
    <x v="3"/>
    <s v="Amazon"/>
    <d v="2025-05-24T00:00:00"/>
    <x v="0"/>
    <n v="7587.0799999999981"/>
    <n v="2132222"/>
  </r>
  <r>
    <s v="Biolage"/>
    <s v="Volume Bloom"/>
    <s v="Search"/>
    <x v="3"/>
    <s v="Amazon"/>
    <d v="2025-05-31T00:00:00"/>
    <x v="0"/>
    <n v="6687.4899999999971"/>
    <n v="1775091"/>
  </r>
  <r>
    <s v="Biolage"/>
    <s v="Volume Bloom"/>
    <s v="Search"/>
    <x v="3"/>
    <s v="Amazon"/>
    <d v="2025-06-07T00:00:00"/>
    <x v="0"/>
    <n v="12943.740000000005"/>
    <n v="1867668"/>
  </r>
  <r>
    <s v="Biolage"/>
    <s v="Volume Bloom"/>
    <s v="Search"/>
    <x v="3"/>
    <s v="Amazon"/>
    <d v="2025-06-14T00:00:00"/>
    <x v="0"/>
    <n v="12279.090000000002"/>
    <n v="1457182"/>
  </r>
  <r>
    <s v="Biolage"/>
    <s v="Volume Bloom"/>
    <s v="Search"/>
    <x v="3"/>
    <s v="Amazon"/>
    <d v="2025-06-21T00:00:00"/>
    <x v="0"/>
    <n v="10397.57"/>
    <n v="1087899"/>
  </r>
  <r>
    <s v="Biolage"/>
    <s v="Volume Bloom"/>
    <s v="Search"/>
    <x v="3"/>
    <s v="Amazon"/>
    <d v="2025-06-28T00:00:00"/>
    <x v="0"/>
    <n v="6088.409999999998"/>
    <n v="623050"/>
  </r>
  <r>
    <s v="Biolage"/>
    <s v="Scalp Sync"/>
    <s v="Display"/>
    <x v="3"/>
    <s v="Amazon"/>
    <d v="2024-04-06T00:00:00"/>
    <x v="2"/>
    <n v="2502.9568000000004"/>
    <n v="685982"/>
  </r>
  <r>
    <s v="Biolage"/>
    <s v="Scalp Sync"/>
    <s v="Display"/>
    <x v="3"/>
    <s v="Amazon"/>
    <d v="2024-04-13T00:00:00"/>
    <x v="2"/>
    <n v="3915.5297999999993"/>
    <n v="1064546"/>
  </r>
  <r>
    <s v="Biolage"/>
    <s v="Scalp Sync"/>
    <s v="Display"/>
    <x v="3"/>
    <s v="Amazon"/>
    <d v="2024-04-20T00:00:00"/>
    <x v="2"/>
    <n v="3423.4799999999991"/>
    <n v="1003431"/>
  </r>
  <r>
    <s v="Biolage"/>
    <s v="Scalp Sync"/>
    <s v="Display"/>
    <x v="3"/>
    <s v="Amazon"/>
    <d v="2024-04-27T00:00:00"/>
    <x v="2"/>
    <n v="3318.5928000000013"/>
    <n v="831262"/>
  </r>
  <r>
    <s v="Biolage"/>
    <s v="Scalp Sync"/>
    <s v="Display"/>
    <x v="3"/>
    <s v="Amazon"/>
    <d v="2024-05-04T00:00:00"/>
    <x v="2"/>
    <n v="4378.7928999999995"/>
    <n v="1371739"/>
  </r>
  <r>
    <s v="Biolage"/>
    <s v="Scalp Sync"/>
    <s v="Display"/>
    <x v="3"/>
    <s v="Amazon"/>
    <d v="2024-05-11T00:00:00"/>
    <x v="2"/>
    <n v="5121.5629999999974"/>
    <n v="1598545"/>
  </r>
  <r>
    <s v="Biolage"/>
    <s v="Scalp Sync"/>
    <s v="Display"/>
    <x v="3"/>
    <s v="Amazon"/>
    <d v="2024-05-18T00:00:00"/>
    <x v="2"/>
    <n v="4257.7149000000009"/>
    <n v="1006942"/>
  </r>
  <r>
    <s v="Biolage"/>
    <s v="Scalp Sync"/>
    <s v="Display"/>
    <x v="3"/>
    <s v="Amazon"/>
    <d v="2024-05-25T00:00:00"/>
    <x v="2"/>
    <n v="3548.3088000000002"/>
    <n v="1152268"/>
  </r>
  <r>
    <s v="Biolage"/>
    <s v="Scalp Sync"/>
    <s v="Display"/>
    <x v="3"/>
    <s v="Amazon"/>
    <d v="2024-06-01T00:00:00"/>
    <x v="2"/>
    <n v="4475.6559000000016"/>
    <n v="1602845"/>
  </r>
  <r>
    <s v="Biolage"/>
    <s v="Scalp Sync"/>
    <s v="Display"/>
    <x v="3"/>
    <s v="Amazon"/>
    <d v="2024-06-08T00:00:00"/>
    <x v="2"/>
    <n v="3512.6432999999997"/>
    <n v="1314883"/>
  </r>
  <r>
    <s v="Biolage"/>
    <s v="Scalp Sync"/>
    <s v="Display"/>
    <x v="3"/>
    <s v="Amazon"/>
    <d v="2024-06-15T00:00:00"/>
    <x v="2"/>
    <n v="3298.7966000000001"/>
    <n v="1170804"/>
  </r>
  <r>
    <s v="Biolage"/>
    <s v="Scalp Sync"/>
    <s v="Display"/>
    <x v="3"/>
    <s v="Amazon"/>
    <d v="2024-06-22T00:00:00"/>
    <x v="2"/>
    <n v="3829.0717000000009"/>
    <n v="1238798"/>
  </r>
  <r>
    <s v="Biolage"/>
    <s v="Scalp Sync"/>
    <s v="Display"/>
    <x v="3"/>
    <s v="Amazon"/>
    <d v="2024-06-29T00:00:00"/>
    <x v="2"/>
    <n v="4193.6985000000004"/>
    <n v="1258506"/>
  </r>
  <r>
    <s v="Biolage"/>
    <s v="Scalp Sync"/>
    <s v="Display"/>
    <x v="3"/>
    <s v="Amazon"/>
    <d v="2024-07-06T00:00:00"/>
    <x v="2"/>
    <n v="3390.5334999999991"/>
    <n v="1091897"/>
  </r>
  <r>
    <s v="Biolage"/>
    <s v="Scalp Sync"/>
    <s v="Display"/>
    <x v="3"/>
    <s v="Amazon"/>
    <d v="2024-07-13T00:00:00"/>
    <x v="2"/>
    <n v="3508.3649"/>
    <n v="1100044"/>
  </r>
  <r>
    <s v="Biolage"/>
    <s v="Scalp Sync"/>
    <s v="Display"/>
    <x v="3"/>
    <s v="Amazon"/>
    <d v="2024-07-20T00:00:00"/>
    <x v="2"/>
    <n v="2499.0062000000003"/>
    <n v="741311"/>
  </r>
  <r>
    <s v="Biolage"/>
    <s v="Scalp Sync"/>
    <s v="Display"/>
    <x v="3"/>
    <s v="Amazon"/>
    <d v="2024-07-27T00:00:00"/>
    <x v="2"/>
    <n v="4269.8576000000003"/>
    <n v="1120944"/>
  </r>
  <r>
    <s v="Biolage"/>
    <s v="Scalp Sync"/>
    <s v="Display"/>
    <x v="3"/>
    <s v="Amazon"/>
    <d v="2024-08-03T00:00:00"/>
    <x v="2"/>
    <n v="3838.9439999999995"/>
    <n v="939534"/>
  </r>
  <r>
    <s v="Biolage"/>
    <s v="Scalp Sync"/>
    <s v="Display"/>
    <x v="3"/>
    <s v="Amazon"/>
    <d v="2024-08-10T00:00:00"/>
    <x v="2"/>
    <n v="3406.9060999999992"/>
    <n v="818180"/>
  </r>
  <r>
    <s v="Biolage"/>
    <s v="Scalp Sync"/>
    <s v="Display"/>
    <x v="3"/>
    <s v="Amazon"/>
    <d v="2024-08-17T00:00:00"/>
    <x v="2"/>
    <n v="3695.0268999999985"/>
    <n v="961822"/>
  </r>
  <r>
    <s v="Biolage"/>
    <s v="Scalp Sync"/>
    <s v="Display"/>
    <x v="3"/>
    <s v="Amazon"/>
    <d v="2024-08-24T00:00:00"/>
    <x v="2"/>
    <n v="3621.1738999999989"/>
    <n v="1644643"/>
  </r>
  <r>
    <s v="Biolage"/>
    <s v="Scalp Sync"/>
    <s v="Display"/>
    <x v="3"/>
    <s v="Amazon"/>
    <d v="2024-08-31T00:00:00"/>
    <x v="2"/>
    <n v="3450.5375999999983"/>
    <n v="1446050"/>
  </r>
  <r>
    <s v="Biolage"/>
    <s v="Scalp Sync"/>
    <s v="Display"/>
    <x v="3"/>
    <s v="Amazon"/>
    <d v="2024-09-07T00:00:00"/>
    <x v="2"/>
    <n v="3667.9390000000008"/>
    <n v="1140795"/>
  </r>
  <r>
    <s v="Biolage"/>
    <s v="Scalp Sync"/>
    <s v="Display"/>
    <x v="3"/>
    <s v="Amazon"/>
    <d v="2024-09-14T00:00:00"/>
    <x v="2"/>
    <n v="3018.0008000000003"/>
    <n v="1072510"/>
  </r>
  <r>
    <s v="Biolage"/>
    <s v="Scalp Sync"/>
    <s v="Display"/>
    <x v="3"/>
    <s v="Amazon"/>
    <d v="2024-09-21T00:00:00"/>
    <x v="2"/>
    <n v="3157.5508000000009"/>
    <n v="858830"/>
  </r>
  <r>
    <s v="Biolage"/>
    <s v="Scalp Sync"/>
    <s v="Display"/>
    <x v="3"/>
    <s v="Amazon"/>
    <d v="2024-09-28T00:00:00"/>
    <x v="2"/>
    <n v="3784.5102999999995"/>
    <n v="937069"/>
  </r>
  <r>
    <s v="Biolage"/>
    <s v="Scalp Sync"/>
    <s v="Display"/>
    <x v="3"/>
    <s v="Amazon"/>
    <d v="2024-10-05T00:00:00"/>
    <x v="2"/>
    <n v="4553.0021999999999"/>
    <n v="1104548"/>
  </r>
  <r>
    <s v="Biolage"/>
    <s v="Scalp Sync"/>
    <s v="Display"/>
    <x v="3"/>
    <s v="Amazon"/>
    <d v="2024-10-12T00:00:00"/>
    <x v="2"/>
    <n v="4905.4888000000019"/>
    <n v="1063801"/>
  </r>
  <r>
    <s v="Biolage"/>
    <s v="Scalp Sync"/>
    <s v="Display"/>
    <x v="3"/>
    <s v="Amazon"/>
    <d v="2024-10-19T00:00:00"/>
    <x v="2"/>
    <n v="5335.3124000000043"/>
    <n v="1299186"/>
  </r>
  <r>
    <s v="Biolage"/>
    <s v="Scalp Sync"/>
    <s v="Display"/>
    <x v="3"/>
    <s v="Amazon"/>
    <d v="2024-10-26T00:00:00"/>
    <x v="2"/>
    <n v="4363.1986000000015"/>
    <n v="878832"/>
  </r>
  <r>
    <s v="Biolage"/>
    <s v="Scalp Sync"/>
    <s v="Display"/>
    <x v="3"/>
    <s v="Amazon"/>
    <d v="2024-11-02T00:00:00"/>
    <x v="2"/>
    <n v="3558.5428000000011"/>
    <n v="828885"/>
  </r>
  <r>
    <s v="Biolage"/>
    <s v="Scalp Sync"/>
    <s v="Display"/>
    <x v="3"/>
    <s v="Amazon"/>
    <d v="2024-11-09T00:00:00"/>
    <x v="2"/>
    <n v="3767.9559000000004"/>
    <n v="1029107"/>
  </r>
  <r>
    <s v="Biolage"/>
    <s v="Scalp Sync"/>
    <s v="Display"/>
    <x v="3"/>
    <s v="Amazon"/>
    <d v="2024-11-16T00:00:00"/>
    <x v="2"/>
    <n v="3365.7590999999989"/>
    <n v="1034909"/>
  </r>
  <r>
    <s v="Biolage"/>
    <s v="Scalp Sync"/>
    <s v="Display"/>
    <x v="3"/>
    <s v="Amazon"/>
    <d v="2024-11-23T00:00:00"/>
    <x v="2"/>
    <n v="4868.1485000000011"/>
    <n v="977663"/>
  </r>
  <r>
    <s v="Biolage"/>
    <s v="Scalp Sync"/>
    <s v="Display"/>
    <x v="3"/>
    <s v="Amazon"/>
    <d v="2024-11-30T00:00:00"/>
    <x v="2"/>
    <n v="4792.5894000000008"/>
    <n v="780701"/>
  </r>
  <r>
    <s v="Biolage"/>
    <s v="Scalp Sync"/>
    <s v="Display"/>
    <x v="3"/>
    <s v="Amazon"/>
    <d v="2024-12-07T00:00:00"/>
    <x v="2"/>
    <n v="5170.7367000000013"/>
    <n v="1539811"/>
  </r>
  <r>
    <s v="Biolage"/>
    <s v="Scalp Sync"/>
    <s v="Display"/>
    <x v="3"/>
    <s v="Amazon"/>
    <d v="2024-12-14T00:00:00"/>
    <x v="2"/>
    <n v="5542.3283999999985"/>
    <n v="2331114"/>
  </r>
  <r>
    <s v="Biolage"/>
    <s v="Scalp Sync"/>
    <s v="Display"/>
    <x v="3"/>
    <s v="Amazon"/>
    <d v="2024-12-21T00:00:00"/>
    <x v="2"/>
    <n v="5530.4045999999998"/>
    <n v="2347985"/>
  </r>
  <r>
    <s v="Biolage"/>
    <s v="Scalp Sync"/>
    <s v="Display"/>
    <x v="3"/>
    <s v="Amazon"/>
    <d v="2024-12-28T00:00:00"/>
    <x v="2"/>
    <n v="5686.5534000000025"/>
    <n v="2327755"/>
  </r>
  <r>
    <s v="Biolage"/>
    <s v="Scalp Sync"/>
    <s v="Display"/>
    <x v="3"/>
    <s v="Amazon"/>
    <d v="2025-01-04T00:00:00"/>
    <x v="2"/>
    <n v="2009.1769999999999"/>
    <n v="652767"/>
  </r>
  <r>
    <s v="Biolage"/>
    <s v="Scalp Sync"/>
    <s v="Display"/>
    <x v="3"/>
    <s v="Amazon"/>
    <d v="2025-01-04T00:00:00"/>
    <x v="0"/>
    <n v="3347.6236999999996"/>
    <n v="1259206"/>
  </r>
  <r>
    <s v="Biolage"/>
    <s v="Scalp Sync"/>
    <s v="Display"/>
    <x v="3"/>
    <s v="Amazon"/>
    <d v="2025-01-11T00:00:00"/>
    <x v="0"/>
    <n v="5952.5456999999988"/>
    <n v="2909633"/>
  </r>
  <r>
    <s v="Biolage"/>
    <s v="Scalp Sync"/>
    <s v="Display"/>
    <x v="3"/>
    <s v="Amazon"/>
    <d v="2025-01-18T00:00:00"/>
    <x v="0"/>
    <n v="5895.195200000001"/>
    <n v="2523138"/>
  </r>
  <r>
    <s v="Biolage"/>
    <s v="Scalp Sync"/>
    <s v="Display"/>
    <x v="3"/>
    <s v="Amazon"/>
    <d v="2025-01-25T00:00:00"/>
    <x v="0"/>
    <n v="6050.2441999999974"/>
    <n v="2517272"/>
  </r>
  <r>
    <s v="Biolage"/>
    <s v="Scalp Sync"/>
    <s v="Display"/>
    <x v="3"/>
    <s v="Amazon"/>
    <d v="2025-02-01T00:00:00"/>
    <x v="0"/>
    <n v="5448.7428"/>
    <n v="2284187"/>
  </r>
  <r>
    <s v="Biolage"/>
    <s v="Scalp Sync"/>
    <s v="Display"/>
    <x v="3"/>
    <s v="Amazon"/>
    <d v="2025-02-08T00:00:00"/>
    <x v="0"/>
    <n v="7088.3945000000012"/>
    <n v="2878351"/>
  </r>
  <r>
    <s v="Biolage"/>
    <s v="Scalp Sync"/>
    <s v="Display"/>
    <x v="3"/>
    <s v="Amazon"/>
    <d v="2025-02-15T00:00:00"/>
    <x v="0"/>
    <n v="7235.3378000000002"/>
    <n v="2779387"/>
  </r>
  <r>
    <s v="Biolage"/>
    <s v="Scalp Sync"/>
    <s v="Display"/>
    <x v="3"/>
    <s v="Amazon"/>
    <d v="2025-02-22T00:00:00"/>
    <x v="0"/>
    <n v="6757.6293999999998"/>
    <n v="2736418"/>
  </r>
  <r>
    <s v="Biolage"/>
    <s v="Scalp Sync"/>
    <s v="Display"/>
    <x v="3"/>
    <s v="Amazon"/>
    <d v="2025-03-01T00:00:00"/>
    <x v="0"/>
    <n v="6705.1400000000012"/>
    <n v="2627144"/>
  </r>
  <r>
    <s v="Biolage"/>
    <s v="Scalp Sync"/>
    <s v="Display"/>
    <x v="3"/>
    <s v="Amazon"/>
    <d v="2025-03-08T00:00:00"/>
    <x v="0"/>
    <n v="6131.3653999999988"/>
    <n v="3012539"/>
  </r>
  <r>
    <s v="Biolage"/>
    <s v="Scalp Sync"/>
    <s v="Display"/>
    <x v="3"/>
    <s v="Amazon"/>
    <d v="2025-03-15T00:00:00"/>
    <x v="0"/>
    <n v="6477.2156999999988"/>
    <n v="2651959"/>
  </r>
  <r>
    <s v="Biolage"/>
    <s v="Scalp Sync"/>
    <s v="Display"/>
    <x v="3"/>
    <s v="Amazon"/>
    <d v="2025-03-22T00:00:00"/>
    <x v="0"/>
    <n v="6327.8667999999989"/>
    <n v="2321712"/>
  </r>
  <r>
    <s v="Biolage"/>
    <s v="Scalp Sync"/>
    <s v="Display"/>
    <x v="3"/>
    <s v="Amazon"/>
    <d v="2025-03-29T00:00:00"/>
    <x v="0"/>
    <n v="6269.0170000000007"/>
    <n v="2232030"/>
  </r>
  <r>
    <s v="Biolage"/>
    <s v="Scalp Sync"/>
    <s v="Display"/>
    <x v="3"/>
    <s v="Amazon"/>
    <d v="2025-04-05T00:00:00"/>
    <x v="0"/>
    <n v="5841.7979999999989"/>
    <n v="1995757"/>
  </r>
  <r>
    <s v="Biolage"/>
    <s v="Scalp Sync"/>
    <s v="Display"/>
    <x v="3"/>
    <s v="Amazon"/>
    <d v="2025-04-12T00:00:00"/>
    <x v="0"/>
    <n v="6214.7729000000018"/>
    <n v="1984605"/>
  </r>
  <r>
    <s v="Biolage"/>
    <s v="Scalp Sync"/>
    <s v="Display"/>
    <x v="3"/>
    <s v="Amazon"/>
    <d v="2025-04-19T00:00:00"/>
    <x v="0"/>
    <n v="6216.9302000000007"/>
    <n v="2042814"/>
  </r>
  <r>
    <s v="Biolage"/>
    <s v="Scalp Sync"/>
    <s v="Display"/>
    <x v="3"/>
    <s v="Amazon"/>
    <d v="2025-04-26T00:00:00"/>
    <x v="0"/>
    <n v="6159.4135000000006"/>
    <n v="1991466"/>
  </r>
  <r>
    <s v="Biolage"/>
    <s v="Scalp Sync"/>
    <s v="Display"/>
    <x v="3"/>
    <s v="Amazon"/>
    <d v="2025-05-03T00:00:00"/>
    <x v="0"/>
    <n v="5433.8285999999998"/>
    <n v="1600027"/>
  </r>
  <r>
    <s v="Biolage"/>
    <s v="Scalp Sync"/>
    <s v="Display"/>
    <x v="3"/>
    <s v="Amazon"/>
    <d v="2025-05-10T00:00:00"/>
    <x v="0"/>
    <n v="5672.4155000000028"/>
    <n v="1651281"/>
  </r>
  <r>
    <s v="Biolage"/>
    <s v="Scalp Sync"/>
    <s v="Display"/>
    <x v="3"/>
    <s v="Amazon"/>
    <d v="2025-05-17T00:00:00"/>
    <x v="0"/>
    <n v="5726.5898000000016"/>
    <n v="1699015"/>
  </r>
  <r>
    <s v="Biolage"/>
    <s v="Scalp Sync"/>
    <s v="Display"/>
    <x v="3"/>
    <s v="Amazon"/>
    <d v="2025-05-24T00:00:00"/>
    <x v="0"/>
    <n v="5762.631800000001"/>
    <n v="1955709"/>
  </r>
  <r>
    <s v="Biolage"/>
    <s v="Scalp Sync"/>
    <s v="Display"/>
    <x v="3"/>
    <s v="Amazon"/>
    <d v="2025-05-31T00:00:00"/>
    <x v="0"/>
    <n v="5237.7758000000003"/>
    <n v="2042748"/>
  </r>
  <r>
    <s v="Biolage"/>
    <s v="Scalp Sync"/>
    <s v="Display"/>
    <x v="3"/>
    <s v="Amazon"/>
    <d v="2025-06-07T00:00:00"/>
    <x v="0"/>
    <n v="7503.4612999999972"/>
    <n v="3165898"/>
  </r>
  <r>
    <s v="Biolage"/>
    <s v="Scalp Sync"/>
    <s v="Display"/>
    <x v="3"/>
    <s v="Amazon"/>
    <d v="2025-06-14T00:00:00"/>
    <x v="0"/>
    <n v="8188.6156000000019"/>
    <n v="3162570"/>
  </r>
  <r>
    <s v="Biolage"/>
    <s v="Scalp Sync"/>
    <s v="Display"/>
    <x v="3"/>
    <s v="Amazon"/>
    <d v="2025-06-21T00:00:00"/>
    <x v="0"/>
    <n v="8045.3532999999989"/>
    <n v="3034864"/>
  </r>
  <r>
    <s v="Biolage"/>
    <s v="Scalp Sync"/>
    <s v="Display"/>
    <x v="3"/>
    <s v="Amazon"/>
    <d v="2025-06-28T00:00:00"/>
    <x v="0"/>
    <n v="6786.2874999999985"/>
    <n v="2609058"/>
  </r>
  <r>
    <s v="Biolage"/>
    <s v="Scalp Sync"/>
    <s v="OTT"/>
    <x v="3"/>
    <s v="Amazon"/>
    <d v="2024-06-15T00:00:00"/>
    <x v="2"/>
    <n v="1145.9955"/>
    <n v="134823"/>
  </r>
  <r>
    <s v="Biolage"/>
    <s v="Scalp Sync"/>
    <s v="OTT"/>
    <x v="3"/>
    <s v="Amazon"/>
    <d v="2024-06-22T00:00:00"/>
    <x v="2"/>
    <n v="9252.5305000000008"/>
    <n v="1088533"/>
  </r>
  <r>
    <s v="Biolage"/>
    <s v="Scalp Sync"/>
    <s v="OTT"/>
    <x v="3"/>
    <s v="Amazon"/>
    <d v="2024-06-29T00:00:00"/>
    <x v="2"/>
    <n v="9142.0049999999992"/>
    <n v="1075530"/>
  </r>
  <r>
    <s v="Biolage"/>
    <s v="Scalp Sync"/>
    <s v="OTT"/>
    <x v="3"/>
    <s v="Amazon"/>
    <d v="2024-07-06T00:00:00"/>
    <x v="2"/>
    <n v="9097.1504999999997"/>
    <n v="1070253"/>
  </r>
  <r>
    <s v="Biolage"/>
    <s v="Scalp Sync"/>
    <s v="OTT"/>
    <x v="3"/>
    <s v="Amazon"/>
    <d v="2024-07-13T00:00:00"/>
    <x v="2"/>
    <n v="8831.6785"/>
    <n v="1039021"/>
  </r>
  <r>
    <s v="Biolage"/>
    <s v="Scalp Sync"/>
    <s v="OTT"/>
    <x v="3"/>
    <s v="Amazon"/>
    <d v="2024-07-20T00:00:00"/>
    <x v="2"/>
    <n v="8527.2424999999985"/>
    <n v="1003205"/>
  </r>
  <r>
    <s v="Biolage"/>
    <s v="Scalp Sync"/>
    <s v="OTT"/>
    <x v="3"/>
    <s v="Amazon"/>
    <d v="2024-07-27T00:00:00"/>
    <x v="2"/>
    <n v="7994.8110000000006"/>
    <n v="940566"/>
  </r>
  <r>
    <s v="Biolage"/>
    <s v="Scalp Sync"/>
    <s v="OTT"/>
    <x v="3"/>
    <s v="Amazon"/>
    <d v="2024-08-03T00:00:00"/>
    <x v="2"/>
    <n v="4125.3389999999999"/>
    <n v="485334"/>
  </r>
  <r>
    <s v="Biolage"/>
    <s v="Scalp Sync"/>
    <s v="Search"/>
    <x v="3"/>
    <s v="Amazon"/>
    <d v="2023-07-01T00:00:00"/>
    <x v="1"/>
    <n v="269.72000000000003"/>
    <n v="41339"/>
  </r>
  <r>
    <s v="Biolage"/>
    <s v="Scalp Sync"/>
    <s v="Search"/>
    <x v="3"/>
    <s v="Amazon"/>
    <d v="2023-07-08T00:00:00"/>
    <x v="1"/>
    <n v="1622.5500000000002"/>
    <n v="437318"/>
  </r>
  <r>
    <s v="Biolage"/>
    <s v="Scalp Sync"/>
    <s v="Search"/>
    <x v="3"/>
    <s v="Amazon"/>
    <d v="2023-07-15T00:00:00"/>
    <x v="1"/>
    <n v="3261.69"/>
    <n v="329693"/>
  </r>
  <r>
    <s v="Biolage"/>
    <s v="Scalp Sync"/>
    <s v="Search"/>
    <x v="3"/>
    <s v="Amazon"/>
    <d v="2023-09-30T00:00:00"/>
    <x v="1"/>
    <n v="829.62"/>
    <n v="129636"/>
  </r>
  <r>
    <s v="Biolage"/>
    <s v="Scalp Sync"/>
    <s v="Search"/>
    <x v="3"/>
    <s v="Amazon"/>
    <d v="2023-10-07T00:00:00"/>
    <x v="1"/>
    <n v="1675.3"/>
    <n v="292335"/>
  </r>
  <r>
    <s v="Biolage"/>
    <s v="Scalp Sync"/>
    <s v="Search"/>
    <x v="3"/>
    <s v="Amazon"/>
    <d v="2023-10-14T00:00:00"/>
    <x v="1"/>
    <n v="1787.6399999999996"/>
    <n v="347874"/>
  </r>
  <r>
    <s v="Biolage"/>
    <s v="Scalp Sync"/>
    <s v="Search"/>
    <x v="3"/>
    <s v="Amazon"/>
    <d v="2023-10-21T00:00:00"/>
    <x v="1"/>
    <n v="1174.5999999999997"/>
    <n v="177033"/>
  </r>
  <r>
    <s v="Biolage"/>
    <s v="Scalp Sync"/>
    <s v="Search"/>
    <x v="3"/>
    <s v="Amazon"/>
    <d v="2023-10-28T00:00:00"/>
    <x v="1"/>
    <n v="1057.8399999999999"/>
    <n v="189556"/>
  </r>
  <r>
    <s v="Biolage"/>
    <s v="Scalp Sync"/>
    <s v="Search"/>
    <x v="3"/>
    <s v="Amazon"/>
    <d v="2023-11-04T00:00:00"/>
    <x v="1"/>
    <n v="1358.0600000000004"/>
    <n v="252797"/>
  </r>
  <r>
    <s v="Biolage"/>
    <s v="Scalp Sync"/>
    <s v="Search"/>
    <x v="3"/>
    <s v="Amazon"/>
    <d v="2023-11-11T00:00:00"/>
    <x v="1"/>
    <n v="2021.11"/>
    <n v="423271"/>
  </r>
  <r>
    <s v="Biolage"/>
    <s v="Scalp Sync"/>
    <s v="Search"/>
    <x v="3"/>
    <s v="Amazon"/>
    <d v="2023-11-18T00:00:00"/>
    <x v="1"/>
    <n v="1929.7500000000005"/>
    <n v="333865"/>
  </r>
  <r>
    <s v="Biolage"/>
    <s v="Scalp Sync"/>
    <s v="Search"/>
    <x v="3"/>
    <s v="Amazon"/>
    <d v="2023-11-25T00:00:00"/>
    <x v="1"/>
    <n v="2718.3199999999993"/>
    <n v="393806"/>
  </r>
  <r>
    <s v="Biolage"/>
    <s v="Scalp Sync"/>
    <s v="Search"/>
    <x v="3"/>
    <s v="Amazon"/>
    <d v="2023-12-02T00:00:00"/>
    <x v="1"/>
    <n v="6997.6299999999992"/>
    <n v="525114"/>
  </r>
  <r>
    <s v="Biolage"/>
    <s v="Scalp Sync"/>
    <s v="Search"/>
    <x v="3"/>
    <s v="Amazon"/>
    <d v="2023-12-09T00:00:00"/>
    <x v="1"/>
    <n v="4816.2599999999984"/>
    <n v="537528"/>
  </r>
  <r>
    <s v="Biolage"/>
    <s v="Scalp Sync"/>
    <s v="Search"/>
    <x v="3"/>
    <s v="Amazon"/>
    <d v="2023-12-16T00:00:00"/>
    <x v="1"/>
    <n v="2556.5"/>
    <n v="255153"/>
  </r>
  <r>
    <s v="Biolage"/>
    <s v="Scalp Sync"/>
    <s v="Search"/>
    <x v="3"/>
    <s v="Amazon"/>
    <d v="2023-12-23T00:00:00"/>
    <x v="1"/>
    <n v="1922.0600000000006"/>
    <n v="256165"/>
  </r>
  <r>
    <s v="Biolage"/>
    <s v="Scalp Sync"/>
    <s v="Search"/>
    <x v="3"/>
    <s v="Amazon"/>
    <d v="2023-12-30T00:00:00"/>
    <x v="1"/>
    <n v="2220.9299999999994"/>
    <n v="304091"/>
  </r>
  <r>
    <s v="Biolage"/>
    <s v="Scalp Sync"/>
    <s v="Search"/>
    <x v="3"/>
    <s v="Amazon"/>
    <d v="2024-01-06T00:00:00"/>
    <x v="2"/>
    <n v="1665.0299999999988"/>
    <n v="263630"/>
  </r>
  <r>
    <s v="Biolage"/>
    <s v="Scalp Sync"/>
    <s v="Search"/>
    <x v="3"/>
    <s v="Amazon"/>
    <d v="2024-01-13T00:00:00"/>
    <x v="2"/>
    <n v="2360.3199999999997"/>
    <n v="318039"/>
  </r>
  <r>
    <s v="Biolage"/>
    <s v="Scalp Sync"/>
    <s v="Search"/>
    <x v="3"/>
    <s v="Amazon"/>
    <d v="2024-01-20T00:00:00"/>
    <x v="2"/>
    <n v="786.84"/>
    <n v="98119"/>
  </r>
  <r>
    <s v="Biolage"/>
    <s v="Scalp Sync"/>
    <s v="Search"/>
    <x v="3"/>
    <s v="Amazon"/>
    <d v="2024-03-02T00:00:00"/>
    <x v="2"/>
    <n v="418.27000000000004"/>
    <n v="73187"/>
  </r>
  <r>
    <s v="Biolage"/>
    <s v="Scalp Sync"/>
    <s v="Search"/>
    <x v="3"/>
    <s v="Amazon"/>
    <d v="2024-03-09T00:00:00"/>
    <x v="2"/>
    <n v="2997.8999999999992"/>
    <n v="499971"/>
  </r>
  <r>
    <s v="Biolage"/>
    <s v="Scalp Sync"/>
    <s v="Search"/>
    <x v="3"/>
    <s v="Amazon"/>
    <d v="2024-03-16T00:00:00"/>
    <x v="2"/>
    <n v="3792.0300000000007"/>
    <n v="606598"/>
  </r>
  <r>
    <s v="Biolage"/>
    <s v="Scalp Sync"/>
    <s v="Search"/>
    <x v="3"/>
    <s v="Amazon"/>
    <d v="2024-03-23T00:00:00"/>
    <x v="2"/>
    <n v="4486.43"/>
    <n v="842260"/>
  </r>
  <r>
    <s v="Biolage"/>
    <s v="Scalp Sync"/>
    <s v="Search"/>
    <x v="3"/>
    <s v="Amazon"/>
    <d v="2024-03-30T00:00:00"/>
    <x v="2"/>
    <n v="4345.4100000000008"/>
    <n v="811978"/>
  </r>
  <r>
    <s v="Biolage"/>
    <s v="Scalp Sync"/>
    <s v="Search"/>
    <x v="3"/>
    <s v="Amazon"/>
    <d v="2024-04-06T00:00:00"/>
    <x v="2"/>
    <n v="4155.57"/>
    <n v="751857"/>
  </r>
  <r>
    <s v="Biolage"/>
    <s v="Scalp Sync"/>
    <s v="Search"/>
    <x v="3"/>
    <s v="Amazon"/>
    <d v="2024-04-13T00:00:00"/>
    <x v="2"/>
    <n v="3106.690000000001"/>
    <n v="588058"/>
  </r>
  <r>
    <s v="Biolage"/>
    <s v="Scalp Sync"/>
    <s v="Search"/>
    <x v="3"/>
    <s v="Amazon"/>
    <d v="2024-04-20T00:00:00"/>
    <x v="2"/>
    <n v="4104.7600000000011"/>
    <n v="666701"/>
  </r>
  <r>
    <s v="Biolage"/>
    <s v="Scalp Sync"/>
    <s v="Search"/>
    <x v="3"/>
    <s v="Amazon"/>
    <d v="2024-04-27T00:00:00"/>
    <x v="2"/>
    <n v="4492.22"/>
    <n v="845776"/>
  </r>
  <r>
    <s v="Biolage"/>
    <s v="Scalp Sync"/>
    <s v="Search"/>
    <x v="3"/>
    <s v="Amazon"/>
    <d v="2024-05-04T00:00:00"/>
    <x v="2"/>
    <n v="5087.5300000000034"/>
    <n v="974305"/>
  </r>
  <r>
    <s v="Biolage"/>
    <s v="Scalp Sync"/>
    <s v="Search"/>
    <x v="3"/>
    <s v="Amazon"/>
    <d v="2024-05-11T00:00:00"/>
    <x v="2"/>
    <n v="6758.97"/>
    <n v="933182"/>
  </r>
  <r>
    <s v="Biolage"/>
    <s v="Scalp Sync"/>
    <s v="Search"/>
    <x v="3"/>
    <s v="Amazon"/>
    <d v="2024-05-18T00:00:00"/>
    <x v="2"/>
    <n v="6920.71"/>
    <n v="1002736"/>
  </r>
  <r>
    <s v="Biolage"/>
    <s v="Scalp Sync"/>
    <s v="Search"/>
    <x v="3"/>
    <s v="Amazon"/>
    <d v="2024-05-25T00:00:00"/>
    <x v="2"/>
    <n v="6829.7499999999991"/>
    <n v="1087076"/>
  </r>
  <r>
    <s v="Biolage"/>
    <s v="Scalp Sync"/>
    <s v="Search"/>
    <x v="3"/>
    <s v="Amazon"/>
    <d v="2024-06-01T00:00:00"/>
    <x v="2"/>
    <n v="5670.5800000000008"/>
    <n v="1004577"/>
  </r>
  <r>
    <s v="Biolage"/>
    <s v="Scalp Sync"/>
    <s v="Search"/>
    <x v="3"/>
    <s v="Amazon"/>
    <d v="2024-06-08T00:00:00"/>
    <x v="2"/>
    <n v="5022.3199999999988"/>
    <n v="933871"/>
  </r>
  <r>
    <s v="Biolage"/>
    <s v="Scalp Sync"/>
    <s v="Search"/>
    <x v="3"/>
    <s v="Amazon"/>
    <d v="2024-06-15T00:00:00"/>
    <x v="2"/>
    <n v="5112.46"/>
    <n v="905616"/>
  </r>
  <r>
    <s v="Biolage"/>
    <s v="Scalp Sync"/>
    <s v="Search"/>
    <x v="3"/>
    <s v="Amazon"/>
    <d v="2024-06-22T00:00:00"/>
    <x v="2"/>
    <n v="7463.21"/>
    <n v="893473"/>
  </r>
  <r>
    <s v="Biolage"/>
    <s v="Scalp Sync"/>
    <s v="Search"/>
    <x v="3"/>
    <s v="Amazon"/>
    <d v="2024-06-29T00:00:00"/>
    <x v="2"/>
    <n v="6932.7299999999968"/>
    <n v="965223"/>
  </r>
  <r>
    <s v="Biolage"/>
    <s v="Scalp Sync"/>
    <s v="Search"/>
    <x v="3"/>
    <s v="Amazon"/>
    <d v="2024-07-06T00:00:00"/>
    <x v="2"/>
    <n v="5869.0500000000011"/>
    <n v="819212"/>
  </r>
  <r>
    <s v="Biolage"/>
    <s v="Scalp Sync"/>
    <s v="Search"/>
    <x v="3"/>
    <s v="Amazon"/>
    <d v="2024-07-13T00:00:00"/>
    <x v="2"/>
    <n v="6438.6699999999973"/>
    <n v="966813"/>
  </r>
  <r>
    <s v="Biolage"/>
    <s v="Scalp Sync"/>
    <s v="Search"/>
    <x v="3"/>
    <s v="Amazon"/>
    <d v="2024-07-20T00:00:00"/>
    <x v="2"/>
    <n v="30519.24"/>
    <n v="2059122"/>
  </r>
  <r>
    <s v="Biolage"/>
    <s v="Scalp Sync"/>
    <s v="Search"/>
    <x v="3"/>
    <s v="Amazon"/>
    <d v="2024-07-27T00:00:00"/>
    <x v="2"/>
    <n v="4945.88"/>
    <n v="481010"/>
  </r>
  <r>
    <s v="Biolage"/>
    <s v="Scalp Sync"/>
    <s v="Search"/>
    <x v="3"/>
    <s v="Amazon"/>
    <d v="2024-08-03T00:00:00"/>
    <x v="2"/>
    <n v="4503.3800000000028"/>
    <n v="562318"/>
  </r>
  <r>
    <s v="Biolage"/>
    <s v="Scalp Sync"/>
    <s v="Search"/>
    <x v="3"/>
    <s v="Amazon"/>
    <d v="2024-08-10T00:00:00"/>
    <x v="2"/>
    <n v="4359.6099999999997"/>
    <n v="497694"/>
  </r>
  <r>
    <s v="Biolage"/>
    <s v="Scalp Sync"/>
    <s v="Search"/>
    <x v="3"/>
    <s v="Amazon"/>
    <d v="2024-08-17T00:00:00"/>
    <x v="2"/>
    <n v="4768.68"/>
    <n v="486479"/>
  </r>
  <r>
    <s v="Biolage"/>
    <s v="Scalp Sync"/>
    <s v="Search"/>
    <x v="3"/>
    <s v="Amazon"/>
    <d v="2024-08-24T00:00:00"/>
    <x v="2"/>
    <n v="5476.369999999999"/>
    <n v="503556"/>
  </r>
  <r>
    <s v="Biolage"/>
    <s v="Scalp Sync"/>
    <s v="Search"/>
    <x v="3"/>
    <s v="Amazon"/>
    <d v="2024-08-31T00:00:00"/>
    <x v="2"/>
    <n v="6522.79"/>
    <n v="534392"/>
  </r>
  <r>
    <s v="Biolage"/>
    <s v="Scalp Sync"/>
    <s v="Search"/>
    <x v="3"/>
    <s v="Amazon"/>
    <d v="2024-09-07T00:00:00"/>
    <x v="2"/>
    <n v="6625.4800000000023"/>
    <n v="582904"/>
  </r>
  <r>
    <s v="Biolage"/>
    <s v="Scalp Sync"/>
    <s v="Search"/>
    <x v="3"/>
    <s v="Amazon"/>
    <d v="2024-09-14T00:00:00"/>
    <x v="2"/>
    <n v="6395.7199999999975"/>
    <n v="615905"/>
  </r>
  <r>
    <s v="Biolage"/>
    <s v="Scalp Sync"/>
    <s v="Search"/>
    <x v="3"/>
    <s v="Amazon"/>
    <d v="2024-09-21T00:00:00"/>
    <x v="2"/>
    <n v="6068.2100000000019"/>
    <n v="590185"/>
  </r>
  <r>
    <s v="Biolage"/>
    <s v="Scalp Sync"/>
    <s v="Search"/>
    <x v="3"/>
    <s v="Amazon"/>
    <d v="2024-09-28T00:00:00"/>
    <x v="2"/>
    <n v="6193.1699999999992"/>
    <n v="646076"/>
  </r>
  <r>
    <s v="Biolage"/>
    <s v="Scalp Sync"/>
    <s v="Search"/>
    <x v="3"/>
    <s v="Amazon"/>
    <d v="2024-10-05T00:00:00"/>
    <x v="2"/>
    <n v="6412.2899999999991"/>
    <n v="614601"/>
  </r>
  <r>
    <s v="Biolage"/>
    <s v="Scalp Sync"/>
    <s v="Search"/>
    <x v="3"/>
    <s v="Amazon"/>
    <d v="2024-10-12T00:00:00"/>
    <x v="2"/>
    <n v="8111.369999999999"/>
    <n v="773479"/>
  </r>
  <r>
    <s v="Biolage"/>
    <s v="Scalp Sync"/>
    <s v="Search"/>
    <x v="3"/>
    <s v="Amazon"/>
    <d v="2024-10-19T00:00:00"/>
    <x v="2"/>
    <n v="5024.3799999999992"/>
    <n v="421034"/>
  </r>
  <r>
    <s v="Biolage"/>
    <s v="Scalp Sync"/>
    <s v="Search"/>
    <x v="3"/>
    <s v="Amazon"/>
    <d v="2024-10-26T00:00:00"/>
    <x v="2"/>
    <n v="6690.9200000000019"/>
    <n v="593485"/>
  </r>
  <r>
    <s v="Biolage"/>
    <s v="Scalp Sync"/>
    <s v="Search"/>
    <x v="3"/>
    <s v="Amazon"/>
    <d v="2024-11-02T00:00:00"/>
    <x v="2"/>
    <n v="9600.7599999999966"/>
    <n v="856842"/>
  </r>
  <r>
    <s v="Biolage"/>
    <s v="Scalp Sync"/>
    <s v="Search"/>
    <x v="3"/>
    <s v="Amazon"/>
    <d v="2024-11-09T00:00:00"/>
    <x v="2"/>
    <n v="9393.4300000000021"/>
    <n v="851441"/>
  </r>
  <r>
    <s v="Biolage"/>
    <s v="Scalp Sync"/>
    <s v="Search"/>
    <x v="3"/>
    <s v="Amazon"/>
    <d v="2024-11-16T00:00:00"/>
    <x v="2"/>
    <n v="13987.599999999995"/>
    <n v="998877"/>
  </r>
  <r>
    <s v="Biolage"/>
    <s v="Scalp Sync"/>
    <s v="Search"/>
    <x v="3"/>
    <s v="Amazon"/>
    <d v="2024-11-23T00:00:00"/>
    <x v="2"/>
    <n v="13914.049999999997"/>
    <n v="997019"/>
  </r>
  <r>
    <s v="Biolage"/>
    <s v="Scalp Sync"/>
    <s v="Search"/>
    <x v="3"/>
    <s v="Amazon"/>
    <d v="2024-11-30T00:00:00"/>
    <x v="2"/>
    <n v="42614.03"/>
    <n v="2334889"/>
  </r>
  <r>
    <s v="Biolage"/>
    <s v="Scalp Sync"/>
    <s v="Search"/>
    <x v="3"/>
    <s v="Amazon"/>
    <d v="2024-12-07T00:00:00"/>
    <x v="2"/>
    <n v="27772.419999999995"/>
    <n v="1725121"/>
  </r>
  <r>
    <s v="Biolage"/>
    <s v="Scalp Sync"/>
    <s v="Search"/>
    <x v="3"/>
    <s v="Amazon"/>
    <d v="2024-12-14T00:00:00"/>
    <x v="2"/>
    <n v="11692.640000000003"/>
    <n v="1160825"/>
  </r>
  <r>
    <s v="Biolage"/>
    <s v="Scalp Sync"/>
    <s v="Search"/>
    <x v="3"/>
    <s v="Amazon"/>
    <d v="2024-12-21T00:00:00"/>
    <x v="2"/>
    <n v="10373.900000000003"/>
    <n v="1235199"/>
  </r>
  <r>
    <s v="Biolage"/>
    <s v="Scalp Sync"/>
    <s v="Search"/>
    <x v="3"/>
    <s v="Amazon"/>
    <d v="2024-12-28T00:00:00"/>
    <x v="2"/>
    <n v="11004.139999999994"/>
    <n v="1035656"/>
  </r>
  <r>
    <s v="Biolage"/>
    <s v="Scalp Sync"/>
    <s v="Search"/>
    <x v="3"/>
    <s v="Amazon"/>
    <d v="2025-01-04T00:00:00"/>
    <x v="2"/>
    <n v="3268.47"/>
    <n v="282577"/>
  </r>
  <r>
    <s v="Biolage"/>
    <s v="Scalp Sync"/>
    <s v="Search"/>
    <x v="3"/>
    <s v="Amazon"/>
    <d v="2025-01-04T00:00:00"/>
    <x v="0"/>
    <n v="3626.8399999999997"/>
    <n v="383873"/>
  </r>
  <r>
    <s v="Biolage"/>
    <s v="Scalp Sync"/>
    <s v="Search"/>
    <x v="3"/>
    <s v="Amazon"/>
    <d v="2025-01-11T00:00:00"/>
    <x v="0"/>
    <n v="6542.8199999999988"/>
    <n v="647820"/>
  </r>
  <r>
    <s v="Biolage"/>
    <s v="Scalp Sync"/>
    <s v="Search"/>
    <x v="3"/>
    <s v="Amazon"/>
    <d v="2025-01-18T00:00:00"/>
    <x v="0"/>
    <n v="6656.6100000000015"/>
    <n v="695609"/>
  </r>
  <r>
    <s v="Biolage"/>
    <s v="Scalp Sync"/>
    <s v="Search"/>
    <x v="3"/>
    <s v="Amazon"/>
    <d v="2025-01-25T00:00:00"/>
    <x v="0"/>
    <n v="6550.2799999999988"/>
    <n v="674739"/>
  </r>
  <r>
    <s v="Biolage"/>
    <s v="Scalp Sync"/>
    <s v="Search"/>
    <x v="3"/>
    <s v="Amazon"/>
    <d v="2025-02-01T00:00:00"/>
    <x v="0"/>
    <n v="12131.689999999993"/>
    <n v="1081496"/>
  </r>
  <r>
    <s v="Biolage"/>
    <s v="Scalp Sync"/>
    <s v="Search"/>
    <x v="3"/>
    <s v="Amazon"/>
    <d v="2025-02-08T00:00:00"/>
    <x v="0"/>
    <n v="15144.279999999997"/>
    <n v="1274106"/>
  </r>
  <r>
    <s v="Biolage"/>
    <s v="Scalp Sync"/>
    <s v="Search"/>
    <x v="3"/>
    <s v="Amazon"/>
    <d v="2025-02-15T00:00:00"/>
    <x v="0"/>
    <n v="10918.710000000005"/>
    <n v="1032067"/>
  </r>
  <r>
    <s v="Biolage"/>
    <s v="Scalp Sync"/>
    <s v="Search"/>
    <x v="3"/>
    <s v="Amazon"/>
    <d v="2025-02-22T00:00:00"/>
    <x v="0"/>
    <n v="9980.2199999999993"/>
    <n v="1287822"/>
  </r>
  <r>
    <s v="Biolage"/>
    <s v="Scalp Sync"/>
    <s v="Search"/>
    <x v="3"/>
    <s v="Amazon"/>
    <d v="2025-03-01T00:00:00"/>
    <x v="0"/>
    <n v="8337.6399999999976"/>
    <n v="1125513"/>
  </r>
  <r>
    <s v="Biolage"/>
    <s v="Scalp Sync"/>
    <s v="Search"/>
    <x v="3"/>
    <s v="Amazon"/>
    <d v="2025-03-08T00:00:00"/>
    <x v="0"/>
    <n v="9833.7699999999986"/>
    <n v="1218589"/>
  </r>
  <r>
    <s v="Biolage"/>
    <s v="Scalp Sync"/>
    <s v="Search"/>
    <x v="3"/>
    <s v="Amazon"/>
    <d v="2025-03-15T00:00:00"/>
    <x v="0"/>
    <n v="10403.389999999996"/>
    <n v="1315053"/>
  </r>
  <r>
    <s v="Biolage"/>
    <s v="Scalp Sync"/>
    <s v="Search"/>
    <x v="3"/>
    <s v="Amazon"/>
    <d v="2025-03-22T00:00:00"/>
    <x v="0"/>
    <n v="9522.8599999999988"/>
    <n v="1533291"/>
  </r>
  <r>
    <s v="Biolage"/>
    <s v="Scalp Sync"/>
    <s v="Search"/>
    <x v="3"/>
    <s v="Amazon"/>
    <d v="2025-03-29T00:00:00"/>
    <x v="0"/>
    <n v="7047.7100000000028"/>
    <n v="1220603"/>
  </r>
  <r>
    <s v="Biolage"/>
    <s v="Scalp Sync"/>
    <s v="Search"/>
    <x v="3"/>
    <s v="Amazon"/>
    <d v="2025-04-05T00:00:00"/>
    <x v="0"/>
    <n v="3827.4199999999996"/>
    <n v="979614"/>
  </r>
  <r>
    <s v="Biolage"/>
    <s v="Scalp Sync"/>
    <s v="Search"/>
    <x v="3"/>
    <s v="Amazon"/>
    <d v="2025-04-12T00:00:00"/>
    <x v="0"/>
    <n v="3990.9199999999996"/>
    <n v="656607"/>
  </r>
  <r>
    <s v="Biolage"/>
    <s v="Scalp Sync"/>
    <s v="Search"/>
    <x v="3"/>
    <s v="Amazon"/>
    <d v="2025-04-19T00:00:00"/>
    <x v="0"/>
    <n v="4831.3300000000008"/>
    <n v="720939"/>
  </r>
  <r>
    <s v="Biolage"/>
    <s v="Scalp Sync"/>
    <s v="Search"/>
    <x v="3"/>
    <s v="Amazon"/>
    <d v="2025-04-26T00:00:00"/>
    <x v="0"/>
    <n v="4236.9599999999991"/>
    <n v="649349"/>
  </r>
  <r>
    <s v="Biolage"/>
    <s v="Scalp Sync"/>
    <s v="Search"/>
    <x v="3"/>
    <s v="Amazon"/>
    <d v="2025-05-03T00:00:00"/>
    <x v="0"/>
    <n v="3745.2"/>
    <n v="592822"/>
  </r>
  <r>
    <s v="Biolage"/>
    <s v="Scalp Sync"/>
    <s v="Search"/>
    <x v="3"/>
    <s v="Amazon"/>
    <d v="2025-05-10T00:00:00"/>
    <x v="0"/>
    <n v="3084.9799999999996"/>
    <n v="607753"/>
  </r>
  <r>
    <s v="Biolage"/>
    <s v="Scalp Sync"/>
    <s v="Search"/>
    <x v="3"/>
    <s v="Amazon"/>
    <d v="2025-05-17T00:00:00"/>
    <x v="0"/>
    <n v="2678.1899999999991"/>
    <n v="675526"/>
  </r>
  <r>
    <s v="Biolage"/>
    <s v="Scalp Sync"/>
    <s v="Search"/>
    <x v="3"/>
    <s v="Amazon"/>
    <d v="2025-05-24T00:00:00"/>
    <x v="0"/>
    <n v="2704.1"/>
    <n v="595901"/>
  </r>
  <r>
    <s v="Biolage"/>
    <s v="Scalp Sync"/>
    <s v="Search"/>
    <x v="3"/>
    <s v="Amazon"/>
    <d v="2025-05-31T00:00:00"/>
    <x v="0"/>
    <n v="2360.1700000000005"/>
    <n v="472228"/>
  </r>
  <r>
    <s v="Biolage"/>
    <s v="Scalp Sync"/>
    <s v="Search"/>
    <x v="3"/>
    <s v="Amazon"/>
    <d v="2025-06-07T00:00:00"/>
    <x v="0"/>
    <n v="6263.8899999999994"/>
    <n v="581785"/>
  </r>
  <r>
    <s v="Biolage"/>
    <s v="Scalp Sync"/>
    <s v="Search"/>
    <x v="3"/>
    <s v="Amazon"/>
    <d v="2025-06-14T00:00:00"/>
    <x v="0"/>
    <n v="7316.0799999999972"/>
    <n v="601357"/>
  </r>
  <r>
    <s v="Biolage"/>
    <s v="Scalp Sync"/>
    <s v="Search"/>
    <x v="3"/>
    <s v="Amazon"/>
    <d v="2025-06-21T00:00:00"/>
    <x v="0"/>
    <n v="6248.5999999999976"/>
    <n v="437105"/>
  </r>
  <r>
    <s v="Biolage"/>
    <s v="Scalp Sync"/>
    <s v="Search"/>
    <x v="3"/>
    <s v="Amazon"/>
    <d v="2025-06-28T00:00:00"/>
    <x v="0"/>
    <n v="2274"/>
    <n v="135518"/>
  </r>
  <r>
    <s v="Biolage"/>
    <s v="Smooth Proof"/>
    <s v="Display"/>
    <x v="3"/>
    <s v="Amazon"/>
    <d v="2023-10-14T00:00:00"/>
    <x v="1"/>
    <n v="7503.6812000000009"/>
    <n v="1225004"/>
  </r>
  <r>
    <s v="Biolage"/>
    <s v="Smooth Proof"/>
    <s v="Display"/>
    <x v="3"/>
    <s v="Amazon"/>
    <d v="2023-10-21T00:00:00"/>
    <x v="1"/>
    <n v="8358.2550999999985"/>
    <n v="1721403"/>
  </r>
  <r>
    <s v="Biolage"/>
    <s v="Smooth Proof"/>
    <s v="Display"/>
    <x v="3"/>
    <s v="Amazon"/>
    <d v="2023-10-28T00:00:00"/>
    <x v="1"/>
    <n v="6579.054199999995"/>
    <n v="1316700"/>
  </r>
  <r>
    <s v="Biolage"/>
    <s v="Smooth Proof"/>
    <s v="Display"/>
    <x v="3"/>
    <s v="Amazon"/>
    <d v="2023-11-04T00:00:00"/>
    <x v="1"/>
    <n v="5564.260000000002"/>
    <n v="1342118"/>
  </r>
  <r>
    <s v="Biolage"/>
    <s v="Smooth Proof"/>
    <s v="Display"/>
    <x v="3"/>
    <s v="Amazon"/>
    <d v="2023-11-11T00:00:00"/>
    <x v="1"/>
    <n v="6428.2969999999987"/>
    <n v="1338314"/>
  </r>
  <r>
    <s v="Biolage"/>
    <s v="Smooth Proof"/>
    <s v="Display"/>
    <x v="3"/>
    <s v="Amazon"/>
    <d v="2023-11-18T00:00:00"/>
    <x v="1"/>
    <n v="5451.5549999999976"/>
    <n v="1484085"/>
  </r>
  <r>
    <s v="Biolage"/>
    <s v="Smooth Proof"/>
    <s v="Display"/>
    <x v="3"/>
    <s v="Amazon"/>
    <d v="2023-11-25T00:00:00"/>
    <x v="1"/>
    <n v="5480.5802999999987"/>
    <n v="1624262"/>
  </r>
  <r>
    <s v="Biolage"/>
    <s v="Smooth Proof"/>
    <s v="Display"/>
    <x v="3"/>
    <s v="Amazon"/>
    <d v="2023-12-02T00:00:00"/>
    <x v="1"/>
    <n v="2460.2745999999997"/>
    <n v="733828"/>
  </r>
  <r>
    <s v="Biolage"/>
    <s v="Smooth Proof"/>
    <s v="Display"/>
    <x v="3"/>
    <s v="Amazon"/>
    <d v="2023-12-09T00:00:00"/>
    <x v="1"/>
    <n v="3633.7894999999994"/>
    <n v="956175"/>
  </r>
  <r>
    <s v="Biolage"/>
    <s v="Smooth Proof"/>
    <s v="Display"/>
    <x v="3"/>
    <s v="Amazon"/>
    <d v="2023-12-16T00:00:00"/>
    <x v="1"/>
    <n v="3208.7271999999998"/>
    <n v="968443"/>
  </r>
  <r>
    <s v="Biolage"/>
    <s v="Smooth Proof"/>
    <s v="Display"/>
    <x v="3"/>
    <s v="Amazon"/>
    <d v="2023-12-23T00:00:00"/>
    <x v="1"/>
    <n v="3229.1633000000015"/>
    <n v="806510"/>
  </r>
  <r>
    <s v="Biolage"/>
    <s v="Smooth Proof"/>
    <s v="Display"/>
    <x v="3"/>
    <s v="Amazon"/>
    <d v="2023-12-30T00:00:00"/>
    <x v="1"/>
    <n v="2306.4244000000008"/>
    <n v="706844"/>
  </r>
  <r>
    <s v="Biolage"/>
    <s v="Smooth Proof"/>
    <s v="Display"/>
    <x v="3"/>
    <s v="Amazon"/>
    <d v="2024-01-06T00:00:00"/>
    <x v="1"/>
    <n v="11.425700000000001"/>
    <n v="4996"/>
  </r>
  <r>
    <s v="Biolage"/>
    <s v="Smooth Proof"/>
    <s v="Display"/>
    <x v="3"/>
    <s v="Amazon"/>
    <d v="2024-01-06T00:00:00"/>
    <x v="2"/>
    <n v="3678.3125999999997"/>
    <n v="1191826"/>
  </r>
  <r>
    <s v="Biolage"/>
    <s v="Smooth Proof"/>
    <s v="Display"/>
    <x v="3"/>
    <s v="Amazon"/>
    <d v="2024-01-13T00:00:00"/>
    <x v="2"/>
    <n v="5888.7072999999946"/>
    <n v="2069240"/>
  </r>
  <r>
    <s v="Biolage"/>
    <s v="Smooth Proof"/>
    <s v="Display"/>
    <x v="3"/>
    <s v="Amazon"/>
    <d v="2024-01-20T00:00:00"/>
    <x v="2"/>
    <n v="5913.5929000000033"/>
    <n v="2297687"/>
  </r>
  <r>
    <s v="Biolage"/>
    <s v="Smooth Proof"/>
    <s v="Display"/>
    <x v="3"/>
    <s v="Amazon"/>
    <d v="2024-01-27T00:00:00"/>
    <x v="2"/>
    <n v="5812.2397999999976"/>
    <n v="2071989"/>
  </r>
  <r>
    <s v="Biolage"/>
    <s v="Smooth Proof"/>
    <s v="Display"/>
    <x v="3"/>
    <s v="Amazon"/>
    <d v="2024-02-03T00:00:00"/>
    <x v="2"/>
    <n v="3491.8388000000009"/>
    <n v="1040801"/>
  </r>
  <r>
    <s v="Biolage"/>
    <s v="Smooth Proof"/>
    <s v="Display"/>
    <x v="3"/>
    <s v="Amazon"/>
    <d v="2024-02-10T00:00:00"/>
    <x v="2"/>
    <n v="5259.0863999999974"/>
    <n v="1420923"/>
  </r>
  <r>
    <s v="Biolage"/>
    <s v="Smooth Proof"/>
    <s v="Display"/>
    <x v="3"/>
    <s v="Amazon"/>
    <d v="2024-02-17T00:00:00"/>
    <x v="2"/>
    <n v="5385.9901"/>
    <n v="1490333"/>
  </r>
  <r>
    <s v="Biolage"/>
    <s v="Smooth Proof"/>
    <s v="Display"/>
    <x v="3"/>
    <s v="Amazon"/>
    <d v="2024-02-24T00:00:00"/>
    <x v="2"/>
    <n v="5672.9356999999991"/>
    <n v="1889345"/>
  </r>
  <r>
    <s v="Biolage"/>
    <s v="Smooth Proof"/>
    <s v="Display"/>
    <x v="3"/>
    <s v="Amazon"/>
    <d v="2024-03-02T00:00:00"/>
    <x v="2"/>
    <n v="3832.5696000000007"/>
    <n v="1293320"/>
  </r>
  <r>
    <s v="Biolage"/>
    <s v="Smooth Proof"/>
    <s v="Display"/>
    <x v="3"/>
    <s v="Amazon"/>
    <d v="2024-03-09T00:00:00"/>
    <x v="2"/>
    <n v="4281.5677999999989"/>
    <n v="1313468"/>
  </r>
  <r>
    <s v="Biolage"/>
    <s v="Smooth Proof"/>
    <s v="Display"/>
    <x v="3"/>
    <s v="Amazon"/>
    <d v="2024-03-16T00:00:00"/>
    <x v="2"/>
    <n v="4409.5598000000009"/>
    <n v="1013031"/>
  </r>
  <r>
    <s v="Biolage"/>
    <s v="Smooth Proof"/>
    <s v="Display"/>
    <x v="3"/>
    <s v="Amazon"/>
    <d v="2024-03-23T00:00:00"/>
    <x v="2"/>
    <n v="4459.3438999999989"/>
    <n v="1238874"/>
  </r>
  <r>
    <s v="Biolage"/>
    <s v="Smooth Proof"/>
    <s v="Display"/>
    <x v="3"/>
    <s v="Amazon"/>
    <d v="2024-03-30T00:00:00"/>
    <x v="2"/>
    <n v="3677.6730000000002"/>
    <n v="1090677"/>
  </r>
  <r>
    <s v="Biolage"/>
    <s v="Smooth Proof"/>
    <s v="Display"/>
    <x v="3"/>
    <s v="Amazon"/>
    <d v="2024-04-06T00:00:00"/>
    <x v="2"/>
    <n v="3065.2410000000004"/>
    <n v="904477"/>
  </r>
  <r>
    <s v="Biolage"/>
    <s v="Smooth Proof"/>
    <s v="Display"/>
    <x v="3"/>
    <s v="Amazon"/>
    <d v="2024-04-13T00:00:00"/>
    <x v="2"/>
    <n v="5856.3028999999988"/>
    <n v="1512999"/>
  </r>
  <r>
    <s v="Biolage"/>
    <s v="Smooth Proof"/>
    <s v="Display"/>
    <x v="3"/>
    <s v="Amazon"/>
    <d v="2024-04-20T00:00:00"/>
    <x v="2"/>
    <n v="2361.0650000000001"/>
    <n v="695775"/>
  </r>
  <r>
    <s v="Biolage"/>
    <s v="Smooth Proof"/>
    <s v="Display"/>
    <x v="3"/>
    <s v="Amazon"/>
    <d v="2024-04-27T00:00:00"/>
    <x v="2"/>
    <n v="1117.6423999999995"/>
    <n v="243966"/>
  </r>
  <r>
    <s v="Biolage"/>
    <s v="Smooth Proof"/>
    <s v="Display"/>
    <x v="3"/>
    <s v="Amazon"/>
    <d v="2024-05-04T00:00:00"/>
    <x v="2"/>
    <n v="2014.6624000000002"/>
    <n v="638522"/>
  </r>
  <r>
    <s v="Biolage"/>
    <s v="Smooth Proof"/>
    <s v="Display"/>
    <x v="3"/>
    <s v="Amazon"/>
    <d v="2024-05-11T00:00:00"/>
    <x v="2"/>
    <n v="3074.0080999999996"/>
    <n v="909045"/>
  </r>
  <r>
    <s v="Biolage"/>
    <s v="Smooth Proof"/>
    <s v="Display"/>
    <x v="3"/>
    <s v="Amazon"/>
    <d v="2024-05-18T00:00:00"/>
    <x v="2"/>
    <n v="2959.0874000000003"/>
    <n v="800880"/>
  </r>
  <r>
    <s v="Biolage"/>
    <s v="Smooth Proof"/>
    <s v="Display"/>
    <x v="3"/>
    <s v="Amazon"/>
    <d v="2024-05-25T00:00:00"/>
    <x v="2"/>
    <n v="3054.2692000000006"/>
    <n v="762287"/>
  </r>
  <r>
    <s v="Biolage"/>
    <s v="Smooth Proof"/>
    <s v="Display"/>
    <x v="3"/>
    <s v="Amazon"/>
    <d v="2024-06-01T00:00:00"/>
    <x v="2"/>
    <n v="2861.6305000000011"/>
    <n v="819812"/>
  </r>
  <r>
    <s v="Biolage"/>
    <s v="Smooth Proof"/>
    <s v="Display"/>
    <x v="3"/>
    <s v="Amazon"/>
    <d v="2024-06-08T00:00:00"/>
    <x v="2"/>
    <n v="2746.2931000000008"/>
    <n v="830174"/>
  </r>
  <r>
    <s v="Biolage"/>
    <s v="Smooth Proof"/>
    <s v="Display"/>
    <x v="3"/>
    <s v="Amazon"/>
    <d v="2024-06-15T00:00:00"/>
    <x v="2"/>
    <n v="2781.3281999999986"/>
    <n v="871949"/>
  </r>
  <r>
    <s v="Biolage"/>
    <s v="Smooth Proof"/>
    <s v="Display"/>
    <x v="3"/>
    <s v="Amazon"/>
    <d v="2024-06-22T00:00:00"/>
    <x v="2"/>
    <n v="2760.5767000000014"/>
    <n v="768774"/>
  </r>
  <r>
    <s v="Biolage"/>
    <s v="Smooth Proof"/>
    <s v="Display"/>
    <x v="3"/>
    <s v="Amazon"/>
    <d v="2024-06-29T00:00:00"/>
    <x v="2"/>
    <n v="2651.1025000000009"/>
    <n v="731691"/>
  </r>
  <r>
    <s v="Biolage"/>
    <s v="Smooth Proof"/>
    <s v="Display"/>
    <x v="3"/>
    <s v="Amazon"/>
    <d v="2024-07-06T00:00:00"/>
    <x v="2"/>
    <n v="2202.7001999999998"/>
    <n v="769107"/>
  </r>
  <r>
    <s v="Biolage"/>
    <s v="Smooth Proof"/>
    <s v="Display"/>
    <x v="3"/>
    <s v="Amazon"/>
    <d v="2024-07-13T00:00:00"/>
    <x v="2"/>
    <n v="2265.7084000000004"/>
    <n v="712468"/>
  </r>
  <r>
    <s v="Biolage"/>
    <s v="Smooth Proof"/>
    <s v="Display"/>
    <x v="3"/>
    <s v="Amazon"/>
    <d v="2024-07-20T00:00:00"/>
    <x v="2"/>
    <n v="1556.7872999999997"/>
    <n v="381910"/>
  </r>
  <r>
    <s v="Biolage"/>
    <s v="Smooth Proof"/>
    <s v="Display"/>
    <x v="3"/>
    <s v="Amazon"/>
    <d v="2024-07-27T00:00:00"/>
    <x v="2"/>
    <n v="2646.5654000000009"/>
    <n v="690583"/>
  </r>
  <r>
    <s v="Biolage"/>
    <s v="Smooth Proof"/>
    <s v="Display"/>
    <x v="3"/>
    <s v="Amazon"/>
    <d v="2024-08-03T00:00:00"/>
    <x v="2"/>
    <n v="2501.0246000000002"/>
    <n v="780990"/>
  </r>
  <r>
    <s v="Biolage"/>
    <s v="Smooth Proof"/>
    <s v="Display"/>
    <x v="3"/>
    <s v="Amazon"/>
    <d v="2024-08-10T00:00:00"/>
    <x v="2"/>
    <n v="2264.2832000000008"/>
    <n v="656603"/>
  </r>
  <r>
    <s v="Biolage"/>
    <s v="Smooth Proof"/>
    <s v="Display"/>
    <x v="3"/>
    <s v="Amazon"/>
    <d v="2024-08-17T00:00:00"/>
    <x v="2"/>
    <n v="2168.7584999999999"/>
    <n v="569411"/>
  </r>
  <r>
    <s v="Biolage"/>
    <s v="Smooth Proof"/>
    <s v="Display"/>
    <x v="3"/>
    <s v="Amazon"/>
    <d v="2024-08-24T00:00:00"/>
    <x v="2"/>
    <n v="2380.976099999999"/>
    <n v="589375"/>
  </r>
  <r>
    <s v="Biolage"/>
    <s v="Smooth Proof"/>
    <s v="Display"/>
    <x v="3"/>
    <s v="Amazon"/>
    <d v="2024-08-31T00:00:00"/>
    <x v="2"/>
    <n v="2286.9296999999997"/>
    <n v="583763"/>
  </r>
  <r>
    <s v="Biolage"/>
    <s v="Smooth Proof"/>
    <s v="Display"/>
    <x v="3"/>
    <s v="Amazon"/>
    <d v="2024-09-07T00:00:00"/>
    <x v="2"/>
    <n v="2325.6322999999988"/>
    <n v="829198"/>
  </r>
  <r>
    <s v="Biolage"/>
    <s v="Smooth Proof"/>
    <s v="Display"/>
    <x v="3"/>
    <s v="Amazon"/>
    <d v="2024-09-14T00:00:00"/>
    <x v="2"/>
    <n v="2378.3753999999999"/>
    <n v="1085556"/>
  </r>
  <r>
    <s v="Biolage"/>
    <s v="Smooth Proof"/>
    <s v="Display"/>
    <x v="3"/>
    <s v="Amazon"/>
    <d v="2024-09-21T00:00:00"/>
    <x v="2"/>
    <n v="2364.7366999999999"/>
    <n v="616532"/>
  </r>
  <r>
    <s v="Biolage"/>
    <s v="Smooth Proof"/>
    <s v="Display"/>
    <x v="3"/>
    <s v="Amazon"/>
    <d v="2024-09-28T00:00:00"/>
    <x v="2"/>
    <n v="2424.9718000000007"/>
    <n v="501566"/>
  </r>
  <r>
    <s v="Biolage"/>
    <s v="Smooth Proof"/>
    <s v="Display"/>
    <x v="3"/>
    <s v="Amazon"/>
    <d v="2024-10-05T00:00:00"/>
    <x v="2"/>
    <n v="3167.9745000000003"/>
    <n v="739529"/>
  </r>
  <r>
    <s v="Biolage"/>
    <s v="Smooth Proof"/>
    <s v="Display"/>
    <x v="3"/>
    <s v="Amazon"/>
    <d v="2024-10-12T00:00:00"/>
    <x v="2"/>
    <n v="3468.343800000001"/>
    <n v="714763"/>
  </r>
  <r>
    <s v="Biolage"/>
    <s v="Smooth Proof"/>
    <s v="Display"/>
    <x v="3"/>
    <s v="Amazon"/>
    <d v="2024-10-19T00:00:00"/>
    <x v="2"/>
    <n v="3766.4814000000006"/>
    <n v="879059"/>
  </r>
  <r>
    <s v="Biolage"/>
    <s v="Smooth Proof"/>
    <s v="Display"/>
    <x v="3"/>
    <s v="Amazon"/>
    <d v="2024-10-26T00:00:00"/>
    <x v="2"/>
    <n v="3743.6561000000029"/>
    <n v="740019"/>
  </r>
  <r>
    <s v="Biolage"/>
    <s v="Smooth Proof"/>
    <s v="Display"/>
    <x v="3"/>
    <s v="Amazon"/>
    <d v="2024-11-02T00:00:00"/>
    <x v="2"/>
    <n v="3198.5328000000004"/>
    <n v="676264"/>
  </r>
  <r>
    <s v="Biolage"/>
    <s v="Smooth Proof"/>
    <s v="Display"/>
    <x v="3"/>
    <s v="Amazon"/>
    <d v="2024-11-09T00:00:00"/>
    <x v="2"/>
    <n v="2784.8767000000007"/>
    <n v="706741"/>
  </r>
  <r>
    <s v="Biolage"/>
    <s v="Smooth Proof"/>
    <s v="Display"/>
    <x v="3"/>
    <s v="Amazon"/>
    <d v="2024-11-16T00:00:00"/>
    <x v="2"/>
    <n v="2704.6030999999998"/>
    <n v="746774"/>
  </r>
  <r>
    <s v="Biolage"/>
    <s v="Smooth Proof"/>
    <s v="Display"/>
    <x v="3"/>
    <s v="Amazon"/>
    <d v="2024-11-23T00:00:00"/>
    <x v="2"/>
    <n v="2760.1479000000004"/>
    <n v="618551"/>
  </r>
  <r>
    <s v="Biolage"/>
    <s v="Smooth Proof"/>
    <s v="Display"/>
    <x v="3"/>
    <s v="Amazon"/>
    <d v="2024-11-30T00:00:00"/>
    <x v="2"/>
    <n v="2573.301100000002"/>
    <n v="452365"/>
  </r>
  <r>
    <s v="Biolage"/>
    <s v="Smooth Proof"/>
    <s v="Display"/>
    <x v="3"/>
    <s v="Amazon"/>
    <d v="2024-12-07T00:00:00"/>
    <x v="2"/>
    <n v="2210.8127999999997"/>
    <n v="497445"/>
  </r>
  <r>
    <s v="Biolage"/>
    <s v="Smooth Proof"/>
    <s v="Display"/>
    <x v="3"/>
    <s v="Amazon"/>
    <d v="2024-12-14T00:00:00"/>
    <x v="2"/>
    <n v="1813.6373000000003"/>
    <n v="378041"/>
  </r>
  <r>
    <s v="Biolage"/>
    <s v="Smooth Proof"/>
    <s v="Display"/>
    <x v="3"/>
    <s v="Amazon"/>
    <d v="2024-12-21T00:00:00"/>
    <x v="2"/>
    <n v="2344.6086999999998"/>
    <n v="583140"/>
  </r>
  <r>
    <s v="Biolage"/>
    <s v="Smooth Proof"/>
    <s v="Display"/>
    <x v="3"/>
    <s v="Amazon"/>
    <d v="2024-12-28T00:00:00"/>
    <x v="2"/>
    <n v="4298.9947999999995"/>
    <n v="1258402"/>
  </r>
  <r>
    <s v="Biolage"/>
    <s v="Smooth Proof"/>
    <s v="Display"/>
    <x v="3"/>
    <s v="Amazon"/>
    <d v="2025-01-04T00:00:00"/>
    <x v="2"/>
    <n v="1616.8164000000002"/>
    <n v="413468"/>
  </r>
  <r>
    <s v="Biolage"/>
    <s v="Smooth Proof"/>
    <s v="Display"/>
    <x v="3"/>
    <s v="Amazon"/>
    <d v="2025-01-04T00:00:00"/>
    <x v="0"/>
    <n v="0.30299999999999999"/>
    <n v="196"/>
  </r>
  <r>
    <s v="Biolage"/>
    <s v="Smooth Proof"/>
    <s v="Search"/>
    <x v="3"/>
    <s v="Amazon"/>
    <d v="2023-09-30T00:00:00"/>
    <x v="1"/>
    <n v="871.51"/>
    <n v="264343"/>
  </r>
  <r>
    <s v="Biolage"/>
    <s v="Smooth Proof"/>
    <s v="Search"/>
    <x v="3"/>
    <s v="Amazon"/>
    <d v="2023-10-07T00:00:00"/>
    <x v="1"/>
    <n v="2987.19"/>
    <n v="891471"/>
  </r>
  <r>
    <s v="Biolage"/>
    <s v="Smooth Proof"/>
    <s v="Search"/>
    <x v="3"/>
    <s v="Amazon"/>
    <d v="2023-10-14T00:00:00"/>
    <x v="1"/>
    <n v="4198.76"/>
    <n v="1077295"/>
  </r>
  <r>
    <s v="Biolage"/>
    <s v="Smooth Proof"/>
    <s v="Search"/>
    <x v="3"/>
    <s v="Amazon"/>
    <d v="2023-10-21T00:00:00"/>
    <x v="1"/>
    <n v="3473.7000000000003"/>
    <n v="742582"/>
  </r>
  <r>
    <s v="Biolage"/>
    <s v="Smooth Proof"/>
    <s v="Search"/>
    <x v="3"/>
    <s v="Amazon"/>
    <d v="2023-10-28T00:00:00"/>
    <x v="1"/>
    <n v="2817.05"/>
    <n v="733337"/>
  </r>
  <r>
    <s v="Biolage"/>
    <s v="Smooth Proof"/>
    <s v="Search"/>
    <x v="3"/>
    <s v="Amazon"/>
    <d v="2023-11-04T00:00:00"/>
    <x v="1"/>
    <n v="2040.8999999999999"/>
    <n v="694448"/>
  </r>
  <r>
    <s v="Biolage"/>
    <s v="Smooth Proof"/>
    <s v="Search"/>
    <x v="3"/>
    <s v="Amazon"/>
    <d v="2023-11-11T00:00:00"/>
    <x v="1"/>
    <n v="1945.96"/>
    <n v="563525"/>
  </r>
  <r>
    <s v="Biolage"/>
    <s v="Smooth Proof"/>
    <s v="Search"/>
    <x v="3"/>
    <s v="Amazon"/>
    <d v="2023-11-18T00:00:00"/>
    <x v="1"/>
    <n v="1857.8100000000002"/>
    <n v="598579"/>
  </r>
  <r>
    <s v="Biolage"/>
    <s v="Smooth Proof"/>
    <s v="Search"/>
    <x v="3"/>
    <s v="Amazon"/>
    <d v="2023-11-25T00:00:00"/>
    <x v="1"/>
    <n v="3679.1300000000024"/>
    <n v="1018566"/>
  </r>
  <r>
    <s v="Biolage"/>
    <s v="Smooth Proof"/>
    <s v="Search"/>
    <x v="3"/>
    <s v="Amazon"/>
    <d v="2023-12-02T00:00:00"/>
    <x v="1"/>
    <n v="4054.1899999999996"/>
    <n v="1223371"/>
  </r>
  <r>
    <s v="Biolage"/>
    <s v="Smooth Proof"/>
    <s v="Search"/>
    <x v="3"/>
    <s v="Amazon"/>
    <d v="2023-12-09T00:00:00"/>
    <x v="1"/>
    <n v="2573.6300000000006"/>
    <n v="562133"/>
  </r>
  <r>
    <s v="Biolage"/>
    <s v="Smooth Proof"/>
    <s v="Search"/>
    <x v="3"/>
    <s v="Amazon"/>
    <d v="2023-12-16T00:00:00"/>
    <x v="1"/>
    <n v="1848.9099999999999"/>
    <n v="331332"/>
  </r>
  <r>
    <s v="Biolage"/>
    <s v="Smooth Proof"/>
    <s v="Search"/>
    <x v="3"/>
    <s v="Amazon"/>
    <d v="2023-12-23T00:00:00"/>
    <x v="1"/>
    <n v="1676.5199999999993"/>
    <n v="346105"/>
  </r>
  <r>
    <s v="Biolage"/>
    <s v="Smooth Proof"/>
    <s v="Search"/>
    <x v="3"/>
    <s v="Amazon"/>
    <d v="2023-12-30T00:00:00"/>
    <x v="1"/>
    <n v="2054.0100000000002"/>
    <n v="384176"/>
  </r>
  <r>
    <s v="Biolage"/>
    <s v="Smooth Proof"/>
    <s v="Search"/>
    <x v="3"/>
    <s v="Amazon"/>
    <d v="2024-01-06T00:00:00"/>
    <x v="2"/>
    <n v="1785.6299999999994"/>
    <n v="351747"/>
  </r>
  <r>
    <s v="Biolage"/>
    <s v="Smooth Proof"/>
    <s v="Search"/>
    <x v="3"/>
    <s v="Amazon"/>
    <d v="2024-01-13T00:00:00"/>
    <x v="2"/>
    <n v="2811.84"/>
    <n v="482996"/>
  </r>
  <r>
    <s v="Biolage"/>
    <s v="Smooth Proof"/>
    <s v="Search"/>
    <x v="3"/>
    <s v="Amazon"/>
    <d v="2024-01-20T00:00:00"/>
    <x v="2"/>
    <n v="3629.809999999999"/>
    <n v="775806"/>
  </r>
  <r>
    <s v="Biolage"/>
    <s v="Smooth Proof"/>
    <s v="Search"/>
    <x v="3"/>
    <s v="Amazon"/>
    <d v="2024-01-27T00:00:00"/>
    <x v="2"/>
    <n v="4012.35"/>
    <n v="891968"/>
  </r>
  <r>
    <s v="Biolage"/>
    <s v="Smooth Proof"/>
    <s v="Search"/>
    <x v="3"/>
    <s v="Amazon"/>
    <d v="2024-02-03T00:00:00"/>
    <x v="2"/>
    <n v="3562.9399999999987"/>
    <n v="769861"/>
  </r>
  <r>
    <s v="Biolage"/>
    <s v="Smooth Proof"/>
    <s v="Search"/>
    <x v="3"/>
    <s v="Amazon"/>
    <d v="2024-02-10T00:00:00"/>
    <x v="2"/>
    <n v="3836.3200000000015"/>
    <n v="686710"/>
  </r>
  <r>
    <s v="Biolage"/>
    <s v="Smooth Proof"/>
    <s v="Search"/>
    <x v="3"/>
    <s v="Amazon"/>
    <d v="2024-02-17T00:00:00"/>
    <x v="2"/>
    <n v="3157.05"/>
    <n v="644036"/>
  </r>
  <r>
    <s v="Biolage"/>
    <s v="Smooth Proof"/>
    <s v="Search"/>
    <x v="3"/>
    <s v="Amazon"/>
    <d v="2024-02-24T00:00:00"/>
    <x v="2"/>
    <n v="3033.5299999999993"/>
    <n v="719018"/>
  </r>
  <r>
    <s v="Biolage"/>
    <s v="Smooth Proof"/>
    <s v="Search"/>
    <x v="3"/>
    <s v="Amazon"/>
    <d v="2024-03-02T00:00:00"/>
    <x v="2"/>
    <n v="2913.8199999999983"/>
    <n v="841990"/>
  </r>
  <r>
    <s v="Biolage"/>
    <s v="Smooth Proof"/>
    <s v="Search"/>
    <x v="3"/>
    <s v="Amazon"/>
    <d v="2024-03-09T00:00:00"/>
    <x v="2"/>
    <n v="2831.1999999999989"/>
    <n v="694958"/>
  </r>
  <r>
    <s v="Biolage"/>
    <s v="Smooth Proof"/>
    <s v="Search"/>
    <x v="3"/>
    <s v="Amazon"/>
    <d v="2024-03-16T00:00:00"/>
    <x v="2"/>
    <n v="2529.3700000000003"/>
    <n v="729320"/>
  </r>
  <r>
    <s v="Biolage"/>
    <s v="Smooth Proof"/>
    <s v="Search"/>
    <x v="3"/>
    <s v="Amazon"/>
    <d v="2024-03-23T00:00:00"/>
    <x v="2"/>
    <n v="3274.1199999999994"/>
    <n v="898608"/>
  </r>
  <r>
    <s v="Biolage"/>
    <s v="Smooth Proof"/>
    <s v="Search"/>
    <x v="3"/>
    <s v="Amazon"/>
    <d v="2024-03-30T00:00:00"/>
    <x v="2"/>
    <n v="3937.3800000000006"/>
    <n v="1020919"/>
  </r>
  <r>
    <s v="Biolage"/>
    <s v="Smooth Proof"/>
    <s v="Search"/>
    <x v="3"/>
    <s v="Amazon"/>
    <d v="2024-04-06T00:00:00"/>
    <x v="2"/>
    <n v="5528.7300000000041"/>
    <n v="1295296"/>
  </r>
  <r>
    <s v="Biolage"/>
    <s v="Smooth Proof"/>
    <s v="Search"/>
    <x v="3"/>
    <s v="Amazon"/>
    <d v="2024-04-13T00:00:00"/>
    <x v="2"/>
    <n v="4823.760000000002"/>
    <n v="1077695"/>
  </r>
  <r>
    <s v="Biolage"/>
    <s v="Smooth Proof"/>
    <s v="Search"/>
    <x v="3"/>
    <s v="Amazon"/>
    <d v="2024-04-20T00:00:00"/>
    <x v="2"/>
    <n v="4359.4999999999991"/>
    <n v="1978229"/>
  </r>
  <r>
    <s v="Biolage"/>
    <s v="Smooth Proof"/>
    <s v="Search"/>
    <x v="3"/>
    <s v="Amazon"/>
    <d v="2024-04-27T00:00:00"/>
    <x v="2"/>
    <n v="3387.7199999999993"/>
    <n v="1075832"/>
  </r>
  <r>
    <s v="Biolage"/>
    <s v="Smooth Proof"/>
    <s v="Search"/>
    <x v="3"/>
    <s v="Amazon"/>
    <d v="2024-05-04T00:00:00"/>
    <x v="2"/>
    <n v="2160.1899999999996"/>
    <n v="827872"/>
  </r>
  <r>
    <s v="Biolage"/>
    <s v="Smooth Proof"/>
    <s v="Search"/>
    <x v="3"/>
    <s v="Amazon"/>
    <d v="2024-05-11T00:00:00"/>
    <x v="2"/>
    <n v="2152.96"/>
    <n v="715702"/>
  </r>
  <r>
    <s v="Biolage"/>
    <s v="Smooth Proof"/>
    <s v="Search"/>
    <x v="3"/>
    <s v="Amazon"/>
    <d v="2024-05-18T00:00:00"/>
    <x v="2"/>
    <n v="3255.8899999999994"/>
    <n v="745288"/>
  </r>
  <r>
    <s v="Biolage"/>
    <s v="Smooth Proof"/>
    <s v="Search"/>
    <x v="3"/>
    <s v="Amazon"/>
    <d v="2024-05-25T00:00:00"/>
    <x v="2"/>
    <n v="3858.7699999999995"/>
    <n v="621288"/>
  </r>
  <r>
    <s v="Biolage"/>
    <s v="Smooth Proof"/>
    <s v="Search"/>
    <x v="3"/>
    <s v="Amazon"/>
    <d v="2024-06-01T00:00:00"/>
    <x v="2"/>
    <n v="3279.5999999999995"/>
    <n v="740847"/>
  </r>
  <r>
    <s v="Biolage"/>
    <s v="Smooth Proof"/>
    <s v="Search"/>
    <x v="3"/>
    <s v="Amazon"/>
    <d v="2024-06-08T00:00:00"/>
    <x v="2"/>
    <n v="3180.4"/>
    <n v="765209"/>
  </r>
  <r>
    <s v="Biolage"/>
    <s v="Smooth Proof"/>
    <s v="Search"/>
    <x v="3"/>
    <s v="Amazon"/>
    <d v="2024-06-15T00:00:00"/>
    <x v="2"/>
    <n v="3285.2799999999997"/>
    <n v="741637"/>
  </r>
  <r>
    <s v="Biolage"/>
    <s v="Smooth Proof"/>
    <s v="Search"/>
    <x v="3"/>
    <s v="Amazon"/>
    <d v="2024-06-22T00:00:00"/>
    <x v="2"/>
    <n v="3462.05"/>
    <n v="612956"/>
  </r>
  <r>
    <s v="Biolage"/>
    <s v="Smooth Proof"/>
    <s v="Search"/>
    <x v="3"/>
    <s v="Amazon"/>
    <d v="2024-06-29T00:00:00"/>
    <x v="2"/>
    <n v="3965.1499999999992"/>
    <n v="627005"/>
  </r>
  <r>
    <s v="Biolage"/>
    <s v="Smooth Proof"/>
    <s v="Search"/>
    <x v="3"/>
    <s v="Amazon"/>
    <d v="2024-07-06T00:00:00"/>
    <x v="2"/>
    <n v="4526.9799999999996"/>
    <n v="640468"/>
  </r>
  <r>
    <s v="Biolage"/>
    <s v="Smooth Proof"/>
    <s v="Search"/>
    <x v="3"/>
    <s v="Amazon"/>
    <d v="2024-07-13T00:00:00"/>
    <x v="2"/>
    <n v="4142.4400000000014"/>
    <n v="568981"/>
  </r>
  <r>
    <s v="Biolage"/>
    <s v="Smooth Proof"/>
    <s v="Search"/>
    <x v="3"/>
    <s v="Amazon"/>
    <d v="2024-07-20T00:00:00"/>
    <x v="2"/>
    <n v="4099.0800000000008"/>
    <n v="941940"/>
  </r>
  <r>
    <s v="Biolage"/>
    <s v="Smooth Proof"/>
    <s v="Search"/>
    <x v="3"/>
    <s v="Amazon"/>
    <d v="2024-07-27T00:00:00"/>
    <x v="2"/>
    <n v="2149.37"/>
    <n v="335371"/>
  </r>
  <r>
    <s v="Biolage"/>
    <s v="Smooth Proof"/>
    <s v="Search"/>
    <x v="3"/>
    <s v="Amazon"/>
    <d v="2024-08-03T00:00:00"/>
    <x v="2"/>
    <n v="2473.4399999999996"/>
    <n v="299878"/>
  </r>
  <r>
    <s v="Biolage"/>
    <s v="Smooth Proof"/>
    <s v="Search"/>
    <x v="3"/>
    <s v="Amazon"/>
    <d v="2024-08-10T00:00:00"/>
    <x v="2"/>
    <n v="2448.4599999999996"/>
    <n v="286686"/>
  </r>
  <r>
    <s v="Biolage"/>
    <s v="Smooth Proof"/>
    <s v="Search"/>
    <x v="3"/>
    <s v="Amazon"/>
    <d v="2024-08-17T00:00:00"/>
    <x v="2"/>
    <n v="1951.6999999999996"/>
    <n v="273564"/>
  </r>
  <r>
    <s v="Biolage"/>
    <s v="Smooth Proof"/>
    <s v="Search"/>
    <x v="3"/>
    <s v="Amazon"/>
    <d v="2024-08-24T00:00:00"/>
    <x v="2"/>
    <n v="1932.4700000000003"/>
    <n v="262949"/>
  </r>
  <r>
    <s v="Biolage"/>
    <s v="Smooth Proof"/>
    <s v="Search"/>
    <x v="3"/>
    <s v="Amazon"/>
    <d v="2024-08-31T00:00:00"/>
    <x v="2"/>
    <n v="1613.36"/>
    <n v="301632"/>
  </r>
  <r>
    <s v="Biolage"/>
    <s v="Smooth Proof"/>
    <s v="Search"/>
    <x v="3"/>
    <s v="Amazon"/>
    <d v="2024-09-07T00:00:00"/>
    <x v="2"/>
    <n v="1821.7199999999996"/>
    <n v="288304"/>
  </r>
  <r>
    <s v="Biolage"/>
    <s v="Smooth Proof"/>
    <s v="Search"/>
    <x v="3"/>
    <s v="Amazon"/>
    <d v="2024-09-14T00:00:00"/>
    <x v="2"/>
    <n v="1891.5600000000006"/>
    <n v="295106"/>
  </r>
  <r>
    <s v="Biolage"/>
    <s v="Smooth Proof"/>
    <s v="Search"/>
    <x v="3"/>
    <s v="Amazon"/>
    <d v="2024-09-21T00:00:00"/>
    <x v="2"/>
    <n v="2145.5999999999985"/>
    <n v="348307"/>
  </r>
  <r>
    <s v="Biolage"/>
    <s v="Smooth Proof"/>
    <s v="Search"/>
    <x v="3"/>
    <s v="Amazon"/>
    <d v="2024-09-28T00:00:00"/>
    <x v="2"/>
    <n v="3532.6999999999994"/>
    <n v="870706"/>
  </r>
  <r>
    <s v="Biolage"/>
    <s v="Smooth Proof"/>
    <s v="Search"/>
    <x v="3"/>
    <s v="Amazon"/>
    <d v="2024-10-05T00:00:00"/>
    <x v="2"/>
    <n v="3670.6900000000005"/>
    <n v="1198239"/>
  </r>
  <r>
    <s v="Biolage"/>
    <s v="Smooth Proof"/>
    <s v="Search"/>
    <x v="3"/>
    <s v="Amazon"/>
    <d v="2024-10-12T00:00:00"/>
    <x v="2"/>
    <n v="3259.0299999999993"/>
    <n v="1719998"/>
  </r>
  <r>
    <s v="Biolage"/>
    <s v="Smooth Proof"/>
    <s v="Search"/>
    <x v="3"/>
    <s v="Amazon"/>
    <d v="2024-10-19T00:00:00"/>
    <x v="2"/>
    <n v="2063.4899999999998"/>
    <n v="871709"/>
  </r>
  <r>
    <s v="Biolage"/>
    <s v="Smooth Proof"/>
    <s v="Search"/>
    <x v="3"/>
    <s v="Amazon"/>
    <d v="2024-10-26T00:00:00"/>
    <x v="2"/>
    <n v="2314.9099999999985"/>
    <n v="956263"/>
  </r>
  <r>
    <s v="Biolage"/>
    <s v="Smooth Proof"/>
    <s v="Search"/>
    <x v="3"/>
    <s v="Amazon"/>
    <d v="2024-11-02T00:00:00"/>
    <x v="2"/>
    <n v="2544.9700000000003"/>
    <n v="930529"/>
  </r>
  <r>
    <s v="Biolage"/>
    <s v="Smooth Proof"/>
    <s v="Search"/>
    <x v="3"/>
    <s v="Amazon"/>
    <d v="2024-11-09T00:00:00"/>
    <x v="2"/>
    <n v="2018.9900000000002"/>
    <n v="812587"/>
  </r>
  <r>
    <s v="Biolage"/>
    <s v="Smooth Proof"/>
    <s v="Search"/>
    <x v="3"/>
    <s v="Amazon"/>
    <d v="2024-11-16T00:00:00"/>
    <x v="2"/>
    <n v="2226.7500000000005"/>
    <n v="830782"/>
  </r>
  <r>
    <s v="Biolage"/>
    <s v="Smooth Proof"/>
    <s v="Search"/>
    <x v="3"/>
    <s v="Amazon"/>
    <d v="2024-11-23T00:00:00"/>
    <x v="2"/>
    <n v="2105.27"/>
    <n v="713861"/>
  </r>
  <r>
    <s v="Biolage"/>
    <s v="Smooth Proof"/>
    <s v="Search"/>
    <x v="3"/>
    <s v="Amazon"/>
    <d v="2024-11-30T00:00:00"/>
    <x v="2"/>
    <n v="12679.189999999997"/>
    <n v="2522021"/>
  </r>
  <r>
    <s v="Biolage"/>
    <s v="Smooth Proof"/>
    <s v="Search"/>
    <x v="3"/>
    <s v="Amazon"/>
    <d v="2024-12-07T00:00:00"/>
    <x v="2"/>
    <n v="5730.3500000000013"/>
    <n v="1252452"/>
  </r>
  <r>
    <s v="Biolage"/>
    <s v="Smooth Proof"/>
    <s v="Search"/>
    <x v="3"/>
    <s v="Amazon"/>
    <d v="2024-12-14T00:00:00"/>
    <x v="2"/>
    <n v="2402.5099999999998"/>
    <n v="1058642"/>
  </r>
  <r>
    <s v="Biolage"/>
    <s v="Smooth Proof"/>
    <s v="Search"/>
    <x v="3"/>
    <s v="Amazon"/>
    <d v="2024-12-21T00:00:00"/>
    <x v="2"/>
    <n v="1155.71"/>
    <n v="635074"/>
  </r>
  <r>
    <s v="Biolage"/>
    <s v="Bond Therapy"/>
    <s v="Display"/>
    <x v="3"/>
    <s v="Amazon"/>
    <d v="2024-02-03T00:00:00"/>
    <x v="2"/>
    <n v="1253.1614"/>
    <n v="300755"/>
  </r>
  <r>
    <s v="Biolage"/>
    <s v="Bond Therapy"/>
    <s v="Display"/>
    <x v="3"/>
    <s v="Amazon"/>
    <d v="2024-02-10T00:00:00"/>
    <x v="2"/>
    <n v="3203.4206000000004"/>
    <n v="1070884"/>
  </r>
  <r>
    <s v="Biolage"/>
    <s v="Bond Therapy"/>
    <s v="Display"/>
    <x v="3"/>
    <s v="Amazon"/>
    <d v="2024-02-17T00:00:00"/>
    <x v="2"/>
    <n v="3105.331900000001"/>
    <n v="903244"/>
  </r>
  <r>
    <s v="Biolage"/>
    <s v="Bond Therapy"/>
    <s v="Display"/>
    <x v="3"/>
    <s v="Amazon"/>
    <d v="2024-02-24T00:00:00"/>
    <x v="2"/>
    <n v="3196.7196999999996"/>
    <n v="1337408"/>
  </r>
  <r>
    <s v="Biolage"/>
    <s v="Bond Therapy"/>
    <s v="Display"/>
    <x v="3"/>
    <s v="Amazon"/>
    <d v="2024-03-02T00:00:00"/>
    <x v="2"/>
    <n v="1976.8982999999998"/>
    <n v="708695"/>
  </r>
  <r>
    <s v="Biolage"/>
    <s v="Bond Therapy"/>
    <s v="Display"/>
    <x v="3"/>
    <s v="Amazon"/>
    <d v="2024-03-09T00:00:00"/>
    <x v="2"/>
    <n v="2282.0040000000004"/>
    <n v="1006170"/>
  </r>
  <r>
    <s v="Biolage"/>
    <s v="Bond Therapy"/>
    <s v="Display"/>
    <x v="3"/>
    <s v="Amazon"/>
    <d v="2024-03-16T00:00:00"/>
    <x v="2"/>
    <n v="2297.9643999999998"/>
    <n v="819374"/>
  </r>
  <r>
    <s v="Biolage"/>
    <s v="Bond Therapy"/>
    <s v="Display"/>
    <x v="3"/>
    <s v="Amazon"/>
    <d v="2024-03-23T00:00:00"/>
    <x v="2"/>
    <n v="2275.3664999999992"/>
    <n v="753534"/>
  </r>
  <r>
    <s v="Biolage"/>
    <s v="Bond Therapy"/>
    <s v="Display"/>
    <x v="3"/>
    <s v="Amazon"/>
    <d v="2024-03-30T00:00:00"/>
    <x v="2"/>
    <n v="1870.5889999999999"/>
    <n v="562759"/>
  </r>
  <r>
    <s v="Biolage"/>
    <s v="Bond Therapy"/>
    <s v="Display"/>
    <x v="3"/>
    <s v="Amazon"/>
    <d v="2024-04-06T00:00:00"/>
    <x v="2"/>
    <n v="125.91149999999999"/>
    <n v="55427"/>
  </r>
  <r>
    <s v="Biolage"/>
    <s v="Bond Therapy"/>
    <s v="Search"/>
    <x v="3"/>
    <s v="Amazon"/>
    <d v="2023-09-30T00:00:00"/>
    <x v="1"/>
    <n v="385.07"/>
    <n v="44814"/>
  </r>
  <r>
    <s v="Biolage"/>
    <s v="Bond Therapy"/>
    <s v="Search"/>
    <x v="3"/>
    <s v="Amazon"/>
    <d v="2023-10-07T00:00:00"/>
    <x v="1"/>
    <n v="510.67999999999995"/>
    <n v="89232"/>
  </r>
  <r>
    <s v="Biolage"/>
    <s v="Bond Therapy"/>
    <s v="Search"/>
    <x v="3"/>
    <s v="Amazon"/>
    <d v="2023-10-14T00:00:00"/>
    <x v="1"/>
    <n v="247.92000000000002"/>
    <n v="55210"/>
  </r>
  <r>
    <s v="Biolage"/>
    <s v="Bond Therapy"/>
    <s v="Search"/>
    <x v="3"/>
    <s v="Amazon"/>
    <d v="2023-10-21T00:00:00"/>
    <x v="1"/>
    <n v="147.04000000000002"/>
    <n v="24936"/>
  </r>
  <r>
    <s v="Biolage"/>
    <s v="Bond Therapy"/>
    <s v="Search"/>
    <x v="3"/>
    <s v="Amazon"/>
    <d v="2023-10-28T00:00:00"/>
    <x v="1"/>
    <n v="190.35999999999993"/>
    <n v="21779"/>
  </r>
  <r>
    <s v="Biolage"/>
    <s v="Bond Therapy"/>
    <s v="Search"/>
    <x v="3"/>
    <s v="Amazon"/>
    <d v="2023-11-04T00:00:00"/>
    <x v="1"/>
    <n v="235.16000000000005"/>
    <n v="35481"/>
  </r>
  <r>
    <s v="Biolage"/>
    <s v="Bond Therapy"/>
    <s v="Search"/>
    <x v="3"/>
    <s v="Amazon"/>
    <d v="2023-11-11T00:00:00"/>
    <x v="1"/>
    <n v="306.25999999999988"/>
    <n v="29358"/>
  </r>
  <r>
    <s v="Biolage"/>
    <s v="Bond Therapy"/>
    <s v="Search"/>
    <x v="3"/>
    <s v="Amazon"/>
    <d v="2023-11-18T00:00:00"/>
    <x v="1"/>
    <n v="320.93"/>
    <n v="19443"/>
  </r>
  <r>
    <s v="Biolage"/>
    <s v="Bond Therapy"/>
    <s v="Search"/>
    <x v="3"/>
    <s v="Amazon"/>
    <d v="2023-11-25T00:00:00"/>
    <x v="1"/>
    <n v="5082.62"/>
    <n v="407408"/>
  </r>
  <r>
    <s v="Biolage"/>
    <s v="Bond Therapy"/>
    <s v="Search"/>
    <x v="3"/>
    <s v="Amazon"/>
    <d v="2023-12-02T00:00:00"/>
    <x v="1"/>
    <n v="3591.6400000000008"/>
    <n v="678119"/>
  </r>
  <r>
    <s v="Biolage"/>
    <s v="Bond Therapy"/>
    <s v="Search"/>
    <x v="3"/>
    <s v="Amazon"/>
    <d v="2023-12-09T00:00:00"/>
    <x v="1"/>
    <n v="1163.2000000000003"/>
    <n v="129196"/>
  </r>
  <r>
    <s v="Biolage"/>
    <s v="Bond Therapy"/>
    <s v="Search"/>
    <x v="3"/>
    <s v="Amazon"/>
    <d v="2023-12-16T00:00:00"/>
    <x v="1"/>
    <n v="783.71999999999991"/>
    <n v="66236"/>
  </r>
  <r>
    <s v="Biolage"/>
    <s v="Bond Therapy"/>
    <s v="Search"/>
    <x v="3"/>
    <s v="Amazon"/>
    <d v="2023-12-23T00:00:00"/>
    <x v="1"/>
    <n v="656.9799999999999"/>
    <n v="74942"/>
  </r>
  <r>
    <s v="Biolage"/>
    <s v="Bond Therapy"/>
    <s v="Search"/>
    <x v="3"/>
    <s v="Amazon"/>
    <d v="2023-12-30T00:00:00"/>
    <x v="1"/>
    <n v="834.4"/>
    <n v="109160"/>
  </r>
  <r>
    <s v="Biolage"/>
    <s v="Bond Therapy"/>
    <s v="Search"/>
    <x v="3"/>
    <s v="Amazon"/>
    <d v="2024-01-06T00:00:00"/>
    <x v="1"/>
    <n v="7.72"/>
    <n v="76"/>
  </r>
  <r>
    <s v="Biolage"/>
    <s v="Bond Therapy"/>
    <s v="Search"/>
    <x v="3"/>
    <s v="Amazon"/>
    <d v="2024-01-06T00:00:00"/>
    <x v="2"/>
    <n v="858.87000000000012"/>
    <n v="124078"/>
  </r>
  <r>
    <s v="Biolage"/>
    <s v="Bond Therapy"/>
    <s v="Search"/>
    <x v="3"/>
    <s v="Amazon"/>
    <d v="2024-01-13T00:00:00"/>
    <x v="2"/>
    <n v="912.7199999999998"/>
    <n v="139558"/>
  </r>
  <r>
    <s v="Biolage"/>
    <s v="Bond Therapy"/>
    <s v="Search"/>
    <x v="3"/>
    <s v="Amazon"/>
    <d v="2024-01-20T00:00:00"/>
    <x v="2"/>
    <n v="1378.6"/>
    <n v="198343"/>
  </r>
  <r>
    <s v="Biolage"/>
    <s v="Bond Therapy"/>
    <s v="Search"/>
    <x v="3"/>
    <s v="Amazon"/>
    <d v="2024-01-27T00:00:00"/>
    <x v="2"/>
    <n v="2334.13"/>
    <n v="288444"/>
  </r>
  <r>
    <s v="Biolage"/>
    <s v="Bond Therapy"/>
    <s v="Search"/>
    <x v="3"/>
    <s v="Amazon"/>
    <d v="2024-02-03T00:00:00"/>
    <x v="2"/>
    <n v="1843.3400000000006"/>
    <n v="284188"/>
  </r>
  <r>
    <s v="Biolage"/>
    <s v="Bond Therapy"/>
    <s v="Search"/>
    <x v="3"/>
    <s v="Amazon"/>
    <d v="2024-02-10T00:00:00"/>
    <x v="2"/>
    <n v="2253.2000000000003"/>
    <n v="374587"/>
  </r>
  <r>
    <s v="Biolage"/>
    <s v="Bond Therapy"/>
    <s v="Search"/>
    <x v="3"/>
    <s v="Amazon"/>
    <d v="2024-02-17T00:00:00"/>
    <x v="2"/>
    <n v="1465.4899999999998"/>
    <n v="309820"/>
  </r>
  <r>
    <s v="Biolage"/>
    <s v="Bond Therapy"/>
    <s v="Search"/>
    <x v="3"/>
    <s v="Amazon"/>
    <d v="2024-02-24T00:00:00"/>
    <x v="2"/>
    <n v="768.31000000000006"/>
    <n v="249641"/>
  </r>
  <r>
    <s v="Biolage"/>
    <s v="Bond Therapy"/>
    <s v="Search"/>
    <x v="3"/>
    <s v="Amazon"/>
    <d v="2024-03-02T00:00:00"/>
    <x v="2"/>
    <n v="665.07"/>
    <n v="263103"/>
  </r>
  <r>
    <s v="Biolage"/>
    <s v="Bond Therapy"/>
    <s v="Search"/>
    <x v="3"/>
    <s v="Amazon"/>
    <d v="2024-03-09T00:00:00"/>
    <x v="2"/>
    <n v="801.31999999999982"/>
    <n v="284700"/>
  </r>
  <r>
    <s v="Biolage"/>
    <s v="Bond Therapy"/>
    <s v="Search"/>
    <x v="3"/>
    <s v="Amazon"/>
    <d v="2024-03-16T00:00:00"/>
    <x v="2"/>
    <n v="787.84000000000015"/>
    <n v="251088"/>
  </r>
  <r>
    <s v="Biolage"/>
    <s v="Bond Therapy"/>
    <s v="Search"/>
    <x v="3"/>
    <s v="Amazon"/>
    <d v="2024-03-23T00:00:00"/>
    <x v="2"/>
    <n v="499.90999999999997"/>
    <n v="136258"/>
  </r>
  <r>
    <s v="Biolage"/>
    <s v="Styling"/>
    <s v="Search"/>
    <x v="3"/>
    <s v="Amazon"/>
    <d v="2023-07-29T00:00:00"/>
    <x v="1"/>
    <n v="141.92000000000002"/>
    <n v="32353"/>
  </r>
  <r>
    <s v="Biolage"/>
    <s v="Styling"/>
    <s v="Search"/>
    <x v="3"/>
    <s v="Amazon"/>
    <d v="2023-08-05T00:00:00"/>
    <x v="1"/>
    <n v="90.8"/>
    <n v="35542"/>
  </r>
  <r>
    <s v="Biolage"/>
    <s v="Styling"/>
    <s v="Search"/>
    <x v="3"/>
    <s v="Amazon"/>
    <d v="2023-08-12T00:00:00"/>
    <x v="1"/>
    <n v="29.840000000000003"/>
    <n v="17713"/>
  </r>
  <r>
    <s v="Biolage"/>
    <s v="Styling"/>
    <s v="Search"/>
    <x v="3"/>
    <s v="Amazon"/>
    <d v="2023-08-19T00:00:00"/>
    <x v="1"/>
    <n v="10.809999999999999"/>
    <n v="10665"/>
  </r>
  <r>
    <s v="Biolage"/>
    <s v="Styling"/>
    <s v="Search"/>
    <x v="3"/>
    <s v="Amazon"/>
    <d v="2023-08-26T00:00:00"/>
    <x v="1"/>
    <n v="14.78"/>
    <n v="18598"/>
  </r>
  <r>
    <s v="Biolage"/>
    <s v="Styling"/>
    <s v="Search"/>
    <x v="3"/>
    <s v="Amazon"/>
    <d v="2023-09-02T00:00:00"/>
    <x v="1"/>
    <n v="33.820000000000007"/>
    <n v="25234"/>
  </r>
  <r>
    <s v="Biolage"/>
    <s v="Styling"/>
    <s v="Search"/>
    <x v="3"/>
    <s v="Amazon"/>
    <d v="2023-09-09T00:00:00"/>
    <x v="1"/>
    <n v="5.69"/>
    <n v="6391"/>
  </r>
  <r>
    <s v="Biolage"/>
    <s v="Styling"/>
    <s v="Search"/>
    <x v="3"/>
    <s v="Amazon"/>
    <d v="2023-09-16T00:00:00"/>
    <x v="1"/>
    <n v="0.26"/>
    <n v="72"/>
  </r>
  <r>
    <s v="Biolage"/>
    <s v="Styling"/>
    <s v="Search"/>
    <x v="3"/>
    <s v="Amazon"/>
    <d v="2023-09-23T00:00:00"/>
    <x v="1"/>
    <n v="0.65"/>
    <n v="232"/>
  </r>
  <r>
    <s v="Biolage"/>
    <s v="Styling"/>
    <s v="Search"/>
    <x v="3"/>
    <s v="Amazon"/>
    <d v="2023-09-30T00:00:00"/>
    <x v="1"/>
    <n v="0.26"/>
    <n v="65"/>
  </r>
  <r>
    <s v="Biolage"/>
    <s v="Styling"/>
    <s v="Search"/>
    <x v="3"/>
    <s v="Amazon"/>
    <d v="2023-10-21T00:00:00"/>
    <x v="1"/>
    <n v="0.26"/>
    <n v="36"/>
  </r>
  <r>
    <s v="Biolage"/>
    <s v="Styling"/>
    <s v="Search"/>
    <x v="3"/>
    <s v="Amazon"/>
    <d v="2024-01-06T00:00:00"/>
    <x v="2"/>
    <n v="0.76"/>
    <n v="331"/>
  </r>
  <r>
    <s v="Biolage"/>
    <s v="Styling"/>
    <s v="Search"/>
    <x v="3"/>
    <s v="Amazon"/>
    <d v="2024-01-13T00:00:00"/>
    <x v="2"/>
    <n v="0.37"/>
    <n v="274"/>
  </r>
  <r>
    <s v="Biolage"/>
    <s v="Styling"/>
    <s v="Search"/>
    <x v="3"/>
    <s v="Amazon"/>
    <d v="2024-01-20T00:00:00"/>
    <x v="2"/>
    <n v="1.1099999999999999"/>
    <n v="3652"/>
  </r>
  <r>
    <s v="Biolage"/>
    <s v="Styling"/>
    <s v="Search"/>
    <x v="3"/>
    <s v="Amazon"/>
    <d v="2024-01-27T00:00:00"/>
    <x v="2"/>
    <n v="1.23"/>
    <n v="3069"/>
  </r>
  <r>
    <s v="Biolage"/>
    <s v="Styling"/>
    <s v="Search"/>
    <x v="3"/>
    <s v="Amazon"/>
    <d v="2024-02-03T00:00:00"/>
    <x v="2"/>
    <n v="1.1099999999999999"/>
    <n v="1217"/>
  </r>
  <r>
    <s v="Biolage"/>
    <s v="Styling"/>
    <s v="Search"/>
    <x v="3"/>
    <s v="Amazon"/>
    <d v="2024-02-10T00:00:00"/>
    <x v="2"/>
    <n v="0.37"/>
    <n v="357"/>
  </r>
  <r>
    <s v="Biolage"/>
    <s v="Styling"/>
    <s v="Search"/>
    <x v="3"/>
    <s v="Amazon"/>
    <d v="2024-02-17T00:00:00"/>
    <x v="2"/>
    <n v="0.37"/>
    <n v="391"/>
  </r>
  <r>
    <s v="Biolage"/>
    <s v="Styling"/>
    <s v="Search"/>
    <x v="3"/>
    <s v="Amazon"/>
    <d v="2024-03-02T00:00:00"/>
    <x v="2"/>
    <n v="0.74"/>
    <n v="970"/>
  </r>
  <r>
    <s v="Biolage"/>
    <s v="Styling"/>
    <s v="Search"/>
    <x v="3"/>
    <s v="Amazon"/>
    <d v="2024-03-09T00:00:00"/>
    <x v="2"/>
    <n v="1.1099999999999999"/>
    <n v="2695"/>
  </r>
  <r>
    <s v="Biolage"/>
    <s v="Styling"/>
    <s v="Search"/>
    <x v="3"/>
    <s v="Amazon"/>
    <d v="2024-03-16T00:00:00"/>
    <x v="2"/>
    <n v="0.37"/>
    <n v="646"/>
  </r>
  <r>
    <s v="Biolage"/>
    <s v="Styling"/>
    <s v="Search"/>
    <x v="3"/>
    <s v="Amazon"/>
    <d v="2024-03-30T00:00:00"/>
    <x v="2"/>
    <n v="0.37"/>
    <n v="1437"/>
  </r>
  <r>
    <s v="Biolage"/>
    <s v="Styling"/>
    <s v="Search"/>
    <x v="3"/>
    <s v="Amazon"/>
    <d v="2024-04-06T00:00:00"/>
    <x v="2"/>
    <n v="0.77"/>
    <n v="3586"/>
  </r>
  <r>
    <s v="Biolage"/>
    <s v="Styling"/>
    <s v="Search"/>
    <x v="3"/>
    <s v="Amazon"/>
    <d v="2024-04-13T00:00:00"/>
    <x v="2"/>
    <n v="0.37"/>
    <n v="2051"/>
  </r>
  <r>
    <s v="Biolage"/>
    <s v="Styling"/>
    <s v="Search"/>
    <x v="3"/>
    <s v="Amazon"/>
    <d v="2024-05-04T00:00:00"/>
    <x v="2"/>
    <n v="0.74"/>
    <n v="438"/>
  </r>
  <r>
    <s v="Biolage"/>
    <s v="Styling"/>
    <s v="Search"/>
    <x v="3"/>
    <s v="Amazon"/>
    <d v="2024-05-11T00:00:00"/>
    <x v="2"/>
    <n v="1.1099999999999999"/>
    <n v="760"/>
  </r>
  <r>
    <s v="Biolage"/>
    <s v="Styling"/>
    <s v="Search"/>
    <x v="3"/>
    <s v="Amazon"/>
    <d v="2024-06-01T00:00:00"/>
    <x v="2"/>
    <n v="0.37"/>
    <n v="1797"/>
  </r>
  <r>
    <s v="Biolage"/>
    <s v="Styling"/>
    <s v="Search"/>
    <x v="3"/>
    <s v="Amazon"/>
    <d v="2024-06-08T00:00:00"/>
    <x v="2"/>
    <n v="0.37"/>
    <n v="2199"/>
  </r>
  <r>
    <s v="Biolage"/>
    <s v="Styling"/>
    <s v="Search"/>
    <x v="3"/>
    <s v="Amazon"/>
    <d v="2024-06-15T00:00:00"/>
    <x v="2"/>
    <n v="0.37"/>
    <n v="428"/>
  </r>
  <r>
    <s v="Biolage"/>
    <s v="Styling"/>
    <s v="Search"/>
    <x v="3"/>
    <s v="Amazon"/>
    <d v="2024-07-20T00:00:00"/>
    <x v="2"/>
    <n v="0.74"/>
    <n v="730"/>
  </r>
  <r>
    <s v="Biolage"/>
    <s v="Styling"/>
    <s v="Search"/>
    <x v="3"/>
    <s v="Amazon"/>
    <d v="2024-07-27T00:00:00"/>
    <x v="2"/>
    <n v="0.37"/>
    <n v="571"/>
  </r>
  <r>
    <s v="Biolage"/>
    <s v="Styling"/>
    <s v="Search"/>
    <x v="3"/>
    <s v="Amazon"/>
    <d v="2024-08-03T00:00:00"/>
    <x v="2"/>
    <n v="0.37"/>
    <n v="683"/>
  </r>
  <r>
    <s v="Biolage"/>
    <s v="Styling"/>
    <s v="Search"/>
    <x v="3"/>
    <s v="Amazon"/>
    <d v="2024-08-24T00:00:00"/>
    <x v="2"/>
    <n v="0.37"/>
    <n v="227"/>
  </r>
  <r>
    <s v="Biolage"/>
    <s v="Styling"/>
    <s v="Search"/>
    <x v="3"/>
    <s v="Amazon"/>
    <d v="2024-08-31T00:00:00"/>
    <x v="2"/>
    <n v="0.37"/>
    <n v="1586"/>
  </r>
  <r>
    <s v="Biolage"/>
    <s v="Styling"/>
    <s v="Search"/>
    <x v="3"/>
    <s v="Amazon"/>
    <d v="2024-09-07T00:00:00"/>
    <x v="2"/>
    <n v="1.48"/>
    <n v="3938"/>
  </r>
  <r>
    <s v="Biolage"/>
    <s v="Styling"/>
    <s v="Search"/>
    <x v="3"/>
    <s v="Amazon"/>
    <d v="2024-09-14T00:00:00"/>
    <x v="2"/>
    <n v="0.37"/>
    <n v="1010"/>
  </r>
  <r>
    <s v="Biolage"/>
    <s v="Styling"/>
    <s v="Search"/>
    <x v="3"/>
    <s v="Amazon"/>
    <d v="2024-09-21T00:00:00"/>
    <x v="2"/>
    <n v="0.37"/>
    <n v="826"/>
  </r>
  <r>
    <s v="Biolage"/>
    <s v="Styling"/>
    <s v="Search"/>
    <x v="3"/>
    <s v="Amazon"/>
    <d v="2024-09-28T00:00:00"/>
    <x v="2"/>
    <n v="0.28999999999999998"/>
    <n v="1128"/>
  </r>
  <r>
    <s v="Biolage"/>
    <s v="Styling"/>
    <s v="Search"/>
    <x v="3"/>
    <s v="Amazon"/>
    <d v="2024-10-05T00:00:00"/>
    <x v="2"/>
    <n v="0.37"/>
    <n v="776"/>
  </r>
  <r>
    <s v="Biolage"/>
    <s v="Styling"/>
    <s v="Search"/>
    <x v="3"/>
    <s v="Amazon"/>
    <d v="2024-10-12T00:00:00"/>
    <x v="2"/>
    <n v="0.37"/>
    <n v="891"/>
  </r>
  <r>
    <s v="Biolage"/>
    <s v="Styling"/>
    <s v="Search"/>
    <x v="3"/>
    <s v="Amazon"/>
    <d v="2024-10-19T00:00:00"/>
    <x v="2"/>
    <n v="0.74"/>
    <n v="2054"/>
  </r>
  <r>
    <s v="Biolage"/>
    <s v="Styling"/>
    <s v="Search"/>
    <x v="3"/>
    <s v="Amazon"/>
    <d v="2024-11-23T00:00:00"/>
    <x v="2"/>
    <n v="0.35"/>
    <n v="138"/>
  </r>
  <r>
    <s v="Biolage"/>
    <s v="Styling"/>
    <s v="Search"/>
    <x v="3"/>
    <s v="Amazon"/>
    <d v="2025-01-04T00:00:00"/>
    <x v="0"/>
    <n v="0.37"/>
    <n v="261"/>
  </r>
  <r>
    <s v="Biolage"/>
    <s v="Styling"/>
    <s v="Search"/>
    <x v="3"/>
    <s v="Amazon"/>
    <d v="2025-01-18T00:00:00"/>
    <x v="0"/>
    <n v="0.74"/>
    <n v="48"/>
  </r>
  <r>
    <s v="Biolage"/>
    <s v="Styling"/>
    <s v="Search"/>
    <x v="3"/>
    <s v="Amazon"/>
    <d v="2025-01-25T00:00:00"/>
    <x v="0"/>
    <n v="0.37"/>
    <n v="104"/>
  </r>
  <r>
    <s v="Biolage"/>
    <s v="Styling"/>
    <s v="Search"/>
    <x v="3"/>
    <s v="Amazon"/>
    <d v="2025-02-22T00:00:00"/>
    <x v="0"/>
    <n v="0.37"/>
    <n v="94"/>
  </r>
  <r>
    <s v="Biolage"/>
    <s v="Styling"/>
    <s v="Search"/>
    <x v="3"/>
    <s v="Amazon"/>
    <d v="2025-06-14T00:00:00"/>
    <x v="0"/>
    <n v="9.91"/>
    <n v="8085"/>
  </r>
  <r>
    <s v="Biolage"/>
    <s v="Styling"/>
    <s v="Search"/>
    <x v="3"/>
    <s v="Amazon"/>
    <d v="2025-06-21T00:00:00"/>
    <x v="0"/>
    <n v="2.99"/>
    <n v="5268"/>
  </r>
  <r>
    <s v="Biolage"/>
    <s v="Styling"/>
    <s v="Search"/>
    <x v="3"/>
    <s v="Amazon"/>
    <d v="2025-06-28T00:00:00"/>
    <x v="0"/>
    <n v="2.16"/>
    <n v="3389"/>
  </r>
  <r>
    <s v="Biolage"/>
    <s v="All in One"/>
    <s v="Search"/>
    <x v="4"/>
    <s v="Biolage"/>
    <d v="2023-09-30T00:00:00"/>
    <x v="1"/>
    <n v="120.74000000000001"/>
    <n v="392"/>
  </r>
  <r>
    <s v="Biolage"/>
    <s v="All in One"/>
    <s v="Search"/>
    <x v="4"/>
    <s v="Biolage"/>
    <d v="2023-10-07T00:00:00"/>
    <x v="1"/>
    <n v="131.97"/>
    <n v="441"/>
  </r>
  <r>
    <s v="Biolage"/>
    <s v="All in One"/>
    <s v="Search"/>
    <x v="4"/>
    <s v="Biolage"/>
    <d v="2023-10-14T00:00:00"/>
    <x v="1"/>
    <n v="106.57"/>
    <n v="394"/>
  </r>
  <r>
    <s v="Biolage"/>
    <s v="All in One"/>
    <s v="Search"/>
    <x v="4"/>
    <s v="Biolage"/>
    <d v="2023-10-21T00:00:00"/>
    <x v="1"/>
    <n v="129.69999999999999"/>
    <n v="604"/>
  </r>
  <r>
    <s v="Biolage"/>
    <s v="All in One"/>
    <s v="Search"/>
    <x v="4"/>
    <s v="Biolage"/>
    <d v="2023-10-28T00:00:00"/>
    <x v="1"/>
    <n v="104.4"/>
    <n v="463"/>
  </r>
  <r>
    <s v="Biolage"/>
    <s v="All in One"/>
    <s v="Search"/>
    <x v="4"/>
    <s v="Biolage"/>
    <d v="2023-11-04T00:00:00"/>
    <x v="1"/>
    <n v="122.03999999999999"/>
    <n v="439"/>
  </r>
  <r>
    <s v="Biolage"/>
    <s v="All in One"/>
    <s v="Search"/>
    <x v="4"/>
    <s v="Biolage"/>
    <d v="2023-11-11T00:00:00"/>
    <x v="1"/>
    <n v="145.9"/>
    <n v="492"/>
  </r>
  <r>
    <s v="Biolage"/>
    <s v="All in One"/>
    <s v="Search"/>
    <x v="4"/>
    <s v="Biolage"/>
    <d v="2023-11-18T00:00:00"/>
    <x v="1"/>
    <n v="123.50999999999999"/>
    <n v="431"/>
  </r>
  <r>
    <s v="Biolage"/>
    <s v="All in One"/>
    <s v="Search"/>
    <x v="4"/>
    <s v="Biolage"/>
    <d v="2023-11-25T00:00:00"/>
    <x v="1"/>
    <n v="141.13999999999999"/>
    <n v="412"/>
  </r>
  <r>
    <s v="Biolage"/>
    <s v="All in One"/>
    <s v="Search"/>
    <x v="4"/>
    <s v="Biolage"/>
    <d v="2023-12-02T00:00:00"/>
    <x v="1"/>
    <n v="60.36"/>
    <n v="375"/>
  </r>
  <r>
    <s v="Biolage"/>
    <s v="All in One"/>
    <s v="Search"/>
    <x v="4"/>
    <s v="Biolage"/>
    <d v="2023-12-09T00:00:00"/>
    <x v="1"/>
    <n v="103.17999999999999"/>
    <n v="390"/>
  </r>
  <r>
    <s v="Biolage"/>
    <s v="All in One"/>
    <s v="Search"/>
    <x v="4"/>
    <s v="Biolage"/>
    <d v="2023-12-16T00:00:00"/>
    <x v="1"/>
    <n v="142.57999999999998"/>
    <n v="452"/>
  </r>
  <r>
    <s v="Biolage"/>
    <s v="All in One"/>
    <s v="Search"/>
    <x v="4"/>
    <s v="Biolage"/>
    <d v="2023-12-23T00:00:00"/>
    <x v="1"/>
    <n v="167.07"/>
    <n v="533"/>
  </r>
  <r>
    <s v="Biolage"/>
    <s v="All in One"/>
    <s v="Search"/>
    <x v="4"/>
    <s v="Biolage"/>
    <d v="2023-12-30T00:00:00"/>
    <x v="1"/>
    <n v="137.16999999999999"/>
    <n v="351"/>
  </r>
  <r>
    <s v="Biolage"/>
    <s v="All in One"/>
    <s v="Search"/>
    <x v="4"/>
    <s v="Biolage"/>
    <d v="2024-01-06T00:00:00"/>
    <x v="2"/>
    <n v="74.27"/>
    <n v="301"/>
  </r>
  <r>
    <s v="Biolage"/>
    <s v="All in One"/>
    <s v="Search"/>
    <x v="4"/>
    <s v="Biolage"/>
    <d v="2024-01-13T00:00:00"/>
    <x v="2"/>
    <n v="55.88"/>
    <n v="347"/>
  </r>
  <r>
    <s v="Biolage"/>
    <s v="All in One"/>
    <s v="Search"/>
    <x v="4"/>
    <s v="Biolage"/>
    <d v="2024-01-20T00:00:00"/>
    <x v="2"/>
    <n v="52.760000000000005"/>
    <n v="263"/>
  </r>
  <r>
    <s v="Biolage"/>
    <s v="All in One"/>
    <s v="Search"/>
    <x v="4"/>
    <s v="Biolage"/>
    <d v="2024-01-27T00:00:00"/>
    <x v="2"/>
    <n v="45.43"/>
    <n v="294"/>
  </r>
  <r>
    <s v="Biolage"/>
    <s v="All in One"/>
    <s v="Search"/>
    <x v="4"/>
    <s v="Biolage"/>
    <d v="2024-02-03T00:00:00"/>
    <x v="2"/>
    <n v="54.76"/>
    <n v="277"/>
  </r>
  <r>
    <s v="Biolage"/>
    <s v="All in One"/>
    <s v="Search"/>
    <x v="4"/>
    <s v="Biolage"/>
    <d v="2024-02-10T00:00:00"/>
    <x v="2"/>
    <n v="46.79"/>
    <n v="271"/>
  </r>
  <r>
    <s v="Biolage"/>
    <s v="All in One"/>
    <s v="Search"/>
    <x v="4"/>
    <s v="Biolage"/>
    <d v="2024-02-17T00:00:00"/>
    <x v="2"/>
    <n v="57.47"/>
    <n v="265"/>
  </r>
  <r>
    <s v="Biolage"/>
    <s v="All in One"/>
    <s v="Search"/>
    <x v="4"/>
    <s v="Biolage"/>
    <d v="2024-02-24T00:00:00"/>
    <x v="2"/>
    <n v="72.95"/>
    <n v="322"/>
  </r>
  <r>
    <s v="Biolage"/>
    <s v="All in One"/>
    <s v="Search"/>
    <x v="4"/>
    <s v="Biolage"/>
    <d v="2024-03-02T00:00:00"/>
    <x v="2"/>
    <n v="78.69"/>
    <n v="398"/>
  </r>
  <r>
    <s v="Biolage"/>
    <s v="All in One"/>
    <s v="Search"/>
    <x v="4"/>
    <s v="Biolage"/>
    <d v="2024-03-09T00:00:00"/>
    <x v="2"/>
    <n v="93.210000000000008"/>
    <n v="419"/>
  </r>
  <r>
    <s v="Biolage"/>
    <s v="All in One"/>
    <s v="Search"/>
    <x v="4"/>
    <s v="Biolage"/>
    <d v="2024-03-16T00:00:00"/>
    <x v="2"/>
    <n v="107.19"/>
    <n v="409"/>
  </r>
  <r>
    <s v="Biolage"/>
    <s v="All in One"/>
    <s v="Search"/>
    <x v="4"/>
    <s v="Biolage"/>
    <d v="2024-03-23T00:00:00"/>
    <x v="2"/>
    <n v="120.44"/>
    <n v="563"/>
  </r>
  <r>
    <s v="Biolage"/>
    <s v="All in One"/>
    <s v="Search"/>
    <x v="4"/>
    <s v="Biolage"/>
    <d v="2024-03-30T00:00:00"/>
    <x v="2"/>
    <n v="91.12"/>
    <n v="408"/>
  </r>
  <r>
    <s v="Biolage"/>
    <s v="All in One"/>
    <s v="Search"/>
    <x v="4"/>
    <s v="Biolage"/>
    <d v="2024-04-06T00:00:00"/>
    <x v="2"/>
    <n v="100.25999999999999"/>
    <n v="418"/>
  </r>
  <r>
    <s v="Biolage"/>
    <s v="All in One"/>
    <s v="Search"/>
    <x v="4"/>
    <s v="Biolage"/>
    <d v="2024-04-13T00:00:00"/>
    <x v="2"/>
    <n v="81.94"/>
    <n v="358"/>
  </r>
  <r>
    <s v="Biolage"/>
    <s v="All in One"/>
    <s v="Search"/>
    <x v="4"/>
    <s v="Biolage"/>
    <d v="2024-04-20T00:00:00"/>
    <x v="2"/>
    <n v="86.32"/>
    <n v="374"/>
  </r>
  <r>
    <s v="Biolage"/>
    <s v="All in One"/>
    <s v="Search"/>
    <x v="4"/>
    <s v="Biolage"/>
    <d v="2024-04-27T00:00:00"/>
    <x v="2"/>
    <n v="81.53"/>
    <n v="451"/>
  </r>
  <r>
    <s v="Biolage"/>
    <s v="All in One"/>
    <s v="Search"/>
    <x v="4"/>
    <s v="Biolage"/>
    <d v="2024-05-04T00:00:00"/>
    <x v="2"/>
    <n v="72.64"/>
    <n v="336"/>
  </r>
  <r>
    <s v="Biolage"/>
    <s v="All in One"/>
    <s v="Search"/>
    <x v="4"/>
    <s v="Biolage"/>
    <d v="2024-05-11T00:00:00"/>
    <x v="2"/>
    <n v="87.11"/>
    <n v="373"/>
  </r>
  <r>
    <s v="Biolage"/>
    <s v="All in One"/>
    <s v="Search"/>
    <x v="4"/>
    <s v="Biolage"/>
    <d v="2024-05-18T00:00:00"/>
    <x v="2"/>
    <n v="84.06"/>
    <n v="389"/>
  </r>
  <r>
    <s v="Biolage"/>
    <s v="All in One"/>
    <s v="Search"/>
    <x v="4"/>
    <s v="Biolage"/>
    <d v="2024-05-25T00:00:00"/>
    <x v="2"/>
    <n v="104.11999999999999"/>
    <n v="377"/>
  </r>
  <r>
    <s v="Biolage"/>
    <s v="All in One"/>
    <s v="Search"/>
    <x v="4"/>
    <s v="Biolage"/>
    <d v="2024-06-01T00:00:00"/>
    <x v="2"/>
    <n v="91.31"/>
    <n v="384"/>
  </r>
  <r>
    <s v="Biolage"/>
    <s v="All in One"/>
    <s v="Search"/>
    <x v="4"/>
    <s v="Biolage"/>
    <d v="2024-06-08T00:00:00"/>
    <x v="2"/>
    <n v="65.91"/>
    <n v="397"/>
  </r>
  <r>
    <s v="Biolage"/>
    <s v="All in One"/>
    <s v="Search"/>
    <x v="4"/>
    <s v="Biolage"/>
    <d v="2024-06-15T00:00:00"/>
    <x v="2"/>
    <n v="90.35"/>
    <n v="420"/>
  </r>
  <r>
    <s v="Biolage"/>
    <s v="All in One"/>
    <s v="Search"/>
    <x v="4"/>
    <s v="Biolage"/>
    <d v="2024-06-22T00:00:00"/>
    <x v="2"/>
    <n v="83.34"/>
    <n v="437"/>
  </r>
  <r>
    <s v="Biolage"/>
    <s v="All in One"/>
    <s v="Search"/>
    <x v="4"/>
    <s v="Biolage"/>
    <d v="2024-06-29T00:00:00"/>
    <x v="2"/>
    <n v="92.91"/>
    <n v="386"/>
  </r>
  <r>
    <s v="Biolage"/>
    <s v="All in One"/>
    <s v="Search"/>
    <x v="4"/>
    <s v="Biolage"/>
    <d v="2024-07-06T00:00:00"/>
    <x v="2"/>
    <n v="91.100000000000009"/>
    <n v="395"/>
  </r>
  <r>
    <s v="Biolage"/>
    <s v="All in One"/>
    <s v="Search"/>
    <x v="4"/>
    <s v="Biolage"/>
    <d v="2024-07-13T00:00:00"/>
    <x v="2"/>
    <n v="105.24838699999999"/>
    <n v="476"/>
  </r>
  <r>
    <s v="Biolage"/>
    <s v="All in One"/>
    <s v="Search"/>
    <x v="4"/>
    <s v="Biolage"/>
    <d v="2024-07-20T00:00:00"/>
    <x v="2"/>
    <n v="68.720000000000013"/>
    <n v="360"/>
  </r>
  <r>
    <s v="Biolage"/>
    <s v="All in One"/>
    <s v="Search"/>
    <x v="4"/>
    <s v="Biolage"/>
    <d v="2024-07-27T00:00:00"/>
    <x v="2"/>
    <n v="77.050000000000011"/>
    <n v="349"/>
  </r>
  <r>
    <s v="Biolage"/>
    <s v="All in One"/>
    <s v="Search"/>
    <x v="4"/>
    <s v="Biolage"/>
    <d v="2024-08-03T00:00:00"/>
    <x v="2"/>
    <n v="72.12"/>
    <n v="380"/>
  </r>
  <r>
    <s v="Biolage"/>
    <s v="All in One"/>
    <s v="Search"/>
    <x v="4"/>
    <s v="Biolage"/>
    <d v="2024-08-10T00:00:00"/>
    <x v="2"/>
    <n v="61.610000000000007"/>
    <n v="315"/>
  </r>
  <r>
    <s v="Biolage"/>
    <s v="All in One"/>
    <s v="Search"/>
    <x v="4"/>
    <s v="Biolage"/>
    <d v="2024-08-17T00:00:00"/>
    <x v="2"/>
    <n v="55.86"/>
    <n v="317"/>
  </r>
  <r>
    <s v="Biolage"/>
    <s v="All in One"/>
    <s v="Search"/>
    <x v="4"/>
    <s v="Biolage"/>
    <d v="2024-08-24T00:00:00"/>
    <x v="2"/>
    <n v="49.84"/>
    <n v="319"/>
  </r>
  <r>
    <s v="Biolage"/>
    <s v="All in One"/>
    <s v="Search"/>
    <x v="4"/>
    <s v="Biolage"/>
    <d v="2024-08-31T00:00:00"/>
    <x v="2"/>
    <n v="40.71"/>
    <n v="278"/>
  </r>
  <r>
    <s v="Biolage"/>
    <s v="All in One"/>
    <s v="Search"/>
    <x v="4"/>
    <s v="Biolage"/>
    <d v="2024-09-07T00:00:00"/>
    <x v="2"/>
    <n v="54.79"/>
    <n v="298"/>
  </r>
  <r>
    <s v="Biolage"/>
    <s v="All in One"/>
    <s v="Search"/>
    <x v="4"/>
    <s v="Biolage"/>
    <d v="2024-09-14T00:00:00"/>
    <x v="2"/>
    <n v="59.901908999999996"/>
    <n v="353"/>
  </r>
  <r>
    <s v="Biolage"/>
    <s v="All in One"/>
    <s v="Search"/>
    <x v="4"/>
    <s v="Biolage"/>
    <d v="2024-09-21T00:00:00"/>
    <x v="2"/>
    <n v="51.759999999999991"/>
    <n v="297"/>
  </r>
  <r>
    <s v="Biolage"/>
    <s v="All in One"/>
    <s v="Search"/>
    <x v="4"/>
    <s v="Biolage"/>
    <d v="2024-09-28T00:00:00"/>
    <x v="2"/>
    <n v="95.990000000000009"/>
    <n v="338"/>
  </r>
  <r>
    <s v="Biolage"/>
    <s v="All in One"/>
    <s v="Search"/>
    <x v="4"/>
    <s v="Biolage"/>
    <d v="2024-10-05T00:00:00"/>
    <x v="2"/>
    <n v="68.37"/>
    <n v="288"/>
  </r>
  <r>
    <s v="Biolage"/>
    <s v="All in One"/>
    <s v="Search"/>
    <x v="4"/>
    <s v="Biolage"/>
    <d v="2024-10-12T00:00:00"/>
    <x v="2"/>
    <n v="63.019999999999996"/>
    <n v="306"/>
  </r>
  <r>
    <s v="Biolage"/>
    <s v="All in One"/>
    <s v="Search"/>
    <x v="4"/>
    <s v="Biolage"/>
    <d v="2024-10-19T00:00:00"/>
    <x v="2"/>
    <n v="55.777752000000007"/>
    <n v="305"/>
  </r>
  <r>
    <s v="Biolage"/>
    <s v="All in One"/>
    <s v="Search"/>
    <x v="4"/>
    <s v="Biolage"/>
    <d v="2024-10-26T00:00:00"/>
    <x v="2"/>
    <n v="55.084246000000007"/>
    <n v="322"/>
  </r>
  <r>
    <s v="Biolage"/>
    <s v="All in One"/>
    <s v="Search"/>
    <x v="4"/>
    <s v="Biolage"/>
    <d v="2024-11-02T00:00:00"/>
    <x v="2"/>
    <n v="68.84"/>
    <n v="346"/>
  </r>
  <r>
    <s v="Biolage"/>
    <s v="All in One"/>
    <s v="Search"/>
    <x v="4"/>
    <s v="Biolage"/>
    <d v="2024-11-09T00:00:00"/>
    <x v="2"/>
    <n v="43.464940999999996"/>
    <n v="302"/>
  </r>
  <r>
    <s v="Biolage"/>
    <s v="All in One"/>
    <s v="Search"/>
    <x v="4"/>
    <s v="Biolage"/>
    <d v="2024-11-16T00:00:00"/>
    <x v="2"/>
    <n v="48.651818000000006"/>
    <n v="386"/>
  </r>
  <r>
    <s v="Biolage"/>
    <s v="All in One"/>
    <s v="Search"/>
    <x v="4"/>
    <s v="Biolage"/>
    <d v="2024-11-23T00:00:00"/>
    <x v="2"/>
    <n v="38.562568000000006"/>
    <n v="321"/>
  </r>
  <r>
    <s v="Biolage"/>
    <s v="All in One"/>
    <s v="Search"/>
    <x v="4"/>
    <s v="Biolage"/>
    <d v="2024-11-30T00:00:00"/>
    <x v="2"/>
    <n v="47"/>
    <n v="384"/>
  </r>
  <r>
    <s v="Biolage"/>
    <s v="All in One"/>
    <s v="Search"/>
    <x v="4"/>
    <s v="Biolage"/>
    <d v="2024-12-07T00:00:00"/>
    <x v="2"/>
    <n v="32.662573999999999"/>
    <n v="361"/>
  </r>
  <r>
    <s v="Biolage"/>
    <s v="All in One"/>
    <s v="Search"/>
    <x v="4"/>
    <s v="Biolage"/>
    <d v="2024-12-14T00:00:00"/>
    <x v="2"/>
    <n v="30.387562000000003"/>
    <n v="337"/>
  </r>
  <r>
    <s v="Biolage"/>
    <s v="All in One"/>
    <s v="Search"/>
    <x v="4"/>
    <s v="Biolage"/>
    <d v="2024-12-21T00:00:00"/>
    <x v="2"/>
    <n v="20.59"/>
    <n v="280"/>
  </r>
  <r>
    <s v="Biolage"/>
    <s v="All in One"/>
    <s v="Search"/>
    <x v="4"/>
    <s v="Biolage"/>
    <d v="2024-12-28T00:00:00"/>
    <x v="2"/>
    <n v="16.75"/>
    <n v="273"/>
  </r>
  <r>
    <s v="Biolage"/>
    <s v="All in One"/>
    <s v="Search"/>
    <x v="4"/>
    <s v="Biolage"/>
    <d v="2025-01-04T00:00:00"/>
    <x v="2"/>
    <n v="3.75"/>
    <n v="37"/>
  </r>
  <r>
    <s v="Biolage"/>
    <s v="Bond Therapy"/>
    <s v="Search"/>
    <x v="4"/>
    <s v="Biolage"/>
    <d v="2023-09-30T00:00:00"/>
    <x v="1"/>
    <n v="10.97"/>
    <n v="138"/>
  </r>
  <r>
    <s v="Biolage"/>
    <s v="Bond Therapy"/>
    <s v="Search"/>
    <x v="4"/>
    <s v="Biolage"/>
    <d v="2023-10-07T00:00:00"/>
    <x v="1"/>
    <n v="23.72"/>
    <n v="309"/>
  </r>
  <r>
    <s v="Biolage"/>
    <s v="Bond Therapy"/>
    <s v="Search"/>
    <x v="4"/>
    <s v="Biolage"/>
    <d v="2023-10-14T00:00:00"/>
    <x v="1"/>
    <n v="102.97"/>
    <n v="520"/>
  </r>
  <r>
    <s v="Biolage"/>
    <s v="Bond Therapy"/>
    <s v="Search"/>
    <x v="4"/>
    <s v="Biolage"/>
    <d v="2023-10-21T00:00:00"/>
    <x v="1"/>
    <n v="135.86000000000001"/>
    <n v="612"/>
  </r>
  <r>
    <s v="Biolage"/>
    <s v="Bond Therapy"/>
    <s v="Search"/>
    <x v="4"/>
    <s v="Biolage"/>
    <d v="2023-10-28T00:00:00"/>
    <x v="1"/>
    <n v="116.83"/>
    <n v="471"/>
  </r>
  <r>
    <s v="Biolage"/>
    <s v="Bond Therapy"/>
    <s v="Search"/>
    <x v="4"/>
    <s v="Biolage"/>
    <d v="2023-11-04T00:00:00"/>
    <x v="1"/>
    <n v="198.61"/>
    <n v="609"/>
  </r>
  <r>
    <s v="Biolage"/>
    <s v="Bond Therapy"/>
    <s v="Search"/>
    <x v="4"/>
    <s v="Biolage"/>
    <d v="2023-11-11T00:00:00"/>
    <x v="1"/>
    <n v="238.77"/>
    <n v="708"/>
  </r>
  <r>
    <s v="Biolage"/>
    <s v="Bond Therapy"/>
    <s v="Search"/>
    <x v="4"/>
    <s v="Biolage"/>
    <d v="2023-11-18T00:00:00"/>
    <x v="1"/>
    <n v="310.64"/>
    <n v="742"/>
  </r>
  <r>
    <s v="Biolage"/>
    <s v="Bond Therapy"/>
    <s v="Search"/>
    <x v="4"/>
    <s v="Biolage"/>
    <d v="2023-11-25T00:00:00"/>
    <x v="1"/>
    <n v="223.60999999999999"/>
    <n v="867"/>
  </r>
  <r>
    <s v="Biolage"/>
    <s v="Bond Therapy"/>
    <s v="Search"/>
    <x v="4"/>
    <s v="Biolage"/>
    <d v="2023-12-02T00:00:00"/>
    <x v="1"/>
    <n v="216.18"/>
    <n v="696"/>
  </r>
  <r>
    <s v="Biolage"/>
    <s v="Bond Therapy"/>
    <s v="Search"/>
    <x v="4"/>
    <s v="Biolage"/>
    <d v="2023-12-09T00:00:00"/>
    <x v="1"/>
    <n v="239.89999999999998"/>
    <n v="664"/>
  </r>
  <r>
    <s v="Biolage"/>
    <s v="Bond Therapy"/>
    <s v="Search"/>
    <x v="4"/>
    <s v="Biolage"/>
    <d v="2023-12-16T00:00:00"/>
    <x v="1"/>
    <n v="327.62"/>
    <n v="820"/>
  </r>
  <r>
    <s v="Biolage"/>
    <s v="Bond Therapy"/>
    <s v="Search"/>
    <x v="4"/>
    <s v="Biolage"/>
    <d v="2023-12-23T00:00:00"/>
    <x v="1"/>
    <n v="464.76"/>
    <n v="940"/>
  </r>
  <r>
    <s v="Biolage"/>
    <s v="Bond Therapy"/>
    <s v="Search"/>
    <x v="4"/>
    <s v="Biolage"/>
    <d v="2023-12-30T00:00:00"/>
    <x v="1"/>
    <n v="359.56000000000006"/>
    <n v="870"/>
  </r>
  <r>
    <s v="Biolage"/>
    <s v="Bond Therapy"/>
    <s v="Search"/>
    <x v="4"/>
    <s v="Biolage"/>
    <d v="2024-01-06T00:00:00"/>
    <x v="2"/>
    <n v="136.52000000000001"/>
    <n v="492"/>
  </r>
  <r>
    <s v="Biolage"/>
    <s v="Bond Therapy"/>
    <s v="Search"/>
    <x v="4"/>
    <s v="Biolage"/>
    <d v="2024-01-13T00:00:00"/>
    <x v="2"/>
    <n v="144.15"/>
    <n v="536"/>
  </r>
  <r>
    <s v="Biolage"/>
    <s v="Bond Therapy"/>
    <s v="Search"/>
    <x v="4"/>
    <s v="Biolage"/>
    <d v="2024-01-20T00:00:00"/>
    <x v="2"/>
    <n v="68.63"/>
    <n v="395"/>
  </r>
  <r>
    <s v="Biolage"/>
    <s v="Bond Therapy"/>
    <s v="Search"/>
    <x v="4"/>
    <s v="Biolage"/>
    <d v="2024-01-27T00:00:00"/>
    <x v="2"/>
    <n v="76.309999999999988"/>
    <n v="397"/>
  </r>
  <r>
    <s v="Biolage"/>
    <s v="Bond Therapy"/>
    <s v="Search"/>
    <x v="4"/>
    <s v="Biolage"/>
    <d v="2024-02-03T00:00:00"/>
    <x v="2"/>
    <n v="71.83"/>
    <n v="342"/>
  </r>
  <r>
    <s v="Biolage"/>
    <s v="Bond Therapy"/>
    <s v="Search"/>
    <x v="4"/>
    <s v="Biolage"/>
    <d v="2024-02-10T00:00:00"/>
    <x v="2"/>
    <n v="75.5"/>
    <n v="304"/>
  </r>
  <r>
    <s v="Biolage"/>
    <s v="Bond Therapy"/>
    <s v="Search"/>
    <x v="4"/>
    <s v="Biolage"/>
    <d v="2024-02-17T00:00:00"/>
    <x v="2"/>
    <n v="64.72999999999999"/>
    <n v="271"/>
  </r>
  <r>
    <s v="Biolage"/>
    <s v="Bond Therapy"/>
    <s v="Search"/>
    <x v="4"/>
    <s v="Biolage"/>
    <d v="2024-02-24T00:00:00"/>
    <x v="2"/>
    <n v="51.449999999999996"/>
    <n v="283"/>
  </r>
  <r>
    <s v="Biolage"/>
    <s v="Bond Therapy"/>
    <s v="Search"/>
    <x v="4"/>
    <s v="Biolage"/>
    <d v="2024-03-02T00:00:00"/>
    <x v="2"/>
    <n v="62.41"/>
    <n v="258"/>
  </r>
  <r>
    <s v="Biolage"/>
    <s v="Bond Therapy"/>
    <s v="Search"/>
    <x v="4"/>
    <s v="Biolage"/>
    <d v="2024-03-09T00:00:00"/>
    <x v="2"/>
    <n v="51.309999999999995"/>
    <n v="258"/>
  </r>
  <r>
    <s v="Biolage"/>
    <s v="Bond Therapy"/>
    <s v="Search"/>
    <x v="4"/>
    <s v="Biolage"/>
    <d v="2024-03-16T00:00:00"/>
    <x v="2"/>
    <n v="49.679999999999993"/>
    <n v="255"/>
  </r>
  <r>
    <s v="Biolage"/>
    <s v="Bond Therapy"/>
    <s v="Search"/>
    <x v="4"/>
    <s v="Biolage"/>
    <d v="2024-03-23T00:00:00"/>
    <x v="2"/>
    <n v="43.539999999999992"/>
    <n v="266"/>
  </r>
  <r>
    <s v="Biolage"/>
    <s v="Bond Therapy"/>
    <s v="Search"/>
    <x v="4"/>
    <s v="Biolage"/>
    <d v="2024-03-30T00:00:00"/>
    <x v="2"/>
    <n v="45.699999999999996"/>
    <n v="277"/>
  </r>
  <r>
    <s v="Biolage"/>
    <s v="Bond Therapy"/>
    <s v="Search"/>
    <x v="4"/>
    <s v="Biolage"/>
    <d v="2024-04-06T00:00:00"/>
    <x v="2"/>
    <n v="44.11"/>
    <n v="211"/>
  </r>
  <r>
    <s v="Biolage"/>
    <s v="Bond Therapy"/>
    <s v="Search"/>
    <x v="4"/>
    <s v="Biolage"/>
    <d v="2024-04-13T00:00:00"/>
    <x v="2"/>
    <n v="32.639999999999993"/>
    <n v="168"/>
  </r>
  <r>
    <s v="Biolage"/>
    <s v="Bond Therapy"/>
    <s v="Search"/>
    <x v="4"/>
    <s v="Biolage"/>
    <d v="2024-04-20T00:00:00"/>
    <x v="2"/>
    <n v="37.520000000000003"/>
    <n v="220"/>
  </r>
  <r>
    <s v="Biolage"/>
    <s v="Bond Therapy"/>
    <s v="Search"/>
    <x v="4"/>
    <s v="Biolage"/>
    <d v="2024-04-27T00:00:00"/>
    <x v="2"/>
    <n v="37.949999999999996"/>
    <n v="231"/>
  </r>
  <r>
    <s v="Biolage"/>
    <s v="Bond Therapy"/>
    <s v="Search"/>
    <x v="4"/>
    <s v="Biolage"/>
    <d v="2024-05-04T00:00:00"/>
    <x v="2"/>
    <n v="38.14"/>
    <n v="226"/>
  </r>
  <r>
    <s v="Biolage"/>
    <s v="Bond Therapy"/>
    <s v="Search"/>
    <x v="4"/>
    <s v="Biolage"/>
    <d v="2024-05-11T00:00:00"/>
    <x v="2"/>
    <n v="47.24"/>
    <n v="217"/>
  </r>
  <r>
    <s v="Biolage"/>
    <s v="Bond Therapy"/>
    <s v="Search"/>
    <x v="4"/>
    <s v="Biolage"/>
    <d v="2024-05-18T00:00:00"/>
    <x v="2"/>
    <n v="48.15"/>
    <n v="236"/>
  </r>
  <r>
    <s v="Biolage"/>
    <s v="Bond Therapy"/>
    <s v="Search"/>
    <x v="4"/>
    <s v="Biolage"/>
    <d v="2024-05-25T00:00:00"/>
    <x v="2"/>
    <n v="50.089999999999996"/>
    <n v="215"/>
  </r>
  <r>
    <s v="Biolage"/>
    <s v="Bond Therapy"/>
    <s v="Search"/>
    <x v="4"/>
    <s v="Biolage"/>
    <d v="2024-06-01T00:00:00"/>
    <x v="2"/>
    <n v="51.63000000000001"/>
    <n v="218"/>
  </r>
  <r>
    <s v="Biolage"/>
    <s v="Bond Therapy"/>
    <s v="Search"/>
    <x v="4"/>
    <s v="Biolage"/>
    <d v="2024-06-08T00:00:00"/>
    <x v="2"/>
    <n v="26.209999999999997"/>
    <n v="117"/>
  </r>
  <r>
    <s v="Biolage"/>
    <s v="Bond Therapy"/>
    <s v="Search"/>
    <x v="4"/>
    <s v="Biolage"/>
    <d v="2024-06-15T00:00:00"/>
    <x v="2"/>
    <n v="22.130000000000003"/>
    <n v="120"/>
  </r>
  <r>
    <s v="Biolage"/>
    <s v="Bond Therapy"/>
    <s v="Search"/>
    <x v="4"/>
    <s v="Biolage"/>
    <d v="2024-06-22T00:00:00"/>
    <x v="2"/>
    <n v="43.59"/>
    <n v="221"/>
  </r>
  <r>
    <s v="Biolage"/>
    <s v="Bond Therapy"/>
    <s v="Search"/>
    <x v="4"/>
    <s v="Biolage"/>
    <d v="2024-06-29T00:00:00"/>
    <x v="2"/>
    <n v="28.740000000000002"/>
    <n v="246"/>
  </r>
  <r>
    <s v="Biolage"/>
    <s v="Bond Therapy"/>
    <s v="Search"/>
    <x v="4"/>
    <s v="Biolage"/>
    <d v="2024-07-06T00:00:00"/>
    <x v="2"/>
    <n v="42.28"/>
    <n v="238"/>
  </r>
  <r>
    <s v="Biolage"/>
    <s v="Bond Therapy"/>
    <s v="Search"/>
    <x v="4"/>
    <s v="Biolage"/>
    <d v="2024-07-13T00:00:00"/>
    <x v="2"/>
    <n v="52.083331999999992"/>
    <n v="282"/>
  </r>
  <r>
    <s v="Biolage"/>
    <s v="Bond Therapy"/>
    <s v="Search"/>
    <x v="4"/>
    <s v="Biolage"/>
    <d v="2024-07-20T00:00:00"/>
    <x v="2"/>
    <n v="45.66"/>
    <n v="217"/>
  </r>
  <r>
    <s v="Biolage"/>
    <s v="Bond Therapy"/>
    <s v="Search"/>
    <x v="4"/>
    <s v="Biolage"/>
    <d v="2024-07-27T00:00:00"/>
    <x v="2"/>
    <n v="37.28"/>
    <n v="195"/>
  </r>
  <r>
    <s v="Biolage"/>
    <s v="Bond Therapy"/>
    <s v="Search"/>
    <x v="4"/>
    <s v="Biolage"/>
    <d v="2024-08-03T00:00:00"/>
    <x v="2"/>
    <n v="38.06"/>
    <n v="175"/>
  </r>
  <r>
    <s v="Biolage"/>
    <s v="Bond Therapy"/>
    <s v="Search"/>
    <x v="4"/>
    <s v="Biolage"/>
    <d v="2024-08-10T00:00:00"/>
    <x v="2"/>
    <n v="31.65"/>
    <n v="133"/>
  </r>
  <r>
    <s v="Biolage"/>
    <s v="Bond Therapy"/>
    <s v="Search"/>
    <x v="4"/>
    <s v="Biolage"/>
    <d v="2024-08-17T00:00:00"/>
    <x v="2"/>
    <n v="41.949999999999996"/>
    <n v="225"/>
  </r>
  <r>
    <s v="Biolage"/>
    <s v="Bond Therapy"/>
    <s v="Search"/>
    <x v="4"/>
    <s v="Biolage"/>
    <d v="2024-08-24T00:00:00"/>
    <x v="2"/>
    <n v="35.31"/>
    <n v="180"/>
  </r>
  <r>
    <s v="Biolage"/>
    <s v="Bond Therapy"/>
    <s v="Search"/>
    <x v="4"/>
    <s v="Biolage"/>
    <d v="2024-08-31T00:00:00"/>
    <x v="2"/>
    <n v="39.36"/>
    <n v="161"/>
  </r>
  <r>
    <s v="Biolage"/>
    <s v="Bond Therapy"/>
    <s v="Search"/>
    <x v="4"/>
    <s v="Biolage"/>
    <d v="2024-09-07T00:00:00"/>
    <x v="2"/>
    <n v="34.620000000000005"/>
    <n v="178"/>
  </r>
  <r>
    <s v="Biolage"/>
    <s v="Bond Therapy"/>
    <s v="Search"/>
    <x v="4"/>
    <s v="Biolage"/>
    <d v="2024-09-14T00:00:00"/>
    <x v="2"/>
    <n v="33.76"/>
    <n v="189"/>
  </r>
  <r>
    <s v="Biolage"/>
    <s v="Bond Therapy"/>
    <s v="Search"/>
    <x v="4"/>
    <s v="Biolage"/>
    <d v="2024-09-21T00:00:00"/>
    <x v="2"/>
    <n v="52.783485999999996"/>
    <n v="186"/>
  </r>
  <r>
    <s v="Biolage"/>
    <s v="Bond Therapy"/>
    <s v="Search"/>
    <x v="4"/>
    <s v="Biolage"/>
    <d v="2024-09-28T00:00:00"/>
    <x v="2"/>
    <n v="34.49"/>
    <n v="178"/>
  </r>
  <r>
    <s v="Biolage"/>
    <s v="Bond Therapy"/>
    <s v="Search"/>
    <x v="4"/>
    <s v="Biolage"/>
    <d v="2024-10-05T00:00:00"/>
    <x v="2"/>
    <n v="44.86"/>
    <n v="166"/>
  </r>
  <r>
    <s v="Biolage"/>
    <s v="Bond Therapy"/>
    <s v="Search"/>
    <x v="4"/>
    <s v="Biolage"/>
    <d v="2024-10-12T00:00:00"/>
    <x v="2"/>
    <n v="35.120000000000005"/>
    <n v="224"/>
  </r>
  <r>
    <s v="Biolage"/>
    <s v="Bond Therapy"/>
    <s v="Search"/>
    <x v="4"/>
    <s v="Biolage"/>
    <d v="2024-10-19T00:00:00"/>
    <x v="2"/>
    <n v="72.504999999999995"/>
    <n v="373"/>
  </r>
  <r>
    <s v="Biolage"/>
    <s v="Bond Therapy"/>
    <s v="Search"/>
    <x v="4"/>
    <s v="Biolage"/>
    <d v="2024-10-26T00:00:00"/>
    <x v="2"/>
    <n v="69.736086"/>
    <n v="480"/>
  </r>
  <r>
    <s v="Biolage"/>
    <s v="Bond Therapy"/>
    <s v="Search"/>
    <x v="4"/>
    <s v="Biolage"/>
    <d v="2024-11-02T00:00:00"/>
    <x v="2"/>
    <n v="57.22"/>
    <n v="462"/>
  </r>
  <r>
    <s v="Biolage"/>
    <s v="Bond Therapy"/>
    <s v="Search"/>
    <x v="4"/>
    <s v="Biolage"/>
    <d v="2024-11-09T00:00:00"/>
    <x v="2"/>
    <n v="46.52"/>
    <n v="354"/>
  </r>
  <r>
    <s v="Biolage"/>
    <s v="Bond Therapy"/>
    <s v="Search"/>
    <x v="4"/>
    <s v="Biolage"/>
    <d v="2024-11-16T00:00:00"/>
    <x v="2"/>
    <n v="36.323284000000001"/>
    <n v="300"/>
  </r>
  <r>
    <s v="Biolage"/>
    <s v="Bond Therapy"/>
    <s v="Search"/>
    <x v="4"/>
    <s v="Biolage"/>
    <d v="2024-11-23T00:00:00"/>
    <x v="2"/>
    <n v="19.939999999999998"/>
    <n v="299"/>
  </r>
  <r>
    <s v="Biolage"/>
    <s v="Bond Therapy"/>
    <s v="Search"/>
    <x v="4"/>
    <s v="Biolage"/>
    <d v="2024-11-30T00:00:00"/>
    <x v="2"/>
    <n v="18.880000000000003"/>
    <n v="293"/>
  </r>
  <r>
    <s v="Biolage"/>
    <s v="Bond Therapy"/>
    <s v="Search"/>
    <x v="4"/>
    <s v="Biolage"/>
    <d v="2024-12-07T00:00:00"/>
    <x v="2"/>
    <n v="25.383335000000002"/>
    <n v="289"/>
  </r>
  <r>
    <s v="Biolage"/>
    <s v="Bond Therapy"/>
    <s v="Search"/>
    <x v="4"/>
    <s v="Biolage"/>
    <d v="2024-12-14T00:00:00"/>
    <x v="2"/>
    <n v="29.844419000000002"/>
    <n v="295"/>
  </r>
  <r>
    <s v="Biolage"/>
    <s v="Bond Therapy"/>
    <s v="Search"/>
    <x v="4"/>
    <s v="Biolage"/>
    <d v="2024-12-21T00:00:00"/>
    <x v="2"/>
    <n v="11.520000000000001"/>
    <n v="238"/>
  </r>
  <r>
    <s v="Biolage"/>
    <s v="Bond Therapy"/>
    <s v="Search"/>
    <x v="4"/>
    <s v="Biolage"/>
    <d v="2024-12-28T00:00:00"/>
    <x v="2"/>
    <n v="10.8"/>
    <n v="247"/>
  </r>
  <r>
    <s v="Biolage"/>
    <s v="Bond Therapy"/>
    <s v="Search"/>
    <x v="4"/>
    <s v="Biolage"/>
    <d v="2025-01-04T00:00:00"/>
    <x v="2"/>
    <n v="1.29"/>
    <n v="22"/>
  </r>
  <r>
    <s v="Biolage"/>
    <s v="Biolage - Brand"/>
    <s v="Search"/>
    <x v="4"/>
    <s v="Biolage"/>
    <d v="2023-07-01T00:00:00"/>
    <x v="1"/>
    <n v="1767.83"/>
    <n v="6136"/>
  </r>
  <r>
    <s v="Biolage"/>
    <s v="Biolage - Brand"/>
    <s v="Search"/>
    <x v="4"/>
    <s v="Biolage"/>
    <d v="2023-07-08T00:00:00"/>
    <x v="1"/>
    <n v="12810.929999999998"/>
    <n v="42285"/>
  </r>
  <r>
    <s v="Biolage"/>
    <s v="Biolage - Brand"/>
    <s v="Search"/>
    <x v="4"/>
    <s v="Biolage"/>
    <d v="2023-07-15T00:00:00"/>
    <x v="1"/>
    <n v="12360.560000000001"/>
    <n v="46045"/>
  </r>
  <r>
    <s v="Biolage"/>
    <s v="Biolage - Brand"/>
    <s v="Search"/>
    <x v="4"/>
    <s v="Biolage"/>
    <d v="2023-07-22T00:00:00"/>
    <x v="1"/>
    <n v="12450.269999999999"/>
    <n v="49655"/>
  </r>
  <r>
    <s v="Biolage"/>
    <s v="Biolage - Brand"/>
    <s v="Search"/>
    <x v="4"/>
    <s v="Biolage"/>
    <d v="2023-07-29T00:00:00"/>
    <x v="1"/>
    <n v="13948.090000000004"/>
    <n v="50953"/>
  </r>
  <r>
    <s v="Biolage"/>
    <s v="Biolage - Brand"/>
    <s v="Search"/>
    <x v="4"/>
    <s v="Biolage"/>
    <d v="2023-08-05T00:00:00"/>
    <x v="1"/>
    <n v="15258.67"/>
    <n v="46242"/>
  </r>
  <r>
    <s v="Biolage"/>
    <s v="Biolage - Brand"/>
    <s v="Search"/>
    <x v="4"/>
    <s v="Biolage"/>
    <d v="2023-08-12T00:00:00"/>
    <x v="1"/>
    <n v="13302.56"/>
    <n v="41698"/>
  </r>
  <r>
    <s v="Biolage"/>
    <s v="Biolage - Brand"/>
    <s v="Search"/>
    <x v="4"/>
    <s v="Biolage"/>
    <d v="2023-08-19T00:00:00"/>
    <x v="1"/>
    <n v="13178.14"/>
    <n v="42774"/>
  </r>
  <r>
    <s v="Biolage"/>
    <s v="Biolage - Brand"/>
    <s v="Search"/>
    <x v="4"/>
    <s v="Biolage"/>
    <d v="2023-08-26T00:00:00"/>
    <x v="1"/>
    <n v="13218.169999999998"/>
    <n v="40784"/>
  </r>
  <r>
    <s v="Biolage"/>
    <s v="Biolage - Brand"/>
    <s v="Search"/>
    <x v="4"/>
    <s v="Biolage"/>
    <d v="2023-09-02T00:00:00"/>
    <x v="1"/>
    <n v="12602.690000000002"/>
    <n v="39432"/>
  </r>
  <r>
    <s v="Biolage"/>
    <s v="Biolage - Brand"/>
    <s v="Search"/>
    <x v="4"/>
    <s v="Biolage"/>
    <d v="2023-09-09T00:00:00"/>
    <x v="1"/>
    <n v="13193.209999999997"/>
    <n v="39833"/>
  </r>
  <r>
    <s v="Biolage"/>
    <s v="Biolage - Brand"/>
    <s v="Search"/>
    <x v="4"/>
    <s v="Biolage"/>
    <d v="2023-09-16T00:00:00"/>
    <x v="1"/>
    <n v="13804.890000000003"/>
    <n v="45241"/>
  </r>
  <r>
    <s v="Biolage"/>
    <s v="Biolage - Brand"/>
    <s v="Search"/>
    <x v="4"/>
    <s v="Biolage"/>
    <d v="2023-09-23T00:00:00"/>
    <x v="1"/>
    <n v="12584.519999999997"/>
    <n v="47040"/>
  </r>
  <r>
    <s v="Biolage"/>
    <s v="Biolage - Brand"/>
    <s v="Search"/>
    <x v="4"/>
    <s v="Biolage"/>
    <d v="2023-09-30T00:00:00"/>
    <x v="1"/>
    <n v="13169.369999999995"/>
    <n v="43559"/>
  </r>
  <r>
    <s v="Biolage"/>
    <s v="Biolage - Brand"/>
    <s v="Search"/>
    <x v="4"/>
    <s v="Biolage"/>
    <d v="2023-10-07T00:00:00"/>
    <x v="1"/>
    <n v="11897.369999999997"/>
    <n v="35878"/>
  </r>
  <r>
    <s v="Biolage"/>
    <s v="Biolage - Brand"/>
    <s v="Search"/>
    <x v="4"/>
    <s v="Biolage"/>
    <d v="2023-10-14T00:00:00"/>
    <x v="1"/>
    <n v="11142.99"/>
    <n v="35327"/>
  </r>
  <r>
    <s v="Biolage"/>
    <s v="Biolage - Brand"/>
    <s v="Search"/>
    <x v="4"/>
    <s v="Biolage"/>
    <d v="2023-10-21T00:00:00"/>
    <x v="1"/>
    <n v="10666.300000000001"/>
    <n v="34035"/>
  </r>
  <r>
    <s v="Biolage"/>
    <s v="Biolage - Brand"/>
    <s v="Search"/>
    <x v="4"/>
    <s v="Biolage"/>
    <d v="2023-10-28T00:00:00"/>
    <x v="1"/>
    <n v="10283.220000000003"/>
    <n v="30983"/>
  </r>
  <r>
    <s v="Biolage"/>
    <s v="Biolage - Brand"/>
    <s v="Search"/>
    <x v="4"/>
    <s v="Biolage"/>
    <d v="2023-11-04T00:00:00"/>
    <x v="1"/>
    <n v="10427.290000000001"/>
    <n v="31655"/>
  </r>
  <r>
    <s v="Biolage"/>
    <s v="Biolage - Brand"/>
    <s v="Search"/>
    <x v="4"/>
    <s v="Biolage"/>
    <d v="2023-11-11T00:00:00"/>
    <x v="1"/>
    <n v="10886.180000000004"/>
    <n v="33892"/>
  </r>
  <r>
    <s v="Biolage"/>
    <s v="Biolage - Brand"/>
    <s v="Search"/>
    <x v="4"/>
    <s v="Biolage"/>
    <d v="2023-11-18T00:00:00"/>
    <x v="1"/>
    <n v="10939.359999999999"/>
    <n v="35079"/>
  </r>
  <r>
    <s v="Biolage"/>
    <s v="Biolage - Brand"/>
    <s v="Search"/>
    <x v="4"/>
    <s v="Biolage"/>
    <d v="2023-11-25T00:00:00"/>
    <x v="1"/>
    <n v="13519.650000000001"/>
    <n v="40639"/>
  </r>
  <r>
    <s v="Biolage"/>
    <s v="Biolage - Brand"/>
    <s v="Search"/>
    <x v="4"/>
    <s v="Biolage"/>
    <d v="2023-12-02T00:00:00"/>
    <x v="1"/>
    <n v="11610.16"/>
    <n v="37004"/>
  </r>
  <r>
    <s v="Biolage"/>
    <s v="Biolage - Brand"/>
    <s v="Search"/>
    <x v="4"/>
    <s v="Biolage"/>
    <d v="2023-12-09T00:00:00"/>
    <x v="1"/>
    <n v="11144.380000000003"/>
    <n v="34334"/>
  </r>
  <r>
    <s v="Biolage"/>
    <s v="Biolage - Brand"/>
    <s v="Search"/>
    <x v="4"/>
    <s v="Biolage"/>
    <d v="2023-12-16T00:00:00"/>
    <x v="1"/>
    <n v="10440.119999999999"/>
    <n v="34174"/>
  </r>
  <r>
    <s v="Biolage"/>
    <s v="Biolage - Brand"/>
    <s v="Search"/>
    <x v="4"/>
    <s v="Biolage"/>
    <d v="2023-12-23T00:00:00"/>
    <x v="1"/>
    <n v="10128.700000000001"/>
    <n v="34349"/>
  </r>
  <r>
    <s v="Biolage"/>
    <s v="Biolage - Brand"/>
    <s v="Search"/>
    <x v="4"/>
    <s v="Biolage"/>
    <d v="2023-12-30T00:00:00"/>
    <x v="1"/>
    <n v="9479.6699999999964"/>
    <n v="32506"/>
  </r>
  <r>
    <s v="Biolage"/>
    <s v="Biolage - Brand"/>
    <s v="Search"/>
    <x v="4"/>
    <s v="Biolage"/>
    <d v="2024-01-06T00:00:00"/>
    <x v="2"/>
    <n v="7709.69"/>
    <n v="29967"/>
  </r>
  <r>
    <s v="Biolage"/>
    <s v="Biolage - Brand"/>
    <s v="Search"/>
    <x v="4"/>
    <s v="Biolage"/>
    <d v="2024-01-13T00:00:00"/>
    <x v="2"/>
    <n v="7988.2700000000013"/>
    <n v="32465"/>
  </r>
  <r>
    <s v="Biolage"/>
    <s v="Biolage - Brand"/>
    <s v="Search"/>
    <x v="4"/>
    <s v="Biolage"/>
    <d v="2024-01-20T00:00:00"/>
    <x v="2"/>
    <n v="8106.3899999999994"/>
    <n v="30879"/>
  </r>
  <r>
    <s v="Biolage"/>
    <s v="Biolage - Brand"/>
    <s v="Search"/>
    <x v="4"/>
    <s v="Biolage"/>
    <d v="2024-01-27T00:00:00"/>
    <x v="2"/>
    <n v="8009.6"/>
    <n v="31409"/>
  </r>
  <r>
    <s v="Biolage"/>
    <s v="Biolage - Brand"/>
    <s v="Search"/>
    <x v="4"/>
    <s v="Biolage"/>
    <d v="2024-02-03T00:00:00"/>
    <x v="2"/>
    <n v="8366.81"/>
    <n v="32149"/>
  </r>
  <r>
    <s v="Biolage"/>
    <s v="Biolage - Brand"/>
    <s v="Search"/>
    <x v="4"/>
    <s v="Biolage"/>
    <d v="2024-02-10T00:00:00"/>
    <x v="2"/>
    <n v="8124.1500000000015"/>
    <n v="30715"/>
  </r>
  <r>
    <s v="Biolage"/>
    <s v="Biolage - Brand"/>
    <s v="Search"/>
    <x v="4"/>
    <s v="Biolage"/>
    <d v="2024-02-17T00:00:00"/>
    <x v="2"/>
    <n v="7805.8300000000027"/>
    <n v="29342"/>
  </r>
  <r>
    <s v="Biolage"/>
    <s v="Biolage - Brand"/>
    <s v="Search"/>
    <x v="4"/>
    <s v="Biolage"/>
    <d v="2024-02-24T00:00:00"/>
    <x v="2"/>
    <n v="7890.0800000000008"/>
    <n v="30672"/>
  </r>
  <r>
    <s v="Biolage"/>
    <s v="Biolage - Brand"/>
    <s v="Search"/>
    <x v="4"/>
    <s v="Biolage"/>
    <d v="2024-03-02T00:00:00"/>
    <x v="2"/>
    <n v="8644.5400000000009"/>
    <n v="31488"/>
  </r>
  <r>
    <s v="Biolage"/>
    <s v="Biolage - Brand"/>
    <s v="Search"/>
    <x v="4"/>
    <s v="Biolage"/>
    <d v="2024-03-09T00:00:00"/>
    <x v="2"/>
    <n v="10337.749999999996"/>
    <n v="34045"/>
  </r>
  <r>
    <s v="Biolage"/>
    <s v="Biolage - Brand"/>
    <s v="Search"/>
    <x v="4"/>
    <s v="Biolage"/>
    <d v="2024-03-16T00:00:00"/>
    <x v="2"/>
    <n v="9065.41"/>
    <n v="31472"/>
  </r>
  <r>
    <s v="Biolage"/>
    <s v="Biolage - Brand"/>
    <s v="Search"/>
    <x v="4"/>
    <s v="Biolage"/>
    <d v="2024-03-23T00:00:00"/>
    <x v="2"/>
    <n v="8387.0299999999988"/>
    <n v="30896"/>
  </r>
  <r>
    <s v="Biolage"/>
    <s v="Biolage - Brand"/>
    <s v="Search"/>
    <x v="4"/>
    <s v="Biolage"/>
    <d v="2024-03-30T00:00:00"/>
    <x v="2"/>
    <n v="8325.8722969999999"/>
    <n v="29542"/>
  </r>
  <r>
    <s v="Biolage"/>
    <s v="Biolage - Brand"/>
    <s v="Search"/>
    <x v="4"/>
    <s v="Biolage"/>
    <d v="2024-04-06T00:00:00"/>
    <x v="2"/>
    <n v="8505.9989580000001"/>
    <n v="31858"/>
  </r>
  <r>
    <s v="Biolage"/>
    <s v="Biolage - Brand"/>
    <s v="Search"/>
    <x v="4"/>
    <s v="Biolage"/>
    <d v="2024-04-13T00:00:00"/>
    <x v="2"/>
    <n v="8947.6126199999981"/>
    <n v="35254"/>
  </r>
  <r>
    <s v="Biolage"/>
    <s v="Biolage - Brand"/>
    <s v="Search"/>
    <x v="4"/>
    <s v="Biolage"/>
    <d v="2024-04-20T00:00:00"/>
    <x v="2"/>
    <n v="8529.7832739999994"/>
    <n v="34096"/>
  </r>
  <r>
    <s v="Biolage"/>
    <s v="Biolage - Brand"/>
    <s v="Search"/>
    <x v="4"/>
    <s v="Biolage"/>
    <d v="2024-04-27T00:00:00"/>
    <x v="2"/>
    <n v="8844.1343230000002"/>
    <n v="34039"/>
  </r>
  <r>
    <s v="Biolage"/>
    <s v="Biolage - Brand"/>
    <s v="Search"/>
    <x v="4"/>
    <s v="Biolage"/>
    <d v="2024-05-04T00:00:00"/>
    <x v="2"/>
    <n v="7562.0014150000006"/>
    <n v="28414"/>
  </r>
  <r>
    <s v="Biolage"/>
    <s v="Biolage - Brand"/>
    <s v="Search"/>
    <x v="4"/>
    <s v="Biolage"/>
    <d v="2024-05-11T00:00:00"/>
    <x v="2"/>
    <n v="7276.1032540000006"/>
    <n v="28780"/>
  </r>
  <r>
    <s v="Biolage"/>
    <s v="Biolage - Brand"/>
    <s v="Search"/>
    <x v="4"/>
    <s v="Biolage"/>
    <d v="2024-05-18T00:00:00"/>
    <x v="2"/>
    <n v="7417.0357950000007"/>
    <n v="28131"/>
  </r>
  <r>
    <s v="Biolage"/>
    <s v="Biolage - Brand"/>
    <s v="Search"/>
    <x v="4"/>
    <s v="Biolage"/>
    <d v="2024-05-25T00:00:00"/>
    <x v="2"/>
    <n v="7676.6573399999997"/>
    <n v="28716"/>
  </r>
  <r>
    <s v="Biolage"/>
    <s v="Biolage - Brand"/>
    <s v="Search"/>
    <x v="4"/>
    <s v="Biolage"/>
    <d v="2024-06-01T00:00:00"/>
    <x v="2"/>
    <n v="7090.7125310000019"/>
    <n v="27124"/>
  </r>
  <r>
    <s v="Biolage"/>
    <s v="Biolage - Brand"/>
    <s v="Search"/>
    <x v="4"/>
    <s v="Biolage"/>
    <d v="2024-06-08T00:00:00"/>
    <x v="2"/>
    <n v="7568.6398499999968"/>
    <n v="29159"/>
  </r>
  <r>
    <s v="Biolage"/>
    <s v="Biolage - Brand"/>
    <s v="Search"/>
    <x v="4"/>
    <s v="Biolage"/>
    <d v="2024-06-15T00:00:00"/>
    <x v="2"/>
    <n v="7170.3243610000036"/>
    <n v="28180"/>
  </r>
  <r>
    <s v="Biolage"/>
    <s v="Biolage - Brand"/>
    <s v="Search"/>
    <x v="4"/>
    <s v="Biolage"/>
    <d v="2024-06-22T00:00:00"/>
    <x v="2"/>
    <n v="7559.404070999999"/>
    <n v="30597"/>
  </r>
  <r>
    <s v="Biolage"/>
    <s v="Biolage - Brand"/>
    <s v="Search"/>
    <x v="4"/>
    <s v="Biolage"/>
    <d v="2024-06-29T00:00:00"/>
    <x v="2"/>
    <n v="8182.6840920000004"/>
    <n v="32600"/>
  </r>
  <r>
    <s v="Biolage"/>
    <s v="Biolage - Brand"/>
    <s v="Search"/>
    <x v="4"/>
    <s v="Biolage"/>
    <d v="2024-07-06T00:00:00"/>
    <x v="2"/>
    <n v="7285.5753510000022"/>
    <n v="29725"/>
  </r>
  <r>
    <s v="Biolage"/>
    <s v="Biolage - Brand"/>
    <s v="Search"/>
    <x v="4"/>
    <s v="Biolage"/>
    <d v="2024-07-13T00:00:00"/>
    <x v="2"/>
    <n v="8017.4743689999987"/>
    <n v="31157"/>
  </r>
  <r>
    <s v="Biolage"/>
    <s v="Biolage - Brand"/>
    <s v="Search"/>
    <x v="4"/>
    <s v="Biolage"/>
    <d v="2024-07-20T00:00:00"/>
    <x v="2"/>
    <n v="8550.2894309999992"/>
    <n v="31677"/>
  </r>
  <r>
    <s v="Biolage"/>
    <s v="Biolage - Brand"/>
    <s v="Search"/>
    <x v="4"/>
    <s v="Biolage"/>
    <d v="2024-07-27T00:00:00"/>
    <x v="2"/>
    <n v="7946.35"/>
    <n v="28503"/>
  </r>
  <r>
    <s v="Biolage"/>
    <s v="Biolage - Brand"/>
    <s v="Search"/>
    <x v="4"/>
    <s v="Biolage"/>
    <d v="2024-08-03T00:00:00"/>
    <x v="2"/>
    <n v="7854.9873459999981"/>
    <n v="28637"/>
  </r>
  <r>
    <s v="Biolage"/>
    <s v="Biolage - Brand"/>
    <s v="Search"/>
    <x v="4"/>
    <s v="Biolage"/>
    <d v="2024-08-10T00:00:00"/>
    <x v="2"/>
    <n v="8705.2033069999998"/>
    <n v="28461"/>
  </r>
  <r>
    <s v="Biolage"/>
    <s v="Biolage - Brand"/>
    <s v="Search"/>
    <x v="4"/>
    <s v="Biolage"/>
    <d v="2024-08-17T00:00:00"/>
    <x v="2"/>
    <n v="8149.8167180000028"/>
    <n v="27641"/>
  </r>
  <r>
    <s v="Biolage"/>
    <s v="Biolage - Brand"/>
    <s v="Search"/>
    <x v="4"/>
    <s v="Biolage"/>
    <d v="2024-08-24T00:00:00"/>
    <x v="2"/>
    <n v="7863.9839549999997"/>
    <n v="27921"/>
  </r>
  <r>
    <s v="Biolage"/>
    <s v="Biolage - Brand"/>
    <s v="Search"/>
    <x v="4"/>
    <s v="Biolage"/>
    <d v="2024-08-31T00:00:00"/>
    <x v="2"/>
    <n v="7572.2157110000016"/>
    <n v="27751"/>
  </r>
  <r>
    <s v="Biolage"/>
    <s v="Biolage - Brand"/>
    <s v="Search"/>
    <x v="4"/>
    <s v="Biolage"/>
    <d v="2024-09-07T00:00:00"/>
    <x v="2"/>
    <n v="8309.7273860000023"/>
    <n v="28438"/>
  </r>
  <r>
    <s v="Biolage"/>
    <s v="Biolage - Brand"/>
    <s v="Search"/>
    <x v="4"/>
    <s v="Biolage"/>
    <d v="2024-09-14T00:00:00"/>
    <x v="2"/>
    <n v="7845.6329089999981"/>
    <n v="28662"/>
  </r>
  <r>
    <s v="Biolage"/>
    <s v="Biolage - Brand"/>
    <s v="Search"/>
    <x v="4"/>
    <s v="Biolage"/>
    <d v="2024-09-21T00:00:00"/>
    <x v="2"/>
    <n v="7409.6000650000005"/>
    <n v="26753"/>
  </r>
  <r>
    <s v="Biolage"/>
    <s v="Biolage - Brand"/>
    <s v="Search"/>
    <x v="4"/>
    <s v="Biolage"/>
    <d v="2024-09-28T00:00:00"/>
    <x v="2"/>
    <n v="7337.6632870000012"/>
    <n v="26010"/>
  </r>
  <r>
    <s v="Biolage"/>
    <s v="Biolage - Brand"/>
    <s v="Search"/>
    <x v="4"/>
    <s v="Biolage"/>
    <d v="2024-10-05T00:00:00"/>
    <x v="2"/>
    <n v="7478.167991999997"/>
    <n v="27862"/>
  </r>
  <r>
    <s v="Biolage"/>
    <s v="Biolage - Brand"/>
    <s v="Search"/>
    <x v="4"/>
    <s v="Biolage"/>
    <d v="2024-10-12T00:00:00"/>
    <x v="2"/>
    <n v="7942.8542799999996"/>
    <n v="28983"/>
  </r>
  <r>
    <s v="Biolage"/>
    <s v="Biolage - Brand"/>
    <s v="Search"/>
    <x v="4"/>
    <s v="Biolage"/>
    <d v="2024-10-19T00:00:00"/>
    <x v="2"/>
    <n v="7460.5304850000011"/>
    <n v="26814"/>
  </r>
  <r>
    <s v="Biolage"/>
    <s v="Biolage - Brand"/>
    <s v="Search"/>
    <x v="4"/>
    <s v="Biolage"/>
    <d v="2024-10-26T00:00:00"/>
    <x v="2"/>
    <n v="7298.9189140000008"/>
    <n v="26507"/>
  </r>
  <r>
    <s v="Biolage"/>
    <s v="Biolage - Brand"/>
    <s v="Search"/>
    <x v="4"/>
    <s v="Biolage"/>
    <d v="2024-11-02T00:00:00"/>
    <x v="2"/>
    <n v="7330.3361070000001"/>
    <n v="26953"/>
  </r>
  <r>
    <s v="Biolage"/>
    <s v="Biolage - Brand"/>
    <s v="Search"/>
    <x v="4"/>
    <s v="Biolage"/>
    <d v="2024-11-09T00:00:00"/>
    <x v="2"/>
    <n v="7784.2208510000019"/>
    <n v="29251"/>
  </r>
  <r>
    <s v="Biolage"/>
    <s v="Biolage - Brand"/>
    <s v="Search"/>
    <x v="4"/>
    <s v="Biolage"/>
    <d v="2024-11-16T00:00:00"/>
    <x v="2"/>
    <n v="7491.2811920000013"/>
    <n v="32107"/>
  </r>
  <r>
    <s v="Biolage"/>
    <s v="Biolage - Brand"/>
    <s v="Search"/>
    <x v="4"/>
    <s v="Biolage"/>
    <d v="2024-11-23T00:00:00"/>
    <x v="2"/>
    <n v="7821.3770779999995"/>
    <n v="35009"/>
  </r>
  <r>
    <s v="Biolage"/>
    <s v="Biolage - Brand"/>
    <s v="Search"/>
    <x v="4"/>
    <s v="Biolage"/>
    <d v="2024-11-30T00:00:00"/>
    <x v="2"/>
    <n v="9968.3266860000003"/>
    <n v="37782"/>
  </r>
  <r>
    <s v="Biolage"/>
    <s v="Biolage - Brand"/>
    <s v="Search"/>
    <x v="4"/>
    <s v="Biolage"/>
    <d v="2024-12-07T00:00:00"/>
    <x v="2"/>
    <n v="8362.8175480000009"/>
    <n v="34005"/>
  </r>
  <r>
    <s v="Biolage"/>
    <s v="Biolage - Brand"/>
    <s v="Search"/>
    <x v="4"/>
    <s v="Biolage"/>
    <d v="2024-12-14T00:00:00"/>
    <x v="2"/>
    <n v="5944.3401189999986"/>
    <n v="31775"/>
  </r>
  <r>
    <s v="Biolage"/>
    <s v="Biolage - Brand"/>
    <s v="Search"/>
    <x v="4"/>
    <s v="Biolage"/>
    <d v="2024-12-21T00:00:00"/>
    <x v="2"/>
    <n v="5878.1084860000001"/>
    <n v="29548"/>
  </r>
  <r>
    <s v="Biolage"/>
    <s v="Biolage - Brand"/>
    <s v="Search"/>
    <x v="4"/>
    <s v="Biolage"/>
    <d v="2024-12-28T00:00:00"/>
    <x v="2"/>
    <n v="5590.1406300000008"/>
    <n v="26381"/>
  </r>
  <r>
    <s v="Biolage"/>
    <s v="Biolage - Brand"/>
    <s v="Search"/>
    <x v="4"/>
    <s v="Biolage"/>
    <d v="2025-01-04T00:00:00"/>
    <x v="2"/>
    <n v="702.84051900000009"/>
    <n v="3018"/>
  </r>
  <r>
    <s v="Biolage"/>
    <s v="Biolage - Brand"/>
    <s v="Search"/>
    <x v="4"/>
    <s v="Biolage"/>
    <d v="2025-03-01T00:00:00"/>
    <x v="0"/>
    <n v="2.9959999999999997E-2"/>
    <n v="23"/>
  </r>
  <r>
    <s v="Biolage"/>
    <s v="Biolage - Brand"/>
    <s v="Search"/>
    <x v="4"/>
    <s v="Biolage"/>
    <d v="2025-03-08T00:00:00"/>
    <x v="0"/>
    <n v="0.01"/>
    <n v="2"/>
  </r>
  <r>
    <s v="Biolage"/>
    <s v="Color Last"/>
    <s v="Search"/>
    <x v="4"/>
    <s v="Biolage"/>
    <d v="2023-09-30T00:00:00"/>
    <x v="1"/>
    <n v="118.06"/>
    <n v="837"/>
  </r>
  <r>
    <s v="Biolage"/>
    <s v="Color Last"/>
    <s v="Search"/>
    <x v="4"/>
    <s v="Biolage"/>
    <d v="2023-10-07T00:00:00"/>
    <x v="1"/>
    <n v="161.30000000000001"/>
    <n v="1024"/>
  </r>
  <r>
    <s v="Biolage"/>
    <s v="Color Last"/>
    <s v="Search"/>
    <x v="4"/>
    <s v="Biolage"/>
    <d v="2023-10-14T00:00:00"/>
    <x v="1"/>
    <n v="172.49"/>
    <n v="988"/>
  </r>
  <r>
    <s v="Biolage"/>
    <s v="Color Last"/>
    <s v="Search"/>
    <x v="4"/>
    <s v="Biolage"/>
    <d v="2023-10-21T00:00:00"/>
    <x v="1"/>
    <n v="195.31"/>
    <n v="1105"/>
  </r>
  <r>
    <s v="Biolage"/>
    <s v="Color Last"/>
    <s v="Search"/>
    <x v="4"/>
    <s v="Biolage"/>
    <d v="2023-10-28T00:00:00"/>
    <x v="1"/>
    <n v="274.41000000000003"/>
    <n v="1157"/>
  </r>
  <r>
    <s v="Biolage"/>
    <s v="Color Last"/>
    <s v="Search"/>
    <x v="4"/>
    <s v="Biolage"/>
    <d v="2023-11-04T00:00:00"/>
    <x v="1"/>
    <n v="276.95"/>
    <n v="1181"/>
  </r>
  <r>
    <s v="Biolage"/>
    <s v="Color Last"/>
    <s v="Search"/>
    <x v="4"/>
    <s v="Biolage"/>
    <d v="2023-11-11T00:00:00"/>
    <x v="1"/>
    <n v="197.03000000000003"/>
    <n v="1267"/>
  </r>
  <r>
    <s v="Biolage"/>
    <s v="Color Last"/>
    <s v="Search"/>
    <x v="4"/>
    <s v="Biolage"/>
    <d v="2023-11-18T00:00:00"/>
    <x v="1"/>
    <n v="229.60999999999996"/>
    <n v="1342"/>
  </r>
  <r>
    <s v="Biolage"/>
    <s v="Color Last"/>
    <s v="Search"/>
    <x v="4"/>
    <s v="Biolage"/>
    <d v="2023-11-25T00:00:00"/>
    <x v="1"/>
    <n v="182.08"/>
    <n v="1061"/>
  </r>
  <r>
    <s v="Biolage"/>
    <s v="Color Last"/>
    <s v="Search"/>
    <x v="4"/>
    <s v="Biolage"/>
    <d v="2023-12-02T00:00:00"/>
    <x v="1"/>
    <n v="180.03"/>
    <n v="1068"/>
  </r>
  <r>
    <s v="Biolage"/>
    <s v="Color Last"/>
    <s v="Search"/>
    <x v="4"/>
    <s v="Biolage"/>
    <d v="2023-12-09T00:00:00"/>
    <x v="1"/>
    <n v="199.23999999999998"/>
    <n v="1196"/>
  </r>
  <r>
    <s v="Biolage"/>
    <s v="Color Last"/>
    <s v="Search"/>
    <x v="4"/>
    <s v="Biolage"/>
    <d v="2023-12-16T00:00:00"/>
    <x v="1"/>
    <n v="241.23000000000002"/>
    <n v="1288"/>
  </r>
  <r>
    <s v="Biolage"/>
    <s v="Color Last"/>
    <s v="Search"/>
    <x v="4"/>
    <s v="Biolage"/>
    <d v="2023-12-23T00:00:00"/>
    <x v="1"/>
    <n v="212.78999999999996"/>
    <n v="1080"/>
  </r>
  <r>
    <s v="Biolage"/>
    <s v="Color Last"/>
    <s v="Search"/>
    <x v="4"/>
    <s v="Biolage"/>
    <d v="2023-12-30T00:00:00"/>
    <x v="1"/>
    <n v="108.99999999999999"/>
    <n v="762"/>
  </r>
  <r>
    <s v="Biolage"/>
    <s v="Color Last"/>
    <s v="Search"/>
    <x v="4"/>
    <s v="Biolage"/>
    <d v="2024-01-06T00:00:00"/>
    <x v="2"/>
    <n v="94.61999999999999"/>
    <n v="733"/>
  </r>
  <r>
    <s v="Biolage"/>
    <s v="Color Last"/>
    <s v="Search"/>
    <x v="4"/>
    <s v="Biolage"/>
    <d v="2024-01-13T00:00:00"/>
    <x v="2"/>
    <n v="105.29"/>
    <n v="718"/>
  </r>
  <r>
    <s v="Biolage"/>
    <s v="Color Last"/>
    <s v="Search"/>
    <x v="4"/>
    <s v="Biolage"/>
    <d v="2024-01-20T00:00:00"/>
    <x v="2"/>
    <n v="58.02"/>
    <n v="529"/>
  </r>
  <r>
    <s v="Biolage"/>
    <s v="Color Last"/>
    <s v="Search"/>
    <x v="4"/>
    <s v="Biolage"/>
    <d v="2024-01-27T00:00:00"/>
    <x v="2"/>
    <n v="70.81"/>
    <n v="599"/>
  </r>
  <r>
    <s v="Biolage"/>
    <s v="Color Last"/>
    <s v="Search"/>
    <x v="4"/>
    <s v="Biolage"/>
    <d v="2024-02-03T00:00:00"/>
    <x v="2"/>
    <n v="72.069999999999993"/>
    <n v="547"/>
  </r>
  <r>
    <s v="Biolage"/>
    <s v="Color Last"/>
    <s v="Search"/>
    <x v="4"/>
    <s v="Biolage"/>
    <d v="2024-02-10T00:00:00"/>
    <x v="2"/>
    <n v="70.88"/>
    <n v="611"/>
  </r>
  <r>
    <s v="Biolage"/>
    <s v="Color Last"/>
    <s v="Search"/>
    <x v="4"/>
    <s v="Biolage"/>
    <d v="2024-02-17T00:00:00"/>
    <x v="2"/>
    <n v="63.28"/>
    <n v="462"/>
  </r>
  <r>
    <s v="Biolage"/>
    <s v="Color Last"/>
    <s v="Search"/>
    <x v="4"/>
    <s v="Biolage"/>
    <d v="2024-02-24T00:00:00"/>
    <x v="2"/>
    <n v="64.680000000000007"/>
    <n v="515"/>
  </r>
  <r>
    <s v="Biolage"/>
    <s v="Color Last"/>
    <s v="Search"/>
    <x v="4"/>
    <s v="Biolage"/>
    <d v="2024-03-02T00:00:00"/>
    <x v="2"/>
    <n v="106.41999999999999"/>
    <n v="644"/>
  </r>
  <r>
    <s v="Biolage"/>
    <s v="Color Last"/>
    <s v="Search"/>
    <x v="4"/>
    <s v="Biolage"/>
    <d v="2024-03-09T00:00:00"/>
    <x v="2"/>
    <n v="88.039999999999992"/>
    <n v="673"/>
  </r>
  <r>
    <s v="Biolage"/>
    <s v="Color Last"/>
    <s v="Search"/>
    <x v="4"/>
    <s v="Biolage"/>
    <d v="2024-03-16T00:00:00"/>
    <x v="2"/>
    <n v="81.11"/>
    <n v="664"/>
  </r>
  <r>
    <s v="Biolage"/>
    <s v="Color Last"/>
    <s v="Search"/>
    <x v="4"/>
    <s v="Biolage"/>
    <d v="2024-03-23T00:00:00"/>
    <x v="2"/>
    <n v="74.859999999999985"/>
    <n v="755"/>
  </r>
  <r>
    <s v="Biolage"/>
    <s v="Color Last"/>
    <s v="Search"/>
    <x v="4"/>
    <s v="Biolage"/>
    <d v="2024-03-30T00:00:00"/>
    <x v="2"/>
    <n v="102.71000000000001"/>
    <n v="836"/>
  </r>
  <r>
    <s v="Biolage"/>
    <s v="Color Last"/>
    <s v="Search"/>
    <x v="4"/>
    <s v="Biolage"/>
    <d v="2024-04-06T00:00:00"/>
    <x v="2"/>
    <n v="102.03999999999999"/>
    <n v="941"/>
  </r>
  <r>
    <s v="Biolage"/>
    <s v="Color Last"/>
    <s v="Search"/>
    <x v="4"/>
    <s v="Biolage"/>
    <d v="2024-04-13T00:00:00"/>
    <x v="2"/>
    <n v="105.71000000000001"/>
    <n v="942"/>
  </r>
  <r>
    <s v="Biolage"/>
    <s v="Color Last"/>
    <s v="Search"/>
    <x v="4"/>
    <s v="Biolage"/>
    <d v="2024-04-20T00:00:00"/>
    <x v="2"/>
    <n v="116.16"/>
    <n v="813"/>
  </r>
  <r>
    <s v="Biolage"/>
    <s v="Color Last"/>
    <s v="Search"/>
    <x v="4"/>
    <s v="Biolage"/>
    <d v="2024-04-27T00:00:00"/>
    <x v="2"/>
    <n v="113.38999999999999"/>
    <n v="939"/>
  </r>
  <r>
    <s v="Biolage"/>
    <s v="Color Last"/>
    <s v="Search"/>
    <x v="4"/>
    <s v="Biolage"/>
    <d v="2024-05-04T00:00:00"/>
    <x v="2"/>
    <n v="117.46"/>
    <n v="918"/>
  </r>
  <r>
    <s v="Biolage"/>
    <s v="Color Last"/>
    <s v="Search"/>
    <x v="4"/>
    <s v="Biolage"/>
    <d v="2024-05-11T00:00:00"/>
    <x v="2"/>
    <n v="96.050000000000011"/>
    <n v="889"/>
  </r>
  <r>
    <s v="Biolage"/>
    <s v="Color Last"/>
    <s v="Search"/>
    <x v="4"/>
    <s v="Biolage"/>
    <d v="2024-05-18T00:00:00"/>
    <x v="2"/>
    <n v="128.62"/>
    <n v="890"/>
  </r>
  <r>
    <s v="Biolage"/>
    <s v="Color Last"/>
    <s v="Search"/>
    <x v="4"/>
    <s v="Biolage"/>
    <d v="2024-05-25T00:00:00"/>
    <x v="2"/>
    <n v="83.481572999999997"/>
    <n v="852"/>
  </r>
  <r>
    <s v="Biolage"/>
    <s v="Color Last"/>
    <s v="Search"/>
    <x v="4"/>
    <s v="Biolage"/>
    <d v="2024-06-01T00:00:00"/>
    <x v="2"/>
    <n v="101.01"/>
    <n v="896"/>
  </r>
  <r>
    <s v="Biolage"/>
    <s v="Color Last"/>
    <s v="Search"/>
    <x v="4"/>
    <s v="Biolage"/>
    <d v="2024-06-08T00:00:00"/>
    <x v="2"/>
    <n v="111.30999999999999"/>
    <n v="922"/>
  </r>
  <r>
    <s v="Biolage"/>
    <s v="Color Last"/>
    <s v="Search"/>
    <x v="4"/>
    <s v="Biolage"/>
    <d v="2024-06-15T00:00:00"/>
    <x v="2"/>
    <n v="106.74"/>
    <n v="981"/>
  </r>
  <r>
    <s v="Biolage"/>
    <s v="Color Last"/>
    <s v="Search"/>
    <x v="4"/>
    <s v="Biolage"/>
    <d v="2024-06-22T00:00:00"/>
    <x v="2"/>
    <n v="136.72999999999999"/>
    <n v="996"/>
  </r>
  <r>
    <s v="Biolage"/>
    <s v="Color Last"/>
    <s v="Search"/>
    <x v="4"/>
    <s v="Biolage"/>
    <d v="2024-06-29T00:00:00"/>
    <x v="2"/>
    <n v="130.30000000000001"/>
    <n v="1111"/>
  </r>
  <r>
    <s v="Biolage"/>
    <s v="Color Last"/>
    <s v="Search"/>
    <x v="4"/>
    <s v="Biolage"/>
    <d v="2024-07-06T00:00:00"/>
    <x v="2"/>
    <n v="130.28297800000001"/>
    <n v="962"/>
  </r>
  <r>
    <s v="Biolage"/>
    <s v="Color Last"/>
    <s v="Search"/>
    <x v="4"/>
    <s v="Biolage"/>
    <d v="2024-07-13T00:00:00"/>
    <x v="2"/>
    <n v="119.52000000000001"/>
    <n v="960"/>
  </r>
  <r>
    <s v="Biolage"/>
    <s v="Color Last"/>
    <s v="Search"/>
    <x v="4"/>
    <s v="Biolage"/>
    <d v="2024-07-20T00:00:00"/>
    <x v="2"/>
    <n v="134.274237"/>
    <n v="928"/>
  </r>
  <r>
    <s v="Biolage"/>
    <s v="Color Last"/>
    <s v="Search"/>
    <x v="4"/>
    <s v="Biolage"/>
    <d v="2024-07-27T00:00:00"/>
    <x v="2"/>
    <n v="77.240000000000009"/>
    <n v="848"/>
  </r>
  <r>
    <s v="Biolage"/>
    <s v="Color Last"/>
    <s v="Search"/>
    <x v="4"/>
    <s v="Biolage"/>
    <d v="2024-08-03T00:00:00"/>
    <x v="2"/>
    <n v="155.60999999999999"/>
    <n v="1035"/>
  </r>
  <r>
    <s v="Biolage"/>
    <s v="Color Last"/>
    <s v="Search"/>
    <x v="4"/>
    <s v="Biolage"/>
    <d v="2024-08-10T00:00:00"/>
    <x v="2"/>
    <n v="74.52"/>
    <n v="772"/>
  </r>
  <r>
    <s v="Biolage"/>
    <s v="Color Last"/>
    <s v="Search"/>
    <x v="4"/>
    <s v="Biolage"/>
    <d v="2024-08-17T00:00:00"/>
    <x v="2"/>
    <n v="114.97000000000001"/>
    <n v="809"/>
  </r>
  <r>
    <s v="Biolage"/>
    <s v="Color Last"/>
    <s v="Search"/>
    <x v="4"/>
    <s v="Biolage"/>
    <d v="2024-08-24T00:00:00"/>
    <x v="2"/>
    <n v="135.33530300000001"/>
    <n v="866"/>
  </r>
  <r>
    <s v="Biolage"/>
    <s v="Color Last"/>
    <s v="Search"/>
    <x v="4"/>
    <s v="Biolage"/>
    <d v="2024-08-31T00:00:00"/>
    <x v="2"/>
    <n v="139.58421000000001"/>
    <n v="904"/>
  </r>
  <r>
    <s v="Biolage"/>
    <s v="Color Last"/>
    <s v="Search"/>
    <x v="4"/>
    <s v="Biolage"/>
    <d v="2024-09-07T00:00:00"/>
    <x v="2"/>
    <n v="147.71"/>
    <n v="905"/>
  </r>
  <r>
    <s v="Biolage"/>
    <s v="Color Last"/>
    <s v="Search"/>
    <x v="4"/>
    <s v="Biolage"/>
    <d v="2024-09-14T00:00:00"/>
    <x v="2"/>
    <n v="158.94999999999999"/>
    <n v="889"/>
  </r>
  <r>
    <s v="Biolage"/>
    <s v="Color Last"/>
    <s v="Search"/>
    <x v="4"/>
    <s v="Biolage"/>
    <d v="2024-09-21T00:00:00"/>
    <x v="2"/>
    <n v="138.24"/>
    <n v="1011"/>
  </r>
  <r>
    <s v="Biolage"/>
    <s v="Color Last"/>
    <s v="Search"/>
    <x v="4"/>
    <s v="Biolage"/>
    <d v="2024-09-28T00:00:00"/>
    <x v="2"/>
    <n v="113.14000000000001"/>
    <n v="847"/>
  </r>
  <r>
    <s v="Biolage"/>
    <s v="Color Last"/>
    <s v="Search"/>
    <x v="4"/>
    <s v="Biolage"/>
    <d v="2024-10-05T00:00:00"/>
    <x v="2"/>
    <n v="136.31"/>
    <n v="993"/>
  </r>
  <r>
    <s v="Biolage"/>
    <s v="Color Last"/>
    <s v="Search"/>
    <x v="4"/>
    <s v="Biolage"/>
    <d v="2024-10-12T00:00:00"/>
    <x v="2"/>
    <n v="149.38547800000001"/>
    <n v="986"/>
  </r>
  <r>
    <s v="Biolage"/>
    <s v="Color Last"/>
    <s v="Search"/>
    <x v="4"/>
    <s v="Biolage"/>
    <d v="2024-10-19T00:00:00"/>
    <x v="2"/>
    <n v="170.16177999999999"/>
    <n v="978"/>
  </r>
  <r>
    <s v="Biolage"/>
    <s v="Color Last"/>
    <s v="Search"/>
    <x v="4"/>
    <s v="Biolage"/>
    <d v="2024-10-26T00:00:00"/>
    <x v="2"/>
    <n v="119.38872599999999"/>
    <n v="1115"/>
  </r>
  <r>
    <s v="Biolage"/>
    <s v="Color Last"/>
    <s v="Search"/>
    <x v="4"/>
    <s v="Biolage"/>
    <d v="2024-11-02T00:00:00"/>
    <x v="2"/>
    <n v="171.67296299999998"/>
    <n v="1007"/>
  </r>
  <r>
    <s v="Biolage"/>
    <s v="Color Last"/>
    <s v="Search"/>
    <x v="4"/>
    <s v="Biolage"/>
    <d v="2024-11-09T00:00:00"/>
    <x v="2"/>
    <n v="123.94999999999999"/>
    <n v="1069"/>
  </r>
  <r>
    <s v="Biolage"/>
    <s v="Color Last"/>
    <s v="Search"/>
    <x v="4"/>
    <s v="Biolage"/>
    <d v="2024-11-16T00:00:00"/>
    <x v="2"/>
    <n v="123.517662"/>
    <n v="1006"/>
  </r>
  <r>
    <s v="Biolage"/>
    <s v="Color Last"/>
    <s v="Search"/>
    <x v="4"/>
    <s v="Biolage"/>
    <d v="2024-11-23T00:00:00"/>
    <x v="2"/>
    <n v="99.500647999999998"/>
    <n v="1104"/>
  </r>
  <r>
    <s v="Biolage"/>
    <s v="Color Last"/>
    <s v="Search"/>
    <x v="4"/>
    <s v="Biolage"/>
    <d v="2024-11-30T00:00:00"/>
    <x v="2"/>
    <n v="70.333105000000003"/>
    <n v="1031"/>
  </r>
  <r>
    <s v="Biolage"/>
    <s v="Color Last"/>
    <s v="Search"/>
    <x v="4"/>
    <s v="Biolage"/>
    <d v="2024-12-07T00:00:00"/>
    <x v="2"/>
    <n v="45.412084"/>
    <n v="790"/>
  </r>
  <r>
    <s v="Biolage"/>
    <s v="Color Last"/>
    <s v="Search"/>
    <x v="4"/>
    <s v="Biolage"/>
    <d v="2024-12-14T00:00:00"/>
    <x v="2"/>
    <n v="66.362295000000017"/>
    <n v="728"/>
  </r>
  <r>
    <s v="Biolage"/>
    <s v="Color Last"/>
    <s v="Search"/>
    <x v="4"/>
    <s v="Biolage"/>
    <d v="2024-12-21T00:00:00"/>
    <x v="2"/>
    <n v="27.937821"/>
    <n v="656"/>
  </r>
  <r>
    <s v="Biolage"/>
    <s v="Color Last"/>
    <s v="Search"/>
    <x v="4"/>
    <s v="Biolage"/>
    <d v="2024-12-28T00:00:00"/>
    <x v="2"/>
    <n v="25.570698"/>
    <n v="470"/>
  </r>
  <r>
    <s v="Biolage"/>
    <s v="Color Last"/>
    <s v="Search"/>
    <x v="4"/>
    <s v="Biolage"/>
    <d v="2025-01-04T00:00:00"/>
    <x v="2"/>
    <n v="2.0699999999999998"/>
    <n v="52"/>
  </r>
  <r>
    <s v="Biolage"/>
    <s v="Full Density"/>
    <s v="Search"/>
    <x v="4"/>
    <s v="Biolage"/>
    <d v="2023-09-30T00:00:00"/>
    <x v="1"/>
    <n v="9.6300000000000008"/>
    <n v="13"/>
  </r>
  <r>
    <s v="Biolage"/>
    <s v="Full Density"/>
    <s v="Search"/>
    <x v="4"/>
    <s v="Biolage"/>
    <d v="2023-10-07T00:00:00"/>
    <x v="1"/>
    <n v="70"/>
    <n v="306"/>
  </r>
  <r>
    <s v="Biolage"/>
    <s v="Full Density"/>
    <s v="Search"/>
    <x v="4"/>
    <s v="Biolage"/>
    <d v="2023-10-14T00:00:00"/>
    <x v="1"/>
    <n v="11.56"/>
    <n v="31"/>
  </r>
  <r>
    <s v="Biolage"/>
    <s v="Full Density"/>
    <s v="Search"/>
    <x v="4"/>
    <s v="Biolage"/>
    <d v="2023-10-21T00:00:00"/>
    <x v="1"/>
    <n v="23.09"/>
    <n v="86"/>
  </r>
  <r>
    <s v="Biolage"/>
    <s v="Full Density"/>
    <s v="Search"/>
    <x v="4"/>
    <s v="Biolage"/>
    <d v="2023-10-28T00:00:00"/>
    <x v="1"/>
    <n v="20.2"/>
    <n v="87"/>
  </r>
  <r>
    <s v="Biolage"/>
    <s v="Full Density"/>
    <s v="Search"/>
    <x v="4"/>
    <s v="Biolage"/>
    <d v="2023-11-04T00:00:00"/>
    <x v="1"/>
    <n v="20.97"/>
    <n v="51"/>
  </r>
  <r>
    <s v="Biolage"/>
    <s v="Full Density"/>
    <s v="Search"/>
    <x v="4"/>
    <s v="Biolage"/>
    <d v="2023-11-11T00:00:00"/>
    <x v="1"/>
    <n v="21.03"/>
    <n v="135"/>
  </r>
  <r>
    <s v="Biolage"/>
    <s v="Full Density"/>
    <s v="Search"/>
    <x v="4"/>
    <s v="Biolage"/>
    <d v="2023-11-18T00:00:00"/>
    <x v="1"/>
    <n v="25.89"/>
    <n v="76"/>
  </r>
  <r>
    <s v="Biolage"/>
    <s v="Full Density"/>
    <s v="Search"/>
    <x v="4"/>
    <s v="Biolage"/>
    <d v="2023-11-25T00:00:00"/>
    <x v="1"/>
    <n v="22.259999999999998"/>
    <n v="89"/>
  </r>
  <r>
    <s v="Biolage"/>
    <s v="Full Density"/>
    <s v="Search"/>
    <x v="4"/>
    <s v="Biolage"/>
    <d v="2023-12-02T00:00:00"/>
    <x v="1"/>
    <n v="38.57"/>
    <n v="134"/>
  </r>
  <r>
    <s v="Biolage"/>
    <s v="Full Density"/>
    <s v="Search"/>
    <x v="4"/>
    <s v="Biolage"/>
    <d v="2023-12-09T00:00:00"/>
    <x v="1"/>
    <n v="27.549999999999997"/>
    <n v="94"/>
  </r>
  <r>
    <s v="Biolage"/>
    <s v="Full Density"/>
    <s v="Search"/>
    <x v="4"/>
    <s v="Biolage"/>
    <d v="2023-12-16T00:00:00"/>
    <x v="1"/>
    <n v="12.08"/>
    <n v="59"/>
  </r>
  <r>
    <s v="Biolage"/>
    <s v="Full Density"/>
    <s v="Search"/>
    <x v="4"/>
    <s v="Biolage"/>
    <d v="2023-12-23T00:00:00"/>
    <x v="1"/>
    <n v="36.78"/>
    <n v="72"/>
  </r>
  <r>
    <s v="Biolage"/>
    <s v="Full Density"/>
    <s v="Search"/>
    <x v="4"/>
    <s v="Biolage"/>
    <d v="2023-12-30T00:00:00"/>
    <x v="1"/>
    <n v="8.85"/>
    <n v="8"/>
  </r>
  <r>
    <s v="Biolage"/>
    <s v="Full Density"/>
    <s v="Search"/>
    <x v="4"/>
    <s v="Biolage"/>
    <d v="2024-01-06T00:00:00"/>
    <x v="2"/>
    <n v="12.65"/>
    <n v="42"/>
  </r>
  <r>
    <s v="Biolage"/>
    <s v="Full Density"/>
    <s v="Search"/>
    <x v="4"/>
    <s v="Biolage"/>
    <d v="2024-01-13T00:00:00"/>
    <x v="2"/>
    <n v="1.55"/>
    <n v="2"/>
  </r>
  <r>
    <s v="Biolage"/>
    <s v="Full Density"/>
    <s v="Search"/>
    <x v="4"/>
    <s v="Biolage"/>
    <d v="2024-01-20T00:00:00"/>
    <x v="2"/>
    <n v="1.91"/>
    <n v="1"/>
  </r>
  <r>
    <s v="Biolage"/>
    <s v="Full Density"/>
    <s v="Search"/>
    <x v="4"/>
    <s v="Biolage"/>
    <d v="2024-01-27T00:00:00"/>
    <x v="2"/>
    <n v="7.92"/>
    <n v="32"/>
  </r>
  <r>
    <s v="Biolage"/>
    <s v="Full Density"/>
    <s v="Search"/>
    <x v="4"/>
    <s v="Biolage"/>
    <d v="2024-02-03T00:00:00"/>
    <x v="2"/>
    <n v="20.65"/>
    <n v="64"/>
  </r>
  <r>
    <s v="Biolage"/>
    <s v="Full Density"/>
    <s v="Search"/>
    <x v="4"/>
    <s v="Biolage"/>
    <d v="2024-02-10T00:00:00"/>
    <x v="2"/>
    <n v="24.880000000000003"/>
    <n v="83"/>
  </r>
  <r>
    <s v="Biolage"/>
    <s v="Full Density"/>
    <s v="Search"/>
    <x v="4"/>
    <s v="Biolage"/>
    <d v="2024-02-17T00:00:00"/>
    <x v="2"/>
    <n v="1.97"/>
    <n v="14"/>
  </r>
  <r>
    <s v="Biolage"/>
    <s v="Full Density"/>
    <s v="Search"/>
    <x v="4"/>
    <s v="Biolage"/>
    <d v="2024-02-24T00:00:00"/>
    <x v="2"/>
    <n v="4.42"/>
    <n v="20"/>
  </r>
  <r>
    <s v="Biolage"/>
    <s v="Full Density"/>
    <s v="Search"/>
    <x v="4"/>
    <s v="Biolage"/>
    <d v="2024-03-02T00:00:00"/>
    <x v="2"/>
    <n v="13.99"/>
    <n v="16"/>
  </r>
  <r>
    <s v="Biolage"/>
    <s v="Full Density"/>
    <s v="Search"/>
    <x v="4"/>
    <s v="Biolage"/>
    <d v="2024-03-09T00:00:00"/>
    <x v="2"/>
    <n v="3.26"/>
    <n v="11"/>
  </r>
  <r>
    <s v="Biolage"/>
    <s v="Full Density"/>
    <s v="Search"/>
    <x v="4"/>
    <s v="Biolage"/>
    <d v="2024-03-16T00:00:00"/>
    <x v="2"/>
    <n v="9.16"/>
    <n v="49"/>
  </r>
  <r>
    <s v="Biolage"/>
    <s v="Full Density"/>
    <s v="Search"/>
    <x v="4"/>
    <s v="Biolage"/>
    <d v="2024-03-23T00:00:00"/>
    <x v="2"/>
    <n v="16.79"/>
    <n v="24"/>
  </r>
  <r>
    <s v="Biolage"/>
    <s v="Full Density"/>
    <s v="Search"/>
    <x v="4"/>
    <s v="Biolage"/>
    <d v="2024-03-30T00:00:00"/>
    <x v="2"/>
    <n v="15.669999999999998"/>
    <n v="69"/>
  </r>
  <r>
    <s v="Biolage"/>
    <s v="Full Density"/>
    <s v="Search"/>
    <x v="4"/>
    <s v="Biolage"/>
    <d v="2024-04-06T00:00:00"/>
    <x v="2"/>
    <n v="339.32320599999997"/>
    <n v="668"/>
  </r>
  <r>
    <s v="Biolage"/>
    <s v="Full Density"/>
    <s v="Search"/>
    <x v="4"/>
    <s v="Biolage"/>
    <d v="2024-04-13T00:00:00"/>
    <x v="2"/>
    <n v="244.45272600000001"/>
    <n v="590"/>
  </r>
  <r>
    <s v="Biolage"/>
    <s v="Full Density"/>
    <s v="Search"/>
    <x v="4"/>
    <s v="Biolage"/>
    <d v="2024-04-20T00:00:00"/>
    <x v="2"/>
    <n v="178.73999999999998"/>
    <n v="412"/>
  </r>
  <r>
    <s v="Biolage"/>
    <s v="Full Density"/>
    <s v="Search"/>
    <x v="4"/>
    <s v="Biolage"/>
    <d v="2024-04-27T00:00:00"/>
    <x v="2"/>
    <n v="212.01000000000002"/>
    <n v="454"/>
  </r>
  <r>
    <s v="Biolage"/>
    <s v="Full Density"/>
    <s v="Search"/>
    <x v="4"/>
    <s v="Biolage"/>
    <d v="2024-05-04T00:00:00"/>
    <x v="2"/>
    <n v="209.54000000000002"/>
    <n v="501"/>
  </r>
  <r>
    <s v="Biolage"/>
    <s v="Full Density"/>
    <s v="Search"/>
    <x v="4"/>
    <s v="Biolage"/>
    <d v="2024-05-11T00:00:00"/>
    <x v="2"/>
    <n v="160.833035"/>
    <n v="361"/>
  </r>
  <r>
    <s v="Biolage"/>
    <s v="Full Density"/>
    <s v="Search"/>
    <x v="4"/>
    <s v="Biolage"/>
    <d v="2024-05-18T00:00:00"/>
    <x v="2"/>
    <n v="73.709859000000009"/>
    <n v="176"/>
  </r>
  <r>
    <s v="Biolage"/>
    <s v="Full Density"/>
    <s v="Search"/>
    <x v="4"/>
    <s v="Biolage"/>
    <d v="2024-05-25T00:00:00"/>
    <x v="2"/>
    <n v="70.27"/>
    <n v="162"/>
  </r>
  <r>
    <s v="Biolage"/>
    <s v="Full Density"/>
    <s v="Search"/>
    <x v="4"/>
    <s v="Biolage"/>
    <d v="2024-06-01T00:00:00"/>
    <x v="2"/>
    <n v="60.43"/>
    <n v="166"/>
  </r>
  <r>
    <s v="Biolage"/>
    <s v="Full Density"/>
    <s v="Search"/>
    <x v="4"/>
    <s v="Biolage"/>
    <d v="2024-06-08T00:00:00"/>
    <x v="2"/>
    <n v="181.3"/>
    <n v="434"/>
  </r>
  <r>
    <s v="Biolage"/>
    <s v="Full Density"/>
    <s v="Search"/>
    <x v="4"/>
    <s v="Biolage"/>
    <d v="2024-06-15T00:00:00"/>
    <x v="2"/>
    <n v="209.37258299999999"/>
    <n v="472"/>
  </r>
  <r>
    <s v="Biolage"/>
    <s v="Full Density"/>
    <s v="Search"/>
    <x v="4"/>
    <s v="Biolage"/>
    <d v="2024-06-22T00:00:00"/>
    <x v="2"/>
    <n v="155.60000000000002"/>
    <n v="280"/>
  </r>
  <r>
    <s v="Biolage"/>
    <s v="Full Density"/>
    <s v="Search"/>
    <x v="4"/>
    <s v="Biolage"/>
    <d v="2024-06-29T00:00:00"/>
    <x v="2"/>
    <n v="190.91000000000003"/>
    <n v="383"/>
  </r>
  <r>
    <s v="Biolage"/>
    <s v="Full Density"/>
    <s v="Search"/>
    <x v="4"/>
    <s v="Biolage"/>
    <d v="2024-07-06T00:00:00"/>
    <x v="2"/>
    <n v="160.31211399999998"/>
    <n v="383"/>
  </r>
  <r>
    <s v="Biolage"/>
    <s v="Full Density"/>
    <s v="Search"/>
    <x v="4"/>
    <s v="Biolage"/>
    <d v="2024-07-13T00:00:00"/>
    <x v="2"/>
    <n v="316.50627500000002"/>
    <n v="734"/>
  </r>
  <r>
    <s v="Biolage"/>
    <s v="Full Density"/>
    <s v="Search"/>
    <x v="4"/>
    <s v="Biolage"/>
    <d v="2024-07-20T00:00:00"/>
    <x v="2"/>
    <n v="93.72"/>
    <n v="289"/>
  </r>
  <r>
    <s v="Biolage"/>
    <s v="Full Density"/>
    <s v="Search"/>
    <x v="4"/>
    <s v="Biolage"/>
    <d v="2024-07-27T00:00:00"/>
    <x v="2"/>
    <n v="83.02"/>
    <n v="192"/>
  </r>
  <r>
    <s v="Biolage"/>
    <s v="Full Density"/>
    <s v="Search"/>
    <x v="4"/>
    <s v="Biolage"/>
    <d v="2024-08-03T00:00:00"/>
    <x v="2"/>
    <n v="50.860000000000007"/>
    <n v="102"/>
  </r>
  <r>
    <s v="Biolage"/>
    <s v="Full Density"/>
    <s v="Search"/>
    <x v="4"/>
    <s v="Biolage"/>
    <d v="2024-08-10T00:00:00"/>
    <x v="2"/>
    <n v="165.457516"/>
    <n v="340"/>
  </r>
  <r>
    <s v="Biolage"/>
    <s v="Full Density"/>
    <s v="Search"/>
    <x v="4"/>
    <s v="Biolage"/>
    <d v="2024-08-17T00:00:00"/>
    <x v="2"/>
    <n v="168.64000000000001"/>
    <n v="346"/>
  </r>
  <r>
    <s v="Biolage"/>
    <s v="Full Density"/>
    <s v="Search"/>
    <x v="4"/>
    <s v="Biolage"/>
    <d v="2024-08-24T00:00:00"/>
    <x v="2"/>
    <n v="149.03"/>
    <n v="352"/>
  </r>
  <r>
    <s v="Biolage"/>
    <s v="Full Density"/>
    <s v="Search"/>
    <x v="4"/>
    <s v="Biolage"/>
    <d v="2024-08-31T00:00:00"/>
    <x v="2"/>
    <n v="135.61000000000001"/>
    <n v="325"/>
  </r>
  <r>
    <s v="Biolage"/>
    <s v="Full Density"/>
    <s v="Search"/>
    <x v="4"/>
    <s v="Biolage"/>
    <d v="2024-09-07T00:00:00"/>
    <x v="2"/>
    <n v="304.61570899999998"/>
    <n v="557"/>
  </r>
  <r>
    <s v="Biolage"/>
    <s v="Full Density"/>
    <s v="Search"/>
    <x v="4"/>
    <s v="Biolage"/>
    <d v="2024-09-14T00:00:00"/>
    <x v="2"/>
    <n v="242.417393"/>
    <n v="577"/>
  </r>
  <r>
    <s v="Biolage"/>
    <s v="Full Density"/>
    <s v="Search"/>
    <x v="4"/>
    <s v="Biolage"/>
    <d v="2024-09-21T00:00:00"/>
    <x v="2"/>
    <n v="248.51185600000002"/>
    <n v="568"/>
  </r>
  <r>
    <s v="Biolage"/>
    <s v="Full Density"/>
    <s v="Search"/>
    <x v="4"/>
    <s v="Biolage"/>
    <d v="2024-09-28T00:00:00"/>
    <x v="2"/>
    <n v="272.107957"/>
    <n v="642"/>
  </r>
  <r>
    <s v="Biolage"/>
    <s v="Full Density"/>
    <s v="Search"/>
    <x v="4"/>
    <s v="Biolage"/>
    <d v="2024-10-05T00:00:00"/>
    <x v="2"/>
    <n v="143.65325300000003"/>
    <n v="383"/>
  </r>
  <r>
    <s v="Biolage"/>
    <s v="Full Density"/>
    <s v="Search"/>
    <x v="4"/>
    <s v="Biolage"/>
    <d v="2024-10-12T00:00:00"/>
    <x v="2"/>
    <n v="162.98157600000002"/>
    <n v="330"/>
  </r>
  <r>
    <s v="Biolage"/>
    <s v="Full Density"/>
    <s v="Search"/>
    <x v="4"/>
    <s v="Biolage"/>
    <d v="2024-10-19T00:00:00"/>
    <x v="2"/>
    <n v="250.96888500000003"/>
    <n v="498"/>
  </r>
  <r>
    <s v="Biolage"/>
    <s v="Full Density"/>
    <s v="Search"/>
    <x v="4"/>
    <s v="Biolage"/>
    <d v="2024-10-26T00:00:00"/>
    <x v="2"/>
    <n v="294.96133199999997"/>
    <n v="497"/>
  </r>
  <r>
    <s v="Biolage"/>
    <s v="Full Density"/>
    <s v="Search"/>
    <x v="4"/>
    <s v="Biolage"/>
    <d v="2024-11-02T00:00:00"/>
    <x v="2"/>
    <n v="360.38432399999999"/>
    <n v="687"/>
  </r>
  <r>
    <s v="Biolage"/>
    <s v="Full Density"/>
    <s v="Search"/>
    <x v="4"/>
    <s v="Biolage"/>
    <d v="2024-11-09T00:00:00"/>
    <x v="2"/>
    <n v="480.06163800000002"/>
    <n v="858"/>
  </r>
  <r>
    <s v="Biolage"/>
    <s v="Full Density"/>
    <s v="Search"/>
    <x v="4"/>
    <s v="Biolage"/>
    <d v="2024-11-16T00:00:00"/>
    <x v="2"/>
    <n v="721.70197699999994"/>
    <n v="1091"/>
  </r>
  <r>
    <s v="Biolage"/>
    <s v="Full Density"/>
    <s v="Search"/>
    <x v="4"/>
    <s v="Biolage"/>
    <d v="2024-11-23T00:00:00"/>
    <x v="2"/>
    <n v="505.62255099999999"/>
    <n v="898"/>
  </r>
  <r>
    <s v="Biolage"/>
    <s v="Full Density"/>
    <s v="Search"/>
    <x v="4"/>
    <s v="Biolage"/>
    <d v="2024-11-30T00:00:00"/>
    <x v="2"/>
    <n v="222.29488199999997"/>
    <n v="580"/>
  </r>
  <r>
    <s v="Biolage"/>
    <s v="Full Density"/>
    <s v="Search"/>
    <x v="4"/>
    <s v="Biolage"/>
    <d v="2024-12-07T00:00:00"/>
    <x v="2"/>
    <n v="293.75953299999998"/>
    <n v="651"/>
  </r>
  <r>
    <s v="Biolage"/>
    <s v="Full Density"/>
    <s v="Search"/>
    <x v="4"/>
    <s v="Biolage"/>
    <d v="2024-12-14T00:00:00"/>
    <x v="2"/>
    <n v="199.70383100000001"/>
    <n v="508"/>
  </r>
  <r>
    <s v="Biolage"/>
    <s v="Full Density"/>
    <s v="Search"/>
    <x v="4"/>
    <s v="Biolage"/>
    <d v="2024-12-21T00:00:00"/>
    <x v="2"/>
    <n v="181.09162900000001"/>
    <n v="606"/>
  </r>
  <r>
    <s v="Biolage"/>
    <s v="Full Density"/>
    <s v="Search"/>
    <x v="4"/>
    <s v="Biolage"/>
    <d v="2024-12-28T00:00:00"/>
    <x v="2"/>
    <n v="206.814886"/>
    <n v="543"/>
  </r>
  <r>
    <s v="Biolage"/>
    <s v="Full Density"/>
    <s v="Search"/>
    <x v="4"/>
    <s v="Biolage"/>
    <d v="2025-01-04T00:00:00"/>
    <x v="2"/>
    <n v="35.556491000000001"/>
    <n v="63"/>
  </r>
  <r>
    <s v="Biolage"/>
    <s v="Hydra Source"/>
    <s v="Search"/>
    <x v="4"/>
    <s v="Biolage"/>
    <d v="2023-09-30T00:00:00"/>
    <x v="1"/>
    <n v="232.94000000000003"/>
    <n v="1152"/>
  </r>
  <r>
    <s v="Biolage"/>
    <s v="Hydra Source"/>
    <s v="Search"/>
    <x v="4"/>
    <s v="Biolage"/>
    <d v="2023-10-07T00:00:00"/>
    <x v="1"/>
    <n v="278.21999999999997"/>
    <n v="1317"/>
  </r>
  <r>
    <s v="Biolage"/>
    <s v="Hydra Source"/>
    <s v="Search"/>
    <x v="4"/>
    <s v="Biolage"/>
    <d v="2023-10-14T00:00:00"/>
    <x v="1"/>
    <n v="343.06000000000006"/>
    <n v="1346"/>
  </r>
  <r>
    <s v="Biolage"/>
    <s v="Hydra Source"/>
    <s v="Search"/>
    <x v="4"/>
    <s v="Biolage"/>
    <d v="2023-10-21T00:00:00"/>
    <x v="1"/>
    <n v="321.90000000000009"/>
    <n v="1494"/>
  </r>
  <r>
    <s v="Biolage"/>
    <s v="Hydra Source"/>
    <s v="Search"/>
    <x v="4"/>
    <s v="Biolage"/>
    <d v="2023-10-28T00:00:00"/>
    <x v="1"/>
    <n v="334.8"/>
    <n v="1448"/>
  </r>
  <r>
    <s v="Biolage"/>
    <s v="Hydra Source"/>
    <s v="Search"/>
    <x v="4"/>
    <s v="Biolage"/>
    <d v="2023-11-04T00:00:00"/>
    <x v="1"/>
    <n v="390.37999999999994"/>
    <n v="1670"/>
  </r>
  <r>
    <s v="Biolage"/>
    <s v="Hydra Source"/>
    <s v="Search"/>
    <x v="4"/>
    <s v="Biolage"/>
    <d v="2023-11-11T00:00:00"/>
    <x v="1"/>
    <n v="407.21999999999997"/>
    <n v="1706"/>
  </r>
  <r>
    <s v="Biolage"/>
    <s v="Hydra Source"/>
    <s v="Search"/>
    <x v="4"/>
    <s v="Biolage"/>
    <d v="2023-11-18T00:00:00"/>
    <x v="1"/>
    <n v="316.80000000000007"/>
    <n v="1621"/>
  </r>
  <r>
    <s v="Biolage"/>
    <s v="Hydra Source"/>
    <s v="Search"/>
    <x v="4"/>
    <s v="Biolage"/>
    <d v="2023-11-25T00:00:00"/>
    <x v="1"/>
    <n v="316.3"/>
    <n v="1649"/>
  </r>
  <r>
    <s v="Biolage"/>
    <s v="Hydra Source"/>
    <s v="Search"/>
    <x v="4"/>
    <s v="Biolage"/>
    <d v="2023-12-02T00:00:00"/>
    <x v="1"/>
    <n v="433.03"/>
    <n v="1811"/>
  </r>
  <r>
    <s v="Biolage"/>
    <s v="Hydra Source"/>
    <s v="Search"/>
    <x v="4"/>
    <s v="Biolage"/>
    <d v="2023-12-09T00:00:00"/>
    <x v="1"/>
    <n v="384.03"/>
    <n v="1853"/>
  </r>
  <r>
    <s v="Biolage"/>
    <s v="Hydra Source"/>
    <s v="Search"/>
    <x v="4"/>
    <s v="Biolage"/>
    <d v="2023-12-16T00:00:00"/>
    <x v="1"/>
    <n v="375.72"/>
    <n v="1849"/>
  </r>
  <r>
    <s v="Biolage"/>
    <s v="Hydra Source"/>
    <s v="Search"/>
    <x v="4"/>
    <s v="Biolage"/>
    <d v="2023-12-23T00:00:00"/>
    <x v="1"/>
    <n v="389.46000000000004"/>
    <n v="1741"/>
  </r>
  <r>
    <s v="Biolage"/>
    <s v="Hydra Source"/>
    <s v="Search"/>
    <x v="4"/>
    <s v="Biolage"/>
    <d v="2023-12-30T00:00:00"/>
    <x v="1"/>
    <n v="263.13"/>
    <n v="1275"/>
  </r>
  <r>
    <s v="Biolage"/>
    <s v="Hydra Source"/>
    <s v="Search"/>
    <x v="4"/>
    <s v="Biolage"/>
    <d v="2024-01-06T00:00:00"/>
    <x v="2"/>
    <n v="198.4"/>
    <n v="1172"/>
  </r>
  <r>
    <s v="Biolage"/>
    <s v="Hydra Source"/>
    <s v="Search"/>
    <x v="4"/>
    <s v="Biolage"/>
    <d v="2024-01-13T00:00:00"/>
    <x v="2"/>
    <n v="187.42000000000002"/>
    <n v="1331"/>
  </r>
  <r>
    <s v="Biolage"/>
    <s v="Hydra Source"/>
    <s v="Search"/>
    <x v="4"/>
    <s v="Biolage"/>
    <d v="2024-01-20T00:00:00"/>
    <x v="2"/>
    <n v="159.89999999999998"/>
    <n v="1257"/>
  </r>
  <r>
    <s v="Biolage"/>
    <s v="Hydra Source"/>
    <s v="Search"/>
    <x v="4"/>
    <s v="Biolage"/>
    <d v="2024-01-27T00:00:00"/>
    <x v="2"/>
    <n v="224.19000000000003"/>
    <n v="1588"/>
  </r>
  <r>
    <s v="Biolage"/>
    <s v="Hydra Source"/>
    <s v="Search"/>
    <x v="4"/>
    <s v="Biolage"/>
    <d v="2024-02-03T00:00:00"/>
    <x v="2"/>
    <n v="205.63"/>
    <n v="1420"/>
  </r>
  <r>
    <s v="Biolage"/>
    <s v="Hydra Source"/>
    <s v="Search"/>
    <x v="4"/>
    <s v="Biolage"/>
    <d v="2024-02-10T00:00:00"/>
    <x v="2"/>
    <n v="172.73999999999995"/>
    <n v="1295"/>
  </r>
  <r>
    <s v="Biolage"/>
    <s v="Hydra Source"/>
    <s v="Search"/>
    <x v="4"/>
    <s v="Biolage"/>
    <d v="2024-02-17T00:00:00"/>
    <x v="2"/>
    <n v="245.51"/>
    <n v="1499"/>
  </r>
  <r>
    <s v="Biolage"/>
    <s v="Hydra Source"/>
    <s v="Search"/>
    <x v="4"/>
    <s v="Biolage"/>
    <d v="2024-02-24T00:00:00"/>
    <x v="2"/>
    <n v="214.01"/>
    <n v="1488"/>
  </r>
  <r>
    <s v="Biolage"/>
    <s v="Hydra Source"/>
    <s v="Search"/>
    <x v="4"/>
    <s v="Biolage"/>
    <d v="2024-03-02T00:00:00"/>
    <x v="2"/>
    <n v="260.14999999999998"/>
    <n v="1553"/>
  </r>
  <r>
    <s v="Biolage"/>
    <s v="Hydra Source"/>
    <s v="Search"/>
    <x v="4"/>
    <s v="Biolage"/>
    <d v="2024-03-09T00:00:00"/>
    <x v="2"/>
    <n v="270.65999999999997"/>
    <n v="1732"/>
  </r>
  <r>
    <s v="Biolage"/>
    <s v="Hydra Source"/>
    <s v="Search"/>
    <x v="4"/>
    <s v="Biolage"/>
    <d v="2024-03-16T00:00:00"/>
    <x v="2"/>
    <n v="237.32000000000002"/>
    <n v="1572"/>
  </r>
  <r>
    <s v="Biolage"/>
    <s v="Hydra Source"/>
    <s v="Search"/>
    <x v="4"/>
    <s v="Biolage"/>
    <d v="2024-03-23T00:00:00"/>
    <x v="2"/>
    <n v="275.60000000000002"/>
    <n v="1708"/>
  </r>
  <r>
    <s v="Biolage"/>
    <s v="Hydra Source"/>
    <s v="Search"/>
    <x v="4"/>
    <s v="Biolage"/>
    <d v="2024-03-30T00:00:00"/>
    <x v="2"/>
    <n v="201.87000000000003"/>
    <n v="1636"/>
  </r>
  <r>
    <s v="Biolage"/>
    <s v="Hydra Source"/>
    <s v="Search"/>
    <x v="4"/>
    <s v="Biolage"/>
    <d v="2024-04-06T00:00:00"/>
    <x v="2"/>
    <n v="235.44117900000001"/>
    <n v="1668"/>
  </r>
  <r>
    <s v="Biolage"/>
    <s v="Hydra Source"/>
    <s v="Search"/>
    <x v="4"/>
    <s v="Biolage"/>
    <d v="2024-04-13T00:00:00"/>
    <x v="2"/>
    <n v="245.91000000000003"/>
    <n v="1765"/>
  </r>
  <r>
    <s v="Biolage"/>
    <s v="Hydra Source"/>
    <s v="Search"/>
    <x v="4"/>
    <s v="Biolage"/>
    <d v="2024-04-20T00:00:00"/>
    <x v="2"/>
    <n v="251.88"/>
    <n v="1907"/>
  </r>
  <r>
    <s v="Biolage"/>
    <s v="Hydra Source"/>
    <s v="Search"/>
    <x v="4"/>
    <s v="Biolage"/>
    <d v="2024-04-27T00:00:00"/>
    <x v="2"/>
    <n v="318.74319200000002"/>
    <n v="2095"/>
  </r>
  <r>
    <s v="Biolage"/>
    <s v="Hydra Source"/>
    <s v="Search"/>
    <x v="4"/>
    <s v="Biolage"/>
    <d v="2024-05-04T00:00:00"/>
    <x v="2"/>
    <n v="264.5"/>
    <n v="2040"/>
  </r>
  <r>
    <s v="Biolage"/>
    <s v="Hydra Source"/>
    <s v="Search"/>
    <x v="4"/>
    <s v="Biolage"/>
    <d v="2024-05-11T00:00:00"/>
    <x v="2"/>
    <n v="324.72999999999996"/>
    <n v="2079"/>
  </r>
  <r>
    <s v="Biolage"/>
    <s v="Hydra Source"/>
    <s v="Search"/>
    <x v="4"/>
    <s v="Biolage"/>
    <d v="2024-05-18T00:00:00"/>
    <x v="2"/>
    <n v="336.73058000000003"/>
    <n v="2027"/>
  </r>
  <r>
    <s v="Biolage"/>
    <s v="Hydra Source"/>
    <s v="Search"/>
    <x v="4"/>
    <s v="Biolage"/>
    <d v="2024-05-25T00:00:00"/>
    <x v="2"/>
    <n v="313.89256699999999"/>
    <n v="2193"/>
  </r>
  <r>
    <s v="Biolage"/>
    <s v="Hydra Source"/>
    <s v="Search"/>
    <x v="4"/>
    <s v="Biolage"/>
    <d v="2024-06-01T00:00:00"/>
    <x v="2"/>
    <n v="287.28968100000003"/>
    <n v="2159"/>
  </r>
  <r>
    <s v="Biolage"/>
    <s v="Hydra Source"/>
    <s v="Search"/>
    <x v="4"/>
    <s v="Biolage"/>
    <d v="2024-06-08T00:00:00"/>
    <x v="2"/>
    <n v="421.96999999999991"/>
    <n v="2496"/>
  </r>
  <r>
    <s v="Biolage"/>
    <s v="Hydra Source"/>
    <s v="Search"/>
    <x v="4"/>
    <s v="Biolage"/>
    <d v="2024-06-15T00:00:00"/>
    <x v="2"/>
    <n v="342.05000000000007"/>
    <n v="2338"/>
  </r>
  <r>
    <s v="Biolage"/>
    <s v="Hydra Source"/>
    <s v="Search"/>
    <x v="4"/>
    <s v="Biolage"/>
    <d v="2024-06-22T00:00:00"/>
    <x v="2"/>
    <n v="401.50379299999997"/>
    <n v="2432"/>
  </r>
  <r>
    <s v="Biolage"/>
    <s v="Hydra Source"/>
    <s v="Search"/>
    <x v="4"/>
    <s v="Biolage"/>
    <d v="2024-06-29T00:00:00"/>
    <x v="2"/>
    <n v="330.78000000000003"/>
    <n v="2503"/>
  </r>
  <r>
    <s v="Biolage"/>
    <s v="Hydra Source"/>
    <s v="Search"/>
    <x v="4"/>
    <s v="Biolage"/>
    <d v="2024-07-06T00:00:00"/>
    <x v="2"/>
    <n v="349.07157699999999"/>
    <n v="2323"/>
  </r>
  <r>
    <s v="Biolage"/>
    <s v="Hydra Source"/>
    <s v="Search"/>
    <x v="4"/>
    <s v="Biolage"/>
    <d v="2024-07-13T00:00:00"/>
    <x v="2"/>
    <n v="355"/>
    <n v="2502"/>
  </r>
  <r>
    <s v="Biolage"/>
    <s v="Hydra Source"/>
    <s v="Search"/>
    <x v="4"/>
    <s v="Biolage"/>
    <d v="2024-07-20T00:00:00"/>
    <x v="2"/>
    <n v="355.05"/>
    <n v="2468"/>
  </r>
  <r>
    <s v="Biolage"/>
    <s v="Hydra Source"/>
    <s v="Search"/>
    <x v="4"/>
    <s v="Biolage"/>
    <d v="2024-07-27T00:00:00"/>
    <x v="2"/>
    <n v="353.15"/>
    <n v="2137"/>
  </r>
  <r>
    <s v="Biolage"/>
    <s v="Hydra Source"/>
    <s v="Search"/>
    <x v="4"/>
    <s v="Biolage"/>
    <d v="2024-08-03T00:00:00"/>
    <x v="2"/>
    <n v="291.97173399999997"/>
    <n v="2171"/>
  </r>
  <r>
    <s v="Biolage"/>
    <s v="Hydra Source"/>
    <s v="Search"/>
    <x v="4"/>
    <s v="Biolage"/>
    <d v="2024-08-10T00:00:00"/>
    <x v="2"/>
    <n v="270.67"/>
    <n v="1863"/>
  </r>
  <r>
    <s v="Biolage"/>
    <s v="Hydra Source"/>
    <s v="Search"/>
    <x v="4"/>
    <s v="Biolage"/>
    <d v="2024-08-17T00:00:00"/>
    <x v="2"/>
    <n v="286.55"/>
    <n v="2041"/>
  </r>
  <r>
    <s v="Biolage"/>
    <s v="Hydra Source"/>
    <s v="Search"/>
    <x v="4"/>
    <s v="Biolage"/>
    <d v="2024-08-24T00:00:00"/>
    <x v="2"/>
    <n v="340.71"/>
    <n v="2226"/>
  </r>
  <r>
    <s v="Biolage"/>
    <s v="Hydra Source"/>
    <s v="Search"/>
    <x v="4"/>
    <s v="Biolage"/>
    <d v="2024-08-31T00:00:00"/>
    <x v="2"/>
    <n v="248.67"/>
    <n v="1841"/>
  </r>
  <r>
    <s v="Biolage"/>
    <s v="Hydra Source"/>
    <s v="Search"/>
    <x v="4"/>
    <s v="Biolage"/>
    <d v="2024-09-07T00:00:00"/>
    <x v="2"/>
    <n v="305.01"/>
    <n v="1975"/>
  </r>
  <r>
    <s v="Biolage"/>
    <s v="Hydra Source"/>
    <s v="Search"/>
    <x v="4"/>
    <s v="Biolage"/>
    <d v="2024-09-14T00:00:00"/>
    <x v="2"/>
    <n v="360.53261299999997"/>
    <n v="2278"/>
  </r>
  <r>
    <s v="Biolage"/>
    <s v="Hydra Source"/>
    <s v="Search"/>
    <x v="4"/>
    <s v="Biolage"/>
    <d v="2024-09-21T00:00:00"/>
    <x v="2"/>
    <n v="445.71481200000005"/>
    <n v="2400"/>
  </r>
  <r>
    <s v="Biolage"/>
    <s v="Hydra Source"/>
    <s v="Search"/>
    <x v="4"/>
    <s v="Biolage"/>
    <d v="2024-09-28T00:00:00"/>
    <x v="2"/>
    <n v="328.30767900000001"/>
    <n v="2101"/>
  </r>
  <r>
    <s v="Biolage"/>
    <s v="Hydra Source"/>
    <s v="Search"/>
    <x v="4"/>
    <s v="Biolage"/>
    <d v="2024-10-05T00:00:00"/>
    <x v="2"/>
    <n v="328.36"/>
    <n v="2058"/>
  </r>
  <r>
    <s v="Biolage"/>
    <s v="Hydra Source"/>
    <s v="Search"/>
    <x v="4"/>
    <s v="Biolage"/>
    <d v="2024-10-12T00:00:00"/>
    <x v="2"/>
    <n v="332.88945900000004"/>
    <n v="2044"/>
  </r>
  <r>
    <s v="Biolage"/>
    <s v="Hydra Source"/>
    <s v="Search"/>
    <x v="4"/>
    <s v="Biolage"/>
    <d v="2024-10-19T00:00:00"/>
    <x v="2"/>
    <n v="377.384004"/>
    <n v="2359"/>
  </r>
  <r>
    <s v="Biolage"/>
    <s v="Hydra Source"/>
    <s v="Search"/>
    <x v="4"/>
    <s v="Biolage"/>
    <d v="2024-10-26T00:00:00"/>
    <x v="2"/>
    <n v="283.639951"/>
    <n v="2290"/>
  </r>
  <r>
    <s v="Biolage"/>
    <s v="Hydra Source"/>
    <s v="Search"/>
    <x v="4"/>
    <s v="Biolage"/>
    <d v="2024-11-02T00:00:00"/>
    <x v="2"/>
    <n v="298.525149"/>
    <n v="2079"/>
  </r>
  <r>
    <s v="Biolage"/>
    <s v="Hydra Source"/>
    <s v="Search"/>
    <x v="4"/>
    <s v="Biolage"/>
    <d v="2024-11-09T00:00:00"/>
    <x v="2"/>
    <n v="238.181422"/>
    <n v="2050"/>
  </r>
  <r>
    <s v="Biolage"/>
    <s v="Hydra Source"/>
    <s v="Search"/>
    <x v="4"/>
    <s v="Biolage"/>
    <d v="2024-11-16T00:00:00"/>
    <x v="2"/>
    <n v="223.80964299999999"/>
    <n v="2228"/>
  </r>
  <r>
    <s v="Biolage"/>
    <s v="Hydra Source"/>
    <s v="Search"/>
    <x v="4"/>
    <s v="Biolage"/>
    <d v="2024-11-23T00:00:00"/>
    <x v="2"/>
    <n v="207.82541799999996"/>
    <n v="2235"/>
  </r>
  <r>
    <s v="Biolage"/>
    <s v="Hydra Source"/>
    <s v="Search"/>
    <x v="4"/>
    <s v="Biolage"/>
    <d v="2024-11-30T00:00:00"/>
    <x v="2"/>
    <n v="230.04836700000001"/>
    <n v="2520"/>
  </r>
  <r>
    <s v="Biolage"/>
    <s v="Hydra Source"/>
    <s v="Search"/>
    <x v="4"/>
    <s v="Biolage"/>
    <d v="2024-12-07T00:00:00"/>
    <x v="2"/>
    <n v="168.56552099999999"/>
    <n v="1987"/>
  </r>
  <r>
    <s v="Biolage"/>
    <s v="Hydra Source"/>
    <s v="Search"/>
    <x v="4"/>
    <s v="Biolage"/>
    <d v="2024-12-14T00:00:00"/>
    <x v="2"/>
    <n v="121.40880700000001"/>
    <n v="1958"/>
  </r>
  <r>
    <s v="Biolage"/>
    <s v="Hydra Source"/>
    <s v="Search"/>
    <x v="4"/>
    <s v="Biolage"/>
    <d v="2024-12-21T00:00:00"/>
    <x v="2"/>
    <n v="129.65206000000003"/>
    <n v="1760"/>
  </r>
  <r>
    <s v="Biolage"/>
    <s v="Hydra Source"/>
    <s v="Search"/>
    <x v="4"/>
    <s v="Biolage"/>
    <d v="2024-12-28T00:00:00"/>
    <x v="2"/>
    <n v="97.554154999999994"/>
    <n v="1488"/>
  </r>
  <r>
    <s v="Biolage"/>
    <s v="Hydra Source"/>
    <s v="Search"/>
    <x v="4"/>
    <s v="Biolage"/>
    <d v="2025-01-04T00:00:00"/>
    <x v="2"/>
    <n v="2.86"/>
    <n v="132"/>
  </r>
  <r>
    <s v="Biolage"/>
    <s v="Hydra Source"/>
    <s v="Search"/>
    <x v="4"/>
    <s v="Biolage"/>
    <d v="2025-03-01T00:00:00"/>
    <x v="0"/>
    <n v="0.96"/>
    <n v="1"/>
  </r>
  <r>
    <s v="Biolage"/>
    <s v="Scalp Sync"/>
    <s v="Search"/>
    <x v="4"/>
    <s v="Biolage"/>
    <d v="2023-09-30T00:00:00"/>
    <x v="1"/>
    <n v="116.12"/>
    <n v="547"/>
  </r>
  <r>
    <s v="Biolage"/>
    <s v="Scalp Sync"/>
    <s v="Search"/>
    <x v="4"/>
    <s v="Biolage"/>
    <d v="2023-10-07T00:00:00"/>
    <x v="1"/>
    <n v="155.5"/>
    <n v="707"/>
  </r>
  <r>
    <s v="Biolage"/>
    <s v="Scalp Sync"/>
    <s v="Search"/>
    <x v="4"/>
    <s v="Biolage"/>
    <d v="2023-10-14T00:00:00"/>
    <x v="1"/>
    <n v="163.03"/>
    <n v="769"/>
  </r>
  <r>
    <s v="Biolage"/>
    <s v="Scalp Sync"/>
    <s v="Search"/>
    <x v="4"/>
    <s v="Biolage"/>
    <d v="2023-10-21T00:00:00"/>
    <x v="1"/>
    <n v="141.34"/>
    <n v="794"/>
  </r>
  <r>
    <s v="Biolage"/>
    <s v="Scalp Sync"/>
    <s v="Search"/>
    <x v="4"/>
    <s v="Biolage"/>
    <d v="2023-10-28T00:00:00"/>
    <x v="1"/>
    <n v="180.89"/>
    <n v="812"/>
  </r>
  <r>
    <s v="Biolage"/>
    <s v="Scalp Sync"/>
    <s v="Search"/>
    <x v="4"/>
    <s v="Biolage"/>
    <d v="2023-11-04T00:00:00"/>
    <x v="1"/>
    <n v="256.22000000000003"/>
    <n v="907"/>
  </r>
  <r>
    <s v="Biolage"/>
    <s v="Scalp Sync"/>
    <s v="Search"/>
    <x v="4"/>
    <s v="Biolage"/>
    <d v="2023-11-11T00:00:00"/>
    <x v="1"/>
    <n v="279.95000000000005"/>
    <n v="927"/>
  </r>
  <r>
    <s v="Biolage"/>
    <s v="Scalp Sync"/>
    <s v="Search"/>
    <x v="4"/>
    <s v="Biolage"/>
    <d v="2023-11-18T00:00:00"/>
    <x v="1"/>
    <n v="253.53"/>
    <n v="997"/>
  </r>
  <r>
    <s v="Biolage"/>
    <s v="Scalp Sync"/>
    <s v="Search"/>
    <x v="4"/>
    <s v="Biolage"/>
    <d v="2023-11-25T00:00:00"/>
    <x v="1"/>
    <n v="262.56"/>
    <n v="963"/>
  </r>
  <r>
    <s v="Biolage"/>
    <s v="Scalp Sync"/>
    <s v="Search"/>
    <x v="4"/>
    <s v="Biolage"/>
    <d v="2023-12-02T00:00:00"/>
    <x v="1"/>
    <n v="231.67999999999995"/>
    <n v="919"/>
  </r>
  <r>
    <s v="Biolage"/>
    <s v="Scalp Sync"/>
    <s v="Search"/>
    <x v="4"/>
    <s v="Biolage"/>
    <d v="2023-12-09T00:00:00"/>
    <x v="1"/>
    <n v="246.56"/>
    <n v="924"/>
  </r>
  <r>
    <s v="Biolage"/>
    <s v="Scalp Sync"/>
    <s v="Search"/>
    <x v="4"/>
    <s v="Biolage"/>
    <d v="2023-12-16T00:00:00"/>
    <x v="1"/>
    <n v="297.20000000000005"/>
    <n v="1066"/>
  </r>
  <r>
    <s v="Biolage"/>
    <s v="Scalp Sync"/>
    <s v="Search"/>
    <x v="4"/>
    <s v="Biolage"/>
    <d v="2023-12-23T00:00:00"/>
    <x v="1"/>
    <n v="331.7"/>
    <n v="1030"/>
  </r>
  <r>
    <s v="Biolage"/>
    <s v="Scalp Sync"/>
    <s v="Search"/>
    <x v="4"/>
    <s v="Biolage"/>
    <d v="2023-12-30T00:00:00"/>
    <x v="1"/>
    <n v="300.01"/>
    <n v="1032"/>
  </r>
  <r>
    <s v="Biolage"/>
    <s v="Scalp Sync"/>
    <s v="Search"/>
    <x v="4"/>
    <s v="Biolage"/>
    <d v="2024-01-06T00:00:00"/>
    <x v="2"/>
    <n v="262.31"/>
    <n v="990"/>
  </r>
  <r>
    <s v="Biolage"/>
    <s v="Scalp Sync"/>
    <s v="Search"/>
    <x v="4"/>
    <s v="Biolage"/>
    <d v="2024-01-13T00:00:00"/>
    <x v="2"/>
    <n v="265.98"/>
    <n v="1162"/>
  </r>
  <r>
    <s v="Biolage"/>
    <s v="Scalp Sync"/>
    <s v="Search"/>
    <x v="4"/>
    <s v="Biolage"/>
    <d v="2024-01-20T00:00:00"/>
    <x v="2"/>
    <n v="354.86999999999995"/>
    <n v="1366"/>
  </r>
  <r>
    <s v="Biolage"/>
    <s v="Scalp Sync"/>
    <s v="Search"/>
    <x v="4"/>
    <s v="Biolage"/>
    <d v="2024-01-27T00:00:00"/>
    <x v="2"/>
    <n v="550.13000000000011"/>
    <n v="1674"/>
  </r>
  <r>
    <s v="Biolage"/>
    <s v="Scalp Sync"/>
    <s v="Search"/>
    <x v="4"/>
    <s v="Biolage"/>
    <d v="2024-02-03T00:00:00"/>
    <x v="2"/>
    <n v="428.61"/>
    <n v="1502"/>
  </r>
  <r>
    <s v="Biolage"/>
    <s v="Scalp Sync"/>
    <s v="Search"/>
    <x v="4"/>
    <s v="Biolage"/>
    <d v="2024-02-10T00:00:00"/>
    <x v="2"/>
    <n v="512.18000000000006"/>
    <n v="1609"/>
  </r>
  <r>
    <s v="Biolage"/>
    <s v="Scalp Sync"/>
    <s v="Search"/>
    <x v="4"/>
    <s v="Biolage"/>
    <d v="2024-02-17T00:00:00"/>
    <x v="2"/>
    <n v="523.76"/>
    <n v="1459"/>
  </r>
  <r>
    <s v="Biolage"/>
    <s v="Scalp Sync"/>
    <s v="Search"/>
    <x v="4"/>
    <s v="Biolage"/>
    <d v="2024-02-24T00:00:00"/>
    <x v="2"/>
    <n v="342.75"/>
    <n v="1283"/>
  </r>
  <r>
    <s v="Biolage"/>
    <s v="Scalp Sync"/>
    <s v="Search"/>
    <x v="4"/>
    <s v="Biolage"/>
    <d v="2024-03-02T00:00:00"/>
    <x v="2"/>
    <n v="300.64999999999998"/>
    <n v="1061"/>
  </r>
  <r>
    <s v="Biolage"/>
    <s v="Scalp Sync"/>
    <s v="Search"/>
    <x v="4"/>
    <s v="Biolage"/>
    <d v="2024-03-09T00:00:00"/>
    <x v="2"/>
    <n v="459.98"/>
    <n v="1785"/>
  </r>
  <r>
    <s v="Biolage"/>
    <s v="Scalp Sync"/>
    <s v="Search"/>
    <x v="4"/>
    <s v="Biolage"/>
    <d v="2024-03-16T00:00:00"/>
    <x v="2"/>
    <n v="434.56"/>
    <n v="1963"/>
  </r>
  <r>
    <s v="Biolage"/>
    <s v="Scalp Sync"/>
    <s v="Search"/>
    <x v="4"/>
    <s v="Biolage"/>
    <d v="2024-03-23T00:00:00"/>
    <x v="2"/>
    <n v="429.36"/>
    <n v="2131"/>
  </r>
  <r>
    <s v="Biolage"/>
    <s v="Scalp Sync"/>
    <s v="Search"/>
    <x v="4"/>
    <s v="Biolage"/>
    <d v="2024-03-30T00:00:00"/>
    <x v="2"/>
    <n v="341.88999999999993"/>
    <n v="2248"/>
  </r>
  <r>
    <s v="Biolage"/>
    <s v="Scalp Sync"/>
    <s v="Search"/>
    <x v="4"/>
    <s v="Biolage"/>
    <d v="2024-04-06T00:00:00"/>
    <x v="2"/>
    <n v="291.04181799999998"/>
    <n v="2100"/>
  </r>
  <r>
    <s v="Biolage"/>
    <s v="Scalp Sync"/>
    <s v="Search"/>
    <x v="4"/>
    <s v="Biolage"/>
    <d v="2024-04-13T00:00:00"/>
    <x v="2"/>
    <n v="315.5"/>
    <n v="2218"/>
  </r>
  <r>
    <s v="Biolage"/>
    <s v="Scalp Sync"/>
    <s v="Search"/>
    <x v="4"/>
    <s v="Biolage"/>
    <d v="2024-04-20T00:00:00"/>
    <x v="2"/>
    <n v="370.21399999999994"/>
    <n v="2324"/>
  </r>
  <r>
    <s v="Biolage"/>
    <s v="Scalp Sync"/>
    <s v="Search"/>
    <x v="4"/>
    <s v="Biolage"/>
    <d v="2024-04-27T00:00:00"/>
    <x v="2"/>
    <n v="318.80999999999995"/>
    <n v="2130"/>
  </r>
  <r>
    <s v="Biolage"/>
    <s v="Scalp Sync"/>
    <s v="Search"/>
    <x v="4"/>
    <s v="Biolage"/>
    <d v="2024-05-04T00:00:00"/>
    <x v="2"/>
    <n v="310.85999999999996"/>
    <n v="2084"/>
  </r>
  <r>
    <s v="Biolage"/>
    <s v="Scalp Sync"/>
    <s v="Search"/>
    <x v="4"/>
    <s v="Biolage"/>
    <d v="2024-05-11T00:00:00"/>
    <x v="2"/>
    <n v="312.11999999999995"/>
    <n v="2108"/>
  </r>
  <r>
    <s v="Biolage"/>
    <s v="Scalp Sync"/>
    <s v="Search"/>
    <x v="4"/>
    <s v="Biolage"/>
    <d v="2024-05-18T00:00:00"/>
    <x v="2"/>
    <n v="327.36949100000004"/>
    <n v="1964"/>
  </r>
  <r>
    <s v="Biolage"/>
    <s v="Scalp Sync"/>
    <s v="Search"/>
    <x v="4"/>
    <s v="Biolage"/>
    <d v="2024-05-25T00:00:00"/>
    <x v="2"/>
    <n v="295"/>
    <n v="1918"/>
  </r>
  <r>
    <s v="Biolage"/>
    <s v="Scalp Sync"/>
    <s v="Search"/>
    <x v="4"/>
    <s v="Biolage"/>
    <d v="2024-06-01T00:00:00"/>
    <x v="2"/>
    <n v="232.47"/>
    <n v="1836"/>
  </r>
  <r>
    <s v="Biolage"/>
    <s v="Scalp Sync"/>
    <s v="Search"/>
    <x v="4"/>
    <s v="Biolage"/>
    <d v="2024-06-08T00:00:00"/>
    <x v="2"/>
    <n v="228.45"/>
    <n v="1653"/>
  </r>
  <r>
    <s v="Biolage"/>
    <s v="Scalp Sync"/>
    <s v="Search"/>
    <x v="4"/>
    <s v="Biolage"/>
    <d v="2024-06-15T00:00:00"/>
    <x v="2"/>
    <n v="222.14933900000003"/>
    <n v="1811"/>
  </r>
  <r>
    <s v="Biolage"/>
    <s v="Scalp Sync"/>
    <s v="Search"/>
    <x v="4"/>
    <s v="Biolage"/>
    <d v="2024-06-22T00:00:00"/>
    <x v="2"/>
    <n v="217.37"/>
    <n v="2053"/>
  </r>
  <r>
    <s v="Biolage"/>
    <s v="Scalp Sync"/>
    <s v="Search"/>
    <x v="4"/>
    <s v="Biolage"/>
    <d v="2024-06-29T00:00:00"/>
    <x v="2"/>
    <n v="242.77266599999996"/>
    <n v="1793"/>
  </r>
  <r>
    <s v="Biolage"/>
    <s v="Scalp Sync"/>
    <s v="Search"/>
    <x v="4"/>
    <s v="Biolage"/>
    <d v="2024-07-06T00:00:00"/>
    <x v="2"/>
    <n v="206.07000000000002"/>
    <n v="1544"/>
  </r>
  <r>
    <s v="Biolage"/>
    <s v="Scalp Sync"/>
    <s v="Search"/>
    <x v="4"/>
    <s v="Biolage"/>
    <d v="2024-07-13T00:00:00"/>
    <x v="2"/>
    <n v="260.88"/>
    <n v="1946"/>
  </r>
  <r>
    <s v="Biolage"/>
    <s v="Scalp Sync"/>
    <s v="Search"/>
    <x v="4"/>
    <s v="Biolage"/>
    <d v="2024-07-20T00:00:00"/>
    <x v="2"/>
    <n v="211.92"/>
    <n v="1605"/>
  </r>
  <r>
    <s v="Biolage"/>
    <s v="Scalp Sync"/>
    <s v="Search"/>
    <x v="4"/>
    <s v="Biolage"/>
    <d v="2024-07-27T00:00:00"/>
    <x v="2"/>
    <n v="176.07"/>
    <n v="1561"/>
  </r>
  <r>
    <s v="Biolage"/>
    <s v="Scalp Sync"/>
    <s v="Search"/>
    <x v="4"/>
    <s v="Biolage"/>
    <d v="2024-08-03T00:00:00"/>
    <x v="2"/>
    <n v="186.95999999999998"/>
    <n v="1542"/>
  </r>
  <r>
    <s v="Biolage"/>
    <s v="Scalp Sync"/>
    <s v="Search"/>
    <x v="4"/>
    <s v="Biolage"/>
    <d v="2024-08-10T00:00:00"/>
    <x v="2"/>
    <n v="184.2"/>
    <n v="1293"/>
  </r>
  <r>
    <s v="Biolage"/>
    <s v="Scalp Sync"/>
    <s v="Search"/>
    <x v="4"/>
    <s v="Biolage"/>
    <d v="2024-08-17T00:00:00"/>
    <x v="2"/>
    <n v="220.15333300000003"/>
    <n v="1561"/>
  </r>
  <r>
    <s v="Biolage"/>
    <s v="Scalp Sync"/>
    <s v="Search"/>
    <x v="4"/>
    <s v="Biolage"/>
    <d v="2024-08-24T00:00:00"/>
    <x v="2"/>
    <n v="201.30916199999999"/>
    <n v="1580"/>
  </r>
  <r>
    <s v="Biolage"/>
    <s v="Scalp Sync"/>
    <s v="Search"/>
    <x v="4"/>
    <s v="Biolage"/>
    <d v="2024-08-31T00:00:00"/>
    <x v="2"/>
    <n v="161.30338499999999"/>
    <n v="1379"/>
  </r>
  <r>
    <s v="Biolage"/>
    <s v="Scalp Sync"/>
    <s v="Search"/>
    <x v="4"/>
    <s v="Biolage"/>
    <d v="2024-09-07T00:00:00"/>
    <x v="2"/>
    <n v="197.90614000000002"/>
    <n v="1463"/>
  </r>
  <r>
    <s v="Biolage"/>
    <s v="Scalp Sync"/>
    <s v="Search"/>
    <x v="4"/>
    <s v="Biolage"/>
    <d v="2024-09-14T00:00:00"/>
    <x v="2"/>
    <n v="207.06141500000001"/>
    <n v="1787"/>
  </r>
  <r>
    <s v="Biolage"/>
    <s v="Scalp Sync"/>
    <s v="Search"/>
    <x v="4"/>
    <s v="Biolage"/>
    <d v="2024-09-21T00:00:00"/>
    <x v="2"/>
    <n v="274.80999700000001"/>
    <n v="1849"/>
  </r>
  <r>
    <s v="Biolage"/>
    <s v="Scalp Sync"/>
    <s v="Search"/>
    <x v="4"/>
    <s v="Biolage"/>
    <d v="2024-09-28T00:00:00"/>
    <x v="2"/>
    <n v="254.22137899999998"/>
    <n v="1624"/>
  </r>
  <r>
    <s v="Biolage"/>
    <s v="Scalp Sync"/>
    <s v="Search"/>
    <x v="4"/>
    <s v="Biolage"/>
    <d v="2024-10-05T00:00:00"/>
    <x v="2"/>
    <n v="283.15999999999997"/>
    <n v="1744"/>
  </r>
  <r>
    <s v="Biolage"/>
    <s v="Scalp Sync"/>
    <s v="Search"/>
    <x v="4"/>
    <s v="Biolage"/>
    <d v="2024-10-12T00:00:00"/>
    <x v="2"/>
    <n v="334.14426099999997"/>
    <n v="2344"/>
  </r>
  <r>
    <s v="Biolage"/>
    <s v="Scalp Sync"/>
    <s v="Search"/>
    <x v="4"/>
    <s v="Biolage"/>
    <d v="2024-10-19T00:00:00"/>
    <x v="2"/>
    <n v="259.89919099999997"/>
    <n v="1938"/>
  </r>
  <r>
    <s v="Biolage"/>
    <s v="Scalp Sync"/>
    <s v="Search"/>
    <x v="4"/>
    <s v="Biolage"/>
    <d v="2024-10-26T00:00:00"/>
    <x v="2"/>
    <n v="337.08645300000001"/>
    <n v="1961"/>
  </r>
  <r>
    <s v="Biolage"/>
    <s v="Scalp Sync"/>
    <s v="Search"/>
    <x v="4"/>
    <s v="Biolage"/>
    <d v="2024-11-02T00:00:00"/>
    <x v="2"/>
    <n v="297.62193599999995"/>
    <n v="1957"/>
  </r>
  <r>
    <s v="Biolage"/>
    <s v="Scalp Sync"/>
    <s v="Search"/>
    <x v="4"/>
    <s v="Biolage"/>
    <d v="2024-11-09T00:00:00"/>
    <x v="2"/>
    <n v="315.07383900000002"/>
    <n v="2160"/>
  </r>
  <r>
    <s v="Biolage"/>
    <s v="Scalp Sync"/>
    <s v="Search"/>
    <x v="4"/>
    <s v="Biolage"/>
    <d v="2024-11-16T00:00:00"/>
    <x v="2"/>
    <n v="248.58994999999999"/>
    <n v="2286"/>
  </r>
  <r>
    <s v="Biolage"/>
    <s v="Scalp Sync"/>
    <s v="Search"/>
    <x v="4"/>
    <s v="Biolage"/>
    <d v="2024-11-23T00:00:00"/>
    <x v="2"/>
    <n v="252.37172000000001"/>
    <n v="2411"/>
  </r>
  <r>
    <s v="Biolage"/>
    <s v="Scalp Sync"/>
    <s v="Search"/>
    <x v="4"/>
    <s v="Biolage"/>
    <d v="2024-11-30T00:00:00"/>
    <x v="2"/>
    <n v="245.15006499999998"/>
    <n v="2404"/>
  </r>
  <r>
    <s v="Biolage"/>
    <s v="Scalp Sync"/>
    <s v="Search"/>
    <x v="4"/>
    <s v="Biolage"/>
    <d v="2024-12-07T00:00:00"/>
    <x v="2"/>
    <n v="198.52171000000001"/>
    <n v="2329"/>
  </r>
  <r>
    <s v="Biolage"/>
    <s v="Scalp Sync"/>
    <s v="Search"/>
    <x v="4"/>
    <s v="Biolage"/>
    <d v="2024-12-14T00:00:00"/>
    <x v="2"/>
    <n v="161.26761999999997"/>
    <n v="2413"/>
  </r>
  <r>
    <s v="Biolage"/>
    <s v="Scalp Sync"/>
    <s v="Search"/>
    <x v="4"/>
    <s v="Biolage"/>
    <d v="2024-12-21T00:00:00"/>
    <x v="2"/>
    <n v="149.59066100000001"/>
    <n v="2167"/>
  </r>
  <r>
    <s v="Biolage"/>
    <s v="Scalp Sync"/>
    <s v="Search"/>
    <x v="4"/>
    <s v="Biolage"/>
    <d v="2024-12-28T00:00:00"/>
    <x v="2"/>
    <n v="104.035501"/>
    <n v="1651"/>
  </r>
  <r>
    <s v="Biolage"/>
    <s v="Scalp Sync"/>
    <s v="Search"/>
    <x v="4"/>
    <s v="Biolage"/>
    <d v="2025-01-04T00:00:00"/>
    <x v="2"/>
    <n v="12.419084"/>
    <n v="177"/>
  </r>
  <r>
    <s v="Biolage"/>
    <s v="Scalp Sync"/>
    <s v="Search"/>
    <x v="4"/>
    <s v="Biolage"/>
    <d v="2025-03-01T00:00:00"/>
    <x v="0"/>
    <n v="0.01"/>
    <n v="5"/>
  </r>
  <r>
    <s v="Biolage"/>
    <s v="Smooth Proof"/>
    <s v="Search"/>
    <x v="4"/>
    <s v="Biolage"/>
    <d v="2023-09-30T00:00:00"/>
    <x v="1"/>
    <n v="152.44"/>
    <n v="446"/>
  </r>
  <r>
    <s v="Biolage"/>
    <s v="Smooth Proof"/>
    <s v="Search"/>
    <x v="4"/>
    <s v="Biolage"/>
    <d v="2023-10-07T00:00:00"/>
    <x v="1"/>
    <n v="122.99000000000001"/>
    <n v="547"/>
  </r>
  <r>
    <s v="Biolage"/>
    <s v="Smooth Proof"/>
    <s v="Search"/>
    <x v="4"/>
    <s v="Biolage"/>
    <d v="2023-10-14T00:00:00"/>
    <x v="1"/>
    <n v="138.57"/>
    <n v="552"/>
  </r>
  <r>
    <s v="Biolage"/>
    <s v="Smooth Proof"/>
    <s v="Search"/>
    <x v="4"/>
    <s v="Biolage"/>
    <d v="2023-10-21T00:00:00"/>
    <x v="1"/>
    <n v="158.88999999999999"/>
    <n v="620"/>
  </r>
  <r>
    <s v="Biolage"/>
    <s v="Smooth Proof"/>
    <s v="Search"/>
    <x v="4"/>
    <s v="Biolage"/>
    <d v="2023-10-28T00:00:00"/>
    <x v="1"/>
    <n v="168.89"/>
    <n v="577"/>
  </r>
  <r>
    <s v="Biolage"/>
    <s v="Smooth Proof"/>
    <s v="Search"/>
    <x v="4"/>
    <s v="Biolage"/>
    <d v="2023-11-04T00:00:00"/>
    <x v="1"/>
    <n v="196.5"/>
    <n v="592"/>
  </r>
  <r>
    <s v="Biolage"/>
    <s v="Smooth Proof"/>
    <s v="Search"/>
    <x v="4"/>
    <s v="Biolage"/>
    <d v="2023-11-11T00:00:00"/>
    <x v="1"/>
    <n v="183.75999999999996"/>
    <n v="643"/>
  </r>
  <r>
    <s v="Biolage"/>
    <s v="Smooth Proof"/>
    <s v="Search"/>
    <x v="4"/>
    <s v="Biolage"/>
    <d v="2023-11-18T00:00:00"/>
    <x v="1"/>
    <n v="187.76"/>
    <n v="666"/>
  </r>
  <r>
    <s v="Biolage"/>
    <s v="Smooth Proof"/>
    <s v="Search"/>
    <x v="4"/>
    <s v="Biolage"/>
    <d v="2023-11-25T00:00:00"/>
    <x v="1"/>
    <n v="155.10000000000002"/>
    <n v="697"/>
  </r>
  <r>
    <s v="Biolage"/>
    <s v="Smooth Proof"/>
    <s v="Search"/>
    <x v="4"/>
    <s v="Biolage"/>
    <d v="2023-12-02T00:00:00"/>
    <x v="1"/>
    <n v="124.75999999999999"/>
    <n v="621"/>
  </r>
  <r>
    <s v="Biolage"/>
    <s v="Smooth Proof"/>
    <s v="Search"/>
    <x v="4"/>
    <s v="Biolage"/>
    <d v="2023-12-09T00:00:00"/>
    <x v="1"/>
    <n v="139.31"/>
    <n v="655"/>
  </r>
  <r>
    <s v="Biolage"/>
    <s v="Smooth Proof"/>
    <s v="Search"/>
    <x v="4"/>
    <s v="Biolage"/>
    <d v="2023-12-16T00:00:00"/>
    <x v="1"/>
    <n v="154.13999999999999"/>
    <n v="613"/>
  </r>
  <r>
    <s v="Biolage"/>
    <s v="Smooth Proof"/>
    <s v="Search"/>
    <x v="4"/>
    <s v="Biolage"/>
    <d v="2023-12-23T00:00:00"/>
    <x v="1"/>
    <n v="107.92999999999999"/>
    <n v="574"/>
  </r>
  <r>
    <s v="Biolage"/>
    <s v="Smooth Proof"/>
    <s v="Search"/>
    <x v="4"/>
    <s v="Biolage"/>
    <d v="2023-12-30T00:00:00"/>
    <x v="1"/>
    <n v="99.240000000000009"/>
    <n v="458"/>
  </r>
  <r>
    <s v="Biolage"/>
    <s v="Smooth Proof"/>
    <s v="Search"/>
    <x v="4"/>
    <s v="Biolage"/>
    <d v="2024-01-06T00:00:00"/>
    <x v="2"/>
    <n v="50.920000000000009"/>
    <n v="372"/>
  </r>
  <r>
    <s v="Biolage"/>
    <s v="Smooth Proof"/>
    <s v="Search"/>
    <x v="4"/>
    <s v="Biolage"/>
    <d v="2024-01-13T00:00:00"/>
    <x v="2"/>
    <n v="65.179999999999993"/>
    <n v="408"/>
  </r>
  <r>
    <s v="Biolage"/>
    <s v="Smooth Proof"/>
    <s v="Search"/>
    <x v="4"/>
    <s v="Biolage"/>
    <d v="2024-01-20T00:00:00"/>
    <x v="2"/>
    <n v="50.1"/>
    <n v="336"/>
  </r>
  <r>
    <s v="Biolage"/>
    <s v="Smooth Proof"/>
    <s v="Search"/>
    <x v="4"/>
    <s v="Biolage"/>
    <d v="2024-01-27T00:00:00"/>
    <x v="2"/>
    <n v="54.17"/>
    <n v="392"/>
  </r>
  <r>
    <s v="Biolage"/>
    <s v="Smooth Proof"/>
    <s v="Search"/>
    <x v="4"/>
    <s v="Biolage"/>
    <d v="2024-02-03T00:00:00"/>
    <x v="2"/>
    <n v="62.070000000000007"/>
    <n v="353"/>
  </r>
  <r>
    <s v="Biolage"/>
    <s v="Smooth Proof"/>
    <s v="Search"/>
    <x v="4"/>
    <s v="Biolage"/>
    <d v="2024-02-10T00:00:00"/>
    <x v="2"/>
    <n v="41.21"/>
    <n v="344"/>
  </r>
  <r>
    <s v="Biolage"/>
    <s v="Smooth Proof"/>
    <s v="Search"/>
    <x v="4"/>
    <s v="Biolage"/>
    <d v="2024-02-17T00:00:00"/>
    <x v="2"/>
    <n v="49.370000000000005"/>
    <n v="299"/>
  </r>
  <r>
    <s v="Biolage"/>
    <s v="Smooth Proof"/>
    <s v="Search"/>
    <x v="4"/>
    <s v="Biolage"/>
    <d v="2024-02-24T00:00:00"/>
    <x v="2"/>
    <n v="74.09"/>
    <n v="340"/>
  </r>
  <r>
    <s v="Biolage"/>
    <s v="Smooth Proof"/>
    <s v="Search"/>
    <x v="4"/>
    <s v="Biolage"/>
    <d v="2024-03-02T00:00:00"/>
    <x v="2"/>
    <n v="77.220000000000013"/>
    <n v="368"/>
  </r>
  <r>
    <s v="Biolage"/>
    <s v="Smooth Proof"/>
    <s v="Search"/>
    <x v="4"/>
    <s v="Biolage"/>
    <d v="2024-03-09T00:00:00"/>
    <x v="2"/>
    <n v="99.009999999999991"/>
    <n v="473"/>
  </r>
  <r>
    <s v="Biolage"/>
    <s v="Smooth Proof"/>
    <s v="Search"/>
    <x v="4"/>
    <s v="Biolage"/>
    <d v="2024-03-16T00:00:00"/>
    <x v="2"/>
    <n v="95.19"/>
    <n v="465"/>
  </r>
  <r>
    <s v="Biolage"/>
    <s v="Smooth Proof"/>
    <s v="Search"/>
    <x v="4"/>
    <s v="Biolage"/>
    <d v="2024-03-23T00:00:00"/>
    <x v="2"/>
    <n v="72.8"/>
    <n v="496"/>
  </r>
  <r>
    <s v="Biolage"/>
    <s v="Smooth Proof"/>
    <s v="Search"/>
    <x v="4"/>
    <s v="Biolage"/>
    <d v="2024-03-30T00:00:00"/>
    <x v="2"/>
    <n v="81.27000000000001"/>
    <n v="500"/>
  </r>
  <r>
    <s v="Biolage"/>
    <s v="Smooth Proof"/>
    <s v="Search"/>
    <x v="4"/>
    <s v="Biolage"/>
    <d v="2024-04-06T00:00:00"/>
    <x v="2"/>
    <n v="59.379999999999995"/>
    <n v="494"/>
  </r>
  <r>
    <s v="Biolage"/>
    <s v="Smooth Proof"/>
    <s v="Search"/>
    <x v="4"/>
    <s v="Biolage"/>
    <d v="2024-04-13T00:00:00"/>
    <x v="2"/>
    <n v="87.269999999999982"/>
    <n v="424"/>
  </r>
  <r>
    <s v="Biolage"/>
    <s v="Smooth Proof"/>
    <s v="Search"/>
    <x v="4"/>
    <s v="Biolage"/>
    <d v="2024-04-20T00:00:00"/>
    <x v="2"/>
    <n v="97.210000000000008"/>
    <n v="456"/>
  </r>
  <r>
    <s v="Biolage"/>
    <s v="Smooth Proof"/>
    <s v="Search"/>
    <x v="4"/>
    <s v="Biolage"/>
    <d v="2024-04-27T00:00:00"/>
    <x v="2"/>
    <n v="84.59"/>
    <n v="495"/>
  </r>
  <r>
    <s v="Biolage"/>
    <s v="Smooth Proof"/>
    <s v="Search"/>
    <x v="4"/>
    <s v="Biolage"/>
    <d v="2024-05-04T00:00:00"/>
    <x v="2"/>
    <n v="99.023240999999999"/>
    <n v="522"/>
  </r>
  <r>
    <s v="Biolage"/>
    <s v="Smooth Proof"/>
    <s v="Search"/>
    <x v="4"/>
    <s v="Biolage"/>
    <d v="2024-05-11T00:00:00"/>
    <x v="2"/>
    <n v="83.49"/>
    <n v="556"/>
  </r>
  <r>
    <s v="Biolage"/>
    <s v="Smooth Proof"/>
    <s v="Search"/>
    <x v="4"/>
    <s v="Biolage"/>
    <d v="2024-05-18T00:00:00"/>
    <x v="2"/>
    <n v="79.27000000000001"/>
    <n v="568"/>
  </r>
  <r>
    <s v="Biolage"/>
    <s v="Smooth Proof"/>
    <s v="Search"/>
    <x v="4"/>
    <s v="Biolage"/>
    <d v="2024-05-25T00:00:00"/>
    <x v="2"/>
    <n v="95.85"/>
    <n v="602"/>
  </r>
  <r>
    <s v="Biolage"/>
    <s v="Smooth Proof"/>
    <s v="Search"/>
    <x v="4"/>
    <s v="Biolage"/>
    <d v="2024-06-01T00:00:00"/>
    <x v="2"/>
    <n v="114.80000000000001"/>
    <n v="536"/>
  </r>
  <r>
    <s v="Biolage"/>
    <s v="Smooth Proof"/>
    <s v="Search"/>
    <x v="4"/>
    <s v="Biolage"/>
    <d v="2024-06-08T00:00:00"/>
    <x v="2"/>
    <n v="124.88"/>
    <n v="564"/>
  </r>
  <r>
    <s v="Biolage"/>
    <s v="Smooth Proof"/>
    <s v="Search"/>
    <x v="4"/>
    <s v="Biolage"/>
    <d v="2024-06-15T00:00:00"/>
    <x v="2"/>
    <n v="94.82"/>
    <n v="587"/>
  </r>
  <r>
    <s v="Biolage"/>
    <s v="Smooth Proof"/>
    <s v="Search"/>
    <x v="4"/>
    <s v="Biolage"/>
    <d v="2024-06-22T00:00:00"/>
    <x v="2"/>
    <n v="100.22"/>
    <n v="571"/>
  </r>
  <r>
    <s v="Biolage"/>
    <s v="Smooth Proof"/>
    <s v="Search"/>
    <x v="4"/>
    <s v="Biolage"/>
    <d v="2024-06-29T00:00:00"/>
    <x v="2"/>
    <n v="119.99000000000001"/>
    <n v="710"/>
  </r>
  <r>
    <s v="Biolage"/>
    <s v="Smooth Proof"/>
    <s v="Search"/>
    <x v="4"/>
    <s v="Biolage"/>
    <d v="2024-07-06T00:00:00"/>
    <x v="2"/>
    <n v="108.89000000000001"/>
    <n v="615"/>
  </r>
  <r>
    <s v="Biolage"/>
    <s v="Smooth Proof"/>
    <s v="Search"/>
    <x v="4"/>
    <s v="Biolage"/>
    <d v="2024-07-13T00:00:00"/>
    <x v="2"/>
    <n v="139.88"/>
    <n v="677"/>
  </r>
  <r>
    <s v="Biolage"/>
    <s v="Smooth Proof"/>
    <s v="Search"/>
    <x v="4"/>
    <s v="Biolage"/>
    <d v="2024-07-20T00:00:00"/>
    <x v="2"/>
    <n v="89.74"/>
    <n v="584"/>
  </r>
  <r>
    <s v="Biolage"/>
    <s v="Smooth Proof"/>
    <s v="Search"/>
    <x v="4"/>
    <s v="Biolage"/>
    <d v="2024-07-27T00:00:00"/>
    <x v="2"/>
    <n v="93.18"/>
    <n v="593"/>
  </r>
  <r>
    <s v="Biolage"/>
    <s v="Smooth Proof"/>
    <s v="Search"/>
    <x v="4"/>
    <s v="Biolage"/>
    <d v="2024-08-03T00:00:00"/>
    <x v="2"/>
    <n v="109.94"/>
    <n v="627"/>
  </r>
  <r>
    <s v="Biolage"/>
    <s v="Smooth Proof"/>
    <s v="Search"/>
    <x v="4"/>
    <s v="Biolage"/>
    <d v="2024-08-10T00:00:00"/>
    <x v="2"/>
    <n v="104.19"/>
    <n v="468"/>
  </r>
  <r>
    <s v="Biolage"/>
    <s v="Smooth Proof"/>
    <s v="Search"/>
    <x v="4"/>
    <s v="Biolage"/>
    <d v="2024-08-17T00:00:00"/>
    <x v="2"/>
    <n v="74.62"/>
    <n v="538"/>
  </r>
  <r>
    <s v="Biolage"/>
    <s v="Smooth Proof"/>
    <s v="Search"/>
    <x v="4"/>
    <s v="Biolage"/>
    <d v="2024-08-24T00:00:00"/>
    <x v="2"/>
    <n v="94.775715000000005"/>
    <n v="530"/>
  </r>
  <r>
    <s v="Biolage"/>
    <s v="Smooth Proof"/>
    <s v="Search"/>
    <x v="4"/>
    <s v="Biolage"/>
    <d v="2024-08-31T00:00:00"/>
    <x v="2"/>
    <n v="81.652903000000009"/>
    <n v="487"/>
  </r>
  <r>
    <s v="Biolage"/>
    <s v="Smooth Proof"/>
    <s v="Search"/>
    <x v="4"/>
    <s v="Biolage"/>
    <d v="2024-09-07T00:00:00"/>
    <x v="2"/>
    <n v="82.02000000000001"/>
    <n v="511"/>
  </r>
  <r>
    <s v="Biolage"/>
    <s v="Smooth Proof"/>
    <s v="Search"/>
    <x v="4"/>
    <s v="Biolage"/>
    <d v="2024-09-14T00:00:00"/>
    <x v="2"/>
    <n v="106.10000000000001"/>
    <n v="519"/>
  </r>
  <r>
    <s v="Biolage"/>
    <s v="Smooth Proof"/>
    <s v="Search"/>
    <x v="4"/>
    <s v="Biolage"/>
    <d v="2024-09-21T00:00:00"/>
    <x v="2"/>
    <n v="101.11156200000001"/>
    <n v="556"/>
  </r>
  <r>
    <s v="Biolage"/>
    <s v="Smooth Proof"/>
    <s v="Search"/>
    <x v="4"/>
    <s v="Biolage"/>
    <d v="2024-09-28T00:00:00"/>
    <x v="2"/>
    <n v="81.919999999999987"/>
    <n v="429"/>
  </r>
  <r>
    <s v="Biolage"/>
    <s v="Smooth Proof"/>
    <s v="Search"/>
    <x v="4"/>
    <s v="Biolage"/>
    <d v="2024-10-05T00:00:00"/>
    <x v="2"/>
    <n v="79.491395000000011"/>
    <n v="439"/>
  </r>
  <r>
    <s v="Biolage"/>
    <s v="Smooth Proof"/>
    <s v="Search"/>
    <x v="4"/>
    <s v="Biolage"/>
    <d v="2024-10-12T00:00:00"/>
    <x v="2"/>
    <n v="68.420379999999994"/>
    <n v="396"/>
  </r>
  <r>
    <s v="Biolage"/>
    <s v="Smooth Proof"/>
    <s v="Search"/>
    <x v="4"/>
    <s v="Biolage"/>
    <d v="2024-10-19T00:00:00"/>
    <x v="2"/>
    <n v="56.706128"/>
    <n v="507"/>
  </r>
  <r>
    <s v="Biolage"/>
    <s v="Smooth Proof"/>
    <s v="Search"/>
    <x v="4"/>
    <s v="Biolage"/>
    <d v="2024-10-26T00:00:00"/>
    <x v="2"/>
    <n v="88.291164999999992"/>
    <n v="448"/>
  </r>
  <r>
    <s v="Biolage"/>
    <s v="Smooth Proof"/>
    <s v="Search"/>
    <x v="4"/>
    <s v="Biolage"/>
    <d v="2024-11-02T00:00:00"/>
    <x v="2"/>
    <n v="59.665502000000004"/>
    <n v="425"/>
  </r>
  <r>
    <s v="Biolage"/>
    <s v="Smooth Proof"/>
    <s v="Search"/>
    <x v="4"/>
    <s v="Biolage"/>
    <d v="2024-11-09T00:00:00"/>
    <x v="2"/>
    <n v="55.755254000000001"/>
    <n v="480"/>
  </r>
  <r>
    <s v="Biolage"/>
    <s v="Smooth Proof"/>
    <s v="Search"/>
    <x v="4"/>
    <s v="Biolage"/>
    <d v="2024-11-16T00:00:00"/>
    <x v="2"/>
    <n v="78.517478999999994"/>
    <n v="514"/>
  </r>
  <r>
    <s v="Biolage"/>
    <s v="Smooth Proof"/>
    <s v="Search"/>
    <x v="4"/>
    <s v="Biolage"/>
    <d v="2024-11-23T00:00:00"/>
    <x v="2"/>
    <n v="88.663297999999998"/>
    <n v="537"/>
  </r>
  <r>
    <s v="Biolage"/>
    <s v="Smooth Proof"/>
    <s v="Search"/>
    <x v="4"/>
    <s v="Biolage"/>
    <d v="2024-11-30T00:00:00"/>
    <x v="2"/>
    <n v="58.273078999999996"/>
    <n v="618"/>
  </r>
  <r>
    <s v="Biolage"/>
    <s v="Smooth Proof"/>
    <s v="Search"/>
    <x v="4"/>
    <s v="Biolage"/>
    <d v="2024-12-07T00:00:00"/>
    <x v="2"/>
    <n v="31.693034999999998"/>
    <n v="421"/>
  </r>
  <r>
    <s v="Biolage"/>
    <s v="Smooth Proof"/>
    <s v="Search"/>
    <x v="4"/>
    <s v="Biolage"/>
    <d v="2024-12-14T00:00:00"/>
    <x v="2"/>
    <n v="26.759229999999999"/>
    <n v="414"/>
  </r>
  <r>
    <s v="Biolage"/>
    <s v="Smooth Proof"/>
    <s v="Search"/>
    <x v="4"/>
    <s v="Biolage"/>
    <d v="2024-12-21T00:00:00"/>
    <x v="2"/>
    <n v="19.52"/>
    <n v="389"/>
  </r>
  <r>
    <s v="Biolage"/>
    <s v="Smooth Proof"/>
    <s v="Search"/>
    <x v="4"/>
    <s v="Biolage"/>
    <d v="2024-12-28T00:00:00"/>
    <x v="2"/>
    <n v="8.77"/>
    <n v="234"/>
  </r>
  <r>
    <s v="Biolage"/>
    <s v="Smooth Proof"/>
    <s v="Search"/>
    <x v="4"/>
    <s v="Biolage"/>
    <d v="2025-01-04T00:00:00"/>
    <x v="2"/>
    <n v="1.88"/>
    <n v="23"/>
  </r>
  <r>
    <s v="Biolage"/>
    <s v="Strength Recovery"/>
    <s v="Search"/>
    <x v="4"/>
    <s v="Biolage"/>
    <d v="2023-09-30T00:00:00"/>
    <x v="1"/>
    <n v="302.26"/>
    <n v="916"/>
  </r>
  <r>
    <s v="Biolage"/>
    <s v="Strength Recovery"/>
    <s v="Search"/>
    <x v="4"/>
    <s v="Biolage"/>
    <d v="2023-10-07T00:00:00"/>
    <x v="1"/>
    <n v="229.57999999999998"/>
    <n v="726"/>
  </r>
  <r>
    <s v="Biolage"/>
    <s v="Strength Recovery"/>
    <s v="Search"/>
    <x v="4"/>
    <s v="Biolage"/>
    <d v="2023-10-14T00:00:00"/>
    <x v="1"/>
    <n v="202.83999999999997"/>
    <n v="744"/>
  </r>
  <r>
    <s v="Biolage"/>
    <s v="Strength Recovery"/>
    <s v="Search"/>
    <x v="4"/>
    <s v="Biolage"/>
    <d v="2023-10-21T00:00:00"/>
    <x v="1"/>
    <n v="238.22"/>
    <n v="882"/>
  </r>
  <r>
    <s v="Biolage"/>
    <s v="Strength Recovery"/>
    <s v="Search"/>
    <x v="4"/>
    <s v="Biolage"/>
    <d v="2023-10-28T00:00:00"/>
    <x v="1"/>
    <n v="195.51"/>
    <n v="860"/>
  </r>
  <r>
    <s v="Biolage"/>
    <s v="Strength Recovery"/>
    <s v="Search"/>
    <x v="4"/>
    <s v="Biolage"/>
    <d v="2023-11-04T00:00:00"/>
    <x v="1"/>
    <n v="280.91000000000003"/>
    <n v="716"/>
  </r>
  <r>
    <s v="Biolage"/>
    <s v="Strength Recovery"/>
    <s v="Search"/>
    <x v="4"/>
    <s v="Biolage"/>
    <d v="2023-11-11T00:00:00"/>
    <x v="1"/>
    <n v="304.08999999999997"/>
    <n v="810"/>
  </r>
  <r>
    <s v="Biolage"/>
    <s v="Strength Recovery"/>
    <s v="Search"/>
    <x v="4"/>
    <s v="Biolage"/>
    <d v="2023-11-18T00:00:00"/>
    <x v="1"/>
    <n v="194.46000000000004"/>
    <n v="720"/>
  </r>
  <r>
    <s v="Biolage"/>
    <s v="Strength Recovery"/>
    <s v="Search"/>
    <x v="4"/>
    <s v="Biolage"/>
    <d v="2023-11-25T00:00:00"/>
    <x v="1"/>
    <n v="159.43"/>
    <n v="776"/>
  </r>
  <r>
    <s v="Biolage"/>
    <s v="Strength Recovery"/>
    <s v="Search"/>
    <x v="4"/>
    <s v="Biolage"/>
    <d v="2023-12-02T00:00:00"/>
    <x v="1"/>
    <n v="177.22"/>
    <n v="773"/>
  </r>
  <r>
    <s v="Biolage"/>
    <s v="Strength Recovery"/>
    <s v="Search"/>
    <x v="4"/>
    <s v="Biolage"/>
    <d v="2023-12-09T00:00:00"/>
    <x v="1"/>
    <n v="166.19"/>
    <n v="618"/>
  </r>
  <r>
    <s v="Biolage"/>
    <s v="Strength Recovery"/>
    <s v="Search"/>
    <x v="4"/>
    <s v="Biolage"/>
    <d v="2023-12-16T00:00:00"/>
    <x v="1"/>
    <n v="162.08999999999997"/>
    <n v="658"/>
  </r>
  <r>
    <s v="Biolage"/>
    <s v="Strength Recovery"/>
    <s v="Search"/>
    <x v="4"/>
    <s v="Biolage"/>
    <d v="2023-12-23T00:00:00"/>
    <x v="1"/>
    <n v="168.05"/>
    <n v="606"/>
  </r>
  <r>
    <s v="Biolage"/>
    <s v="Strength Recovery"/>
    <s v="Search"/>
    <x v="4"/>
    <s v="Biolage"/>
    <d v="2023-12-30T00:00:00"/>
    <x v="1"/>
    <n v="132.09"/>
    <n v="573"/>
  </r>
  <r>
    <s v="Biolage"/>
    <s v="Strength Recovery"/>
    <s v="Search"/>
    <x v="4"/>
    <s v="Biolage"/>
    <d v="2024-01-06T00:00:00"/>
    <x v="2"/>
    <n v="117.94999999999999"/>
    <n v="428"/>
  </r>
  <r>
    <s v="Biolage"/>
    <s v="Strength Recovery"/>
    <s v="Search"/>
    <x v="4"/>
    <s v="Biolage"/>
    <d v="2024-01-13T00:00:00"/>
    <x v="2"/>
    <n v="89.12"/>
    <n v="462"/>
  </r>
  <r>
    <s v="Biolage"/>
    <s v="Strength Recovery"/>
    <s v="Search"/>
    <x v="4"/>
    <s v="Biolage"/>
    <d v="2024-01-20T00:00:00"/>
    <x v="2"/>
    <n v="45.25"/>
    <n v="368"/>
  </r>
  <r>
    <s v="Biolage"/>
    <s v="Strength Recovery"/>
    <s v="Search"/>
    <x v="4"/>
    <s v="Biolage"/>
    <d v="2024-01-27T00:00:00"/>
    <x v="2"/>
    <n v="68.429999999999993"/>
    <n v="406"/>
  </r>
  <r>
    <s v="Biolage"/>
    <s v="Strength Recovery"/>
    <s v="Search"/>
    <x v="4"/>
    <s v="Biolage"/>
    <d v="2024-02-03T00:00:00"/>
    <x v="2"/>
    <n v="59.78"/>
    <n v="392"/>
  </r>
  <r>
    <s v="Biolage"/>
    <s v="Strength Recovery"/>
    <s v="Search"/>
    <x v="4"/>
    <s v="Biolage"/>
    <d v="2024-02-10T00:00:00"/>
    <x v="2"/>
    <n v="73.259999999999991"/>
    <n v="362"/>
  </r>
  <r>
    <s v="Biolage"/>
    <s v="Strength Recovery"/>
    <s v="Search"/>
    <x v="4"/>
    <s v="Biolage"/>
    <d v="2024-02-17T00:00:00"/>
    <x v="2"/>
    <n v="62.899999999999991"/>
    <n v="336"/>
  </r>
  <r>
    <s v="Biolage"/>
    <s v="Strength Recovery"/>
    <s v="Search"/>
    <x v="4"/>
    <s v="Biolage"/>
    <d v="2024-02-24T00:00:00"/>
    <x v="2"/>
    <n v="63.339999999999989"/>
    <n v="351"/>
  </r>
  <r>
    <s v="Biolage"/>
    <s v="Strength Recovery"/>
    <s v="Search"/>
    <x v="4"/>
    <s v="Biolage"/>
    <d v="2024-03-02T00:00:00"/>
    <x v="2"/>
    <n v="60.7"/>
    <n v="345"/>
  </r>
  <r>
    <s v="Biolage"/>
    <s v="Strength Recovery"/>
    <s v="Search"/>
    <x v="4"/>
    <s v="Biolage"/>
    <d v="2024-03-09T00:00:00"/>
    <x v="2"/>
    <n v="161.91000000000003"/>
    <n v="859"/>
  </r>
  <r>
    <s v="Biolage"/>
    <s v="Strength Recovery"/>
    <s v="Search"/>
    <x v="4"/>
    <s v="Biolage"/>
    <d v="2024-03-16T00:00:00"/>
    <x v="2"/>
    <n v="89.929999999999993"/>
    <n v="466"/>
  </r>
  <r>
    <s v="Biolage"/>
    <s v="Strength Recovery"/>
    <s v="Search"/>
    <x v="4"/>
    <s v="Biolage"/>
    <d v="2024-03-23T00:00:00"/>
    <x v="2"/>
    <n v="75.3"/>
    <n v="461"/>
  </r>
  <r>
    <s v="Biolage"/>
    <s v="Strength Recovery"/>
    <s v="Search"/>
    <x v="4"/>
    <s v="Biolage"/>
    <d v="2024-03-30T00:00:00"/>
    <x v="2"/>
    <n v="60.72"/>
    <n v="508"/>
  </r>
  <r>
    <s v="Biolage"/>
    <s v="Strength Recovery"/>
    <s v="Search"/>
    <x v="4"/>
    <s v="Biolage"/>
    <d v="2024-04-06T00:00:00"/>
    <x v="2"/>
    <n v="64.290000000000006"/>
    <n v="470"/>
  </r>
  <r>
    <s v="Biolage"/>
    <s v="Strength Recovery"/>
    <s v="Search"/>
    <x v="4"/>
    <s v="Biolage"/>
    <d v="2024-04-13T00:00:00"/>
    <x v="2"/>
    <n v="73.387280000000004"/>
    <n v="423"/>
  </r>
  <r>
    <s v="Biolage"/>
    <s v="Strength Recovery"/>
    <s v="Search"/>
    <x v="4"/>
    <s v="Biolage"/>
    <d v="2024-04-20T00:00:00"/>
    <x v="2"/>
    <n v="81.69"/>
    <n v="463"/>
  </r>
  <r>
    <s v="Biolage"/>
    <s v="Strength Recovery"/>
    <s v="Search"/>
    <x v="4"/>
    <s v="Biolage"/>
    <d v="2024-04-27T00:00:00"/>
    <x v="2"/>
    <n v="105.263735"/>
    <n v="648"/>
  </r>
  <r>
    <s v="Biolage"/>
    <s v="Strength Recovery"/>
    <s v="Search"/>
    <x v="4"/>
    <s v="Biolage"/>
    <d v="2024-05-04T00:00:00"/>
    <x v="2"/>
    <n v="74.699999999999989"/>
    <n v="607"/>
  </r>
  <r>
    <s v="Biolage"/>
    <s v="Strength Recovery"/>
    <s v="Search"/>
    <x v="4"/>
    <s v="Biolage"/>
    <d v="2024-05-11T00:00:00"/>
    <x v="2"/>
    <n v="107.26"/>
    <n v="594"/>
  </r>
  <r>
    <s v="Biolage"/>
    <s v="Strength Recovery"/>
    <s v="Search"/>
    <x v="4"/>
    <s v="Biolage"/>
    <d v="2024-05-18T00:00:00"/>
    <x v="2"/>
    <n v="88.28"/>
    <n v="562"/>
  </r>
  <r>
    <s v="Biolage"/>
    <s v="Strength Recovery"/>
    <s v="Search"/>
    <x v="4"/>
    <s v="Biolage"/>
    <d v="2024-05-25T00:00:00"/>
    <x v="2"/>
    <n v="75.52"/>
    <n v="500"/>
  </r>
  <r>
    <s v="Biolage"/>
    <s v="Strength Recovery"/>
    <s v="Search"/>
    <x v="4"/>
    <s v="Biolage"/>
    <d v="2024-06-01T00:00:00"/>
    <x v="2"/>
    <n v="73.41"/>
    <n v="470"/>
  </r>
  <r>
    <s v="Biolage"/>
    <s v="Strength Recovery"/>
    <s v="Search"/>
    <x v="4"/>
    <s v="Biolage"/>
    <d v="2024-06-08T00:00:00"/>
    <x v="2"/>
    <n v="109.86"/>
    <n v="619"/>
  </r>
  <r>
    <s v="Biolage"/>
    <s v="Strength Recovery"/>
    <s v="Search"/>
    <x v="4"/>
    <s v="Biolage"/>
    <d v="2024-06-15T00:00:00"/>
    <x v="2"/>
    <n v="80.709999999999994"/>
    <n v="465"/>
  </r>
  <r>
    <s v="Biolage"/>
    <s v="Strength Recovery"/>
    <s v="Search"/>
    <x v="4"/>
    <s v="Biolage"/>
    <d v="2024-06-22T00:00:00"/>
    <x v="2"/>
    <n v="76.8"/>
    <n v="471"/>
  </r>
  <r>
    <s v="Biolage"/>
    <s v="Strength Recovery"/>
    <s v="Search"/>
    <x v="4"/>
    <s v="Biolage"/>
    <d v="2024-06-29T00:00:00"/>
    <x v="2"/>
    <n v="74.44"/>
    <n v="540"/>
  </r>
  <r>
    <s v="Biolage"/>
    <s v="Strength Recovery"/>
    <s v="Search"/>
    <x v="4"/>
    <s v="Biolage"/>
    <d v="2024-07-06T00:00:00"/>
    <x v="2"/>
    <n v="72.955839999999995"/>
    <n v="538"/>
  </r>
  <r>
    <s v="Biolage"/>
    <s v="Strength Recovery"/>
    <s v="Search"/>
    <x v="4"/>
    <s v="Biolage"/>
    <d v="2024-07-13T00:00:00"/>
    <x v="2"/>
    <n v="76.45"/>
    <n v="610"/>
  </r>
  <r>
    <s v="Biolage"/>
    <s v="Strength Recovery"/>
    <s v="Search"/>
    <x v="4"/>
    <s v="Biolage"/>
    <d v="2024-07-20T00:00:00"/>
    <x v="2"/>
    <n v="95.04"/>
    <n v="577"/>
  </r>
  <r>
    <s v="Biolage"/>
    <s v="Strength Recovery"/>
    <s v="Search"/>
    <x v="4"/>
    <s v="Biolage"/>
    <d v="2024-07-27T00:00:00"/>
    <x v="2"/>
    <n v="55.230000000000004"/>
    <n v="444"/>
  </r>
  <r>
    <s v="Biolage"/>
    <s v="Strength Recovery"/>
    <s v="Search"/>
    <x v="4"/>
    <s v="Biolage"/>
    <d v="2024-08-03T00:00:00"/>
    <x v="2"/>
    <n v="60.89"/>
    <n v="442"/>
  </r>
  <r>
    <s v="Biolage"/>
    <s v="Strength Recovery"/>
    <s v="Search"/>
    <x v="4"/>
    <s v="Biolage"/>
    <d v="2024-08-10T00:00:00"/>
    <x v="2"/>
    <n v="56.84"/>
    <n v="391"/>
  </r>
  <r>
    <s v="Biolage"/>
    <s v="Strength Recovery"/>
    <s v="Search"/>
    <x v="4"/>
    <s v="Biolage"/>
    <d v="2024-08-17T00:00:00"/>
    <x v="2"/>
    <n v="49.81"/>
    <n v="385"/>
  </r>
  <r>
    <s v="Biolage"/>
    <s v="Strength Recovery"/>
    <s v="Search"/>
    <x v="4"/>
    <s v="Biolage"/>
    <d v="2024-08-24T00:00:00"/>
    <x v="2"/>
    <n v="72.490000000000009"/>
    <n v="416"/>
  </r>
  <r>
    <s v="Biolage"/>
    <s v="Strength Recovery"/>
    <s v="Search"/>
    <x v="4"/>
    <s v="Biolage"/>
    <d v="2024-08-31T00:00:00"/>
    <x v="2"/>
    <n v="47.433672999999999"/>
    <n v="356"/>
  </r>
  <r>
    <s v="Biolage"/>
    <s v="Strength Recovery"/>
    <s v="Search"/>
    <x v="4"/>
    <s v="Biolage"/>
    <d v="2024-09-07T00:00:00"/>
    <x v="2"/>
    <n v="52.65"/>
    <n v="430"/>
  </r>
  <r>
    <s v="Biolage"/>
    <s v="Strength Recovery"/>
    <s v="Search"/>
    <x v="4"/>
    <s v="Biolage"/>
    <d v="2024-09-14T00:00:00"/>
    <x v="2"/>
    <n v="76.862088999999997"/>
    <n v="514"/>
  </r>
  <r>
    <s v="Biolage"/>
    <s v="Strength Recovery"/>
    <s v="Search"/>
    <x v="4"/>
    <s v="Biolage"/>
    <d v="2024-09-21T00:00:00"/>
    <x v="2"/>
    <n v="62.538694"/>
    <n v="504"/>
  </r>
  <r>
    <s v="Biolage"/>
    <s v="Strength Recovery"/>
    <s v="Search"/>
    <x v="4"/>
    <s v="Biolage"/>
    <d v="2024-09-28T00:00:00"/>
    <x v="2"/>
    <n v="59.840000000000011"/>
    <n v="417"/>
  </r>
  <r>
    <s v="Biolage"/>
    <s v="Strength Recovery"/>
    <s v="Search"/>
    <x v="4"/>
    <s v="Biolage"/>
    <d v="2024-10-05T00:00:00"/>
    <x v="2"/>
    <n v="60.400000000000006"/>
    <n v="396"/>
  </r>
  <r>
    <s v="Biolage"/>
    <s v="Strength Recovery"/>
    <s v="Search"/>
    <x v="4"/>
    <s v="Biolage"/>
    <d v="2024-10-12T00:00:00"/>
    <x v="2"/>
    <n v="94.647777000000005"/>
    <n v="481"/>
  </r>
  <r>
    <s v="Biolage"/>
    <s v="Strength Recovery"/>
    <s v="Search"/>
    <x v="4"/>
    <s v="Biolage"/>
    <d v="2024-10-19T00:00:00"/>
    <x v="2"/>
    <n v="81.83249099999999"/>
    <n v="493"/>
  </r>
  <r>
    <s v="Biolage"/>
    <s v="Strength Recovery"/>
    <s v="Search"/>
    <x v="4"/>
    <s v="Biolage"/>
    <d v="2024-10-26T00:00:00"/>
    <x v="2"/>
    <n v="75.410516000000001"/>
    <n v="452"/>
  </r>
  <r>
    <s v="Biolage"/>
    <s v="Strength Recovery"/>
    <s v="Search"/>
    <x v="4"/>
    <s v="Biolage"/>
    <d v="2024-11-02T00:00:00"/>
    <x v="2"/>
    <n v="64.42"/>
    <n v="478"/>
  </r>
  <r>
    <s v="Biolage"/>
    <s v="Strength Recovery"/>
    <s v="Search"/>
    <x v="4"/>
    <s v="Biolage"/>
    <d v="2024-11-09T00:00:00"/>
    <x v="2"/>
    <n v="133.989723"/>
    <n v="901"/>
  </r>
  <r>
    <s v="Biolage"/>
    <s v="Strength Recovery"/>
    <s v="Search"/>
    <x v="4"/>
    <s v="Biolage"/>
    <d v="2024-11-16T00:00:00"/>
    <x v="2"/>
    <n v="166.094144"/>
    <n v="1053"/>
  </r>
  <r>
    <s v="Biolage"/>
    <s v="Strength Recovery"/>
    <s v="Search"/>
    <x v="4"/>
    <s v="Biolage"/>
    <d v="2024-11-23T00:00:00"/>
    <x v="2"/>
    <n v="111.727924"/>
    <n v="892"/>
  </r>
  <r>
    <s v="Biolage"/>
    <s v="Strength Recovery"/>
    <s v="Search"/>
    <x v="4"/>
    <s v="Biolage"/>
    <d v="2024-11-30T00:00:00"/>
    <x v="2"/>
    <n v="143.98729399999999"/>
    <n v="1020"/>
  </r>
  <r>
    <s v="Biolage"/>
    <s v="Strength Recovery"/>
    <s v="Search"/>
    <x v="4"/>
    <s v="Biolage"/>
    <d v="2024-12-07T00:00:00"/>
    <x v="2"/>
    <n v="118.10277599999999"/>
    <n v="897"/>
  </r>
  <r>
    <s v="Biolage"/>
    <s v="Strength Recovery"/>
    <s v="Search"/>
    <x v="4"/>
    <s v="Biolage"/>
    <d v="2024-12-14T00:00:00"/>
    <x v="2"/>
    <n v="96.923580000000015"/>
    <n v="1068"/>
  </r>
  <r>
    <s v="Biolage"/>
    <s v="Strength Recovery"/>
    <s v="Search"/>
    <x v="4"/>
    <s v="Biolage"/>
    <d v="2024-12-21T00:00:00"/>
    <x v="2"/>
    <n v="95.107409000000004"/>
    <n v="1039"/>
  </r>
  <r>
    <s v="Biolage"/>
    <s v="Strength Recovery"/>
    <s v="Search"/>
    <x v="4"/>
    <s v="Biolage"/>
    <d v="2024-12-28T00:00:00"/>
    <x v="2"/>
    <n v="56.869838000000001"/>
    <n v="656"/>
  </r>
  <r>
    <s v="Biolage"/>
    <s v="Strength Recovery"/>
    <s v="Search"/>
    <x v="4"/>
    <s v="Biolage"/>
    <d v="2025-01-04T00:00:00"/>
    <x v="2"/>
    <n v="3.2499999999999996"/>
    <n v="77"/>
  </r>
  <r>
    <s v="Biolage"/>
    <s v="Styling"/>
    <s v="Search"/>
    <x v="4"/>
    <s v="Biolage"/>
    <d v="2024-04-20T00:00:00"/>
    <x v="2"/>
    <n v="23.529999999999998"/>
    <n v="106"/>
  </r>
  <r>
    <s v="Biolage"/>
    <s v="Styling"/>
    <s v="Search"/>
    <x v="4"/>
    <s v="Biolage"/>
    <d v="2024-04-27T00:00:00"/>
    <x v="2"/>
    <n v="95.839999999999989"/>
    <n v="505"/>
  </r>
  <r>
    <s v="Biolage"/>
    <s v="Styling"/>
    <s v="Search"/>
    <x v="4"/>
    <s v="Biolage"/>
    <d v="2024-05-04T00:00:00"/>
    <x v="2"/>
    <n v="82.169999999999987"/>
    <n v="622"/>
  </r>
  <r>
    <s v="Biolage"/>
    <s v="Styling"/>
    <s v="Search"/>
    <x v="4"/>
    <s v="Biolage"/>
    <d v="2024-05-11T00:00:00"/>
    <x v="2"/>
    <n v="95.74027199999999"/>
    <n v="626"/>
  </r>
  <r>
    <s v="Biolage"/>
    <s v="Styling"/>
    <s v="Search"/>
    <x v="4"/>
    <s v="Biolage"/>
    <d v="2024-05-18T00:00:00"/>
    <x v="2"/>
    <n v="113.72000000000001"/>
    <n v="621"/>
  </r>
  <r>
    <s v="Biolage"/>
    <s v="Styling"/>
    <s v="Search"/>
    <x v="4"/>
    <s v="Biolage"/>
    <d v="2024-05-25T00:00:00"/>
    <x v="2"/>
    <n v="120.21"/>
    <n v="649"/>
  </r>
  <r>
    <s v="Biolage"/>
    <s v="Styling"/>
    <s v="Search"/>
    <x v="4"/>
    <s v="Biolage"/>
    <d v="2024-06-01T00:00:00"/>
    <x v="2"/>
    <n v="107.99654"/>
    <n v="597"/>
  </r>
  <r>
    <s v="Biolage"/>
    <s v="Styling"/>
    <s v="Search"/>
    <x v="4"/>
    <s v="Biolage"/>
    <d v="2024-06-08T00:00:00"/>
    <x v="2"/>
    <n v="100.96"/>
    <n v="697"/>
  </r>
  <r>
    <s v="Biolage"/>
    <s v="Styling"/>
    <s v="Search"/>
    <x v="4"/>
    <s v="Biolage"/>
    <d v="2024-06-15T00:00:00"/>
    <x v="2"/>
    <n v="95.86999999999999"/>
    <n v="657"/>
  </r>
  <r>
    <s v="Biolage"/>
    <s v="Styling"/>
    <s v="Search"/>
    <x v="4"/>
    <s v="Biolage"/>
    <d v="2024-06-22T00:00:00"/>
    <x v="2"/>
    <n v="139.34999999999997"/>
    <n v="719"/>
  </r>
  <r>
    <s v="Biolage"/>
    <s v="Styling"/>
    <s v="Search"/>
    <x v="4"/>
    <s v="Biolage"/>
    <d v="2024-06-29T00:00:00"/>
    <x v="2"/>
    <n v="114.33000000000003"/>
    <n v="791"/>
  </r>
  <r>
    <s v="Biolage"/>
    <s v="Styling"/>
    <s v="Search"/>
    <x v="4"/>
    <s v="Biolage"/>
    <d v="2024-07-06T00:00:00"/>
    <x v="2"/>
    <n v="116.52"/>
    <n v="789"/>
  </r>
  <r>
    <s v="Biolage"/>
    <s v="Styling"/>
    <s v="Search"/>
    <x v="4"/>
    <s v="Biolage"/>
    <d v="2024-07-13T00:00:00"/>
    <x v="2"/>
    <n v="176.42"/>
    <n v="961"/>
  </r>
  <r>
    <s v="Biolage"/>
    <s v="Styling"/>
    <s v="Search"/>
    <x v="4"/>
    <s v="Biolage"/>
    <d v="2024-07-20T00:00:00"/>
    <x v="2"/>
    <n v="124.46999999999997"/>
    <n v="897"/>
  </r>
  <r>
    <s v="Biolage"/>
    <s v="Styling"/>
    <s v="Search"/>
    <x v="4"/>
    <s v="Biolage"/>
    <d v="2024-07-27T00:00:00"/>
    <x v="2"/>
    <n v="127.69999999999999"/>
    <n v="767"/>
  </r>
  <r>
    <s v="Biolage"/>
    <s v="Styling"/>
    <s v="Search"/>
    <x v="4"/>
    <s v="Biolage"/>
    <d v="2024-08-03T00:00:00"/>
    <x v="2"/>
    <n v="115.59000000000002"/>
    <n v="784"/>
  </r>
  <r>
    <s v="Biolage"/>
    <s v="Styling"/>
    <s v="Search"/>
    <x v="4"/>
    <s v="Biolage"/>
    <d v="2024-08-10T00:00:00"/>
    <x v="2"/>
    <n v="86.609999999999985"/>
    <n v="550"/>
  </r>
  <r>
    <s v="Biolage"/>
    <s v="Styling"/>
    <s v="Search"/>
    <x v="4"/>
    <s v="Biolage"/>
    <d v="2024-08-17T00:00:00"/>
    <x v="2"/>
    <n v="95.949999999999989"/>
    <n v="654"/>
  </r>
  <r>
    <s v="Biolage"/>
    <s v="Styling"/>
    <s v="Search"/>
    <x v="4"/>
    <s v="Biolage"/>
    <d v="2024-08-24T00:00:00"/>
    <x v="2"/>
    <n v="140.52999999999997"/>
    <n v="743"/>
  </r>
  <r>
    <s v="Biolage"/>
    <s v="Styling"/>
    <s v="Search"/>
    <x v="4"/>
    <s v="Biolage"/>
    <d v="2024-08-31T00:00:00"/>
    <x v="2"/>
    <n v="117.38"/>
    <n v="733"/>
  </r>
  <r>
    <s v="Biolage"/>
    <s v="Styling"/>
    <s v="Search"/>
    <x v="4"/>
    <s v="Biolage"/>
    <d v="2024-09-07T00:00:00"/>
    <x v="2"/>
    <n v="108.85000000000001"/>
    <n v="690"/>
  </r>
  <r>
    <s v="Biolage"/>
    <s v="Styling"/>
    <s v="Search"/>
    <x v="4"/>
    <s v="Biolage"/>
    <d v="2024-09-14T00:00:00"/>
    <x v="2"/>
    <n v="146.28362999999999"/>
    <n v="760"/>
  </r>
  <r>
    <s v="Biolage"/>
    <s v="Styling"/>
    <s v="Search"/>
    <x v="4"/>
    <s v="Biolage"/>
    <d v="2024-09-21T00:00:00"/>
    <x v="2"/>
    <n v="258.76401800000002"/>
    <n v="840"/>
  </r>
  <r>
    <s v="Biolage"/>
    <s v="Styling"/>
    <s v="Search"/>
    <x v="4"/>
    <s v="Biolage"/>
    <d v="2024-09-28T00:00:00"/>
    <x v="2"/>
    <n v="120.73"/>
    <n v="690"/>
  </r>
  <r>
    <s v="Biolage"/>
    <s v="Styling"/>
    <s v="Search"/>
    <x v="4"/>
    <s v="Biolage"/>
    <d v="2024-10-05T00:00:00"/>
    <x v="2"/>
    <n v="133.29"/>
    <n v="686"/>
  </r>
  <r>
    <s v="Biolage"/>
    <s v="Styling"/>
    <s v="Search"/>
    <x v="4"/>
    <s v="Biolage"/>
    <d v="2024-10-12T00:00:00"/>
    <x v="2"/>
    <n v="177.80742199999995"/>
    <n v="735"/>
  </r>
  <r>
    <s v="Biolage"/>
    <s v="Styling"/>
    <s v="Search"/>
    <x v="4"/>
    <s v="Biolage"/>
    <d v="2024-10-19T00:00:00"/>
    <x v="2"/>
    <n v="182.05041500000002"/>
    <n v="793"/>
  </r>
  <r>
    <s v="Biolage"/>
    <s v="Styling"/>
    <s v="Search"/>
    <x v="4"/>
    <s v="Biolage"/>
    <d v="2024-10-26T00:00:00"/>
    <x v="2"/>
    <n v="141.566057"/>
    <n v="783"/>
  </r>
  <r>
    <s v="Biolage"/>
    <s v="Styling"/>
    <s v="Search"/>
    <x v="4"/>
    <s v="Biolage"/>
    <d v="2024-11-02T00:00:00"/>
    <x v="2"/>
    <n v="131.26999999999998"/>
    <n v="638"/>
  </r>
  <r>
    <s v="Biolage"/>
    <s v="Styling"/>
    <s v="Search"/>
    <x v="4"/>
    <s v="Biolage"/>
    <d v="2024-11-09T00:00:00"/>
    <x v="2"/>
    <n v="339.34774900000002"/>
    <n v="1146"/>
  </r>
  <r>
    <s v="Biolage"/>
    <s v="Styling"/>
    <s v="Search"/>
    <x v="4"/>
    <s v="Biolage"/>
    <d v="2024-11-16T00:00:00"/>
    <x v="2"/>
    <n v="335.00916599999999"/>
    <n v="1135"/>
  </r>
  <r>
    <s v="Biolage"/>
    <s v="Styling"/>
    <s v="Search"/>
    <x v="4"/>
    <s v="Biolage"/>
    <d v="2024-11-23T00:00:00"/>
    <x v="2"/>
    <n v="285.00663100000008"/>
    <n v="1254"/>
  </r>
  <r>
    <s v="Biolage"/>
    <s v="Styling"/>
    <s v="Search"/>
    <x v="4"/>
    <s v="Biolage"/>
    <d v="2024-11-30T00:00:00"/>
    <x v="2"/>
    <n v="245.084317"/>
    <n v="1338"/>
  </r>
  <r>
    <s v="Biolage"/>
    <s v="Styling"/>
    <s v="Search"/>
    <x v="4"/>
    <s v="Biolage"/>
    <d v="2024-12-07T00:00:00"/>
    <x v="2"/>
    <n v="235.19810699999999"/>
    <n v="1169"/>
  </r>
  <r>
    <s v="Biolage"/>
    <s v="Styling"/>
    <s v="Search"/>
    <x v="4"/>
    <s v="Biolage"/>
    <d v="2024-12-14T00:00:00"/>
    <x v="2"/>
    <n v="205.76200899999998"/>
    <n v="1323"/>
  </r>
  <r>
    <s v="Biolage"/>
    <s v="Styling"/>
    <s v="Search"/>
    <x v="4"/>
    <s v="Biolage"/>
    <d v="2024-12-21T00:00:00"/>
    <x v="2"/>
    <n v="167.504167"/>
    <n v="1211"/>
  </r>
  <r>
    <s v="Biolage"/>
    <s v="Styling"/>
    <s v="Search"/>
    <x v="4"/>
    <s v="Biolage"/>
    <d v="2024-12-28T00:00:00"/>
    <x v="2"/>
    <n v="151.60550900000001"/>
    <n v="953"/>
  </r>
  <r>
    <s v="Biolage"/>
    <s v="Styling"/>
    <s v="Search"/>
    <x v="4"/>
    <s v="Biolage"/>
    <d v="2025-01-04T00:00:00"/>
    <x v="2"/>
    <n v="14.830401"/>
    <n v="106"/>
  </r>
  <r>
    <s v="Biolage"/>
    <s v="Volume Bloom"/>
    <s v="Search"/>
    <x v="4"/>
    <s v="Biolage"/>
    <d v="2023-09-30T00:00:00"/>
    <x v="1"/>
    <n v="184.83"/>
    <n v="742"/>
  </r>
  <r>
    <s v="Biolage"/>
    <s v="Volume Bloom"/>
    <s v="Search"/>
    <x v="4"/>
    <s v="Biolage"/>
    <d v="2023-10-07T00:00:00"/>
    <x v="1"/>
    <n v="213.68"/>
    <n v="922"/>
  </r>
  <r>
    <s v="Biolage"/>
    <s v="Volume Bloom"/>
    <s v="Search"/>
    <x v="4"/>
    <s v="Biolage"/>
    <d v="2023-10-14T00:00:00"/>
    <x v="1"/>
    <n v="175.57999999999998"/>
    <n v="930"/>
  </r>
  <r>
    <s v="Biolage"/>
    <s v="Volume Bloom"/>
    <s v="Search"/>
    <x v="4"/>
    <s v="Biolage"/>
    <d v="2023-10-21T00:00:00"/>
    <x v="1"/>
    <n v="187.1"/>
    <n v="1022"/>
  </r>
  <r>
    <s v="Biolage"/>
    <s v="Volume Bloom"/>
    <s v="Search"/>
    <x v="4"/>
    <s v="Biolage"/>
    <d v="2023-10-28T00:00:00"/>
    <x v="1"/>
    <n v="218.75"/>
    <n v="877"/>
  </r>
  <r>
    <s v="Biolage"/>
    <s v="Volume Bloom"/>
    <s v="Search"/>
    <x v="4"/>
    <s v="Biolage"/>
    <d v="2023-11-04T00:00:00"/>
    <x v="1"/>
    <n v="288.44"/>
    <n v="956"/>
  </r>
  <r>
    <s v="Biolage"/>
    <s v="Volume Bloom"/>
    <s v="Search"/>
    <x v="4"/>
    <s v="Biolage"/>
    <d v="2023-11-11T00:00:00"/>
    <x v="1"/>
    <n v="299.95"/>
    <n v="1104"/>
  </r>
  <r>
    <s v="Biolage"/>
    <s v="Volume Bloom"/>
    <s v="Search"/>
    <x v="4"/>
    <s v="Biolage"/>
    <d v="2023-11-18T00:00:00"/>
    <x v="1"/>
    <n v="287.12"/>
    <n v="1048"/>
  </r>
  <r>
    <s v="Biolage"/>
    <s v="Volume Bloom"/>
    <s v="Search"/>
    <x v="4"/>
    <s v="Biolage"/>
    <d v="2023-11-25T00:00:00"/>
    <x v="1"/>
    <n v="260.73"/>
    <n v="1341"/>
  </r>
  <r>
    <s v="Biolage"/>
    <s v="Volume Bloom"/>
    <s v="Search"/>
    <x v="4"/>
    <s v="Biolage"/>
    <d v="2023-12-02T00:00:00"/>
    <x v="1"/>
    <n v="366.21"/>
    <n v="1375"/>
  </r>
  <r>
    <s v="Biolage"/>
    <s v="Volume Bloom"/>
    <s v="Search"/>
    <x v="4"/>
    <s v="Biolage"/>
    <d v="2023-12-09T00:00:00"/>
    <x v="1"/>
    <n v="338.59000000000003"/>
    <n v="1304"/>
  </r>
  <r>
    <s v="Biolage"/>
    <s v="Volume Bloom"/>
    <s v="Search"/>
    <x v="4"/>
    <s v="Biolage"/>
    <d v="2023-12-16T00:00:00"/>
    <x v="1"/>
    <n v="331.94"/>
    <n v="1257"/>
  </r>
  <r>
    <s v="Biolage"/>
    <s v="Volume Bloom"/>
    <s v="Search"/>
    <x v="4"/>
    <s v="Biolage"/>
    <d v="2023-12-23T00:00:00"/>
    <x v="1"/>
    <n v="347.36"/>
    <n v="1248"/>
  </r>
  <r>
    <s v="Biolage"/>
    <s v="Volume Bloom"/>
    <s v="Search"/>
    <x v="4"/>
    <s v="Biolage"/>
    <d v="2023-12-30T00:00:00"/>
    <x v="1"/>
    <n v="366.48999999999995"/>
    <n v="1794"/>
  </r>
  <r>
    <s v="Biolage"/>
    <s v="Volume Bloom"/>
    <s v="Search"/>
    <x v="4"/>
    <s v="Biolage"/>
    <d v="2024-01-06T00:00:00"/>
    <x v="2"/>
    <n v="144.07"/>
    <n v="855"/>
  </r>
  <r>
    <s v="Biolage"/>
    <s v="Volume Bloom"/>
    <s v="Search"/>
    <x v="4"/>
    <s v="Biolage"/>
    <d v="2024-01-13T00:00:00"/>
    <x v="2"/>
    <n v="222.63"/>
    <n v="1279"/>
  </r>
  <r>
    <s v="Biolage"/>
    <s v="Volume Bloom"/>
    <s v="Search"/>
    <x v="4"/>
    <s v="Biolage"/>
    <d v="2024-01-20T00:00:00"/>
    <x v="2"/>
    <n v="191.27999999999997"/>
    <n v="1043"/>
  </r>
  <r>
    <s v="Biolage"/>
    <s v="Volume Bloom"/>
    <s v="Search"/>
    <x v="4"/>
    <s v="Biolage"/>
    <d v="2024-01-27T00:00:00"/>
    <x v="2"/>
    <n v="178.92"/>
    <n v="1068"/>
  </r>
  <r>
    <s v="Biolage"/>
    <s v="Volume Bloom"/>
    <s v="Search"/>
    <x v="4"/>
    <s v="Biolage"/>
    <d v="2024-02-03T00:00:00"/>
    <x v="2"/>
    <n v="120.07999999999998"/>
    <n v="869"/>
  </r>
  <r>
    <s v="Biolage"/>
    <s v="Volume Bloom"/>
    <s v="Search"/>
    <x v="4"/>
    <s v="Biolage"/>
    <d v="2024-02-10T00:00:00"/>
    <x v="2"/>
    <n v="210.84"/>
    <n v="1117"/>
  </r>
  <r>
    <s v="Biolage"/>
    <s v="Volume Bloom"/>
    <s v="Search"/>
    <x v="4"/>
    <s v="Biolage"/>
    <d v="2024-02-17T00:00:00"/>
    <x v="2"/>
    <n v="109.25"/>
    <n v="913"/>
  </r>
  <r>
    <s v="Biolage"/>
    <s v="Volume Bloom"/>
    <s v="Search"/>
    <x v="4"/>
    <s v="Biolage"/>
    <d v="2024-02-24T00:00:00"/>
    <x v="2"/>
    <n v="138.03"/>
    <n v="709"/>
  </r>
  <r>
    <s v="Biolage"/>
    <s v="Volume Bloom"/>
    <s v="Search"/>
    <x v="4"/>
    <s v="Biolage"/>
    <d v="2024-03-02T00:00:00"/>
    <x v="2"/>
    <n v="194.2"/>
    <n v="1223"/>
  </r>
  <r>
    <s v="Biolage"/>
    <s v="Volume Bloom"/>
    <s v="Search"/>
    <x v="4"/>
    <s v="Biolage"/>
    <d v="2024-03-09T00:00:00"/>
    <x v="2"/>
    <n v="183.29999999999998"/>
    <n v="946"/>
  </r>
  <r>
    <s v="Biolage"/>
    <s v="Volume Bloom"/>
    <s v="Search"/>
    <x v="4"/>
    <s v="Biolage"/>
    <d v="2024-03-16T00:00:00"/>
    <x v="2"/>
    <n v="176.25"/>
    <n v="894"/>
  </r>
  <r>
    <s v="Biolage"/>
    <s v="Volume Bloom"/>
    <s v="Search"/>
    <x v="4"/>
    <s v="Biolage"/>
    <d v="2024-03-23T00:00:00"/>
    <x v="2"/>
    <n v="167.89000000000001"/>
    <n v="876"/>
  </r>
  <r>
    <s v="Biolage"/>
    <s v="Volume Bloom"/>
    <s v="Search"/>
    <x v="4"/>
    <s v="Biolage"/>
    <d v="2024-03-30T00:00:00"/>
    <x v="2"/>
    <n v="154.26999999999998"/>
    <n v="942"/>
  </r>
  <r>
    <s v="Biolage"/>
    <s v="Volume Bloom"/>
    <s v="Search"/>
    <x v="4"/>
    <s v="Biolage"/>
    <d v="2024-04-06T00:00:00"/>
    <x v="2"/>
    <n v="106.03999999999999"/>
    <n v="822"/>
  </r>
  <r>
    <s v="Biolage"/>
    <s v="Volume Bloom"/>
    <s v="Search"/>
    <x v="4"/>
    <s v="Biolage"/>
    <d v="2024-04-13T00:00:00"/>
    <x v="2"/>
    <n v="104.4"/>
    <n v="792"/>
  </r>
  <r>
    <s v="Biolage"/>
    <s v="Volume Bloom"/>
    <s v="Search"/>
    <x v="4"/>
    <s v="Biolage"/>
    <d v="2024-04-20T00:00:00"/>
    <x v="2"/>
    <n v="134.74"/>
    <n v="821"/>
  </r>
  <r>
    <s v="Biolage"/>
    <s v="Volume Bloom"/>
    <s v="Search"/>
    <x v="4"/>
    <s v="Biolage"/>
    <d v="2024-04-27T00:00:00"/>
    <x v="2"/>
    <n v="128.12"/>
    <n v="866"/>
  </r>
  <r>
    <s v="Biolage"/>
    <s v="Volume Bloom"/>
    <s v="Search"/>
    <x v="4"/>
    <s v="Biolage"/>
    <d v="2024-05-04T00:00:00"/>
    <x v="2"/>
    <n v="132.98000000000002"/>
    <n v="881"/>
  </r>
  <r>
    <s v="Biolage"/>
    <s v="Volume Bloom"/>
    <s v="Search"/>
    <x v="4"/>
    <s v="Biolage"/>
    <d v="2024-05-11T00:00:00"/>
    <x v="2"/>
    <n v="106.59"/>
    <n v="837"/>
  </r>
  <r>
    <s v="Biolage"/>
    <s v="Volume Bloom"/>
    <s v="Search"/>
    <x v="4"/>
    <s v="Biolage"/>
    <d v="2024-05-18T00:00:00"/>
    <x v="2"/>
    <n v="137.11000000000001"/>
    <n v="844"/>
  </r>
  <r>
    <s v="Biolage"/>
    <s v="Volume Bloom"/>
    <s v="Search"/>
    <x v="4"/>
    <s v="Biolage"/>
    <d v="2024-05-25T00:00:00"/>
    <x v="2"/>
    <n v="116.38000000000001"/>
    <n v="821"/>
  </r>
  <r>
    <s v="Biolage"/>
    <s v="Volume Bloom"/>
    <s v="Search"/>
    <x v="4"/>
    <s v="Biolage"/>
    <d v="2024-06-01T00:00:00"/>
    <x v="2"/>
    <n v="137.17000000000002"/>
    <n v="825"/>
  </r>
  <r>
    <s v="Biolage"/>
    <s v="Volume Bloom"/>
    <s v="Search"/>
    <x v="4"/>
    <s v="Biolage"/>
    <d v="2024-06-08T00:00:00"/>
    <x v="2"/>
    <n v="130.71"/>
    <n v="784"/>
  </r>
  <r>
    <s v="Biolage"/>
    <s v="Volume Bloom"/>
    <s v="Search"/>
    <x v="4"/>
    <s v="Biolage"/>
    <d v="2024-06-15T00:00:00"/>
    <x v="2"/>
    <n v="119.698694"/>
    <n v="836"/>
  </r>
  <r>
    <s v="Biolage"/>
    <s v="Volume Bloom"/>
    <s v="Search"/>
    <x v="4"/>
    <s v="Biolage"/>
    <d v="2024-06-22T00:00:00"/>
    <x v="2"/>
    <n v="196.89"/>
    <n v="1145"/>
  </r>
  <r>
    <s v="Biolage"/>
    <s v="Volume Bloom"/>
    <s v="Search"/>
    <x v="4"/>
    <s v="Biolage"/>
    <d v="2024-06-29T00:00:00"/>
    <x v="2"/>
    <n v="159.55000000000004"/>
    <n v="969"/>
  </r>
  <r>
    <s v="Biolage"/>
    <s v="Volume Bloom"/>
    <s v="Search"/>
    <x v="4"/>
    <s v="Biolage"/>
    <d v="2024-07-06T00:00:00"/>
    <x v="2"/>
    <n v="124.72999999999999"/>
    <n v="878"/>
  </r>
  <r>
    <s v="Biolage"/>
    <s v="Volume Bloom"/>
    <s v="Search"/>
    <x v="4"/>
    <s v="Biolage"/>
    <d v="2024-07-13T00:00:00"/>
    <x v="2"/>
    <n v="156.41"/>
    <n v="1032"/>
  </r>
  <r>
    <s v="Biolage"/>
    <s v="Volume Bloom"/>
    <s v="Search"/>
    <x v="4"/>
    <s v="Biolage"/>
    <d v="2024-07-20T00:00:00"/>
    <x v="2"/>
    <n v="146.55000000000001"/>
    <n v="990"/>
  </r>
  <r>
    <s v="Biolage"/>
    <s v="Volume Bloom"/>
    <s v="Search"/>
    <x v="4"/>
    <s v="Biolage"/>
    <d v="2024-07-27T00:00:00"/>
    <x v="2"/>
    <n v="142.28"/>
    <n v="922"/>
  </r>
  <r>
    <s v="Biolage"/>
    <s v="Volume Bloom"/>
    <s v="Search"/>
    <x v="4"/>
    <s v="Biolage"/>
    <d v="2024-08-03T00:00:00"/>
    <x v="2"/>
    <n v="131.35000000000002"/>
    <n v="893"/>
  </r>
  <r>
    <s v="Biolage"/>
    <s v="Volume Bloom"/>
    <s v="Search"/>
    <x v="4"/>
    <s v="Biolage"/>
    <d v="2024-08-10T00:00:00"/>
    <x v="2"/>
    <n v="138.913816"/>
    <n v="789"/>
  </r>
  <r>
    <s v="Biolage"/>
    <s v="Volume Bloom"/>
    <s v="Search"/>
    <x v="4"/>
    <s v="Biolage"/>
    <d v="2024-08-17T00:00:00"/>
    <x v="2"/>
    <n v="104.24000000000001"/>
    <n v="830"/>
  </r>
  <r>
    <s v="Biolage"/>
    <s v="Volume Bloom"/>
    <s v="Search"/>
    <x v="4"/>
    <s v="Biolage"/>
    <d v="2024-08-24T00:00:00"/>
    <x v="2"/>
    <n v="125.91"/>
    <n v="856"/>
  </r>
  <r>
    <s v="Biolage"/>
    <s v="Volume Bloom"/>
    <s v="Search"/>
    <x v="4"/>
    <s v="Biolage"/>
    <d v="2024-08-31T00:00:00"/>
    <x v="2"/>
    <n v="124.71862000000002"/>
    <n v="875"/>
  </r>
  <r>
    <s v="Biolage"/>
    <s v="Volume Bloom"/>
    <s v="Search"/>
    <x v="4"/>
    <s v="Biolage"/>
    <d v="2024-09-07T00:00:00"/>
    <x v="2"/>
    <n v="160.97999999999999"/>
    <n v="934"/>
  </r>
  <r>
    <s v="Biolage"/>
    <s v="Volume Bloom"/>
    <s v="Search"/>
    <x v="4"/>
    <s v="Biolage"/>
    <d v="2024-09-14T00:00:00"/>
    <x v="2"/>
    <n v="177.64638600000001"/>
    <n v="913"/>
  </r>
  <r>
    <s v="Biolage"/>
    <s v="Volume Bloom"/>
    <s v="Search"/>
    <x v="4"/>
    <s v="Biolage"/>
    <d v="2024-09-21T00:00:00"/>
    <x v="2"/>
    <n v="172.48994300000001"/>
    <n v="1044"/>
  </r>
  <r>
    <s v="Biolage"/>
    <s v="Volume Bloom"/>
    <s v="Search"/>
    <x v="4"/>
    <s v="Biolage"/>
    <d v="2024-09-28T00:00:00"/>
    <x v="2"/>
    <n v="128.41342599999999"/>
    <n v="971"/>
  </r>
  <r>
    <s v="Biolage"/>
    <s v="Volume Bloom"/>
    <s v="Search"/>
    <x v="4"/>
    <s v="Biolage"/>
    <d v="2024-10-05T00:00:00"/>
    <x v="2"/>
    <n v="140.68"/>
    <n v="870"/>
  </r>
  <r>
    <s v="Biolage"/>
    <s v="Volume Bloom"/>
    <s v="Search"/>
    <x v="4"/>
    <s v="Biolage"/>
    <d v="2024-10-12T00:00:00"/>
    <x v="2"/>
    <n v="143.11012099999999"/>
    <n v="971"/>
  </r>
  <r>
    <s v="Biolage"/>
    <s v="Volume Bloom"/>
    <s v="Search"/>
    <x v="4"/>
    <s v="Biolage"/>
    <d v="2024-10-19T00:00:00"/>
    <x v="2"/>
    <n v="209.50883100000004"/>
    <n v="1077"/>
  </r>
  <r>
    <s v="Biolage"/>
    <s v="Volume Bloom"/>
    <s v="Search"/>
    <x v="4"/>
    <s v="Biolage"/>
    <d v="2024-10-26T00:00:00"/>
    <x v="2"/>
    <n v="169.183109"/>
    <n v="1046"/>
  </r>
  <r>
    <s v="Biolage"/>
    <s v="Volume Bloom"/>
    <s v="Search"/>
    <x v="4"/>
    <s v="Biolage"/>
    <d v="2024-11-02T00:00:00"/>
    <x v="2"/>
    <n v="207.14836499999998"/>
    <n v="947"/>
  </r>
  <r>
    <s v="Biolage"/>
    <s v="Volume Bloom"/>
    <s v="Search"/>
    <x v="4"/>
    <s v="Biolage"/>
    <d v="2024-11-09T00:00:00"/>
    <x v="2"/>
    <n v="183.47"/>
    <n v="1070"/>
  </r>
  <r>
    <s v="Biolage"/>
    <s v="Volume Bloom"/>
    <s v="Search"/>
    <x v="4"/>
    <s v="Biolage"/>
    <d v="2024-11-16T00:00:00"/>
    <x v="2"/>
    <n v="153.15325000000001"/>
    <n v="1080"/>
  </r>
  <r>
    <s v="Biolage"/>
    <s v="Volume Bloom"/>
    <s v="Search"/>
    <x v="4"/>
    <s v="Biolage"/>
    <d v="2024-11-23T00:00:00"/>
    <x v="2"/>
    <n v="145.66577599999999"/>
    <n v="1157"/>
  </r>
  <r>
    <s v="Biolage"/>
    <s v="Volume Bloom"/>
    <s v="Search"/>
    <x v="4"/>
    <s v="Biolage"/>
    <d v="2024-11-30T00:00:00"/>
    <x v="2"/>
    <n v="149.251496"/>
    <n v="1459"/>
  </r>
  <r>
    <s v="Biolage"/>
    <s v="Volume Bloom"/>
    <s v="Search"/>
    <x v="4"/>
    <s v="Biolage"/>
    <d v="2024-12-07T00:00:00"/>
    <x v="2"/>
    <n v="89.285028999999994"/>
    <n v="1089"/>
  </r>
  <r>
    <s v="Biolage"/>
    <s v="Volume Bloom"/>
    <s v="Search"/>
    <x v="4"/>
    <s v="Biolage"/>
    <d v="2024-12-14T00:00:00"/>
    <x v="2"/>
    <n v="70.045634000000007"/>
    <n v="977"/>
  </r>
  <r>
    <s v="Biolage"/>
    <s v="Volume Bloom"/>
    <s v="Search"/>
    <x v="4"/>
    <s v="Biolage"/>
    <d v="2024-12-21T00:00:00"/>
    <x v="2"/>
    <n v="51.073481999999998"/>
    <n v="870"/>
  </r>
  <r>
    <s v="Biolage"/>
    <s v="Volume Bloom"/>
    <s v="Search"/>
    <x v="4"/>
    <s v="Biolage"/>
    <d v="2024-12-28T00:00:00"/>
    <x v="2"/>
    <n v="42.78"/>
    <n v="660"/>
  </r>
  <r>
    <s v="Biolage"/>
    <s v="Volume Bloom"/>
    <s v="Search"/>
    <x v="4"/>
    <s v="Biolage"/>
    <d v="2025-01-04T00:00:00"/>
    <x v="2"/>
    <n v="9.07"/>
    <n v="6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6">
  <r>
    <s v="Biolage"/>
    <x v="0"/>
    <s v="Social"/>
    <s v="Meta"/>
    <s v="Amazon"/>
    <d v="2025-04-12T00:00:00"/>
    <d v="2025-01-01T00:00:00"/>
    <n v="4942.9600009999995"/>
    <n v="1050863"/>
    <s v="TTM"/>
    <x v="0"/>
  </r>
  <r>
    <s v="Biolage"/>
    <x v="0"/>
    <s v="Social"/>
    <s v="Meta"/>
    <s v="Amazon"/>
    <d v="2025-04-19T00:00:00"/>
    <d v="2025-01-01T00:00:00"/>
    <n v="5373.9300010000006"/>
    <n v="1140281"/>
    <s v="TTM"/>
    <x v="0"/>
  </r>
  <r>
    <s v="Biolage"/>
    <x v="0"/>
    <s v="Social"/>
    <s v="Meta"/>
    <s v="Amazon"/>
    <d v="2025-04-26T00:00:00"/>
    <d v="2025-01-01T00:00:00"/>
    <n v="5650.3099989999992"/>
    <n v="1197599"/>
    <s v="TTM"/>
    <x v="0"/>
  </r>
  <r>
    <s v="Biolage"/>
    <x v="0"/>
    <s v="Social"/>
    <s v="Meta"/>
    <s v="Amazon"/>
    <d v="2025-05-03T00:00:00"/>
    <d v="2025-01-01T00:00:00"/>
    <n v="3226.4100000000008"/>
    <n v="644320"/>
    <s v="TTM"/>
    <x v="0"/>
  </r>
  <r>
    <s v="Biolage"/>
    <x v="0"/>
    <s v="Social"/>
    <s v="Meta"/>
    <s v="Amazon"/>
    <d v="2025-05-10T00:00:00"/>
    <d v="2025-01-01T00:00:00"/>
    <n v="8820.0599899999997"/>
    <n v="1753731"/>
    <s v="TTM"/>
    <x v="0"/>
  </r>
  <r>
    <s v="Biolage"/>
    <x v="0"/>
    <s v="Social"/>
    <s v="Meta"/>
    <s v="Amazon"/>
    <d v="2025-05-17T00:00:00"/>
    <d v="2025-01-01T00:00:00"/>
    <n v="9400.390003999999"/>
    <n v="1598978"/>
    <s v="TTM"/>
    <x v="0"/>
  </r>
  <r>
    <s v="Biolage"/>
    <x v="0"/>
    <s v="Social"/>
    <s v="Meta"/>
    <s v="Amazon"/>
    <d v="2025-05-24T00:00:00"/>
    <d v="2025-01-01T00:00:00"/>
    <n v="10024.770003999998"/>
    <n v="1577712"/>
    <s v="TTM"/>
    <x v="0"/>
  </r>
  <r>
    <s v="Biolage"/>
    <x v="0"/>
    <s v="Social"/>
    <s v="Meta"/>
    <s v="Amazon"/>
    <d v="2025-05-31T00:00:00"/>
    <d v="2025-01-01T00:00:00"/>
    <n v="8309.740006"/>
    <n v="1366302"/>
    <s v="TTM"/>
    <x v="0"/>
  </r>
  <r>
    <s v="Biolage"/>
    <x v="0"/>
    <s v="Social"/>
    <s v="Meta"/>
    <s v="Amazon"/>
    <d v="2025-06-07T00:00:00"/>
    <d v="2025-01-01T00:00:00"/>
    <n v="8981.6999919999998"/>
    <n v="1381280"/>
    <s v="TTM"/>
    <x v="0"/>
  </r>
  <r>
    <s v="Biolage"/>
    <x v="0"/>
    <s v="Social"/>
    <s v="Meta"/>
    <s v="Amazon"/>
    <d v="2025-06-14T00:00:00"/>
    <d v="2025-01-01T00:00:00"/>
    <n v="12282.270001999999"/>
    <n v="1482114"/>
    <s v="TTM"/>
    <x v="0"/>
  </r>
  <r>
    <s v="Biolage"/>
    <x v="0"/>
    <s v="Social"/>
    <s v="Meta"/>
    <s v="Amazon"/>
    <d v="2025-06-21T00:00:00"/>
    <d v="2025-01-01T00:00:00"/>
    <n v="7078.0999970000003"/>
    <n v="886913"/>
    <s v="TTM"/>
    <x v="0"/>
  </r>
  <r>
    <s v="Biolage"/>
    <x v="0"/>
    <s v="Social"/>
    <s v="Meta"/>
    <s v="Other"/>
    <d v="2023-10-28T00:00:00"/>
    <d v="2023-01-01T00:00:00"/>
    <n v="596.14000099999998"/>
    <n v="52281"/>
    <s v="LY"/>
    <x v="0"/>
  </r>
  <r>
    <s v="Biolage"/>
    <x v="0"/>
    <s v="Social"/>
    <s v="Meta"/>
    <s v="Other"/>
    <d v="2023-11-04T00:00:00"/>
    <d v="2023-01-01T00:00:00"/>
    <n v="2426.3100099999992"/>
    <n v="283976"/>
    <s v="LY"/>
    <x v="0"/>
  </r>
  <r>
    <s v="Biolage"/>
    <x v="0"/>
    <s v="Social"/>
    <s v="Meta"/>
    <s v="Other"/>
    <d v="2023-11-11T00:00:00"/>
    <d v="2023-01-01T00:00:00"/>
    <n v="1977.1199929999998"/>
    <n v="222673"/>
    <s v="LY"/>
    <x v="0"/>
  </r>
  <r>
    <s v="Biolage"/>
    <x v="0"/>
    <s v="Social"/>
    <s v="Meta"/>
    <s v="Other"/>
    <d v="2024-11-23T00:00:00"/>
    <d v="2024-01-01T00:00:00"/>
    <n v="50000.000008000003"/>
    <n v="4751674"/>
    <s v="TTM"/>
    <x v="0"/>
  </r>
  <r>
    <s v="Biolage"/>
    <x v="0"/>
    <s v="Social"/>
    <s v="Meta"/>
    <s v="Ulta"/>
    <d v="2024-11-23T00:00:00"/>
    <d v="2024-01-01T00:00:00"/>
    <n v="23975.640006000001"/>
    <n v="2064790"/>
    <s v="TTM"/>
    <x v="0"/>
  </r>
  <r>
    <s v="Biolage"/>
    <x v="0"/>
    <s v="Social"/>
    <s v="Meta"/>
    <s v="Ulta"/>
    <d v="2024-11-30T00:00:00"/>
    <d v="2024-01-01T00:00:00"/>
    <n v="145455.050013"/>
    <n v="12920521"/>
    <s v="TTM"/>
    <x v="0"/>
  </r>
  <r>
    <s v="Biolage"/>
    <x v="0"/>
    <s v="Social"/>
    <s v="Meta"/>
    <s v="Ulta"/>
    <d v="2024-12-07T00:00:00"/>
    <d v="2024-01-01T00:00:00"/>
    <n v="51993.73000499999"/>
    <n v="5969554"/>
    <s v="TTM"/>
    <x v="0"/>
  </r>
  <r>
    <s v="Biolage"/>
    <x v="0"/>
    <s v="Social"/>
    <s v="Meta"/>
    <s v="Ulta"/>
    <d v="2025-01-18T00:00:00"/>
    <d v="2025-01-01T00:00:00"/>
    <n v="5804.4600050000008"/>
    <n v="1003384"/>
    <s v="TTM"/>
    <x v="0"/>
  </r>
  <r>
    <s v="Biolage"/>
    <x v="0"/>
    <s v="Social"/>
    <s v="Meta"/>
    <s v="Ulta"/>
    <d v="2025-01-25T00:00:00"/>
    <d v="2025-01-01T00:00:00"/>
    <n v="24195.509997000001"/>
    <n v="3776336"/>
    <s v="TTM"/>
    <x v="0"/>
  </r>
  <r>
    <s v="Biolage"/>
    <x v="0"/>
    <s v="Social"/>
    <s v="Meta"/>
    <s v="Ulta"/>
    <d v="2025-02-22T00:00:00"/>
    <d v="2025-01-01T00:00:00"/>
    <n v="26652.779999000002"/>
    <n v="3787287"/>
    <s v="TTM"/>
    <x v="0"/>
  </r>
  <r>
    <s v="Biolage"/>
    <x v="0"/>
    <s v="Social"/>
    <s v="Meta"/>
    <s v="Ulta"/>
    <d v="2025-03-01T00:00:00"/>
    <d v="2025-01-01T00:00:00"/>
    <n v="43347.220003999995"/>
    <n v="5214614"/>
    <s v="TTM"/>
    <x v="0"/>
  </r>
  <r>
    <s v="Biolage"/>
    <x v="0"/>
    <s v="Social"/>
    <s v="Meta"/>
    <s v="Ulta"/>
    <d v="2025-03-15T00:00:00"/>
    <d v="2025-01-01T00:00:00"/>
    <n v="7546.5899999999983"/>
    <n v="1370912"/>
    <s v="TTM"/>
    <x v="0"/>
  </r>
  <r>
    <s v="Biolage"/>
    <x v="0"/>
    <s v="Social"/>
    <s v="Meta"/>
    <s v="Ulta"/>
    <d v="2025-03-22T00:00:00"/>
    <d v="2025-01-01T00:00:00"/>
    <n v="18925.250002999997"/>
    <n v="3502057"/>
    <s v="TTM"/>
    <x v="0"/>
  </r>
  <r>
    <s v="Biolage"/>
    <x v="0"/>
    <s v="Social"/>
    <s v="Meta"/>
    <s v="Ulta"/>
    <d v="2025-03-29T00:00:00"/>
    <d v="2025-01-01T00:00:00"/>
    <n v="18260.460003"/>
    <n v="2690512"/>
    <s v="TTM"/>
    <x v="0"/>
  </r>
  <r>
    <s v="Biolage"/>
    <x v="0"/>
    <s v="Social"/>
    <s v="Meta"/>
    <s v="Ulta"/>
    <d v="2025-04-05T00:00:00"/>
    <d v="2025-01-01T00:00:00"/>
    <n v="3644.5400000000004"/>
    <n v="226723"/>
    <s v="TTM"/>
    <x v="0"/>
  </r>
  <r>
    <s v="Biolage"/>
    <x v="0"/>
    <s v="Social"/>
    <s v="Meta"/>
    <s v="Ulta"/>
    <d v="2025-04-12T00:00:00"/>
    <d v="2025-01-01T00:00:00"/>
    <n v="5154.8000030000003"/>
    <n v="1128016"/>
    <s v="TTM"/>
    <x v="0"/>
  </r>
  <r>
    <s v="Biolage"/>
    <x v="0"/>
    <s v="Social"/>
    <s v="Meta"/>
    <s v="Ulta"/>
    <d v="2025-04-19T00:00:00"/>
    <d v="2025-01-01T00:00:00"/>
    <n v="7308.6299969999982"/>
    <n v="1688612"/>
    <s v="TTM"/>
    <x v="0"/>
  </r>
  <r>
    <s v="Biolage"/>
    <x v="0"/>
    <s v="Social"/>
    <s v="Meta"/>
    <s v="Ulta"/>
    <d v="2025-04-26T00:00:00"/>
    <d v="2025-01-01T00:00:00"/>
    <n v="6649.5000030000001"/>
    <n v="1573947"/>
    <s v="TTM"/>
    <x v="0"/>
  </r>
  <r>
    <s v="Biolage"/>
    <x v="0"/>
    <s v="Social"/>
    <s v="Meta"/>
    <s v="Ulta"/>
    <d v="2025-05-03T00:00:00"/>
    <d v="2025-01-01T00:00:00"/>
    <n v="3316.6100040000001"/>
    <n v="746214"/>
    <s v="TTM"/>
    <x v="0"/>
  </r>
  <r>
    <s v="Biolage"/>
    <x v="0"/>
    <s v="Social"/>
    <s v="Meta"/>
    <s v="Ulta"/>
    <d v="2025-05-10T00:00:00"/>
    <d v="2025-01-01T00:00:00"/>
    <n v="646.54000299999996"/>
    <n v="131682"/>
    <s v="TTM"/>
    <x v="0"/>
  </r>
  <r>
    <s v="Biolage"/>
    <x v="0"/>
    <s v="Social"/>
    <s v="Meta"/>
    <s v="Ulta"/>
    <d v="2025-05-17T00:00:00"/>
    <d v="2025-01-01T00:00:00"/>
    <n v="1895.3499980000001"/>
    <n v="337849"/>
    <s v="TTM"/>
    <x v="0"/>
  </r>
  <r>
    <s v="Biolage"/>
    <x v="0"/>
    <s v="Social"/>
    <s v="Meta"/>
    <s v="Ulta"/>
    <d v="2025-05-24T00:00:00"/>
    <d v="2025-01-01T00:00:00"/>
    <n v="1296.4499979999998"/>
    <n v="216258"/>
    <s v="TTM"/>
    <x v="0"/>
  </r>
  <r>
    <s v="Biolage"/>
    <x v="0"/>
    <s v="Social"/>
    <s v="Meta"/>
    <s v="Ulta"/>
    <d v="2025-05-31T00:00:00"/>
    <d v="2025-01-01T00:00:00"/>
    <n v="1263.8499999999997"/>
    <n v="218948"/>
    <s v="TTM"/>
    <x v="0"/>
  </r>
  <r>
    <s v="Biolage"/>
    <x v="0"/>
    <s v="Social"/>
    <s v="Pinterest"/>
    <s v="Amazon"/>
    <d v="2023-07-01T00:00:00"/>
    <d v="2023-01-01T00:00:00"/>
    <n v="33.569313000000001"/>
    <n v="12647"/>
    <s v="PY"/>
    <x v="1"/>
  </r>
  <r>
    <s v="Biolage"/>
    <x v="0"/>
    <s v="Social"/>
    <s v="Pinterest"/>
    <s v="Amazon"/>
    <d v="2023-07-08T00:00:00"/>
    <d v="2023-01-01T00:00:00"/>
    <n v="999.85672"/>
    <n v="656796"/>
    <s v="PY"/>
    <x v="1"/>
  </r>
  <r>
    <s v="Biolage"/>
    <x v="0"/>
    <s v="Social"/>
    <s v="Pinterest"/>
    <s v="Amazon"/>
    <d v="2023-07-15T00:00:00"/>
    <d v="2023-01-01T00:00:00"/>
    <n v="5655.9730740000005"/>
    <n v="1323770"/>
    <s v="LY"/>
    <x v="1"/>
  </r>
  <r>
    <s v="Biolage"/>
    <x v="0"/>
    <s v="Social"/>
    <s v="Pinterest"/>
    <s v="Amazon"/>
    <d v="2023-07-22T00:00:00"/>
    <d v="2023-01-01T00:00:00"/>
    <n v="8305.2923260000007"/>
    <n v="1067550"/>
    <s v="LY"/>
    <x v="1"/>
  </r>
  <r>
    <s v="Biolage"/>
    <x v="0"/>
    <s v="Social"/>
    <s v="Pinterest"/>
    <s v="Amazon"/>
    <d v="2023-07-29T00:00:00"/>
    <d v="2023-01-01T00:00:00"/>
    <n v="8664.595331999999"/>
    <n v="903828"/>
    <s v="LY"/>
    <x v="1"/>
  </r>
  <r>
    <s v="Biolage"/>
    <x v="0"/>
    <s v="Social"/>
    <s v="Pinterest"/>
    <s v="Amazon"/>
    <d v="2023-08-05T00:00:00"/>
    <d v="2023-01-01T00:00:00"/>
    <n v="7389.390907"/>
    <n v="769110"/>
    <s v="LY"/>
    <x v="1"/>
  </r>
  <r>
    <s v="Biolage"/>
    <x v="0"/>
    <s v="Social"/>
    <s v="Pinterest"/>
    <s v="Amazon"/>
    <d v="2023-08-12T00:00:00"/>
    <d v="2023-01-01T00:00:00"/>
    <n v="8215.789721000001"/>
    <n v="1111682"/>
    <s v="LY"/>
    <x v="1"/>
  </r>
  <r>
    <s v="Biolage"/>
    <x v="0"/>
    <s v="Social"/>
    <s v="Pinterest"/>
    <s v="Amazon"/>
    <d v="2023-08-19T00:00:00"/>
    <d v="2023-01-01T00:00:00"/>
    <n v="7907.9364459999997"/>
    <n v="940923"/>
    <s v="LY"/>
    <x v="1"/>
  </r>
  <r>
    <s v="Biolage"/>
    <x v="0"/>
    <s v="Social"/>
    <s v="Pinterest"/>
    <s v="Amazon"/>
    <d v="2023-08-26T00:00:00"/>
    <d v="2023-01-01T00:00:00"/>
    <n v="1106.513954"/>
    <n v="100107"/>
    <s v="LY"/>
    <x v="1"/>
  </r>
  <r>
    <s v="Biolage"/>
    <x v="0"/>
    <s v="Social"/>
    <s v="Pinterest"/>
    <s v="Other"/>
    <d v="2023-07-01T00:00:00"/>
    <d v="2023-01-01T00:00:00"/>
    <n v="673.32786600000009"/>
    <n v="319241"/>
    <s v="PY"/>
    <x v="1"/>
  </r>
  <r>
    <s v="Biolage"/>
    <x v="0"/>
    <s v="Social"/>
    <s v="Pinterest"/>
    <s v="Other"/>
    <d v="2023-07-08T00:00:00"/>
    <d v="2023-01-01T00:00:00"/>
    <n v="4737.6254869999993"/>
    <n v="2358886"/>
    <s v="PY"/>
    <x v="1"/>
  </r>
  <r>
    <s v="Biolage"/>
    <x v="0"/>
    <s v="Social"/>
    <s v="Pinterest"/>
    <s v="Other"/>
    <d v="2023-07-15T00:00:00"/>
    <d v="2023-01-01T00:00:00"/>
    <n v="5037.4189039999992"/>
    <n v="2664362"/>
    <s v="LY"/>
    <x v="1"/>
  </r>
  <r>
    <s v="Biolage"/>
    <x v="0"/>
    <s v="Social"/>
    <s v="Pinterest"/>
    <s v="Other"/>
    <d v="2023-07-22T00:00:00"/>
    <d v="2023-01-01T00:00:00"/>
    <n v="4364.9173510000001"/>
    <n v="2662776"/>
    <s v="LY"/>
    <x v="1"/>
  </r>
  <r>
    <s v="Biolage"/>
    <x v="0"/>
    <s v="Social"/>
    <s v="Pinterest"/>
    <s v="Other"/>
    <d v="2023-07-29T00:00:00"/>
    <d v="2023-01-01T00:00:00"/>
    <n v="4655.8757210000003"/>
    <n v="2613774"/>
    <s v="LY"/>
    <x v="1"/>
  </r>
  <r>
    <s v="Biolage"/>
    <x v="0"/>
    <s v="Social"/>
    <s v="Pinterest"/>
    <s v="Other"/>
    <d v="2023-08-05T00:00:00"/>
    <d v="2023-01-01T00:00:00"/>
    <n v="4551.2395979999992"/>
    <n v="2431409"/>
    <s v="LY"/>
    <x v="1"/>
  </r>
  <r>
    <s v="Biolage"/>
    <x v="0"/>
    <s v="Social"/>
    <s v="Pinterest"/>
    <s v="Other"/>
    <d v="2023-08-12T00:00:00"/>
    <d v="2023-01-01T00:00:00"/>
    <n v="5394.2591620000012"/>
    <n v="2606318"/>
    <s v="LY"/>
    <x v="1"/>
  </r>
  <r>
    <s v="Biolage"/>
    <x v="0"/>
    <s v="Social"/>
    <s v="Pinterest"/>
    <s v="Other"/>
    <d v="2023-08-19T00:00:00"/>
    <d v="2023-01-01T00:00:00"/>
    <n v="5355.2110149999999"/>
    <n v="2268015"/>
    <s v="LY"/>
    <x v="1"/>
  </r>
  <r>
    <s v="Biolage"/>
    <x v="0"/>
    <s v="Social"/>
    <s v="Pinterest"/>
    <s v="Other"/>
    <d v="2023-08-26T00:00:00"/>
    <d v="2023-01-01T00:00:00"/>
    <n v="11104.198451"/>
    <n v="3483250"/>
    <s v="LY"/>
    <x v="1"/>
  </r>
  <r>
    <s v="Biolage"/>
    <x v="0"/>
    <s v="Social"/>
    <s v="Pinterest"/>
    <s v="Other"/>
    <d v="2023-09-02T00:00:00"/>
    <d v="2023-01-01T00:00:00"/>
    <n v="12364.026618"/>
    <n v="3661982"/>
    <s v="LY"/>
    <x v="1"/>
  </r>
  <r>
    <s v="Biolage"/>
    <x v="0"/>
    <s v="Social"/>
    <s v="Pinterest"/>
    <s v="Other"/>
    <d v="2023-09-09T00:00:00"/>
    <d v="2023-01-01T00:00:00"/>
    <n v="3480.1052730000001"/>
    <n v="1082526"/>
    <s v="LY"/>
    <x v="1"/>
  </r>
  <r>
    <s v="Biolage"/>
    <x v="0"/>
    <s v="Social"/>
    <s v="Pinterest"/>
    <s v="Ulta"/>
    <d v="2023-07-01T00:00:00"/>
    <d v="2023-01-01T00:00:00"/>
    <n v="1431.8508470000002"/>
    <n v="145797"/>
    <s v="PY"/>
    <x v="1"/>
  </r>
  <r>
    <s v="Biolage"/>
    <x v="0"/>
    <s v="Social"/>
    <s v="Pinterest"/>
    <s v="Ulta"/>
    <d v="2023-07-08T00:00:00"/>
    <d v="2023-01-01T00:00:00"/>
    <n v="9275.4324950000009"/>
    <n v="2234097"/>
    <s v="PY"/>
    <x v="1"/>
  </r>
  <r>
    <s v="Biolage"/>
    <x v="0"/>
    <s v="Social"/>
    <s v="Pinterest"/>
    <s v="Ulta"/>
    <d v="2023-07-15T00:00:00"/>
    <d v="2023-01-01T00:00:00"/>
    <n v="5353.4812869999996"/>
    <n v="1219258"/>
    <s v="LY"/>
    <x v="1"/>
  </r>
  <r>
    <s v="Biolage"/>
    <x v="0"/>
    <s v="Social"/>
    <s v="Pinterest"/>
    <s v="Ulta"/>
    <d v="2023-07-22T00:00:00"/>
    <d v="2023-01-01T00:00:00"/>
    <n v="1758.2325850000002"/>
    <n v="634400"/>
    <s v="LY"/>
    <x v="1"/>
  </r>
  <r>
    <s v="Biolage"/>
    <x v="0"/>
    <s v="Social"/>
    <s v="Pinterest"/>
    <s v="Ulta"/>
    <d v="2023-07-29T00:00:00"/>
    <d v="2023-01-01T00:00:00"/>
    <n v="1325.620359"/>
    <n v="403494"/>
    <s v="LY"/>
    <x v="1"/>
  </r>
  <r>
    <s v="Biolage"/>
    <x v="0"/>
    <s v="Social"/>
    <s v="Pinterest"/>
    <s v="Ulta"/>
    <d v="2023-08-05T00:00:00"/>
    <d v="2023-01-01T00:00:00"/>
    <n v="1480.8282359999998"/>
    <n v="516226"/>
    <s v="LY"/>
    <x v="1"/>
  </r>
  <r>
    <s v="Biolage"/>
    <x v="0"/>
    <s v="Social"/>
    <s v="Pinterest"/>
    <s v="Ulta"/>
    <d v="2023-08-12T00:00:00"/>
    <d v="2023-01-01T00:00:00"/>
    <n v="2257.8540680000001"/>
    <n v="748193"/>
    <s v="LY"/>
    <x v="1"/>
  </r>
  <r>
    <s v="Biolage"/>
    <x v="0"/>
    <s v="Social"/>
    <s v="Pinterest"/>
    <s v="Ulta"/>
    <d v="2023-08-19T00:00:00"/>
    <d v="2023-01-01T00:00:00"/>
    <n v="2433.0227869999999"/>
    <n v="691033"/>
    <s v="LY"/>
    <x v="1"/>
  </r>
  <r>
    <s v="Biolage"/>
    <x v="0"/>
    <s v="Social"/>
    <s v="Pinterest"/>
    <s v="Ulta"/>
    <d v="2023-08-26T00:00:00"/>
    <d v="2023-01-01T00:00:00"/>
    <n v="304.294445"/>
    <n v="70891"/>
    <s v="LY"/>
    <x v="1"/>
  </r>
  <r>
    <s v="Biolage"/>
    <x v="0"/>
    <s v="Social"/>
    <s v="TikTok"/>
    <s v="Amazon"/>
    <d v="2025-04-12T00:00:00"/>
    <d v="2025-01-01T00:00:00"/>
    <n v="7626.22"/>
    <n v="2104100"/>
    <s v="TTM"/>
    <x v="2"/>
  </r>
  <r>
    <s v="Biolage"/>
    <x v="0"/>
    <s v="Social"/>
    <s v="TikTok"/>
    <s v="Amazon"/>
    <d v="2025-04-19T00:00:00"/>
    <d v="2025-01-01T00:00:00"/>
    <n v="9972.65"/>
    <n v="2634706"/>
    <s v="TTM"/>
    <x v="2"/>
  </r>
  <r>
    <s v="Biolage"/>
    <x v="0"/>
    <s v="Social"/>
    <s v="TikTok"/>
    <s v="Amazon"/>
    <d v="2025-04-26T00:00:00"/>
    <d v="2025-01-01T00:00:00"/>
    <n v="10644.05"/>
    <n v="2784382"/>
    <s v="TTM"/>
    <x v="2"/>
  </r>
  <r>
    <s v="Biolage"/>
    <x v="0"/>
    <s v="Social"/>
    <s v="TikTok"/>
    <s v="Amazon"/>
    <d v="2025-05-03T00:00:00"/>
    <d v="2025-01-01T00:00:00"/>
    <n v="2939.98"/>
    <n v="707774"/>
    <s v="TTM"/>
    <x v="2"/>
  </r>
  <r>
    <s v="Biolage"/>
    <x v="0"/>
    <s v="Social"/>
    <s v="TikTok"/>
    <s v="Amazon"/>
    <d v="2025-05-31T00:00:00"/>
    <d v="2025-01-01T00:00:00"/>
    <n v="1495.19"/>
    <n v="345275"/>
    <s v="TTM"/>
    <x v="2"/>
  </r>
  <r>
    <s v="Biolage"/>
    <x v="0"/>
    <s v="Social"/>
    <s v="TikTok"/>
    <s v="Amazon"/>
    <d v="2025-06-07T00:00:00"/>
    <d v="2025-01-01T00:00:00"/>
    <n v="5354.1999999999989"/>
    <n v="1448678"/>
    <s v="TTM"/>
    <x v="2"/>
  </r>
  <r>
    <s v="Biolage"/>
    <x v="0"/>
    <s v="Social"/>
    <s v="TikTok"/>
    <s v="Amazon"/>
    <d v="2025-06-14T00:00:00"/>
    <d v="2025-01-01T00:00:00"/>
    <n v="0.41000000000000003"/>
    <n v="39"/>
    <s v="TTM"/>
    <x v="2"/>
  </r>
  <r>
    <s v="Biolage"/>
    <x v="0"/>
    <s v="Social"/>
    <s v="TikTok"/>
    <s v="Amazon"/>
    <d v="2025-06-21T00:00:00"/>
    <d v="2025-01-01T00:00:00"/>
    <n v="0.11"/>
    <n v="14"/>
    <s v="TTM"/>
    <x v="2"/>
  </r>
  <r>
    <s v="Biolage"/>
    <x v="0"/>
    <s v="Social"/>
    <s v="TikTok"/>
    <s v="Ulta"/>
    <d v="2025-03-22T00:00:00"/>
    <d v="2025-01-01T00:00:00"/>
    <n v="11760.94"/>
    <n v="2857659"/>
    <s v="TTM"/>
    <x v="2"/>
  </r>
  <r>
    <s v="Biolage"/>
    <x v="0"/>
    <s v="Social"/>
    <s v="TikTok"/>
    <s v="Ulta"/>
    <d v="2025-03-29T00:00:00"/>
    <d v="2025-01-01T00:00:00"/>
    <n v="14221.56"/>
    <n v="3488612"/>
    <s v="TTM"/>
    <x v="2"/>
  </r>
  <r>
    <s v="Biolage"/>
    <x v="0"/>
    <s v="Social"/>
    <s v="TikTok"/>
    <s v="Ulta"/>
    <d v="2025-04-05T00:00:00"/>
    <d v="2025-01-01T00:00:00"/>
    <n v="2789.37"/>
    <n v="747517"/>
    <s v="TTM"/>
    <x v="2"/>
  </r>
  <r>
    <s v="Biolage"/>
    <x v="0"/>
    <s v="Social"/>
    <s v="TikTok"/>
    <s v="Ulta"/>
    <d v="2025-04-12T00:00:00"/>
    <d v="2025-01-01T00:00:00"/>
    <n v="12.309999999999999"/>
    <n v="4888"/>
    <s v="TTM"/>
    <x v="2"/>
  </r>
  <r>
    <s v="Biolage"/>
    <x v="0"/>
    <s v="Social"/>
    <s v="TikTok"/>
    <s v="Ulta"/>
    <d v="2025-04-19T00:00:00"/>
    <d v="2025-01-01T00:00:00"/>
    <n v="2.4"/>
    <n v="676"/>
    <s v="TTM"/>
    <x v="2"/>
  </r>
  <r>
    <s v="Biolage"/>
    <x v="0"/>
    <s v="Social"/>
    <s v="TikTok"/>
    <s v="Ulta"/>
    <d v="2025-04-26T00:00:00"/>
    <d v="2025-01-01T00:00:00"/>
    <n v="12.120000000000001"/>
    <n v="3731"/>
    <s v="TTM"/>
    <x v="2"/>
  </r>
  <r>
    <s v="Biolage"/>
    <x v="0"/>
    <s v="Social"/>
    <s v="TikTok"/>
    <s v="Ulta"/>
    <d v="2025-05-03T00:00:00"/>
    <d v="2025-01-01T00:00:00"/>
    <n v="8.01"/>
    <n v="2643"/>
    <s v="TTM"/>
    <x v="2"/>
  </r>
  <r>
    <s v="Biolage"/>
    <x v="0"/>
    <s v="Social"/>
    <s v="TikTok"/>
    <s v="Ulta"/>
    <d v="2025-05-10T00:00:00"/>
    <d v="2025-01-01T00:00:00"/>
    <n v="4403.91"/>
    <n v="1469491"/>
    <s v="TTM"/>
    <x v="2"/>
  </r>
  <r>
    <s v="Biolage"/>
    <x v="0"/>
    <s v="Social"/>
    <s v="TikTok"/>
    <s v="Ulta"/>
    <d v="2025-05-17T00:00:00"/>
    <d v="2025-01-01T00:00:00"/>
    <n v="13499.82"/>
    <n v="3456088"/>
    <s v="TTM"/>
    <x v="2"/>
  </r>
  <r>
    <s v="Biolage"/>
    <x v="0"/>
    <s v="Social"/>
    <s v="TikTok"/>
    <s v="Ulta"/>
    <d v="2025-05-24T00:00:00"/>
    <d v="2025-01-01T00:00:00"/>
    <n v="2106.66"/>
    <n v="514820"/>
    <s v="TTM"/>
    <x v="2"/>
  </r>
  <r>
    <s v="Biolage"/>
    <x v="0"/>
    <s v="Social"/>
    <s v="TikTok"/>
    <s v="Ulta"/>
    <d v="2025-06-07T00:00:00"/>
    <d v="2025-01-01T00:00:00"/>
    <n v="4319.22"/>
    <n v="956796"/>
    <s v="TTM"/>
    <x v="2"/>
  </r>
  <r>
    <s v="Biolage"/>
    <x v="0"/>
    <s v="Social"/>
    <s v="TikTok"/>
    <s v="Ulta"/>
    <d v="2025-06-14T00:00:00"/>
    <d v="2025-01-01T00:00:00"/>
    <n v="12040.789999999999"/>
    <n v="2367185"/>
    <s v="TTM"/>
    <x v="2"/>
  </r>
  <r>
    <s v="Biolage"/>
    <x v="0"/>
    <s v="Social"/>
    <s v="TikTok"/>
    <s v="Ulta"/>
    <d v="2025-06-21T00:00:00"/>
    <d v="2025-01-01T00:00:00"/>
    <n v="6790.08"/>
    <n v="1232039"/>
    <s v="TTM"/>
    <x v="2"/>
  </r>
  <r>
    <s v="Biolage"/>
    <x v="1"/>
    <s v="Social"/>
    <s v="Meta"/>
    <s v="Other"/>
    <d v="2023-09-16T00:00:00"/>
    <d v="2023-01-01T00:00:00"/>
    <n v="3288.6699899999999"/>
    <n v="218398"/>
    <s v="LY"/>
    <x v="0"/>
  </r>
  <r>
    <s v="Biolage"/>
    <x v="1"/>
    <s v="Social"/>
    <s v="Meta"/>
    <s v="Other"/>
    <d v="2023-09-23T00:00:00"/>
    <d v="2023-01-01T00:00:00"/>
    <n v="14175.450015"/>
    <n v="893066"/>
    <s v="LY"/>
    <x v="0"/>
  </r>
  <r>
    <s v="Biolage"/>
    <x v="1"/>
    <s v="Social"/>
    <s v="Meta"/>
    <s v="Other"/>
    <d v="2023-09-30T00:00:00"/>
    <d v="2023-01-01T00:00:00"/>
    <n v="6168.8799960000015"/>
    <n v="329275"/>
    <s v="LY"/>
    <x v="0"/>
  </r>
  <r>
    <s v="Biolage"/>
    <x v="2"/>
    <s v="Social"/>
    <s v="Meta"/>
    <s v="Other"/>
    <d v="2023-11-18T00:00:00"/>
    <d v="2023-01-01T00:00:00"/>
    <n v="13939.809993000001"/>
    <n v="2233752"/>
    <s v="LY"/>
    <x v="0"/>
  </r>
  <r>
    <s v="Biolage"/>
    <x v="2"/>
    <s v="Social"/>
    <s v="Meta"/>
    <s v="Other"/>
    <d v="2023-11-25T00:00:00"/>
    <d v="2023-01-01T00:00:00"/>
    <n v="28949.560006"/>
    <n v="4666059"/>
    <s v="LY"/>
    <x v="0"/>
  </r>
  <r>
    <s v="Biolage"/>
    <x v="2"/>
    <s v="Social"/>
    <s v="Meta"/>
    <s v="Other"/>
    <d v="2023-12-02T00:00:00"/>
    <d v="2023-01-01T00:00:00"/>
    <n v="29383.910003000001"/>
    <n v="4657170"/>
    <s v="LY"/>
    <x v="0"/>
  </r>
  <r>
    <s v="Biolage"/>
    <x v="2"/>
    <s v="Social"/>
    <s v="Meta"/>
    <s v="Other"/>
    <d v="2023-12-09T00:00:00"/>
    <d v="2023-01-01T00:00:00"/>
    <n v="28620.652752000005"/>
    <n v="5005073"/>
    <s v="LY"/>
    <x v="0"/>
  </r>
  <r>
    <s v="Biolage"/>
    <x v="2"/>
    <s v="Social"/>
    <s v="Meta"/>
    <s v="Other"/>
    <d v="2023-12-16T00:00:00"/>
    <d v="2023-01-01T00:00:00"/>
    <n v="38450.740008999994"/>
    <n v="5500117"/>
    <s v="LY"/>
    <x v="0"/>
  </r>
  <r>
    <s v="Biolage"/>
    <x v="2"/>
    <s v="Social"/>
    <s v="Meta"/>
    <s v="Other"/>
    <d v="2023-12-23T00:00:00"/>
    <d v="2023-01-01T00:00:00"/>
    <n v="37767.739996000004"/>
    <n v="5158282"/>
    <s v="LY"/>
    <x v="0"/>
  </r>
  <r>
    <s v="Biolage"/>
    <x v="2"/>
    <s v="Social"/>
    <s v="Meta"/>
    <s v="Other"/>
    <d v="2023-12-30T00:00:00"/>
    <d v="2023-01-01T00:00:00"/>
    <n v="15955.130007"/>
    <n v="2704263"/>
    <s v="LY"/>
    <x v="0"/>
  </r>
  <r>
    <s v="Biolage"/>
    <x v="2"/>
    <s v="Social"/>
    <s v="Meta"/>
    <s v="Ulta"/>
    <d v="2023-11-18T00:00:00"/>
    <d v="2023-01-01T00:00:00"/>
    <n v="10922.359995000001"/>
    <n v="887014"/>
    <s v="LY"/>
    <x v="0"/>
  </r>
  <r>
    <s v="Biolage"/>
    <x v="2"/>
    <s v="Social"/>
    <s v="Meta"/>
    <s v="Ulta"/>
    <d v="2023-11-25T00:00:00"/>
    <d v="2023-01-01T00:00:00"/>
    <n v="22008.550004000004"/>
    <n v="2108359"/>
    <s v="LY"/>
    <x v="0"/>
  </r>
  <r>
    <s v="Biolage"/>
    <x v="2"/>
    <s v="Social"/>
    <s v="Meta"/>
    <s v="Ulta"/>
    <d v="2023-12-02T00:00:00"/>
    <d v="2023-01-01T00:00:00"/>
    <n v="22200.819997000002"/>
    <n v="1976115"/>
    <s v="LY"/>
    <x v="0"/>
  </r>
  <r>
    <s v="Biolage"/>
    <x v="2"/>
    <s v="Social"/>
    <s v="Meta"/>
    <s v="Ulta"/>
    <d v="2023-12-09T00:00:00"/>
    <d v="2023-01-01T00:00:00"/>
    <n v="21655.697800000002"/>
    <n v="2271169"/>
    <s v="LY"/>
    <x v="0"/>
  </r>
  <r>
    <s v="Biolage"/>
    <x v="2"/>
    <s v="Social"/>
    <s v="Meta"/>
    <s v="Ulta"/>
    <d v="2023-12-16T00:00:00"/>
    <d v="2023-01-01T00:00:00"/>
    <n v="21466.060018"/>
    <n v="1958670"/>
    <s v="LY"/>
    <x v="0"/>
  </r>
  <r>
    <s v="Biolage"/>
    <x v="2"/>
    <s v="Social"/>
    <s v="Meta"/>
    <s v="Ulta"/>
    <d v="2023-12-23T00:00:00"/>
    <d v="2023-01-01T00:00:00"/>
    <n v="21063.300009000002"/>
    <n v="1863207"/>
    <s v="LY"/>
    <x v="0"/>
  </r>
  <r>
    <s v="Biolage"/>
    <x v="2"/>
    <s v="Social"/>
    <s v="Meta"/>
    <s v="Ulta"/>
    <d v="2023-12-30T00:00:00"/>
    <d v="2023-01-01T00:00:00"/>
    <n v="11239.950003"/>
    <n v="1233138"/>
    <s v="LY"/>
    <x v="0"/>
  </r>
  <r>
    <s v="Biolage"/>
    <x v="3"/>
    <s v="Social"/>
    <s v="Meta"/>
    <s v="Amazon"/>
    <d v="2023-07-15T00:00:00"/>
    <d v="2023-01-01T00:00:00"/>
    <n v="32023.799993000004"/>
    <n v="4557001"/>
    <s v="LY"/>
    <x v="0"/>
  </r>
  <r>
    <s v="Biolage"/>
    <x v="3"/>
    <s v="Social"/>
    <s v="Meta"/>
    <s v="Amazon"/>
    <d v="2023-07-22T00:00:00"/>
    <d v="2023-01-01T00:00:00"/>
    <n v="33622.089997999996"/>
    <n v="4804148"/>
    <s v="LY"/>
    <x v="0"/>
  </r>
  <r>
    <s v="Biolage"/>
    <x v="3"/>
    <s v="Social"/>
    <s v="Meta"/>
    <s v="Amazon"/>
    <d v="2023-07-29T00:00:00"/>
    <d v="2023-01-01T00:00:00"/>
    <n v="32824.410005999998"/>
    <n v="4753491"/>
    <s v="LY"/>
    <x v="0"/>
  </r>
  <r>
    <s v="Biolage"/>
    <x v="3"/>
    <s v="Social"/>
    <s v="Meta"/>
    <s v="Amazon"/>
    <d v="2023-08-05T00:00:00"/>
    <d v="2023-01-01T00:00:00"/>
    <n v="32766.600002999992"/>
    <n v="5233861"/>
    <s v="LY"/>
    <x v="0"/>
  </r>
  <r>
    <s v="Biolage"/>
    <x v="3"/>
    <s v="Social"/>
    <s v="Meta"/>
    <s v="Amazon"/>
    <d v="2023-08-12T00:00:00"/>
    <d v="2023-01-01T00:00:00"/>
    <n v="31935.239996999993"/>
    <n v="4991273"/>
    <s v="LY"/>
    <x v="0"/>
  </r>
  <r>
    <s v="Biolage"/>
    <x v="3"/>
    <s v="Social"/>
    <s v="Meta"/>
    <s v="Amazon"/>
    <d v="2023-08-19T00:00:00"/>
    <d v="2023-01-01T00:00:00"/>
    <n v="32411.340014000001"/>
    <n v="4861713"/>
    <s v="LY"/>
    <x v="0"/>
  </r>
  <r>
    <s v="Biolage"/>
    <x v="3"/>
    <s v="Social"/>
    <s v="Meta"/>
    <s v="Amazon"/>
    <d v="2023-08-26T00:00:00"/>
    <d v="2023-01-01T00:00:00"/>
    <n v="4412.3699969999998"/>
    <n v="699052"/>
    <s v="LY"/>
    <x v="0"/>
  </r>
  <r>
    <s v="Biolage"/>
    <x v="4"/>
    <s v="Social"/>
    <s v="Meta"/>
    <s v="Amazon"/>
    <d v="2025-05-03T00:00:00"/>
    <d v="2025-01-01T00:00:00"/>
    <n v="2330.3100000000004"/>
    <n v="617631"/>
    <s v="TTM"/>
    <x v="0"/>
  </r>
  <r>
    <s v="Biolage"/>
    <x v="4"/>
    <s v="Social"/>
    <s v="Meta"/>
    <s v="Amazon"/>
    <d v="2025-05-10T00:00:00"/>
    <d v="2025-01-01T00:00:00"/>
    <n v="9358.3799990000007"/>
    <n v="2475528"/>
    <s v="TTM"/>
    <x v="0"/>
  </r>
  <r>
    <s v="Biolage"/>
    <x v="4"/>
    <s v="Social"/>
    <s v="Meta"/>
    <s v="Amazon"/>
    <d v="2025-05-17T00:00:00"/>
    <d v="2025-01-01T00:00:00"/>
    <n v="9370.0399949999992"/>
    <n v="1944035"/>
    <s v="TTM"/>
    <x v="0"/>
  </r>
  <r>
    <s v="Biolage"/>
    <x v="4"/>
    <s v="Social"/>
    <s v="Meta"/>
    <s v="Amazon"/>
    <d v="2025-05-24T00:00:00"/>
    <d v="2025-01-01T00:00:00"/>
    <n v="164.18"/>
    <n v="12632"/>
    <s v="TTM"/>
    <x v="0"/>
  </r>
  <r>
    <s v="Biolage"/>
    <x v="4"/>
    <s v="Social"/>
    <s v="Meta"/>
    <s v="Amazon"/>
    <d v="2025-05-31T00:00:00"/>
    <d v="2025-01-01T00:00:00"/>
    <n v="279.79999800000002"/>
    <n v="17816"/>
    <s v="TTM"/>
    <x v="0"/>
  </r>
  <r>
    <s v="Biolage"/>
    <x v="4"/>
    <s v="Social"/>
    <s v="Meta"/>
    <s v="Amazon"/>
    <d v="2025-06-07T00:00:00"/>
    <d v="2025-01-01T00:00:00"/>
    <n v="12307.289990999998"/>
    <n v="1810566"/>
    <s v="TTM"/>
    <x v="0"/>
  </r>
  <r>
    <s v="Biolage"/>
    <x v="4"/>
    <s v="Social"/>
    <s v="Meta"/>
    <s v="Amazon"/>
    <d v="2025-06-14T00:00:00"/>
    <d v="2025-01-01T00:00:00"/>
    <n v="11489.900003999999"/>
    <n v="1623404"/>
    <s v="TTM"/>
    <x v="0"/>
  </r>
  <r>
    <s v="Biolage"/>
    <x v="4"/>
    <s v="Social"/>
    <s v="Meta"/>
    <s v="Amazon"/>
    <d v="2025-06-21T00:00:00"/>
    <d v="2025-01-01T00:00:00"/>
    <n v="8325.4899990000013"/>
    <n v="1427702"/>
    <s v="TTM"/>
    <x v="0"/>
  </r>
  <r>
    <s v="Biolage"/>
    <x v="4"/>
    <s v="Social"/>
    <s v="Meta"/>
    <s v="Amazon"/>
    <d v="2025-06-28T00:00:00"/>
    <d v="2025-01-01T00:00:00"/>
    <n v="11031.789997"/>
    <n v="1748720"/>
    <s v="TTM"/>
    <x v="0"/>
  </r>
  <r>
    <s v="Biolage"/>
    <x v="4"/>
    <s v="Social"/>
    <s v="Meta"/>
    <s v="Amazon"/>
    <d v="2025-07-05T00:00:00"/>
    <d v="2025-01-01T00:00:00"/>
    <n v="2842.2807999999995"/>
    <n v="367387"/>
    <s v="TTM"/>
    <x v="0"/>
  </r>
  <r>
    <s v="Biolage"/>
    <x v="4"/>
    <s v="Social"/>
    <s v="Meta"/>
    <s v="Ulta"/>
    <d v="2025-05-03T00:00:00"/>
    <d v="2025-01-01T00:00:00"/>
    <n v="6046.8999989999993"/>
    <n v="761793"/>
    <s v="TTM"/>
    <x v="0"/>
  </r>
  <r>
    <s v="Biolage"/>
    <x v="4"/>
    <s v="Social"/>
    <s v="Meta"/>
    <s v="Ulta"/>
    <d v="2025-05-10T00:00:00"/>
    <d v="2025-01-01T00:00:00"/>
    <n v="22076.550007999998"/>
    <n v="2728434"/>
    <s v="TTM"/>
    <x v="0"/>
  </r>
  <r>
    <s v="Biolage"/>
    <x v="4"/>
    <s v="Social"/>
    <s v="Meta"/>
    <s v="Ulta"/>
    <d v="2025-05-17T00:00:00"/>
    <d v="2025-01-01T00:00:00"/>
    <n v="21287.130004000002"/>
    <n v="2518405"/>
    <s v="TTM"/>
    <x v="0"/>
  </r>
  <r>
    <s v="Biolage"/>
    <x v="4"/>
    <s v="Social"/>
    <s v="Meta"/>
    <s v="Ulta"/>
    <d v="2025-05-24T00:00:00"/>
    <d v="2025-01-01T00:00:00"/>
    <n v="30498.509989000002"/>
    <n v="3855759"/>
    <s v="TTM"/>
    <x v="0"/>
  </r>
  <r>
    <s v="Biolage"/>
    <x v="4"/>
    <s v="Social"/>
    <s v="Meta"/>
    <s v="Ulta"/>
    <d v="2025-05-31T00:00:00"/>
    <d v="2025-01-01T00:00:00"/>
    <n v="29961.190005000004"/>
    <n v="3828078"/>
    <s v="TTM"/>
    <x v="0"/>
  </r>
  <r>
    <s v="Biolage"/>
    <x v="4"/>
    <s v="Social"/>
    <s v="Meta"/>
    <s v="Ulta"/>
    <d v="2025-06-07T00:00:00"/>
    <d v="2025-01-01T00:00:00"/>
    <n v="17945.27"/>
    <n v="1955408"/>
    <s v="TTM"/>
    <x v="0"/>
  </r>
  <r>
    <s v="Biolage"/>
    <x v="4"/>
    <s v="Social"/>
    <s v="Meta"/>
    <s v="Ulta"/>
    <d v="2025-06-14T00:00:00"/>
    <d v="2025-01-01T00:00:00"/>
    <n v="18628.280005000001"/>
    <n v="1957157"/>
    <s v="TTM"/>
    <x v="0"/>
  </r>
  <r>
    <s v="Biolage"/>
    <x v="4"/>
    <s v="Social"/>
    <s v="Meta"/>
    <s v="Ulta"/>
    <d v="2025-06-21T00:00:00"/>
    <d v="2025-01-01T00:00:00"/>
    <n v="22135.769990000001"/>
    <n v="2641544"/>
    <s v="TTM"/>
    <x v="0"/>
  </r>
  <r>
    <s v="Biolage"/>
    <x v="4"/>
    <s v="Social"/>
    <s v="Meta"/>
    <s v="Ulta"/>
    <d v="2025-06-28T00:00:00"/>
    <d v="2025-01-01T00:00:00"/>
    <n v="19292.110008"/>
    <n v="2273732"/>
    <s v="TTM"/>
    <x v="0"/>
  </r>
  <r>
    <s v="Biolage"/>
    <x v="4"/>
    <s v="Social"/>
    <s v="Meta"/>
    <s v="Ulta"/>
    <d v="2025-07-05T00:00:00"/>
    <d v="2025-01-01T00:00:00"/>
    <n v="7547.1574310000015"/>
    <n v="965006"/>
    <s v="TTM"/>
    <x v="0"/>
  </r>
  <r>
    <s v="Biolage"/>
    <x v="4"/>
    <s v="Social"/>
    <s v="Pinterest"/>
    <s v="Amazon"/>
    <d v="2025-06-07T00:00:00"/>
    <d v="2025-01-01T00:00:00"/>
    <n v="2709.0638840000001"/>
    <n v="1247646"/>
    <s v="TTM"/>
    <x v="1"/>
  </r>
  <r>
    <s v="Biolage"/>
    <x v="4"/>
    <s v="Social"/>
    <s v="Pinterest"/>
    <s v="Amazon"/>
    <d v="2025-06-14T00:00:00"/>
    <d v="2025-01-01T00:00:00"/>
    <n v="3011.8828819999999"/>
    <n v="1380515"/>
    <s v="TTM"/>
    <x v="1"/>
  </r>
  <r>
    <s v="Biolage"/>
    <x v="4"/>
    <s v="Social"/>
    <s v="Pinterest"/>
    <s v="Amazon"/>
    <d v="2025-06-21T00:00:00"/>
    <d v="2025-01-01T00:00:00"/>
    <n v="2216.2211049999996"/>
    <n v="1036744"/>
    <s v="TTM"/>
    <x v="1"/>
  </r>
  <r>
    <s v="Biolage"/>
    <x v="4"/>
    <s v="Social"/>
    <s v="Pinterest"/>
    <s v="Amazon"/>
    <d v="2025-06-28T00:00:00"/>
    <d v="2025-01-01T00:00:00"/>
    <n v="2380.7796990000002"/>
    <n v="1087890"/>
    <s v="TTM"/>
    <x v="1"/>
  </r>
  <r>
    <s v="Biolage"/>
    <x v="4"/>
    <s v="Social"/>
    <s v="Pinterest"/>
    <s v="Amazon"/>
    <d v="2025-07-05T00:00:00"/>
    <d v="2025-01-01T00:00:00"/>
    <n v="748.67284599999994"/>
    <n v="371071"/>
    <s v="TTM"/>
    <x v="1"/>
  </r>
  <r>
    <s v="Biolage"/>
    <x v="4"/>
    <s v="Social"/>
    <s v="Pinterest"/>
    <s v="Ulta"/>
    <d v="2025-06-07T00:00:00"/>
    <d v="2025-01-01T00:00:00"/>
    <n v="7321.2670310000003"/>
    <n v="3384057"/>
    <s v="TTM"/>
    <x v="1"/>
  </r>
  <r>
    <s v="Biolage"/>
    <x v="4"/>
    <s v="Social"/>
    <s v="Pinterest"/>
    <s v="Ulta"/>
    <d v="2025-06-14T00:00:00"/>
    <d v="2025-01-01T00:00:00"/>
    <n v="9172.1963170000017"/>
    <n v="4164564"/>
    <s v="TTM"/>
    <x v="1"/>
  </r>
  <r>
    <s v="Biolage"/>
    <x v="4"/>
    <s v="Social"/>
    <s v="Pinterest"/>
    <s v="Ulta"/>
    <d v="2025-06-21T00:00:00"/>
    <d v="2025-01-01T00:00:00"/>
    <n v="9919.7558059999992"/>
    <n v="4593160"/>
    <s v="TTM"/>
    <x v="1"/>
  </r>
  <r>
    <s v="Biolage"/>
    <x v="4"/>
    <s v="Social"/>
    <s v="Pinterest"/>
    <s v="Ulta"/>
    <d v="2025-06-28T00:00:00"/>
    <d v="2025-01-01T00:00:00"/>
    <n v="9780.5517020000007"/>
    <n v="4416137"/>
    <s v="TTM"/>
    <x v="1"/>
  </r>
  <r>
    <s v="Biolage"/>
    <x v="4"/>
    <s v="Social"/>
    <s v="Pinterest"/>
    <s v="Ulta"/>
    <d v="2025-07-05T00:00:00"/>
    <d v="2025-01-01T00:00:00"/>
    <n v="2739.6087280000002"/>
    <n v="1331946"/>
    <s v="TTM"/>
    <x v="1"/>
  </r>
  <r>
    <s v="Biolage"/>
    <x v="4"/>
    <s v="Social"/>
    <s v="TikTok"/>
    <s v="Amazon"/>
    <d v="2025-06-07T00:00:00"/>
    <d v="2025-01-01T00:00:00"/>
    <n v="98617.08"/>
    <n v="8351986"/>
    <s v="TTM"/>
    <x v="2"/>
  </r>
  <r>
    <s v="Biolage"/>
    <x v="4"/>
    <s v="Social"/>
    <s v="TikTok"/>
    <s v="Amazon"/>
    <d v="2025-06-14T00:00:00"/>
    <d v="2025-01-01T00:00:00"/>
    <n v="30096.099999999995"/>
    <n v="3559856"/>
    <s v="TTM"/>
    <x v="2"/>
  </r>
  <r>
    <s v="Biolage"/>
    <x v="4"/>
    <s v="Social"/>
    <s v="TikTok"/>
    <s v="Amazon"/>
    <d v="2025-06-21T00:00:00"/>
    <d v="2025-01-01T00:00:00"/>
    <n v="21537.98"/>
    <n v="3733581"/>
    <s v="TTM"/>
    <x v="2"/>
  </r>
  <r>
    <s v="Biolage"/>
    <x v="4"/>
    <s v="Social"/>
    <s v="TikTok"/>
    <s v="Amazon"/>
    <d v="2025-06-28T00:00:00"/>
    <d v="2025-01-01T00:00:00"/>
    <n v="40513.660000000003"/>
    <n v="6523409"/>
    <s v="TTM"/>
    <x v="2"/>
  </r>
  <r>
    <s v="Biolage"/>
    <x v="4"/>
    <s v="Social"/>
    <s v="TikTok"/>
    <s v="Amazon"/>
    <d v="2025-07-05T00:00:00"/>
    <d v="2025-01-01T00:00:00"/>
    <n v="14155.99"/>
    <n v="2289191"/>
    <s v="TTM"/>
    <x v="2"/>
  </r>
  <r>
    <s v="Biolage"/>
    <x v="4"/>
    <s v="Social"/>
    <s v="TikTok"/>
    <s v="Ulta"/>
    <d v="2025-06-07T00:00:00"/>
    <d v="2025-01-01T00:00:00"/>
    <n v="74899.410000000018"/>
    <n v="10147501"/>
    <s v="TTM"/>
    <x v="2"/>
  </r>
  <r>
    <s v="Biolage"/>
    <x v="4"/>
    <s v="Social"/>
    <s v="TikTok"/>
    <s v="Ulta"/>
    <d v="2025-06-14T00:00:00"/>
    <d v="2025-01-01T00:00:00"/>
    <n v="46002.03"/>
    <n v="8675368"/>
    <s v="TTM"/>
    <x v="2"/>
  </r>
  <r>
    <s v="Biolage"/>
    <x v="4"/>
    <s v="Social"/>
    <s v="TikTok"/>
    <s v="Ulta"/>
    <d v="2025-06-21T00:00:00"/>
    <d v="2025-01-01T00:00:00"/>
    <n v="33288.71"/>
    <n v="6190838"/>
    <s v="TTM"/>
    <x v="2"/>
  </r>
  <r>
    <s v="Biolage"/>
    <x v="4"/>
    <s v="Social"/>
    <s v="TikTok"/>
    <s v="Ulta"/>
    <d v="2025-06-28T00:00:00"/>
    <d v="2025-01-01T00:00:00"/>
    <n v="14697.989999999996"/>
    <n v="2624177"/>
    <s v="TTM"/>
    <x v="2"/>
  </r>
  <r>
    <s v="Biolage"/>
    <x v="4"/>
    <s v="Social"/>
    <s v="TikTok"/>
    <s v="Ulta"/>
    <d v="2025-07-05T00:00:00"/>
    <d v="2025-01-01T00:00:00"/>
    <n v="1151.33"/>
    <n v="210299"/>
    <s v="TTM"/>
    <x v="2"/>
  </r>
  <r>
    <s v="Biolage"/>
    <x v="5"/>
    <s v="Social"/>
    <s v="Meta"/>
    <s v="Amazon"/>
    <d v="2025-04-05T00:00:00"/>
    <d v="2025-01-01T00:00:00"/>
    <n v="3726.9300020000001"/>
    <n v="232186"/>
    <s v="TTM"/>
    <x v="0"/>
  </r>
  <r>
    <s v="Biolage"/>
    <x v="5"/>
    <s v="Social"/>
    <s v="Meta"/>
    <s v="Amazon"/>
    <d v="2025-04-12T00:00:00"/>
    <d v="2025-01-01T00:00:00"/>
    <n v="5037.8300049999998"/>
    <n v="247387"/>
    <s v="TTM"/>
    <x v="0"/>
  </r>
  <r>
    <s v="Biolage"/>
    <x v="5"/>
    <s v="Social"/>
    <s v="Meta"/>
    <s v="Amazon"/>
    <d v="2025-04-19T00:00:00"/>
    <d v="2025-01-01T00:00:00"/>
    <n v="2128.89"/>
    <n v="92467"/>
    <s v="TTM"/>
    <x v="0"/>
  </r>
  <r>
    <s v="Biolage"/>
    <x v="5"/>
    <s v="Social"/>
    <s v="Meta"/>
    <s v="Amazon"/>
    <d v="2025-04-26T00:00:00"/>
    <d v="2025-01-01T00:00:00"/>
    <n v="2959.32"/>
    <n v="133079"/>
    <s v="TTM"/>
    <x v="0"/>
  </r>
  <r>
    <s v="Biolage"/>
    <x v="5"/>
    <s v="Social"/>
    <s v="Meta"/>
    <s v="Amazon"/>
    <d v="2025-05-03T00:00:00"/>
    <d v="2025-01-01T00:00:00"/>
    <n v="2386.4699969999997"/>
    <n v="102518"/>
    <s v="TTM"/>
    <x v="0"/>
  </r>
  <r>
    <s v="Biolage"/>
    <x v="5"/>
    <s v="Social"/>
    <s v="Meta"/>
    <s v="Other"/>
    <d v="2024-01-20T00:00:00"/>
    <d v="2024-01-01T00:00:00"/>
    <n v="9067.4199919999992"/>
    <n v="2851475"/>
    <s v="LY"/>
    <x v="0"/>
  </r>
  <r>
    <s v="Biolage"/>
    <x v="5"/>
    <s v="Social"/>
    <s v="Meta"/>
    <s v="Other"/>
    <d v="2024-01-27T00:00:00"/>
    <d v="2024-01-01T00:00:00"/>
    <n v="10316.090037999998"/>
    <n v="2557828"/>
    <s v="LY"/>
    <x v="0"/>
  </r>
  <r>
    <s v="Biolage"/>
    <x v="5"/>
    <s v="Social"/>
    <s v="Meta"/>
    <s v="Other"/>
    <d v="2024-02-03T00:00:00"/>
    <d v="2024-01-01T00:00:00"/>
    <n v="10254.200008999998"/>
    <n v="2072395"/>
    <s v="LY"/>
    <x v="0"/>
  </r>
  <r>
    <s v="Biolage"/>
    <x v="5"/>
    <s v="Social"/>
    <s v="Meta"/>
    <s v="Other"/>
    <d v="2024-02-10T00:00:00"/>
    <d v="2024-01-01T00:00:00"/>
    <n v="9035.6199949999991"/>
    <n v="1661402"/>
    <s v="LY"/>
    <x v="0"/>
  </r>
  <r>
    <s v="Biolage"/>
    <x v="5"/>
    <s v="Social"/>
    <s v="Meta"/>
    <s v="Other"/>
    <d v="2024-02-17T00:00:00"/>
    <d v="2024-01-01T00:00:00"/>
    <n v="8334.6900050000004"/>
    <n v="1313339"/>
    <s v="LY"/>
    <x v="0"/>
  </r>
  <r>
    <s v="Biolage"/>
    <x v="5"/>
    <s v="Social"/>
    <s v="Meta"/>
    <s v="Other"/>
    <d v="2024-02-24T00:00:00"/>
    <d v="2024-01-01T00:00:00"/>
    <n v="7664.35"/>
    <n v="1175438"/>
    <s v="LY"/>
    <x v="0"/>
  </r>
  <r>
    <s v="Biolage"/>
    <x v="5"/>
    <s v="Social"/>
    <s v="Meta"/>
    <s v="Other"/>
    <d v="2024-03-02T00:00:00"/>
    <d v="2024-01-01T00:00:00"/>
    <n v="8849.7300099999993"/>
    <n v="1235096"/>
    <s v="LY"/>
    <x v="0"/>
  </r>
  <r>
    <s v="Biolage"/>
    <x v="5"/>
    <s v="Social"/>
    <s v="Meta"/>
    <s v="Other"/>
    <d v="2024-03-09T00:00:00"/>
    <d v="2024-01-01T00:00:00"/>
    <n v="6477.3100000000013"/>
    <n v="767686"/>
    <s v="LY"/>
    <x v="0"/>
  </r>
  <r>
    <s v="Biolage"/>
    <x v="5"/>
    <s v="Social"/>
    <s v="Meta"/>
    <s v="Ulta"/>
    <d v="2024-01-20T00:00:00"/>
    <d v="2024-01-01T00:00:00"/>
    <n v="23099.299995000001"/>
    <n v="4668596"/>
    <s v="LY"/>
    <x v="0"/>
  </r>
  <r>
    <s v="Biolage"/>
    <x v="5"/>
    <s v="Social"/>
    <s v="Meta"/>
    <s v="Ulta"/>
    <d v="2024-01-27T00:00:00"/>
    <d v="2024-01-01T00:00:00"/>
    <n v="27238.429998000003"/>
    <n v="5142787"/>
    <s v="LY"/>
    <x v="0"/>
  </r>
  <r>
    <s v="Biolage"/>
    <x v="5"/>
    <s v="Social"/>
    <s v="Meta"/>
    <s v="Ulta"/>
    <d v="2024-02-03T00:00:00"/>
    <d v="2024-01-01T00:00:00"/>
    <n v="26509.399992000002"/>
    <n v="4721324"/>
    <s v="LY"/>
    <x v="0"/>
  </r>
  <r>
    <s v="Biolage"/>
    <x v="5"/>
    <s v="Social"/>
    <s v="Meta"/>
    <s v="Ulta"/>
    <d v="2024-02-10T00:00:00"/>
    <d v="2024-01-01T00:00:00"/>
    <n v="27634.220013999999"/>
    <n v="4780363"/>
    <s v="LY"/>
    <x v="0"/>
  </r>
  <r>
    <s v="Biolage"/>
    <x v="5"/>
    <s v="Social"/>
    <s v="Meta"/>
    <s v="Ulta"/>
    <d v="2024-02-17T00:00:00"/>
    <d v="2024-01-01T00:00:00"/>
    <n v="28699.520009000003"/>
    <n v="5080306"/>
    <s v="LY"/>
    <x v="0"/>
  </r>
  <r>
    <s v="Biolage"/>
    <x v="5"/>
    <s v="Social"/>
    <s v="Meta"/>
    <s v="Ulta"/>
    <d v="2024-02-24T00:00:00"/>
    <d v="2024-01-01T00:00:00"/>
    <n v="25574.460001000003"/>
    <n v="4302069"/>
    <s v="LY"/>
    <x v="0"/>
  </r>
  <r>
    <s v="Biolage"/>
    <x v="5"/>
    <s v="Social"/>
    <s v="Meta"/>
    <s v="Ulta"/>
    <d v="2024-03-02T00:00:00"/>
    <d v="2024-01-01T00:00:00"/>
    <n v="29417.540019"/>
    <n v="4911172"/>
    <s v="LY"/>
    <x v="0"/>
  </r>
  <r>
    <s v="Biolage"/>
    <x v="5"/>
    <s v="Social"/>
    <s v="Meta"/>
    <s v="Ulta"/>
    <d v="2024-03-09T00:00:00"/>
    <d v="2024-01-01T00:00:00"/>
    <n v="20819.060001999998"/>
    <n v="3340778"/>
    <s v="LY"/>
    <x v="0"/>
  </r>
  <r>
    <s v="Biolage"/>
    <x v="5"/>
    <s v="Social"/>
    <s v="Meta"/>
    <s v="Ulta"/>
    <d v="2024-09-28T00:00:00"/>
    <d v="2024-01-01T00:00:00"/>
    <n v="35631.240027"/>
    <n v="4928271"/>
    <s v="TTM"/>
    <x v="0"/>
  </r>
  <r>
    <s v="Biolage"/>
    <x v="5"/>
    <s v="Social"/>
    <s v="Meta"/>
    <s v="Ulta"/>
    <d v="2024-10-05T00:00:00"/>
    <d v="2024-01-01T00:00:00"/>
    <n v="44596.750003000008"/>
    <n v="6891066"/>
    <s v="TTM"/>
    <x v="0"/>
  </r>
  <r>
    <s v="Biolage"/>
    <x v="5"/>
    <s v="Social"/>
    <s v="Meta"/>
    <s v="Ulta"/>
    <d v="2024-10-12T00:00:00"/>
    <d v="2024-01-01T00:00:00"/>
    <n v="43427.780012000003"/>
    <n v="6861510"/>
    <s v="TTM"/>
    <x v="0"/>
  </r>
  <r>
    <s v="Biolage"/>
    <x v="5"/>
    <s v="Social"/>
    <s v="Meta"/>
    <s v="Ulta"/>
    <d v="2024-10-19T00:00:00"/>
    <d v="2024-01-01T00:00:00"/>
    <n v="43565.130045000005"/>
    <n v="7096076"/>
    <s v="TTM"/>
    <x v="0"/>
  </r>
  <r>
    <s v="Biolage"/>
    <x v="5"/>
    <s v="Social"/>
    <s v="Meta"/>
    <s v="Ulta"/>
    <d v="2024-10-26T00:00:00"/>
    <d v="2024-01-01T00:00:00"/>
    <n v="42324.580056999992"/>
    <n v="7044341"/>
    <s v="TTM"/>
    <x v="0"/>
  </r>
  <r>
    <s v="Biolage"/>
    <x v="5"/>
    <s v="Social"/>
    <s v="Meta"/>
    <s v="Ulta"/>
    <d v="2024-11-02T00:00:00"/>
    <d v="2024-01-01T00:00:00"/>
    <n v="30454.520004000002"/>
    <n v="4992226"/>
    <s v="TTM"/>
    <x v="0"/>
  </r>
  <r>
    <s v="Biolage"/>
    <x v="5"/>
    <s v="Social"/>
    <s v="Meta"/>
    <s v="Ulta"/>
    <d v="2025-04-05T00:00:00"/>
    <d v="2025-01-01T00:00:00"/>
    <n v="26332.670003000007"/>
    <n v="3413285"/>
    <s v="TTM"/>
    <x v="0"/>
  </r>
  <r>
    <s v="Biolage"/>
    <x v="5"/>
    <s v="Social"/>
    <s v="Meta"/>
    <s v="Ulta"/>
    <d v="2025-04-12T00:00:00"/>
    <d v="2025-01-01T00:00:00"/>
    <n v="40211.920011999995"/>
    <n v="4730431"/>
    <s v="TTM"/>
    <x v="0"/>
  </r>
  <r>
    <s v="Biolage"/>
    <x v="5"/>
    <s v="Social"/>
    <s v="Meta"/>
    <s v="Ulta"/>
    <d v="2025-04-19T00:00:00"/>
    <d v="2025-01-01T00:00:00"/>
    <n v="42568.719991999991"/>
    <n v="4636260"/>
    <s v="TTM"/>
    <x v="0"/>
  </r>
  <r>
    <s v="Biolage"/>
    <x v="5"/>
    <s v="Social"/>
    <s v="Meta"/>
    <s v="Ulta"/>
    <d v="2025-04-26T00:00:00"/>
    <d v="2025-01-01T00:00:00"/>
    <n v="41346.440005000004"/>
    <n v="4796712"/>
    <s v="TTM"/>
    <x v="0"/>
  </r>
  <r>
    <s v="Biolage"/>
    <x v="5"/>
    <s v="Social"/>
    <s v="Meta"/>
    <s v="Ulta"/>
    <d v="2025-05-03T00:00:00"/>
    <d v="2025-01-01T00:00:00"/>
    <n v="33299.620000000003"/>
    <n v="3939938"/>
    <s v="TTM"/>
    <x v="0"/>
  </r>
  <r>
    <s v="Biolage"/>
    <x v="5"/>
    <s v="Social"/>
    <s v="TikTok"/>
    <s v="Amazon"/>
    <d v="2025-04-05T00:00:00"/>
    <d v="2025-01-01T00:00:00"/>
    <n v="16008.249999999996"/>
    <n v="3832689"/>
    <s v="TTM"/>
    <x v="2"/>
  </r>
  <r>
    <s v="Biolage"/>
    <x v="5"/>
    <s v="Social"/>
    <s v="TikTok"/>
    <s v="Amazon"/>
    <d v="2025-04-12T00:00:00"/>
    <d v="2025-01-01T00:00:00"/>
    <n v="13261.870000000003"/>
    <n v="3129366"/>
    <s v="TTM"/>
    <x v="2"/>
  </r>
  <r>
    <s v="Biolage"/>
    <x v="5"/>
    <s v="Social"/>
    <s v="TikTok"/>
    <s v="Amazon"/>
    <d v="2025-04-19T00:00:00"/>
    <d v="2025-01-01T00:00:00"/>
    <n v="5356.93"/>
    <n v="1402504"/>
    <s v="TTM"/>
    <x v="2"/>
  </r>
  <r>
    <s v="Biolage"/>
    <x v="5"/>
    <s v="Social"/>
    <s v="TikTok"/>
    <s v="Amazon"/>
    <d v="2025-04-26T00:00:00"/>
    <d v="2025-01-01T00:00:00"/>
    <n v="662.24999999999989"/>
    <n v="179329"/>
    <s v="TTM"/>
    <x v="2"/>
  </r>
  <r>
    <s v="Biolage"/>
    <x v="5"/>
    <s v="Social"/>
    <s v="TikTok"/>
    <s v="Amazon"/>
    <d v="2025-07-05T00:00:00"/>
    <d v="2025-01-01T00:00:00"/>
    <n v="3284.99"/>
    <n v="239521"/>
    <s v="TTM"/>
    <x v="2"/>
  </r>
  <r>
    <s v="Biolage"/>
    <x v="5"/>
    <s v="Social"/>
    <s v="TikTok"/>
    <s v="Ulta"/>
    <d v="2025-04-05T00:00:00"/>
    <d v="2025-01-01T00:00:00"/>
    <n v="26816.47"/>
    <n v="6081499"/>
    <s v="TTM"/>
    <x v="2"/>
  </r>
  <r>
    <s v="Biolage"/>
    <x v="5"/>
    <s v="Social"/>
    <s v="TikTok"/>
    <s v="Ulta"/>
    <d v="2025-04-12T00:00:00"/>
    <d v="2025-01-01T00:00:00"/>
    <n v="51198.000000000007"/>
    <n v="11661361"/>
    <s v="TTM"/>
    <x v="2"/>
  </r>
  <r>
    <s v="Biolage"/>
    <x v="5"/>
    <s v="Social"/>
    <s v="TikTok"/>
    <s v="Ulta"/>
    <d v="2025-04-19T00:00:00"/>
    <d v="2025-01-01T00:00:00"/>
    <n v="59325.53"/>
    <n v="13602599"/>
    <s v="TTM"/>
    <x v="2"/>
  </r>
  <r>
    <s v="Biolage"/>
    <x v="5"/>
    <s v="Social"/>
    <s v="TikTok"/>
    <s v="Ulta"/>
    <d v="2025-04-26T00:00:00"/>
    <d v="2025-01-01T00:00:00"/>
    <n v="27364.320000000003"/>
    <n v="6632512"/>
    <s v="TTM"/>
    <x v="2"/>
  </r>
  <r>
    <s v="Biolage"/>
    <x v="6"/>
    <s v="Social"/>
    <s v="Meta"/>
    <s v="Amazon"/>
    <d v="2024-07-06T00:00:00"/>
    <d v="2024-01-01T00:00:00"/>
    <n v="24424.720026999996"/>
    <n v="3392096"/>
    <s v="LY"/>
    <x v="0"/>
  </r>
  <r>
    <s v="Biolage"/>
    <x v="6"/>
    <s v="Social"/>
    <s v="Meta"/>
    <s v="Amazon"/>
    <d v="2024-07-13T00:00:00"/>
    <d v="2024-01-01T00:00:00"/>
    <n v="81965.99004400002"/>
    <n v="11050292"/>
    <s v="TTM"/>
    <x v="0"/>
  </r>
  <r>
    <s v="Biolage"/>
    <x v="6"/>
    <s v="Social"/>
    <s v="Meta"/>
    <s v="Amazon"/>
    <d v="2024-07-20T00:00:00"/>
    <d v="2024-01-01T00:00:00"/>
    <n v="63609.289988000004"/>
    <n v="9444788"/>
    <s v="TTM"/>
    <x v="0"/>
  </r>
  <r>
    <s v="Biolage"/>
    <x v="6"/>
    <s v="Social"/>
    <s v="Meta"/>
    <s v="Amazon"/>
    <d v="2024-10-12T00:00:00"/>
    <d v="2024-01-01T00:00:00"/>
    <n v="27674.170019000005"/>
    <n v="5351815"/>
    <s v="TTM"/>
    <x v="0"/>
  </r>
  <r>
    <s v="Biolage"/>
    <x v="6"/>
    <s v="Social"/>
    <s v="Meta"/>
    <s v="Other"/>
    <d v="2024-07-13T00:00:00"/>
    <d v="2024-01-01T00:00:00"/>
    <n v="30159.660002000001"/>
    <n v="3064494"/>
    <s v="TTM"/>
    <x v="0"/>
  </r>
  <r>
    <s v="Biolage"/>
    <x v="6"/>
    <s v="Social"/>
    <s v="Meta"/>
    <s v="Other"/>
    <d v="2024-07-20T00:00:00"/>
    <d v="2024-01-01T00:00:00"/>
    <n v="19835.46"/>
    <n v="2067453"/>
    <s v="TTM"/>
    <x v="0"/>
  </r>
  <r>
    <s v="Biolage"/>
    <x v="7"/>
    <s v="Social"/>
    <s v="Meta"/>
    <s v="Amazon"/>
    <d v="2024-03-09T00:00:00"/>
    <d v="2024-01-01T00:00:00"/>
    <n v="18326.030010000002"/>
    <n v="4259605"/>
    <s v="LY"/>
    <x v="0"/>
  </r>
  <r>
    <s v="Biolage"/>
    <x v="7"/>
    <s v="Social"/>
    <s v="Meta"/>
    <s v="Amazon"/>
    <d v="2024-03-16T00:00:00"/>
    <d v="2024-01-01T00:00:00"/>
    <n v="32462.050018000002"/>
    <n v="6448941"/>
    <s v="LY"/>
    <x v="0"/>
  </r>
  <r>
    <s v="Biolage"/>
    <x v="7"/>
    <s v="Social"/>
    <s v="Meta"/>
    <s v="Amazon"/>
    <d v="2024-03-23T00:00:00"/>
    <d v="2024-01-01T00:00:00"/>
    <n v="34007.000002000001"/>
    <n v="6926578"/>
    <s v="LY"/>
    <x v="0"/>
  </r>
  <r>
    <s v="Biolage"/>
    <x v="7"/>
    <s v="Social"/>
    <s v="Meta"/>
    <s v="Amazon"/>
    <d v="2024-03-30T00:00:00"/>
    <d v="2024-01-01T00:00:00"/>
    <n v="24730.940003999996"/>
    <n v="5079868"/>
    <s v="LY"/>
    <x v="0"/>
  </r>
  <r>
    <s v="Biolage"/>
    <x v="7"/>
    <s v="Social"/>
    <s v="Meta"/>
    <s v="Amazon"/>
    <d v="2024-04-06T00:00:00"/>
    <d v="2024-01-01T00:00:00"/>
    <n v="18361.370004"/>
    <n v="4254545"/>
    <s v="LY"/>
    <x v="0"/>
  </r>
  <r>
    <s v="Biolage"/>
    <x v="7"/>
    <s v="Social"/>
    <s v="Meta"/>
    <s v="Amazon"/>
    <d v="2024-04-13T00:00:00"/>
    <d v="2024-01-01T00:00:00"/>
    <n v="18797.490014999996"/>
    <n v="4201768"/>
    <s v="LY"/>
    <x v="0"/>
  </r>
  <r>
    <s v="Biolage"/>
    <x v="7"/>
    <s v="Social"/>
    <s v="Meta"/>
    <s v="Amazon"/>
    <d v="2024-04-20T00:00:00"/>
    <d v="2024-01-01T00:00:00"/>
    <n v="17913.090012000004"/>
    <n v="3972312"/>
    <s v="LY"/>
    <x v="0"/>
  </r>
  <r>
    <s v="Biolage"/>
    <x v="7"/>
    <s v="Social"/>
    <s v="Meta"/>
    <s v="Amazon"/>
    <d v="2024-04-27T00:00:00"/>
    <d v="2024-01-01T00:00:00"/>
    <n v="2570.5500000000002"/>
    <n v="550616"/>
    <s v="LY"/>
    <x v="0"/>
  </r>
  <r>
    <s v="Biolage"/>
    <x v="7"/>
    <s v="Social"/>
    <s v="Meta"/>
    <s v="Ulta"/>
    <d v="2024-03-30T00:00:00"/>
    <d v="2024-01-01T00:00:00"/>
    <n v="8934.980008999999"/>
    <n v="1489547"/>
    <s v="LY"/>
    <x v="0"/>
  </r>
  <r>
    <s v="Biolage"/>
    <x v="7"/>
    <s v="Social"/>
    <s v="Meta"/>
    <s v="Ulta"/>
    <d v="2024-04-06T00:00:00"/>
    <d v="2024-01-01T00:00:00"/>
    <n v="15195.689995000001"/>
    <n v="3074357"/>
    <s v="LY"/>
    <x v="0"/>
  </r>
  <r>
    <s v="Biolage"/>
    <x v="7"/>
    <s v="Social"/>
    <s v="Meta"/>
    <s v="Ulta"/>
    <d v="2024-04-13T00:00:00"/>
    <d v="2024-01-01T00:00:00"/>
    <n v="15381.100011"/>
    <n v="2963532"/>
    <s v="LY"/>
    <x v="0"/>
  </r>
  <r>
    <s v="Biolage"/>
    <x v="7"/>
    <s v="Social"/>
    <s v="Meta"/>
    <s v="Ulta"/>
    <d v="2024-04-20T00:00:00"/>
    <d v="2024-01-01T00:00:00"/>
    <n v="15511.380012"/>
    <n v="2925705"/>
    <s v="LY"/>
    <x v="0"/>
  </r>
  <r>
    <s v="Biolage"/>
    <x v="7"/>
    <s v="Social"/>
    <s v="Meta"/>
    <s v="Ulta"/>
    <d v="2024-04-27T00:00:00"/>
    <d v="2024-01-01T00:00:00"/>
    <n v="2306.7300070000001"/>
    <n v="437071"/>
    <s v="LY"/>
    <x v="0"/>
  </r>
  <r>
    <s v="Biolage"/>
    <x v="7"/>
    <s v="Social"/>
    <s v="Pinterest"/>
    <s v="Other"/>
    <d v="2024-04-20T00:00:00"/>
    <d v="2024-01-01T00:00:00"/>
    <n v="19509.264289999999"/>
    <n v="8656464"/>
    <s v="LY"/>
    <x v="1"/>
  </r>
  <r>
    <s v="Biolage"/>
    <x v="7"/>
    <s v="Social"/>
    <s v="Pinterest"/>
    <s v="Other"/>
    <d v="2024-04-27T00:00:00"/>
    <d v="2024-01-01T00:00:00"/>
    <n v="23529.212711000004"/>
    <n v="11006321"/>
    <s v="LY"/>
    <x v="1"/>
  </r>
  <r>
    <s v="Biolage"/>
    <x v="7"/>
    <s v="Social"/>
    <s v="Pinterest"/>
    <s v="Other"/>
    <d v="2024-05-04T00:00:00"/>
    <d v="2024-01-01T00:00:00"/>
    <n v="23511.768031000003"/>
    <n v="11031123"/>
    <s v="LY"/>
    <x v="1"/>
  </r>
  <r>
    <s v="Biolage"/>
    <x v="7"/>
    <s v="Social"/>
    <s v="Pinterest"/>
    <s v="Other"/>
    <d v="2024-05-11T00:00:00"/>
    <d v="2024-01-01T00:00:00"/>
    <n v="23547.020368999998"/>
    <n v="10549998"/>
    <s v="LY"/>
    <x v="1"/>
  </r>
  <r>
    <s v="Biolage"/>
    <x v="7"/>
    <s v="Social"/>
    <s v="Pinterest"/>
    <s v="Other"/>
    <d v="2024-05-18T00:00:00"/>
    <d v="2024-01-01T00:00:00"/>
    <n v="23664.568042999999"/>
    <n v="10183373"/>
    <s v="LY"/>
    <x v="1"/>
  </r>
  <r>
    <s v="Biolage"/>
    <x v="7"/>
    <s v="Social"/>
    <s v="Pinterest"/>
    <s v="Other"/>
    <d v="2024-05-25T00:00:00"/>
    <d v="2024-01-01T00:00:00"/>
    <n v="23503.562337000003"/>
    <n v="9584341"/>
    <s v="LY"/>
    <x v="1"/>
  </r>
  <r>
    <s v="Biolage"/>
    <x v="7"/>
    <s v="Social"/>
    <s v="Pinterest"/>
    <s v="Other"/>
    <d v="2024-06-01T00:00:00"/>
    <d v="2024-01-01T00:00:00"/>
    <n v="19884.604219000001"/>
    <n v="7777600"/>
    <s v="LY"/>
    <x v="1"/>
  </r>
  <r>
    <s v="Biolage"/>
    <x v="7"/>
    <s v="Social"/>
    <s v="Pinterest"/>
    <s v="Ulta"/>
    <d v="2024-04-27T00:00:00"/>
    <d v="2024-01-01T00:00:00"/>
    <n v="10352.390868999999"/>
    <n v="2418419"/>
    <s v="LY"/>
    <x v="1"/>
  </r>
  <r>
    <s v="Biolage"/>
    <x v="7"/>
    <s v="Social"/>
    <s v="Pinterest"/>
    <s v="Ulta"/>
    <d v="2024-05-04T00:00:00"/>
    <d v="2024-01-01T00:00:00"/>
    <n v="12210.272929000001"/>
    <n v="3325508"/>
    <s v="LY"/>
    <x v="1"/>
  </r>
  <r>
    <s v="Biolage"/>
    <x v="7"/>
    <s v="Social"/>
    <s v="Pinterest"/>
    <s v="Ulta"/>
    <d v="2024-05-11T00:00:00"/>
    <d v="2024-01-01T00:00:00"/>
    <n v="11893.582205999999"/>
    <n v="3403755"/>
    <s v="LY"/>
    <x v="1"/>
  </r>
  <r>
    <s v="Biolage"/>
    <x v="7"/>
    <s v="Social"/>
    <s v="Pinterest"/>
    <s v="Ulta"/>
    <d v="2024-05-18T00:00:00"/>
    <d v="2024-01-01T00:00:00"/>
    <n v="11716.052162"/>
    <n v="3073467"/>
    <s v="LY"/>
    <x v="1"/>
  </r>
  <r>
    <s v="Biolage"/>
    <x v="7"/>
    <s v="Social"/>
    <s v="Pinterest"/>
    <s v="Ulta"/>
    <d v="2024-05-25T00:00:00"/>
    <d v="2024-01-01T00:00:00"/>
    <n v="11536.083415999999"/>
    <n v="2860742"/>
    <s v="LY"/>
    <x v="1"/>
  </r>
  <r>
    <s v="Biolage"/>
    <x v="7"/>
    <s v="Social"/>
    <s v="Pinterest"/>
    <s v="Ulta"/>
    <d v="2024-06-01T00:00:00"/>
    <d v="2024-01-01T00:00:00"/>
    <n v="9641.2184180000004"/>
    <n v="2486671"/>
    <s v="LY"/>
    <x v="1"/>
  </r>
  <r>
    <s v="Biolage"/>
    <x v="5"/>
    <s v="Display"/>
    <s v="Amazon"/>
    <s v="Amazon"/>
    <d v="2023-07-01T00:00:00"/>
    <d v="2023-01-01T00:00:00"/>
    <n v="954.95109999999988"/>
    <n v="106664"/>
    <s v="PY"/>
    <x v="3"/>
  </r>
  <r>
    <s v="Biolage"/>
    <x v="5"/>
    <s v="Display"/>
    <s v="Amazon"/>
    <s v="Amazon"/>
    <d v="2023-07-08T00:00:00"/>
    <d v="2023-01-01T00:00:00"/>
    <n v="12454.641899999995"/>
    <n v="1332292"/>
    <s v="PY"/>
    <x v="3"/>
  </r>
  <r>
    <s v="Biolage"/>
    <x v="5"/>
    <s v="Display"/>
    <s v="Amazon"/>
    <s v="Amazon"/>
    <d v="2023-07-15T00:00:00"/>
    <d v="2023-01-01T00:00:00"/>
    <n v="12869.128399999998"/>
    <n v="1473913"/>
    <s v="LY"/>
    <x v="3"/>
  </r>
  <r>
    <s v="Biolage"/>
    <x v="5"/>
    <s v="Display"/>
    <s v="Amazon"/>
    <s v="Amazon"/>
    <d v="2023-07-22T00:00:00"/>
    <d v="2023-01-01T00:00:00"/>
    <n v="12328.686600000005"/>
    <n v="1586895"/>
    <s v="LY"/>
    <x v="3"/>
  </r>
  <r>
    <s v="Biolage"/>
    <x v="5"/>
    <s v="Display"/>
    <s v="Amazon"/>
    <s v="Amazon"/>
    <d v="2023-07-29T00:00:00"/>
    <d v="2023-01-01T00:00:00"/>
    <n v="10575.788399999998"/>
    <n v="1456872"/>
    <s v="LY"/>
    <x v="3"/>
  </r>
  <r>
    <s v="Biolage"/>
    <x v="5"/>
    <s v="Display"/>
    <s v="Amazon"/>
    <s v="Amazon"/>
    <d v="2023-08-05T00:00:00"/>
    <d v="2023-01-01T00:00:00"/>
    <n v="6201.795500000002"/>
    <n v="939725"/>
    <s v="LY"/>
    <x v="3"/>
  </r>
  <r>
    <s v="Biolage"/>
    <x v="5"/>
    <s v="Display"/>
    <s v="Amazon"/>
    <s v="Amazon"/>
    <d v="2023-08-12T00:00:00"/>
    <d v="2023-01-01T00:00:00"/>
    <n v="4792.2232999999978"/>
    <n v="899465"/>
    <s v="LY"/>
    <x v="3"/>
  </r>
  <r>
    <s v="Biolage"/>
    <x v="5"/>
    <s v="Display"/>
    <s v="Amazon"/>
    <s v="Amazon"/>
    <d v="2023-08-19T00:00:00"/>
    <d v="2023-01-01T00:00:00"/>
    <n v="4842.7989000000025"/>
    <n v="710921"/>
    <s v="LY"/>
    <x v="3"/>
  </r>
  <r>
    <s v="Biolage"/>
    <x v="5"/>
    <s v="Display"/>
    <s v="Amazon"/>
    <s v="Amazon"/>
    <d v="2023-08-26T00:00:00"/>
    <d v="2023-01-01T00:00:00"/>
    <n v="6698.2117999999982"/>
    <n v="876186"/>
    <s v="LY"/>
    <x v="3"/>
  </r>
  <r>
    <s v="Biolage"/>
    <x v="5"/>
    <s v="Display"/>
    <s v="Amazon"/>
    <s v="Amazon"/>
    <d v="2023-09-02T00:00:00"/>
    <d v="2023-01-01T00:00:00"/>
    <n v="8248.0911999999953"/>
    <n v="922680"/>
    <s v="LY"/>
    <x v="3"/>
  </r>
  <r>
    <s v="Biolage"/>
    <x v="5"/>
    <s v="Display"/>
    <s v="Amazon"/>
    <s v="Amazon"/>
    <d v="2023-09-09T00:00:00"/>
    <d v="2023-01-01T00:00:00"/>
    <n v="5185.8033999999998"/>
    <n v="695693"/>
    <s v="LY"/>
    <x v="3"/>
  </r>
  <r>
    <s v="Biolage"/>
    <x v="5"/>
    <s v="Display"/>
    <s v="Amazon"/>
    <s v="Amazon"/>
    <d v="2023-09-16T00:00:00"/>
    <d v="2023-01-01T00:00:00"/>
    <n v="5286.1116999999986"/>
    <n v="790554"/>
    <s v="LY"/>
    <x v="3"/>
  </r>
  <r>
    <s v="Biolage"/>
    <x v="5"/>
    <s v="Display"/>
    <s v="Amazon"/>
    <s v="Amazon"/>
    <d v="2023-09-23T00:00:00"/>
    <d v="2023-01-01T00:00:00"/>
    <n v="5305.3565999999973"/>
    <n v="743579"/>
    <s v="LY"/>
    <x v="3"/>
  </r>
  <r>
    <s v="Biolage"/>
    <x v="5"/>
    <s v="Display"/>
    <s v="Amazon"/>
    <s v="Amazon"/>
    <d v="2023-09-30T00:00:00"/>
    <d v="2023-01-01T00:00:00"/>
    <n v="5364.8403000000008"/>
    <n v="906634"/>
    <s v="LY"/>
    <x v="3"/>
  </r>
  <r>
    <s v="Biolage"/>
    <x v="5"/>
    <s v="Display"/>
    <s v="Amazon"/>
    <s v="Amazon"/>
    <d v="2023-10-07T00:00:00"/>
    <d v="2023-01-01T00:00:00"/>
    <n v="6597.4694999999965"/>
    <n v="1134857"/>
    <s v="LY"/>
    <x v="3"/>
  </r>
  <r>
    <s v="Biolage"/>
    <x v="5"/>
    <s v="Display"/>
    <s v="Amazon"/>
    <s v="Amazon"/>
    <d v="2023-10-14T00:00:00"/>
    <d v="2023-01-01T00:00:00"/>
    <n v="7568.5074000000022"/>
    <n v="1350757"/>
    <s v="LY"/>
    <x v="3"/>
  </r>
  <r>
    <s v="Biolage"/>
    <x v="5"/>
    <s v="Display"/>
    <s v="Amazon"/>
    <s v="Amazon"/>
    <d v="2023-10-21T00:00:00"/>
    <d v="2023-01-01T00:00:00"/>
    <n v="7458.609999999996"/>
    <n v="1401109"/>
    <s v="LY"/>
    <x v="3"/>
  </r>
  <r>
    <s v="Biolage"/>
    <x v="5"/>
    <s v="Display"/>
    <s v="Amazon"/>
    <s v="Amazon"/>
    <d v="2023-10-28T00:00:00"/>
    <d v="2023-01-01T00:00:00"/>
    <n v="6298.6135999999979"/>
    <n v="1311908"/>
    <s v="LY"/>
    <x v="3"/>
  </r>
  <r>
    <s v="Biolage"/>
    <x v="5"/>
    <s v="Display"/>
    <s v="Amazon"/>
    <s v="Amazon"/>
    <d v="2023-11-04T00:00:00"/>
    <d v="2023-01-01T00:00:00"/>
    <n v="6734.0708999999997"/>
    <n v="1656267"/>
    <s v="LY"/>
    <x v="3"/>
  </r>
  <r>
    <s v="Biolage"/>
    <x v="5"/>
    <s v="Display"/>
    <s v="Amazon"/>
    <s v="Amazon"/>
    <d v="2023-11-11T00:00:00"/>
    <d v="2023-01-01T00:00:00"/>
    <n v="7048.5091999999986"/>
    <n v="2293317"/>
    <s v="LY"/>
    <x v="3"/>
  </r>
  <r>
    <s v="Biolage"/>
    <x v="5"/>
    <s v="Display"/>
    <s v="Amazon"/>
    <s v="Amazon"/>
    <d v="2023-11-18T00:00:00"/>
    <d v="2023-01-01T00:00:00"/>
    <n v="6876.1881000000039"/>
    <n v="2340511"/>
    <s v="LY"/>
    <x v="3"/>
  </r>
  <r>
    <s v="Biolage"/>
    <x v="5"/>
    <s v="Display"/>
    <s v="Amazon"/>
    <s v="Amazon"/>
    <d v="2023-11-25T00:00:00"/>
    <d v="2023-01-01T00:00:00"/>
    <n v="6291.6486000000004"/>
    <n v="2075051"/>
    <s v="LY"/>
    <x v="3"/>
  </r>
  <r>
    <s v="Biolage"/>
    <x v="5"/>
    <s v="Display"/>
    <s v="Amazon"/>
    <s v="Amazon"/>
    <d v="2023-12-02T00:00:00"/>
    <d v="2023-01-01T00:00:00"/>
    <n v="2846.0829000000003"/>
    <n v="1031458"/>
    <s v="LY"/>
    <x v="3"/>
  </r>
  <r>
    <s v="Biolage"/>
    <x v="5"/>
    <s v="Display"/>
    <s v="Amazon"/>
    <s v="Amazon"/>
    <d v="2023-12-09T00:00:00"/>
    <d v="2023-01-01T00:00:00"/>
    <n v="4441.3024999999989"/>
    <n v="1460966"/>
    <s v="LY"/>
    <x v="3"/>
  </r>
  <r>
    <s v="Biolage"/>
    <x v="5"/>
    <s v="Display"/>
    <s v="Amazon"/>
    <s v="Amazon"/>
    <d v="2023-12-16T00:00:00"/>
    <d v="2023-01-01T00:00:00"/>
    <n v="4157.9792999999991"/>
    <n v="1579803"/>
    <s v="LY"/>
    <x v="3"/>
  </r>
  <r>
    <s v="Biolage"/>
    <x v="5"/>
    <s v="Display"/>
    <s v="Amazon"/>
    <s v="Amazon"/>
    <d v="2023-12-23T00:00:00"/>
    <d v="2023-01-01T00:00:00"/>
    <n v="4139.6553000000004"/>
    <n v="1589626"/>
    <s v="LY"/>
    <x v="3"/>
  </r>
  <r>
    <s v="Biolage"/>
    <x v="5"/>
    <s v="Display"/>
    <s v="Amazon"/>
    <s v="Amazon"/>
    <d v="2023-12-30T00:00:00"/>
    <d v="2023-01-01T00:00:00"/>
    <n v="3012.6868999999992"/>
    <n v="1103486"/>
    <s v="LY"/>
    <x v="3"/>
  </r>
  <r>
    <s v="Biolage"/>
    <x v="5"/>
    <s v="Display"/>
    <s v="Amazon"/>
    <s v="Amazon"/>
    <d v="2024-01-06T00:00:00"/>
    <d v="2023-01-01T00:00:00"/>
    <n v="1.2483"/>
    <n v="453"/>
    <s v="LY"/>
    <x v="3"/>
  </r>
  <r>
    <s v="Biolage"/>
    <x v="5"/>
    <s v="Display"/>
    <s v="Amazon"/>
    <s v="Amazon"/>
    <d v="2024-01-06T00:00:00"/>
    <d v="2024-01-01T00:00:00"/>
    <n v="4664.4183999999996"/>
    <n v="1516074"/>
    <s v="LY"/>
    <x v="3"/>
  </r>
  <r>
    <s v="Biolage"/>
    <x v="5"/>
    <s v="Display"/>
    <s v="Amazon"/>
    <s v="Amazon"/>
    <d v="2024-01-13T00:00:00"/>
    <d v="2024-01-01T00:00:00"/>
    <n v="6916.0529999999981"/>
    <n v="2349049"/>
    <s v="LY"/>
    <x v="3"/>
  </r>
  <r>
    <s v="Biolage"/>
    <x v="5"/>
    <s v="Display"/>
    <s v="Amazon"/>
    <s v="Amazon"/>
    <d v="2024-01-20T00:00:00"/>
    <d v="2024-01-01T00:00:00"/>
    <n v="7133.2257999999983"/>
    <n v="2387928"/>
    <s v="LY"/>
    <x v="3"/>
  </r>
  <r>
    <s v="Biolage"/>
    <x v="5"/>
    <s v="Display"/>
    <s v="Amazon"/>
    <s v="Amazon"/>
    <d v="2024-01-27T00:00:00"/>
    <d v="2024-01-01T00:00:00"/>
    <n v="6906.9658999999992"/>
    <n v="2305664"/>
    <s v="LY"/>
    <x v="3"/>
  </r>
  <r>
    <s v="Biolage"/>
    <x v="5"/>
    <s v="Display"/>
    <s v="Amazon"/>
    <s v="Amazon"/>
    <d v="2024-02-03T00:00:00"/>
    <d v="2024-01-01T00:00:00"/>
    <n v="4066.8458000000005"/>
    <n v="1184485"/>
    <s v="LY"/>
    <x v="3"/>
  </r>
  <r>
    <s v="Biolage"/>
    <x v="5"/>
    <s v="Display"/>
    <s v="Amazon"/>
    <s v="Amazon"/>
    <d v="2024-02-10T00:00:00"/>
    <d v="2024-01-01T00:00:00"/>
    <n v="6623.9480999999987"/>
    <n v="1709588"/>
    <s v="LY"/>
    <x v="3"/>
  </r>
  <r>
    <s v="Biolage"/>
    <x v="5"/>
    <s v="Display"/>
    <s v="Amazon"/>
    <s v="Amazon"/>
    <d v="2024-02-17T00:00:00"/>
    <d v="2024-01-01T00:00:00"/>
    <n v="6893.5488999999989"/>
    <n v="1694270"/>
    <s v="LY"/>
    <x v="3"/>
  </r>
  <r>
    <s v="Biolage"/>
    <x v="5"/>
    <s v="Display"/>
    <s v="Amazon"/>
    <s v="Amazon"/>
    <d v="2024-02-24T00:00:00"/>
    <d v="2024-01-01T00:00:00"/>
    <n v="7106.8857000000025"/>
    <n v="2101088"/>
    <s v="LY"/>
    <x v="3"/>
  </r>
  <r>
    <s v="Biolage"/>
    <x v="5"/>
    <s v="Display"/>
    <s v="Amazon"/>
    <s v="Amazon"/>
    <d v="2024-03-02T00:00:00"/>
    <d v="2024-01-01T00:00:00"/>
    <n v="4431.4867000000013"/>
    <n v="1342493"/>
    <s v="LY"/>
    <x v="3"/>
  </r>
  <r>
    <s v="Biolage"/>
    <x v="5"/>
    <s v="Display"/>
    <s v="Amazon"/>
    <s v="Amazon"/>
    <d v="2024-03-09T00:00:00"/>
    <d v="2024-01-01T00:00:00"/>
    <n v="5626.3892999999998"/>
    <n v="1987455"/>
    <s v="LY"/>
    <x v="3"/>
  </r>
  <r>
    <s v="Biolage"/>
    <x v="5"/>
    <s v="Display"/>
    <s v="Amazon"/>
    <s v="Amazon"/>
    <d v="2024-03-16T00:00:00"/>
    <d v="2024-01-01T00:00:00"/>
    <n v="5686.5447999999978"/>
    <n v="1361596"/>
    <s v="LY"/>
    <x v="3"/>
  </r>
  <r>
    <s v="Biolage"/>
    <x v="5"/>
    <s v="Display"/>
    <s v="Amazon"/>
    <s v="Amazon"/>
    <d v="2024-03-23T00:00:00"/>
    <d v="2024-01-01T00:00:00"/>
    <n v="5828.9737000000023"/>
    <n v="1331175"/>
    <s v="LY"/>
    <x v="3"/>
  </r>
  <r>
    <s v="Biolage"/>
    <x v="5"/>
    <s v="Display"/>
    <s v="Amazon"/>
    <s v="Amazon"/>
    <d v="2024-03-30T00:00:00"/>
    <d v="2024-01-01T00:00:00"/>
    <n v="4997.8640999999989"/>
    <n v="1218144"/>
    <s v="LY"/>
    <x v="3"/>
  </r>
  <r>
    <s v="Biolage"/>
    <x v="5"/>
    <s v="Display"/>
    <s v="Amazon"/>
    <s v="Amazon"/>
    <d v="2024-04-06T00:00:00"/>
    <d v="2024-01-01T00:00:00"/>
    <n v="11785.019199999993"/>
    <n v="2592311"/>
    <s v="LY"/>
    <x v="3"/>
  </r>
  <r>
    <s v="Biolage"/>
    <x v="5"/>
    <s v="Display"/>
    <s v="Amazon"/>
    <s v="Amazon"/>
    <d v="2024-04-13T00:00:00"/>
    <d v="2024-01-01T00:00:00"/>
    <n v="5351.6664999999994"/>
    <n v="1294175"/>
    <s v="LY"/>
    <x v="3"/>
  </r>
  <r>
    <s v="Biolage"/>
    <x v="5"/>
    <s v="Display"/>
    <s v="Amazon"/>
    <s v="Amazon"/>
    <d v="2024-04-20T00:00:00"/>
    <d v="2024-01-01T00:00:00"/>
    <n v="6220.5291999999981"/>
    <n v="1183868"/>
    <s v="LY"/>
    <x v="3"/>
  </r>
  <r>
    <s v="Biolage"/>
    <x v="5"/>
    <s v="Display"/>
    <s v="Amazon"/>
    <s v="Amazon"/>
    <d v="2024-04-27T00:00:00"/>
    <d v="2024-01-01T00:00:00"/>
    <n v="6285.893500000001"/>
    <n v="1091420"/>
    <s v="LY"/>
    <x v="3"/>
  </r>
  <r>
    <s v="Biolage"/>
    <x v="5"/>
    <s v="Display"/>
    <s v="Amazon"/>
    <s v="Amazon"/>
    <d v="2024-05-04T00:00:00"/>
    <d v="2024-01-01T00:00:00"/>
    <n v="6275.0828999999976"/>
    <n v="1528211"/>
    <s v="LY"/>
    <x v="3"/>
  </r>
  <r>
    <s v="Biolage"/>
    <x v="5"/>
    <s v="Display"/>
    <s v="Amazon"/>
    <s v="Amazon"/>
    <d v="2024-05-11T00:00:00"/>
    <d v="2024-01-01T00:00:00"/>
    <n v="6432.1991000000007"/>
    <n v="1474459"/>
    <s v="LY"/>
    <x v="3"/>
  </r>
  <r>
    <s v="Biolage"/>
    <x v="5"/>
    <s v="Display"/>
    <s v="Amazon"/>
    <s v="Amazon"/>
    <d v="2024-05-18T00:00:00"/>
    <d v="2024-01-01T00:00:00"/>
    <n v="6633.9854000000005"/>
    <n v="1081497"/>
    <s v="LY"/>
    <x v="3"/>
  </r>
  <r>
    <s v="Biolage"/>
    <x v="5"/>
    <s v="Display"/>
    <s v="Amazon"/>
    <s v="Amazon"/>
    <d v="2024-05-25T00:00:00"/>
    <d v="2024-01-01T00:00:00"/>
    <n v="8318.6617000000006"/>
    <n v="1622629"/>
    <s v="LY"/>
    <x v="3"/>
  </r>
  <r>
    <s v="Biolage"/>
    <x v="5"/>
    <s v="Display"/>
    <s v="Amazon"/>
    <s v="Amazon"/>
    <d v="2024-06-01T00:00:00"/>
    <d v="2024-01-01T00:00:00"/>
    <n v="8283.4269999999979"/>
    <n v="1788108"/>
    <s v="LY"/>
    <x v="3"/>
  </r>
  <r>
    <s v="Biolage"/>
    <x v="5"/>
    <s v="Display"/>
    <s v="Amazon"/>
    <s v="Amazon"/>
    <d v="2024-06-08T00:00:00"/>
    <d v="2024-01-01T00:00:00"/>
    <n v="7026.718499999999"/>
    <n v="1446564"/>
    <s v="LY"/>
    <x v="3"/>
  </r>
  <r>
    <s v="Biolage"/>
    <x v="5"/>
    <s v="Display"/>
    <s v="Amazon"/>
    <s v="Amazon"/>
    <d v="2024-06-15T00:00:00"/>
    <d v="2024-01-01T00:00:00"/>
    <n v="7275.8719999999976"/>
    <n v="1653869"/>
    <s v="LY"/>
    <x v="3"/>
  </r>
  <r>
    <s v="Biolage"/>
    <x v="5"/>
    <s v="Display"/>
    <s v="Amazon"/>
    <s v="Amazon"/>
    <d v="2024-06-22T00:00:00"/>
    <d v="2024-01-01T00:00:00"/>
    <n v="7773.7899000000043"/>
    <n v="1838849"/>
    <s v="LY"/>
    <x v="3"/>
  </r>
  <r>
    <s v="Biolage"/>
    <x v="5"/>
    <s v="Display"/>
    <s v="Amazon"/>
    <s v="Amazon"/>
    <d v="2024-06-29T00:00:00"/>
    <d v="2024-01-01T00:00:00"/>
    <n v="6970.948699999999"/>
    <n v="1389758"/>
    <s v="LY"/>
    <x v="3"/>
  </r>
  <r>
    <s v="Biolage"/>
    <x v="5"/>
    <s v="Display"/>
    <s v="Amazon"/>
    <s v="Amazon"/>
    <d v="2024-07-06T00:00:00"/>
    <d v="2024-01-01T00:00:00"/>
    <n v="5848.8713000000043"/>
    <n v="1840713"/>
    <s v="LY"/>
    <x v="3"/>
  </r>
  <r>
    <s v="Biolage"/>
    <x v="5"/>
    <s v="Display"/>
    <s v="Amazon"/>
    <s v="Amazon"/>
    <d v="2024-07-13T00:00:00"/>
    <d v="2024-01-01T00:00:00"/>
    <n v="5896.5947000000024"/>
    <n v="2043111"/>
    <s v="TTM"/>
    <x v="3"/>
  </r>
  <r>
    <s v="Biolage"/>
    <x v="5"/>
    <s v="Display"/>
    <s v="Amazon"/>
    <s v="Amazon"/>
    <d v="2024-07-20T00:00:00"/>
    <d v="2024-01-01T00:00:00"/>
    <n v="4188.5794999999998"/>
    <n v="952207"/>
    <s v="TTM"/>
    <x v="3"/>
  </r>
  <r>
    <s v="Biolage"/>
    <x v="5"/>
    <s v="Display"/>
    <s v="Amazon"/>
    <s v="Amazon"/>
    <d v="2024-07-27T00:00:00"/>
    <d v="2024-01-01T00:00:00"/>
    <n v="6465.9066000000003"/>
    <n v="1884488"/>
    <s v="TTM"/>
    <x v="3"/>
  </r>
  <r>
    <s v="Biolage"/>
    <x v="5"/>
    <s v="Display"/>
    <s v="Amazon"/>
    <s v="Amazon"/>
    <d v="2024-08-03T00:00:00"/>
    <d v="2024-01-01T00:00:00"/>
    <n v="6421.3289999999988"/>
    <n v="1922848"/>
    <s v="TTM"/>
    <x v="3"/>
  </r>
  <r>
    <s v="Biolage"/>
    <x v="5"/>
    <s v="Display"/>
    <s v="Amazon"/>
    <s v="Amazon"/>
    <d v="2024-08-10T00:00:00"/>
    <d v="2024-01-01T00:00:00"/>
    <n v="5857.0210000000034"/>
    <n v="2118480"/>
    <s v="TTM"/>
    <x v="3"/>
  </r>
  <r>
    <s v="Biolage"/>
    <x v="5"/>
    <s v="Display"/>
    <s v="Amazon"/>
    <s v="Amazon"/>
    <d v="2024-08-17T00:00:00"/>
    <d v="2024-01-01T00:00:00"/>
    <n v="5958.0917000000027"/>
    <n v="2064950"/>
    <s v="TTM"/>
    <x v="3"/>
  </r>
  <r>
    <s v="Biolage"/>
    <x v="5"/>
    <s v="Display"/>
    <s v="Amazon"/>
    <s v="Amazon"/>
    <d v="2024-08-24T00:00:00"/>
    <d v="2024-01-01T00:00:00"/>
    <n v="5926.1203000000041"/>
    <n v="1902233"/>
    <s v="TTM"/>
    <x v="3"/>
  </r>
  <r>
    <s v="Biolage"/>
    <x v="5"/>
    <s v="Display"/>
    <s v="Amazon"/>
    <s v="Amazon"/>
    <d v="2024-08-31T00:00:00"/>
    <d v="2024-01-01T00:00:00"/>
    <n v="7754.319199999999"/>
    <n v="3039290"/>
    <s v="TTM"/>
    <x v="3"/>
  </r>
  <r>
    <s v="Biolage"/>
    <x v="5"/>
    <s v="Display"/>
    <s v="Amazon"/>
    <s v="Amazon"/>
    <d v="2024-09-07T00:00:00"/>
    <d v="2024-01-01T00:00:00"/>
    <n v="9978.2111000000059"/>
    <n v="3751255"/>
    <s v="TTM"/>
    <x v="3"/>
  </r>
  <r>
    <s v="Biolage"/>
    <x v="5"/>
    <s v="Display"/>
    <s v="Amazon"/>
    <s v="Amazon"/>
    <d v="2024-09-14T00:00:00"/>
    <d v="2024-01-01T00:00:00"/>
    <n v="10095.0715"/>
    <n v="3470910"/>
    <s v="TTM"/>
    <x v="3"/>
  </r>
  <r>
    <s v="Biolage"/>
    <x v="5"/>
    <s v="Display"/>
    <s v="Amazon"/>
    <s v="Amazon"/>
    <d v="2024-09-21T00:00:00"/>
    <d v="2024-01-01T00:00:00"/>
    <n v="10171.994399999996"/>
    <n v="2254914"/>
    <s v="TTM"/>
    <x v="3"/>
  </r>
  <r>
    <s v="Biolage"/>
    <x v="5"/>
    <s v="Display"/>
    <s v="Amazon"/>
    <s v="Amazon"/>
    <d v="2024-09-28T00:00:00"/>
    <d v="2024-01-01T00:00:00"/>
    <n v="10015.456900000003"/>
    <n v="2032516"/>
    <s v="TTM"/>
    <x v="3"/>
  </r>
  <r>
    <s v="Biolage"/>
    <x v="5"/>
    <s v="Display"/>
    <s v="Amazon"/>
    <s v="Amazon"/>
    <d v="2024-10-05T00:00:00"/>
    <d v="2024-01-01T00:00:00"/>
    <n v="8199.3154000000013"/>
    <n v="2015951"/>
    <s v="TTM"/>
    <x v="3"/>
  </r>
  <r>
    <s v="Biolage"/>
    <x v="5"/>
    <s v="Display"/>
    <s v="Amazon"/>
    <s v="Amazon"/>
    <d v="2024-10-12T00:00:00"/>
    <d v="2024-01-01T00:00:00"/>
    <n v="9057.0264999999981"/>
    <n v="2153557"/>
    <s v="TTM"/>
    <x v="3"/>
  </r>
  <r>
    <s v="Biolage"/>
    <x v="5"/>
    <s v="Display"/>
    <s v="Amazon"/>
    <s v="Amazon"/>
    <d v="2024-10-19T00:00:00"/>
    <d v="2024-01-01T00:00:00"/>
    <n v="8231.2347000000009"/>
    <n v="1737622"/>
    <s v="TTM"/>
    <x v="3"/>
  </r>
  <r>
    <s v="Biolage"/>
    <x v="5"/>
    <s v="Display"/>
    <s v="Amazon"/>
    <s v="Amazon"/>
    <d v="2024-10-26T00:00:00"/>
    <d v="2024-01-01T00:00:00"/>
    <n v="7962.2841000000071"/>
    <n v="1879669"/>
    <s v="TTM"/>
    <x v="3"/>
  </r>
  <r>
    <s v="Biolage"/>
    <x v="5"/>
    <s v="Display"/>
    <s v="Amazon"/>
    <s v="Amazon"/>
    <d v="2024-11-02T00:00:00"/>
    <d v="2024-01-01T00:00:00"/>
    <n v="6818.9366"/>
    <n v="1485423"/>
    <s v="TTM"/>
    <x v="3"/>
  </r>
  <r>
    <s v="Biolage"/>
    <x v="5"/>
    <s v="Display"/>
    <s v="Amazon"/>
    <s v="Amazon"/>
    <d v="2024-11-09T00:00:00"/>
    <d v="2024-01-01T00:00:00"/>
    <n v="6522.0628999999981"/>
    <n v="1638863"/>
    <s v="TTM"/>
    <x v="3"/>
  </r>
  <r>
    <s v="Biolage"/>
    <x v="5"/>
    <s v="Display"/>
    <s v="Amazon"/>
    <s v="Amazon"/>
    <d v="2024-11-16T00:00:00"/>
    <d v="2024-01-01T00:00:00"/>
    <n v="6045.3622000000023"/>
    <n v="1411295"/>
    <s v="TTM"/>
    <x v="3"/>
  </r>
  <r>
    <s v="Biolage"/>
    <x v="5"/>
    <s v="Display"/>
    <s v="Amazon"/>
    <s v="Amazon"/>
    <d v="2024-11-23T00:00:00"/>
    <d v="2024-01-01T00:00:00"/>
    <n v="7585.2958999999937"/>
    <n v="1540133"/>
    <s v="TTM"/>
    <x v="3"/>
  </r>
  <r>
    <s v="Biolage"/>
    <x v="5"/>
    <s v="Display"/>
    <s v="Amazon"/>
    <s v="Amazon"/>
    <d v="2024-11-30T00:00:00"/>
    <d v="2024-01-01T00:00:00"/>
    <n v="12154.927599999995"/>
    <n v="2673637"/>
    <s v="TTM"/>
    <x v="3"/>
  </r>
  <r>
    <s v="Biolage"/>
    <x v="5"/>
    <s v="Display"/>
    <s v="Amazon"/>
    <s v="Amazon"/>
    <d v="2024-12-07T00:00:00"/>
    <d v="2024-01-01T00:00:00"/>
    <n v="10905.672199999999"/>
    <n v="2787767"/>
    <s v="TTM"/>
    <x v="3"/>
  </r>
  <r>
    <s v="Biolage"/>
    <x v="5"/>
    <s v="Display"/>
    <s v="Amazon"/>
    <s v="Amazon"/>
    <d v="2024-12-14T00:00:00"/>
    <d v="2024-01-01T00:00:00"/>
    <n v="11052.882100000001"/>
    <n v="3102826"/>
    <s v="TTM"/>
    <x v="3"/>
  </r>
  <r>
    <s v="Biolage"/>
    <x v="5"/>
    <s v="Display"/>
    <s v="Amazon"/>
    <s v="Amazon"/>
    <d v="2024-12-21T00:00:00"/>
    <d v="2024-01-01T00:00:00"/>
    <n v="11404.7842"/>
    <n v="3553366"/>
    <s v="TTM"/>
    <x v="3"/>
  </r>
  <r>
    <s v="Biolage"/>
    <x v="5"/>
    <s v="Display"/>
    <s v="Amazon"/>
    <s v="Amazon"/>
    <d v="2024-12-28T00:00:00"/>
    <d v="2024-01-01T00:00:00"/>
    <n v="8626.6418000000012"/>
    <n v="3180484"/>
    <s v="TTM"/>
    <x v="3"/>
  </r>
  <r>
    <s v="Biolage"/>
    <x v="5"/>
    <s v="Display"/>
    <s v="Amazon"/>
    <s v="Amazon"/>
    <d v="2025-01-04T00:00:00"/>
    <d v="2024-01-01T00:00:00"/>
    <n v="2611.1514999999999"/>
    <n v="869209"/>
    <s v="TTM"/>
    <x v="3"/>
  </r>
  <r>
    <s v="Biolage"/>
    <x v="5"/>
    <s v="Display"/>
    <s v="Amazon"/>
    <s v="Amazon"/>
    <d v="2025-01-04T00:00:00"/>
    <d v="2025-01-01T00:00:00"/>
    <n v="4572.5037000000002"/>
    <n v="1977260"/>
    <s v="TTM"/>
    <x v="3"/>
  </r>
  <r>
    <s v="Biolage"/>
    <x v="5"/>
    <s v="Display"/>
    <s v="Amazon"/>
    <s v="Amazon"/>
    <d v="2025-01-11T00:00:00"/>
    <d v="2025-01-01T00:00:00"/>
    <n v="8203.5282999999999"/>
    <n v="3777267"/>
    <s v="TTM"/>
    <x v="3"/>
  </r>
  <r>
    <s v="Biolage"/>
    <x v="5"/>
    <s v="Display"/>
    <s v="Amazon"/>
    <s v="Amazon"/>
    <d v="2025-01-18T00:00:00"/>
    <d v="2025-01-01T00:00:00"/>
    <n v="8326.5822999999946"/>
    <n v="3785766"/>
    <s v="TTM"/>
    <x v="3"/>
  </r>
  <r>
    <s v="Biolage"/>
    <x v="5"/>
    <s v="Display"/>
    <s v="Amazon"/>
    <s v="Amazon"/>
    <d v="2025-01-25T00:00:00"/>
    <d v="2025-01-01T00:00:00"/>
    <n v="7984.5153999999993"/>
    <n v="3488121"/>
    <s v="TTM"/>
    <x v="3"/>
  </r>
  <r>
    <s v="Biolage"/>
    <x v="5"/>
    <s v="Display"/>
    <s v="Amazon"/>
    <s v="Amazon"/>
    <d v="2025-02-01T00:00:00"/>
    <d v="2025-01-01T00:00:00"/>
    <n v="8173.970199999997"/>
    <n v="3087657"/>
    <s v="TTM"/>
    <x v="3"/>
  </r>
  <r>
    <s v="Biolage"/>
    <x v="5"/>
    <s v="Display"/>
    <s v="Amazon"/>
    <s v="Amazon"/>
    <d v="2025-02-08T00:00:00"/>
    <d v="2025-01-01T00:00:00"/>
    <n v="9944.7208999999984"/>
    <n v="4020213"/>
    <s v="TTM"/>
    <x v="3"/>
  </r>
  <r>
    <s v="Biolage"/>
    <x v="5"/>
    <s v="Display"/>
    <s v="Amazon"/>
    <s v="Amazon"/>
    <d v="2025-02-15T00:00:00"/>
    <d v="2025-01-01T00:00:00"/>
    <n v="10005.922899999998"/>
    <n v="3709228"/>
    <s v="TTM"/>
    <x v="3"/>
  </r>
  <r>
    <s v="Biolage"/>
    <x v="5"/>
    <s v="Display"/>
    <s v="Amazon"/>
    <s v="Amazon"/>
    <d v="2025-02-22T00:00:00"/>
    <d v="2025-01-01T00:00:00"/>
    <n v="9931.4879999999976"/>
    <n v="3303879"/>
    <s v="TTM"/>
    <x v="3"/>
  </r>
  <r>
    <s v="Biolage"/>
    <x v="5"/>
    <s v="Display"/>
    <s v="Amazon"/>
    <s v="Amazon"/>
    <d v="2025-03-01T00:00:00"/>
    <d v="2025-01-01T00:00:00"/>
    <n v="8369.6576000000023"/>
    <n v="2246282"/>
    <s v="TTM"/>
    <x v="3"/>
  </r>
  <r>
    <s v="Biolage"/>
    <x v="5"/>
    <s v="Display"/>
    <s v="Amazon"/>
    <s v="Amazon"/>
    <d v="2025-03-08T00:00:00"/>
    <d v="2025-01-01T00:00:00"/>
    <n v="8323.6876000000029"/>
    <n v="3114484"/>
    <s v="TTM"/>
    <x v="3"/>
  </r>
  <r>
    <s v="Biolage"/>
    <x v="5"/>
    <s v="Display"/>
    <s v="Amazon"/>
    <s v="Amazon"/>
    <d v="2025-03-15T00:00:00"/>
    <d v="2025-01-01T00:00:00"/>
    <n v="10098.442699999994"/>
    <n v="2942522"/>
    <s v="TTM"/>
    <x v="3"/>
  </r>
  <r>
    <s v="Biolage"/>
    <x v="5"/>
    <s v="Display"/>
    <s v="Amazon"/>
    <s v="Amazon"/>
    <d v="2025-03-22T00:00:00"/>
    <d v="2025-01-01T00:00:00"/>
    <n v="11773.835599999999"/>
    <n v="2307420"/>
    <s v="TTM"/>
    <x v="3"/>
  </r>
  <r>
    <s v="Biolage"/>
    <x v="5"/>
    <s v="Display"/>
    <s v="Amazon"/>
    <s v="Amazon"/>
    <d v="2025-03-29T00:00:00"/>
    <d v="2025-01-01T00:00:00"/>
    <n v="11550.473700000006"/>
    <n v="2067510"/>
    <s v="TTM"/>
    <x v="3"/>
  </r>
  <r>
    <s v="Biolage"/>
    <x v="5"/>
    <s v="Display"/>
    <s v="Amazon"/>
    <s v="Amazon"/>
    <d v="2025-04-05T00:00:00"/>
    <d v="2025-01-01T00:00:00"/>
    <n v="8426.232299999996"/>
    <n v="1891431"/>
    <s v="TTM"/>
    <x v="3"/>
  </r>
  <r>
    <s v="Biolage"/>
    <x v="5"/>
    <s v="Display"/>
    <s v="Amazon"/>
    <s v="Amazon"/>
    <d v="2025-04-12T00:00:00"/>
    <d v="2025-01-01T00:00:00"/>
    <n v="8804.8670000000002"/>
    <n v="1698382"/>
    <s v="TTM"/>
    <x v="3"/>
  </r>
  <r>
    <s v="Biolage"/>
    <x v="5"/>
    <s v="Display"/>
    <s v="Amazon"/>
    <s v="Amazon"/>
    <d v="2025-04-19T00:00:00"/>
    <d v="2025-01-01T00:00:00"/>
    <n v="8489.9249"/>
    <n v="1704680"/>
    <s v="TTM"/>
    <x v="3"/>
  </r>
  <r>
    <s v="Biolage"/>
    <x v="5"/>
    <s v="Display"/>
    <s v="Amazon"/>
    <s v="Amazon"/>
    <d v="2025-04-26T00:00:00"/>
    <d v="2025-01-01T00:00:00"/>
    <n v="8787.3733999999949"/>
    <n v="1801179"/>
    <s v="TTM"/>
    <x v="3"/>
  </r>
  <r>
    <s v="Biolage"/>
    <x v="5"/>
    <s v="Display"/>
    <s v="Amazon"/>
    <s v="Amazon"/>
    <d v="2025-05-03T00:00:00"/>
    <d v="2025-01-01T00:00:00"/>
    <n v="7860.3681000000006"/>
    <n v="1353918"/>
    <s v="TTM"/>
    <x v="3"/>
  </r>
  <r>
    <s v="Biolage"/>
    <x v="5"/>
    <s v="Display"/>
    <s v="Amazon"/>
    <s v="Amazon"/>
    <d v="2025-05-10T00:00:00"/>
    <d v="2025-01-01T00:00:00"/>
    <n v="8512.7600999999977"/>
    <n v="1332419"/>
    <s v="TTM"/>
    <x v="3"/>
  </r>
  <r>
    <s v="Biolage"/>
    <x v="5"/>
    <s v="Display"/>
    <s v="Amazon"/>
    <s v="Amazon"/>
    <d v="2025-05-17T00:00:00"/>
    <d v="2025-01-01T00:00:00"/>
    <n v="8517.9958000000006"/>
    <n v="1368903"/>
    <s v="TTM"/>
    <x v="3"/>
  </r>
  <r>
    <s v="Biolage"/>
    <x v="5"/>
    <s v="Display"/>
    <s v="Amazon"/>
    <s v="Amazon"/>
    <d v="2025-05-24T00:00:00"/>
    <d v="2025-01-01T00:00:00"/>
    <n v="8670.7272999999986"/>
    <n v="1722083"/>
    <s v="TTM"/>
    <x v="3"/>
  </r>
  <r>
    <s v="Biolage"/>
    <x v="5"/>
    <s v="Display"/>
    <s v="Amazon"/>
    <s v="Amazon"/>
    <d v="2025-05-31T00:00:00"/>
    <d v="2025-01-01T00:00:00"/>
    <n v="7711.7775000000047"/>
    <n v="2280198"/>
    <s v="TTM"/>
    <x v="3"/>
  </r>
  <r>
    <s v="Biolage"/>
    <x v="5"/>
    <s v="Display"/>
    <s v="Amazon"/>
    <s v="Amazon"/>
    <d v="2025-06-07T00:00:00"/>
    <d v="2025-01-01T00:00:00"/>
    <n v="11190.289600000002"/>
    <n v="5696476"/>
    <s v="TTM"/>
    <x v="3"/>
  </r>
  <r>
    <s v="Biolage"/>
    <x v="5"/>
    <s v="Display"/>
    <s v="Amazon"/>
    <s v="Amazon"/>
    <d v="2025-06-14T00:00:00"/>
    <d v="2025-01-01T00:00:00"/>
    <n v="12410.726399999998"/>
    <n v="6239219"/>
    <s v="TTM"/>
    <x v="3"/>
  </r>
  <r>
    <s v="Biolage"/>
    <x v="5"/>
    <s v="Display"/>
    <s v="Amazon"/>
    <s v="Amazon"/>
    <d v="2025-06-21T00:00:00"/>
    <d v="2025-01-01T00:00:00"/>
    <n v="12479.397799999999"/>
    <n v="5142942"/>
    <s v="TTM"/>
    <x v="3"/>
  </r>
  <r>
    <s v="Biolage"/>
    <x v="5"/>
    <s v="Display"/>
    <s v="Amazon"/>
    <s v="Amazon"/>
    <d v="2025-06-28T00:00:00"/>
    <d v="2025-01-01T00:00:00"/>
    <n v="10634.857799999998"/>
    <n v="3783582"/>
    <s v="TTM"/>
    <x v="3"/>
  </r>
  <r>
    <s v="Biolage"/>
    <x v="5"/>
    <s v="Search"/>
    <s v="Amazon"/>
    <s v="Amazon"/>
    <d v="2023-07-01T00:00:00"/>
    <d v="2023-01-01T00:00:00"/>
    <n v="2859.39"/>
    <n v="356095"/>
    <s v="PY"/>
    <x v="4"/>
  </r>
  <r>
    <s v="Biolage"/>
    <x v="5"/>
    <s v="Search"/>
    <s v="Amazon"/>
    <s v="Amazon"/>
    <d v="2023-07-08T00:00:00"/>
    <d v="2023-01-01T00:00:00"/>
    <n v="14398.470000000007"/>
    <n v="1947985"/>
    <s v="PY"/>
    <x v="4"/>
  </r>
  <r>
    <s v="Biolage"/>
    <x v="5"/>
    <s v="Search"/>
    <s v="Amazon"/>
    <s v="Amazon"/>
    <d v="2023-07-15T00:00:00"/>
    <d v="2023-01-01T00:00:00"/>
    <n v="96289.889999999941"/>
    <n v="7276438"/>
    <s v="LY"/>
    <x v="4"/>
  </r>
  <r>
    <s v="Biolage"/>
    <x v="5"/>
    <s v="Search"/>
    <s v="Amazon"/>
    <s v="Amazon"/>
    <d v="2023-07-22T00:00:00"/>
    <d v="2023-01-01T00:00:00"/>
    <n v="6721.489999999998"/>
    <n v="1445197"/>
    <s v="LY"/>
    <x v="4"/>
  </r>
  <r>
    <s v="Biolage"/>
    <x v="5"/>
    <s v="Search"/>
    <s v="Amazon"/>
    <s v="Amazon"/>
    <d v="2023-07-29T00:00:00"/>
    <d v="2023-01-01T00:00:00"/>
    <n v="3305.3899999999994"/>
    <n v="639800"/>
    <s v="LY"/>
    <x v="4"/>
  </r>
  <r>
    <s v="Biolage"/>
    <x v="5"/>
    <s v="Search"/>
    <s v="Amazon"/>
    <s v="Amazon"/>
    <d v="2023-08-05T00:00:00"/>
    <d v="2023-01-01T00:00:00"/>
    <n v="4137.8999999999987"/>
    <n v="788517"/>
    <s v="LY"/>
    <x v="4"/>
  </r>
  <r>
    <s v="Biolage"/>
    <x v="5"/>
    <s v="Search"/>
    <s v="Amazon"/>
    <s v="Amazon"/>
    <d v="2023-08-12T00:00:00"/>
    <d v="2023-01-01T00:00:00"/>
    <n v="7268.3500000000013"/>
    <n v="1892701"/>
    <s v="LY"/>
    <x v="4"/>
  </r>
  <r>
    <s v="Biolage"/>
    <x v="5"/>
    <s v="Search"/>
    <s v="Amazon"/>
    <s v="Amazon"/>
    <d v="2023-08-19T00:00:00"/>
    <d v="2023-01-01T00:00:00"/>
    <n v="6312.8200000000015"/>
    <n v="1161472"/>
    <s v="LY"/>
    <x v="4"/>
  </r>
  <r>
    <s v="Biolage"/>
    <x v="5"/>
    <s v="Search"/>
    <s v="Amazon"/>
    <s v="Amazon"/>
    <d v="2023-08-26T00:00:00"/>
    <d v="2023-01-01T00:00:00"/>
    <n v="6502.4300000000012"/>
    <n v="1232927"/>
    <s v="LY"/>
    <x v="4"/>
  </r>
  <r>
    <s v="Biolage"/>
    <x v="5"/>
    <s v="Search"/>
    <s v="Amazon"/>
    <s v="Amazon"/>
    <d v="2023-09-02T00:00:00"/>
    <d v="2023-01-01T00:00:00"/>
    <n v="10417.050000000008"/>
    <n v="1752509"/>
    <s v="LY"/>
    <x v="4"/>
  </r>
  <r>
    <s v="Biolage"/>
    <x v="5"/>
    <s v="Search"/>
    <s v="Amazon"/>
    <s v="Amazon"/>
    <d v="2023-09-09T00:00:00"/>
    <d v="2023-01-01T00:00:00"/>
    <n v="7264.7199999999993"/>
    <n v="1263444"/>
    <s v="LY"/>
    <x v="4"/>
  </r>
  <r>
    <s v="Biolage"/>
    <x v="5"/>
    <s v="Search"/>
    <s v="Amazon"/>
    <s v="Amazon"/>
    <d v="2023-09-16T00:00:00"/>
    <d v="2023-01-01T00:00:00"/>
    <n v="6410.6700000000019"/>
    <n v="979023"/>
    <s v="LY"/>
    <x v="4"/>
  </r>
  <r>
    <s v="Biolage"/>
    <x v="5"/>
    <s v="Search"/>
    <s v="Amazon"/>
    <s v="Amazon"/>
    <d v="2023-09-23T00:00:00"/>
    <d v="2023-01-01T00:00:00"/>
    <n v="8174.7600000000048"/>
    <n v="1351163"/>
    <s v="LY"/>
    <x v="4"/>
  </r>
  <r>
    <s v="Biolage"/>
    <x v="5"/>
    <s v="Search"/>
    <s v="Amazon"/>
    <s v="Amazon"/>
    <d v="2023-09-30T00:00:00"/>
    <d v="2023-01-01T00:00:00"/>
    <n v="11149.360000000002"/>
    <n v="2173293"/>
    <s v="LY"/>
    <x v="4"/>
  </r>
  <r>
    <s v="Biolage"/>
    <x v="5"/>
    <s v="Search"/>
    <s v="Amazon"/>
    <s v="Amazon"/>
    <d v="2023-10-07T00:00:00"/>
    <d v="2023-01-01T00:00:00"/>
    <n v="11636.359999999993"/>
    <n v="2013862"/>
    <s v="LY"/>
    <x v="4"/>
  </r>
  <r>
    <s v="Biolage"/>
    <x v="5"/>
    <s v="Search"/>
    <s v="Amazon"/>
    <s v="Amazon"/>
    <d v="2023-10-14T00:00:00"/>
    <d v="2023-01-01T00:00:00"/>
    <n v="10466.210000000003"/>
    <n v="2058765"/>
    <s v="LY"/>
    <x v="4"/>
  </r>
  <r>
    <s v="Biolage"/>
    <x v="5"/>
    <s v="Search"/>
    <s v="Amazon"/>
    <s v="Amazon"/>
    <d v="2023-10-21T00:00:00"/>
    <d v="2023-01-01T00:00:00"/>
    <n v="13807.340000000004"/>
    <n v="1507356"/>
    <s v="LY"/>
    <x v="4"/>
  </r>
  <r>
    <s v="Biolage"/>
    <x v="5"/>
    <s v="Search"/>
    <s v="Amazon"/>
    <s v="Amazon"/>
    <d v="2023-10-28T00:00:00"/>
    <d v="2023-01-01T00:00:00"/>
    <n v="17725.559999999998"/>
    <n v="1426235"/>
    <s v="LY"/>
    <x v="4"/>
  </r>
  <r>
    <s v="Biolage"/>
    <x v="5"/>
    <s v="Search"/>
    <s v="Amazon"/>
    <s v="Amazon"/>
    <d v="2023-11-04T00:00:00"/>
    <d v="2023-01-01T00:00:00"/>
    <n v="13304.749999999998"/>
    <n v="1950897"/>
    <s v="LY"/>
    <x v="4"/>
  </r>
  <r>
    <s v="Biolage"/>
    <x v="5"/>
    <s v="Search"/>
    <s v="Amazon"/>
    <s v="Amazon"/>
    <d v="2023-11-11T00:00:00"/>
    <d v="2023-01-01T00:00:00"/>
    <n v="15654.190000000004"/>
    <n v="1805980"/>
    <s v="LY"/>
    <x v="4"/>
  </r>
  <r>
    <s v="Biolage"/>
    <x v="5"/>
    <s v="Search"/>
    <s v="Amazon"/>
    <s v="Amazon"/>
    <d v="2023-11-18T00:00:00"/>
    <d v="2023-01-01T00:00:00"/>
    <n v="13053.41"/>
    <n v="1536531"/>
    <s v="LY"/>
    <x v="4"/>
  </r>
  <r>
    <s v="Biolage"/>
    <x v="5"/>
    <s v="Search"/>
    <s v="Amazon"/>
    <s v="Amazon"/>
    <d v="2023-11-25T00:00:00"/>
    <d v="2023-01-01T00:00:00"/>
    <n v="16776.990000000002"/>
    <n v="2916655"/>
    <s v="LY"/>
    <x v="4"/>
  </r>
  <r>
    <s v="Biolage"/>
    <x v="5"/>
    <s v="Search"/>
    <s v="Amazon"/>
    <s v="Amazon"/>
    <d v="2023-12-02T00:00:00"/>
    <d v="2023-01-01T00:00:00"/>
    <n v="24608.710000000003"/>
    <n v="2479037"/>
    <s v="LY"/>
    <x v="4"/>
  </r>
  <r>
    <s v="Biolage"/>
    <x v="5"/>
    <s v="Search"/>
    <s v="Amazon"/>
    <s v="Amazon"/>
    <d v="2023-12-09T00:00:00"/>
    <d v="2023-01-01T00:00:00"/>
    <n v="10388.56"/>
    <n v="1257236"/>
    <s v="LY"/>
    <x v="4"/>
  </r>
  <r>
    <s v="Biolage"/>
    <x v="5"/>
    <s v="Search"/>
    <s v="Amazon"/>
    <s v="Amazon"/>
    <d v="2023-12-16T00:00:00"/>
    <d v="2023-01-01T00:00:00"/>
    <n v="6111.7599999999993"/>
    <n v="700465"/>
    <s v="LY"/>
    <x v="4"/>
  </r>
  <r>
    <s v="Biolage"/>
    <x v="5"/>
    <s v="Search"/>
    <s v="Amazon"/>
    <s v="Amazon"/>
    <d v="2023-12-23T00:00:00"/>
    <d v="2023-01-01T00:00:00"/>
    <n v="4540.3599999999969"/>
    <n v="476527"/>
    <s v="LY"/>
    <x v="4"/>
  </r>
  <r>
    <s v="Biolage"/>
    <x v="5"/>
    <s v="Search"/>
    <s v="Amazon"/>
    <s v="Amazon"/>
    <d v="2023-12-30T00:00:00"/>
    <d v="2023-01-01T00:00:00"/>
    <n v="5305.0199999999968"/>
    <n v="595204"/>
    <s v="LY"/>
    <x v="4"/>
  </r>
  <r>
    <s v="Biolage"/>
    <x v="5"/>
    <s v="Search"/>
    <s v="Amazon"/>
    <s v="Amazon"/>
    <d v="2024-01-06T00:00:00"/>
    <d v="2024-01-01T00:00:00"/>
    <n v="4020.3399999999979"/>
    <n v="512733"/>
    <s v="LY"/>
    <x v="4"/>
  </r>
  <r>
    <s v="Biolage"/>
    <x v="5"/>
    <s v="Search"/>
    <s v="Amazon"/>
    <s v="Amazon"/>
    <d v="2024-01-13T00:00:00"/>
    <d v="2024-01-01T00:00:00"/>
    <n v="7965.8500000000013"/>
    <n v="1012035"/>
    <s v="LY"/>
    <x v="4"/>
  </r>
  <r>
    <s v="Biolage"/>
    <x v="5"/>
    <s v="Search"/>
    <s v="Amazon"/>
    <s v="Amazon"/>
    <d v="2024-01-20T00:00:00"/>
    <d v="2024-01-01T00:00:00"/>
    <n v="8691.65"/>
    <n v="966027"/>
    <s v="LY"/>
    <x v="4"/>
  </r>
  <r>
    <s v="Biolage"/>
    <x v="5"/>
    <s v="Search"/>
    <s v="Amazon"/>
    <s v="Amazon"/>
    <d v="2024-01-27T00:00:00"/>
    <d v="2024-01-01T00:00:00"/>
    <n v="8634.0300000000043"/>
    <n v="1047445"/>
    <s v="LY"/>
    <x v="4"/>
  </r>
  <r>
    <s v="Biolage"/>
    <x v="5"/>
    <s v="Search"/>
    <s v="Amazon"/>
    <s v="Amazon"/>
    <d v="2024-02-03T00:00:00"/>
    <d v="2024-01-01T00:00:00"/>
    <n v="9039.4299999999948"/>
    <n v="1357447"/>
    <s v="LY"/>
    <x v="4"/>
  </r>
  <r>
    <s v="Biolage"/>
    <x v="5"/>
    <s v="Search"/>
    <s v="Amazon"/>
    <s v="Amazon"/>
    <d v="2024-02-10T00:00:00"/>
    <d v="2024-01-01T00:00:00"/>
    <n v="8800.1599999999926"/>
    <n v="1196673"/>
    <s v="LY"/>
    <x v="4"/>
  </r>
  <r>
    <s v="Biolage"/>
    <x v="5"/>
    <s v="Search"/>
    <s v="Amazon"/>
    <s v="Amazon"/>
    <d v="2024-02-17T00:00:00"/>
    <d v="2024-01-01T00:00:00"/>
    <n v="7417.4899999999943"/>
    <n v="998474"/>
    <s v="LY"/>
    <x v="4"/>
  </r>
  <r>
    <s v="Biolage"/>
    <x v="5"/>
    <s v="Search"/>
    <s v="Amazon"/>
    <s v="Amazon"/>
    <d v="2024-02-24T00:00:00"/>
    <d v="2024-01-01T00:00:00"/>
    <n v="6853.5099999999975"/>
    <n v="1132168"/>
    <s v="LY"/>
    <x v="4"/>
  </r>
  <r>
    <s v="Biolage"/>
    <x v="5"/>
    <s v="Search"/>
    <s v="Amazon"/>
    <s v="Amazon"/>
    <d v="2024-03-02T00:00:00"/>
    <d v="2024-01-01T00:00:00"/>
    <n v="5462.5899999999992"/>
    <n v="1005507"/>
    <s v="LY"/>
    <x v="4"/>
  </r>
  <r>
    <s v="Biolage"/>
    <x v="5"/>
    <s v="Search"/>
    <s v="Amazon"/>
    <s v="Amazon"/>
    <d v="2024-03-09T00:00:00"/>
    <d v="2024-01-01T00:00:00"/>
    <n v="5139.4200000000037"/>
    <n v="1005392"/>
    <s v="LY"/>
    <x v="4"/>
  </r>
  <r>
    <s v="Biolage"/>
    <x v="5"/>
    <s v="Search"/>
    <s v="Amazon"/>
    <s v="Amazon"/>
    <d v="2024-03-16T00:00:00"/>
    <d v="2024-01-01T00:00:00"/>
    <n v="4907.5799999999963"/>
    <n v="997263"/>
    <s v="LY"/>
    <x v="4"/>
  </r>
  <r>
    <s v="Biolage"/>
    <x v="5"/>
    <s v="Search"/>
    <s v="Amazon"/>
    <s v="Amazon"/>
    <d v="2024-03-23T00:00:00"/>
    <d v="2024-01-01T00:00:00"/>
    <n v="7014.2599999999966"/>
    <n v="1621512"/>
    <s v="LY"/>
    <x v="4"/>
  </r>
  <r>
    <s v="Biolage"/>
    <x v="5"/>
    <s v="Search"/>
    <s v="Amazon"/>
    <s v="Amazon"/>
    <d v="2024-03-30T00:00:00"/>
    <d v="2024-01-01T00:00:00"/>
    <n v="10452.990000000003"/>
    <n v="2412743"/>
    <s v="LY"/>
    <x v="4"/>
  </r>
  <r>
    <s v="Biolage"/>
    <x v="5"/>
    <s v="Search"/>
    <s v="Amazon"/>
    <s v="Amazon"/>
    <d v="2024-04-06T00:00:00"/>
    <d v="2024-01-01T00:00:00"/>
    <n v="11799.800000000003"/>
    <n v="2536790"/>
    <s v="LY"/>
    <x v="4"/>
  </r>
  <r>
    <s v="Biolage"/>
    <x v="5"/>
    <s v="Search"/>
    <s v="Amazon"/>
    <s v="Amazon"/>
    <d v="2024-04-13T00:00:00"/>
    <d v="2024-01-01T00:00:00"/>
    <n v="8077.9700000000021"/>
    <n v="1917192"/>
    <s v="LY"/>
    <x v="4"/>
  </r>
  <r>
    <s v="Biolage"/>
    <x v="5"/>
    <s v="Search"/>
    <s v="Amazon"/>
    <s v="Amazon"/>
    <d v="2024-04-20T00:00:00"/>
    <d v="2024-01-01T00:00:00"/>
    <n v="7298.38"/>
    <n v="1888143"/>
    <s v="LY"/>
    <x v="4"/>
  </r>
  <r>
    <s v="Biolage"/>
    <x v="5"/>
    <s v="Search"/>
    <s v="Amazon"/>
    <s v="Amazon"/>
    <d v="2024-04-27T00:00:00"/>
    <d v="2024-01-01T00:00:00"/>
    <n v="8214.7800000000007"/>
    <n v="1822879"/>
    <s v="LY"/>
    <x v="4"/>
  </r>
  <r>
    <s v="Biolage"/>
    <x v="5"/>
    <s v="Search"/>
    <s v="Amazon"/>
    <s v="Amazon"/>
    <d v="2024-05-04T00:00:00"/>
    <d v="2024-01-01T00:00:00"/>
    <n v="11866.780000000004"/>
    <n v="2194202"/>
    <s v="LY"/>
    <x v="4"/>
  </r>
  <r>
    <s v="Biolage"/>
    <x v="5"/>
    <s v="Search"/>
    <s v="Amazon"/>
    <s v="Amazon"/>
    <d v="2024-05-11T00:00:00"/>
    <d v="2024-01-01T00:00:00"/>
    <n v="5711.8300000000008"/>
    <n v="1207781"/>
    <s v="LY"/>
    <x v="4"/>
  </r>
  <r>
    <s v="Biolage"/>
    <x v="5"/>
    <s v="Search"/>
    <s v="Amazon"/>
    <s v="Amazon"/>
    <d v="2024-05-18T00:00:00"/>
    <d v="2024-01-01T00:00:00"/>
    <n v="9561.2199999999993"/>
    <n v="1401663"/>
    <s v="LY"/>
    <x v="4"/>
  </r>
  <r>
    <s v="Biolage"/>
    <x v="5"/>
    <s v="Search"/>
    <s v="Amazon"/>
    <s v="Amazon"/>
    <d v="2024-05-25T00:00:00"/>
    <d v="2024-01-01T00:00:00"/>
    <n v="11819.949999999995"/>
    <n v="1584926"/>
    <s v="LY"/>
    <x v="4"/>
  </r>
  <r>
    <s v="Biolage"/>
    <x v="5"/>
    <s v="Search"/>
    <s v="Amazon"/>
    <s v="Amazon"/>
    <d v="2024-06-01T00:00:00"/>
    <d v="2024-01-01T00:00:00"/>
    <n v="7542.2699999999995"/>
    <n v="1091596"/>
    <s v="LY"/>
    <x v="4"/>
  </r>
  <r>
    <s v="Biolage"/>
    <x v="5"/>
    <s v="Search"/>
    <s v="Amazon"/>
    <s v="Amazon"/>
    <d v="2024-06-08T00:00:00"/>
    <d v="2024-01-01T00:00:00"/>
    <n v="7408.23"/>
    <n v="1103279"/>
    <s v="LY"/>
    <x v="4"/>
  </r>
  <r>
    <s v="Biolage"/>
    <x v="5"/>
    <s v="Search"/>
    <s v="Amazon"/>
    <s v="Amazon"/>
    <d v="2024-06-15T00:00:00"/>
    <d v="2024-01-01T00:00:00"/>
    <n v="7746.2"/>
    <n v="1047379"/>
    <s v="LY"/>
    <x v="4"/>
  </r>
  <r>
    <s v="Biolage"/>
    <x v="5"/>
    <s v="Search"/>
    <s v="Amazon"/>
    <s v="Amazon"/>
    <d v="2024-06-22T00:00:00"/>
    <d v="2024-01-01T00:00:00"/>
    <n v="9306.75"/>
    <n v="1055038"/>
    <s v="LY"/>
    <x v="4"/>
  </r>
  <r>
    <s v="Biolage"/>
    <x v="5"/>
    <s v="Search"/>
    <s v="Amazon"/>
    <s v="Amazon"/>
    <d v="2024-06-29T00:00:00"/>
    <d v="2024-01-01T00:00:00"/>
    <n v="10691.380000000001"/>
    <n v="1645806"/>
    <s v="LY"/>
    <x v="4"/>
  </r>
  <r>
    <s v="Biolage"/>
    <x v="5"/>
    <s v="Search"/>
    <s v="Amazon"/>
    <s v="Amazon"/>
    <d v="2024-07-06T00:00:00"/>
    <d v="2024-01-01T00:00:00"/>
    <n v="11837.810000000009"/>
    <n v="1813029"/>
    <s v="LY"/>
    <x v="4"/>
  </r>
  <r>
    <s v="Biolage"/>
    <x v="5"/>
    <s v="Search"/>
    <s v="Amazon"/>
    <s v="Amazon"/>
    <d v="2024-07-13T00:00:00"/>
    <d v="2024-01-01T00:00:00"/>
    <n v="11519.870000000003"/>
    <n v="1555250"/>
    <s v="TTM"/>
    <x v="4"/>
  </r>
  <r>
    <s v="Biolage"/>
    <x v="5"/>
    <s v="Search"/>
    <s v="Amazon"/>
    <s v="Amazon"/>
    <d v="2024-07-20T00:00:00"/>
    <d v="2024-01-01T00:00:00"/>
    <n v="41172.98000000001"/>
    <n v="2973413"/>
    <s v="TTM"/>
    <x v="4"/>
  </r>
  <r>
    <s v="Biolage"/>
    <x v="5"/>
    <s v="Search"/>
    <s v="Amazon"/>
    <s v="Amazon"/>
    <d v="2024-07-27T00:00:00"/>
    <d v="2024-01-01T00:00:00"/>
    <n v="5564.21"/>
    <n v="740739"/>
    <s v="TTM"/>
    <x v="4"/>
  </r>
  <r>
    <s v="Biolage"/>
    <x v="5"/>
    <s v="Search"/>
    <s v="Amazon"/>
    <s v="Amazon"/>
    <d v="2024-08-03T00:00:00"/>
    <d v="2024-01-01T00:00:00"/>
    <n v="4877.0999999999995"/>
    <n v="641809"/>
    <s v="TTM"/>
    <x v="4"/>
  </r>
  <r>
    <s v="Biolage"/>
    <x v="5"/>
    <s v="Search"/>
    <s v="Amazon"/>
    <s v="Amazon"/>
    <d v="2024-08-10T00:00:00"/>
    <d v="2024-01-01T00:00:00"/>
    <n v="5867.3300000000008"/>
    <n v="788897"/>
    <s v="TTM"/>
    <x v="4"/>
  </r>
  <r>
    <s v="Biolage"/>
    <x v="5"/>
    <s v="Search"/>
    <s v="Amazon"/>
    <s v="Amazon"/>
    <d v="2024-08-17T00:00:00"/>
    <d v="2024-01-01T00:00:00"/>
    <n v="6577.1100000000006"/>
    <n v="620384"/>
    <s v="TTM"/>
    <x v="4"/>
  </r>
  <r>
    <s v="Biolage"/>
    <x v="5"/>
    <s v="Search"/>
    <s v="Amazon"/>
    <s v="Amazon"/>
    <d v="2024-08-24T00:00:00"/>
    <d v="2024-01-01T00:00:00"/>
    <n v="8397.7100000000009"/>
    <n v="785517"/>
    <s v="TTM"/>
    <x v="4"/>
  </r>
  <r>
    <s v="Biolage"/>
    <x v="5"/>
    <s v="Search"/>
    <s v="Amazon"/>
    <s v="Amazon"/>
    <d v="2024-08-31T00:00:00"/>
    <d v="2024-01-01T00:00:00"/>
    <n v="9744.6299999999974"/>
    <n v="865689"/>
    <s v="TTM"/>
    <x v="4"/>
  </r>
  <r>
    <s v="Biolage"/>
    <x v="5"/>
    <s v="Search"/>
    <s v="Amazon"/>
    <s v="Amazon"/>
    <d v="2024-09-07T00:00:00"/>
    <d v="2024-01-01T00:00:00"/>
    <n v="10180.799999999999"/>
    <n v="986887"/>
    <s v="TTM"/>
    <x v="4"/>
  </r>
  <r>
    <s v="Biolage"/>
    <x v="5"/>
    <s v="Search"/>
    <s v="Amazon"/>
    <s v="Amazon"/>
    <d v="2024-09-14T00:00:00"/>
    <d v="2024-01-01T00:00:00"/>
    <n v="5685.8899999999976"/>
    <n v="656822"/>
    <s v="TTM"/>
    <x v="4"/>
  </r>
  <r>
    <s v="Biolage"/>
    <x v="5"/>
    <s v="Search"/>
    <s v="Amazon"/>
    <s v="Amazon"/>
    <d v="2024-09-21T00:00:00"/>
    <d v="2024-01-01T00:00:00"/>
    <n v="3939.43"/>
    <n v="586615"/>
    <s v="TTM"/>
    <x v="4"/>
  </r>
  <r>
    <s v="Biolage"/>
    <x v="5"/>
    <s v="Search"/>
    <s v="Amazon"/>
    <s v="Amazon"/>
    <d v="2024-09-28T00:00:00"/>
    <d v="2024-01-01T00:00:00"/>
    <n v="5370.15"/>
    <n v="762616"/>
    <s v="TTM"/>
    <x v="4"/>
  </r>
  <r>
    <s v="Biolage"/>
    <x v="5"/>
    <s v="Search"/>
    <s v="Amazon"/>
    <s v="Amazon"/>
    <d v="2024-10-05T00:00:00"/>
    <d v="2024-01-01T00:00:00"/>
    <n v="5864.19"/>
    <n v="791603"/>
    <s v="TTM"/>
    <x v="4"/>
  </r>
  <r>
    <s v="Biolage"/>
    <x v="5"/>
    <s v="Search"/>
    <s v="Amazon"/>
    <s v="Amazon"/>
    <d v="2024-10-12T00:00:00"/>
    <d v="2024-01-01T00:00:00"/>
    <n v="4910.8200000000006"/>
    <n v="899551"/>
    <s v="TTM"/>
    <x v="4"/>
  </r>
  <r>
    <s v="Biolage"/>
    <x v="5"/>
    <s v="Search"/>
    <s v="Amazon"/>
    <s v="Amazon"/>
    <d v="2024-10-19T00:00:00"/>
    <d v="2024-01-01T00:00:00"/>
    <n v="3576"/>
    <n v="517269"/>
    <s v="TTM"/>
    <x v="4"/>
  </r>
  <r>
    <s v="Biolage"/>
    <x v="5"/>
    <s v="Search"/>
    <s v="Amazon"/>
    <s v="Amazon"/>
    <d v="2024-10-26T00:00:00"/>
    <d v="2024-01-01T00:00:00"/>
    <n v="6509.5000000000009"/>
    <n v="922351"/>
    <s v="TTM"/>
    <x v="4"/>
  </r>
  <r>
    <s v="Biolage"/>
    <x v="5"/>
    <s v="Search"/>
    <s v="Amazon"/>
    <s v="Amazon"/>
    <d v="2024-11-02T00:00:00"/>
    <d v="2024-01-01T00:00:00"/>
    <n v="8857.1999999999953"/>
    <n v="902006"/>
    <s v="TTM"/>
    <x v="4"/>
  </r>
  <r>
    <s v="Biolage"/>
    <x v="5"/>
    <s v="Search"/>
    <s v="Amazon"/>
    <s v="Amazon"/>
    <d v="2024-11-09T00:00:00"/>
    <d v="2024-01-01T00:00:00"/>
    <n v="12144.44"/>
    <n v="1138816"/>
    <s v="TTM"/>
    <x v="4"/>
  </r>
  <r>
    <s v="Biolage"/>
    <x v="5"/>
    <s v="Search"/>
    <s v="Amazon"/>
    <s v="Amazon"/>
    <d v="2024-11-16T00:00:00"/>
    <d v="2024-01-01T00:00:00"/>
    <n v="16126.87"/>
    <n v="1121661"/>
    <s v="TTM"/>
    <x v="4"/>
  </r>
  <r>
    <s v="Biolage"/>
    <x v="5"/>
    <s v="Search"/>
    <s v="Amazon"/>
    <s v="Amazon"/>
    <d v="2024-11-23T00:00:00"/>
    <d v="2024-01-01T00:00:00"/>
    <n v="20387.400000000001"/>
    <n v="1543482"/>
    <s v="TTM"/>
    <x v="4"/>
  </r>
  <r>
    <s v="Biolage"/>
    <x v="5"/>
    <s v="Search"/>
    <s v="Amazon"/>
    <s v="Amazon"/>
    <d v="2024-11-30T00:00:00"/>
    <d v="2024-01-01T00:00:00"/>
    <n v="67367.56"/>
    <n v="5943250"/>
    <s v="TTM"/>
    <x v="4"/>
  </r>
  <r>
    <s v="Biolage"/>
    <x v="5"/>
    <s v="Search"/>
    <s v="Amazon"/>
    <s v="Amazon"/>
    <d v="2024-12-07T00:00:00"/>
    <d v="2024-01-01T00:00:00"/>
    <n v="63658.859999999993"/>
    <n v="7402790"/>
    <s v="TTM"/>
    <x v="4"/>
  </r>
  <r>
    <s v="Biolage"/>
    <x v="5"/>
    <s v="Search"/>
    <s v="Amazon"/>
    <s v="Amazon"/>
    <d v="2024-12-14T00:00:00"/>
    <d v="2024-01-01T00:00:00"/>
    <n v="20645.64"/>
    <n v="2743175"/>
    <s v="TTM"/>
    <x v="4"/>
  </r>
  <r>
    <s v="Biolage"/>
    <x v="5"/>
    <s v="Search"/>
    <s v="Amazon"/>
    <s v="Amazon"/>
    <d v="2024-12-21T00:00:00"/>
    <d v="2024-01-01T00:00:00"/>
    <n v="20458.759999999995"/>
    <n v="2592277"/>
    <s v="TTM"/>
    <x v="4"/>
  </r>
  <r>
    <s v="Biolage"/>
    <x v="5"/>
    <s v="Search"/>
    <s v="Amazon"/>
    <s v="Amazon"/>
    <d v="2024-12-28T00:00:00"/>
    <d v="2024-01-01T00:00:00"/>
    <n v="20791.43"/>
    <n v="1916807"/>
    <s v="TTM"/>
    <x v="4"/>
  </r>
  <r>
    <s v="Biolage"/>
    <x v="5"/>
    <s v="Search"/>
    <s v="Amazon"/>
    <s v="Amazon"/>
    <d v="2025-01-04T00:00:00"/>
    <d v="2024-01-01T00:00:00"/>
    <n v="6882.9800000000014"/>
    <n v="655907"/>
    <s v="TTM"/>
    <x v="4"/>
  </r>
  <r>
    <s v="Biolage"/>
    <x v="5"/>
    <s v="Search"/>
    <s v="Amazon"/>
    <s v="Amazon"/>
    <d v="2025-01-04T00:00:00"/>
    <d v="2025-01-01T00:00:00"/>
    <n v="7150.880000000001"/>
    <n v="791287"/>
    <s v="TTM"/>
    <x v="4"/>
  </r>
  <r>
    <s v="Biolage"/>
    <x v="5"/>
    <s v="Search"/>
    <s v="Amazon"/>
    <s v="Amazon"/>
    <d v="2025-01-11T00:00:00"/>
    <d v="2025-01-01T00:00:00"/>
    <n v="11389.490000000005"/>
    <n v="1333485"/>
    <s v="TTM"/>
    <x v="4"/>
  </r>
  <r>
    <s v="Biolage"/>
    <x v="5"/>
    <s v="Search"/>
    <s v="Amazon"/>
    <s v="Amazon"/>
    <d v="2025-01-18T00:00:00"/>
    <d v="2025-01-01T00:00:00"/>
    <n v="11466.960000000006"/>
    <n v="1331746"/>
    <s v="TTM"/>
    <x v="4"/>
  </r>
  <r>
    <s v="Biolage"/>
    <x v="5"/>
    <s v="Search"/>
    <s v="Amazon"/>
    <s v="Amazon"/>
    <d v="2025-01-25T00:00:00"/>
    <d v="2025-01-01T00:00:00"/>
    <n v="10937.379999999997"/>
    <n v="1337475"/>
    <s v="TTM"/>
    <x v="4"/>
  </r>
  <r>
    <s v="Biolage"/>
    <x v="5"/>
    <s v="Search"/>
    <s v="Amazon"/>
    <s v="Amazon"/>
    <d v="2025-02-01T00:00:00"/>
    <d v="2025-01-01T00:00:00"/>
    <n v="12559"/>
    <n v="3468489"/>
    <s v="TTM"/>
    <x v="4"/>
  </r>
  <r>
    <s v="Biolage"/>
    <x v="5"/>
    <s v="Search"/>
    <s v="Amazon"/>
    <s v="Amazon"/>
    <d v="2025-02-08T00:00:00"/>
    <d v="2025-01-01T00:00:00"/>
    <n v="16696.709999999992"/>
    <n v="6818785"/>
    <s v="TTM"/>
    <x v="4"/>
  </r>
  <r>
    <s v="Biolage"/>
    <x v="5"/>
    <s v="Search"/>
    <s v="Amazon"/>
    <s v="Amazon"/>
    <d v="2025-02-15T00:00:00"/>
    <d v="2025-01-01T00:00:00"/>
    <n v="12439.130000000001"/>
    <n v="4839528"/>
    <s v="TTM"/>
    <x v="4"/>
  </r>
  <r>
    <s v="Biolage"/>
    <x v="5"/>
    <s v="Search"/>
    <s v="Amazon"/>
    <s v="Amazon"/>
    <d v="2025-02-22T00:00:00"/>
    <d v="2025-01-01T00:00:00"/>
    <n v="9900.7900000000027"/>
    <n v="1781045"/>
    <s v="TTM"/>
    <x v="4"/>
  </r>
  <r>
    <s v="Biolage"/>
    <x v="5"/>
    <s v="Search"/>
    <s v="Amazon"/>
    <s v="Amazon"/>
    <d v="2025-03-01T00:00:00"/>
    <d v="2025-01-01T00:00:00"/>
    <n v="14493.76"/>
    <n v="3076731"/>
    <s v="TTM"/>
    <x v="4"/>
  </r>
  <r>
    <s v="Biolage"/>
    <x v="5"/>
    <s v="Search"/>
    <s v="Amazon"/>
    <s v="Amazon"/>
    <d v="2025-03-08T00:00:00"/>
    <d v="2025-01-01T00:00:00"/>
    <n v="15953.409999999994"/>
    <n v="3387851"/>
    <s v="TTM"/>
    <x v="4"/>
  </r>
  <r>
    <s v="Biolage"/>
    <x v="5"/>
    <s v="Search"/>
    <s v="Amazon"/>
    <s v="Amazon"/>
    <d v="2025-03-15T00:00:00"/>
    <d v="2025-01-01T00:00:00"/>
    <n v="15533.49"/>
    <n v="3114023"/>
    <s v="TTM"/>
    <x v="4"/>
  </r>
  <r>
    <s v="Biolage"/>
    <x v="5"/>
    <s v="Search"/>
    <s v="Amazon"/>
    <s v="Amazon"/>
    <d v="2025-03-22T00:00:00"/>
    <d v="2025-01-01T00:00:00"/>
    <n v="12907.130000000003"/>
    <n v="2676143"/>
    <s v="TTM"/>
    <x v="4"/>
  </r>
  <r>
    <s v="Biolage"/>
    <x v="5"/>
    <s v="Search"/>
    <s v="Amazon"/>
    <s v="Amazon"/>
    <d v="2025-03-29T00:00:00"/>
    <d v="2025-01-01T00:00:00"/>
    <n v="8336.0499999999993"/>
    <n v="1513575"/>
    <s v="TTM"/>
    <x v="4"/>
  </r>
  <r>
    <s v="Biolage"/>
    <x v="5"/>
    <s v="Search"/>
    <s v="Amazon"/>
    <s v="Amazon"/>
    <d v="2025-04-05T00:00:00"/>
    <d v="2025-01-01T00:00:00"/>
    <n v="7284.9599999999973"/>
    <n v="1533959"/>
    <s v="TTM"/>
    <x v="4"/>
  </r>
  <r>
    <s v="Biolage"/>
    <x v="5"/>
    <s v="Search"/>
    <s v="Amazon"/>
    <s v="Amazon"/>
    <d v="2025-04-12T00:00:00"/>
    <d v="2025-01-01T00:00:00"/>
    <n v="8843.8899999999958"/>
    <n v="1689439"/>
    <s v="TTM"/>
    <x v="4"/>
  </r>
  <r>
    <s v="Biolage"/>
    <x v="5"/>
    <s v="Search"/>
    <s v="Amazon"/>
    <s v="Amazon"/>
    <d v="2025-04-19T00:00:00"/>
    <d v="2025-01-01T00:00:00"/>
    <n v="14288.950000000006"/>
    <n v="1980216"/>
    <s v="TTM"/>
    <x v="4"/>
  </r>
  <r>
    <s v="Biolage"/>
    <x v="5"/>
    <s v="Search"/>
    <s v="Amazon"/>
    <s v="Amazon"/>
    <d v="2025-04-26T00:00:00"/>
    <d v="2025-01-01T00:00:00"/>
    <n v="18167.260000000013"/>
    <n v="2142866"/>
    <s v="TTM"/>
    <x v="4"/>
  </r>
  <r>
    <s v="Biolage"/>
    <x v="5"/>
    <s v="Search"/>
    <s v="Amazon"/>
    <s v="Amazon"/>
    <d v="2025-05-03T00:00:00"/>
    <d v="2025-01-01T00:00:00"/>
    <n v="20544.129999999997"/>
    <n v="2686119"/>
    <s v="TTM"/>
    <x v="4"/>
  </r>
  <r>
    <s v="Biolage"/>
    <x v="5"/>
    <s v="Search"/>
    <s v="Amazon"/>
    <s v="Amazon"/>
    <d v="2025-05-10T00:00:00"/>
    <d v="2025-01-01T00:00:00"/>
    <n v="15275.289999999997"/>
    <n v="1817983"/>
    <s v="TTM"/>
    <x v="4"/>
  </r>
  <r>
    <s v="Biolage"/>
    <x v="5"/>
    <s v="Search"/>
    <s v="Amazon"/>
    <s v="Amazon"/>
    <d v="2025-05-17T00:00:00"/>
    <d v="2025-01-01T00:00:00"/>
    <n v="14610.63"/>
    <n v="1991510"/>
    <s v="TTM"/>
    <x v="4"/>
  </r>
  <r>
    <s v="Biolage"/>
    <x v="5"/>
    <s v="Search"/>
    <s v="Amazon"/>
    <s v="Amazon"/>
    <d v="2025-05-24T00:00:00"/>
    <d v="2025-01-01T00:00:00"/>
    <n v="23826.120000000003"/>
    <n v="2803426"/>
    <s v="TTM"/>
    <x v="4"/>
  </r>
  <r>
    <s v="Biolage"/>
    <x v="5"/>
    <s v="Search"/>
    <s v="Amazon"/>
    <s v="Amazon"/>
    <d v="2025-05-31T00:00:00"/>
    <d v="2025-01-01T00:00:00"/>
    <n v="18021.63"/>
    <n v="2014084"/>
    <s v="TTM"/>
    <x v="4"/>
  </r>
  <r>
    <s v="Biolage"/>
    <x v="5"/>
    <s v="Search"/>
    <s v="Amazon"/>
    <s v="Amazon"/>
    <d v="2025-06-07T00:00:00"/>
    <d v="2025-01-01T00:00:00"/>
    <n v="20905.919999999995"/>
    <n v="2356586"/>
    <s v="TTM"/>
    <x v="4"/>
  </r>
  <r>
    <s v="Biolage"/>
    <x v="5"/>
    <s v="Search"/>
    <s v="Amazon"/>
    <s v="Amazon"/>
    <d v="2025-06-14T00:00:00"/>
    <d v="2025-01-01T00:00:00"/>
    <n v="20418.84999999998"/>
    <n v="2156609"/>
    <s v="TTM"/>
    <x v="4"/>
  </r>
  <r>
    <s v="Biolage"/>
    <x v="5"/>
    <s v="Search"/>
    <s v="Amazon"/>
    <s v="Amazon"/>
    <d v="2025-06-21T00:00:00"/>
    <d v="2025-01-01T00:00:00"/>
    <n v="19277.21000000001"/>
    <n v="2062113"/>
    <s v="TTM"/>
    <x v="4"/>
  </r>
  <r>
    <s v="Biolage"/>
    <x v="5"/>
    <s v="Search"/>
    <s v="Amazon"/>
    <s v="Amazon"/>
    <d v="2025-06-28T00:00:00"/>
    <d v="2025-01-01T00:00:00"/>
    <n v="12223.480000000001"/>
    <n v="1159472"/>
    <s v="TTM"/>
    <x v="4"/>
  </r>
  <r>
    <s v="Biolage"/>
    <x v="0"/>
    <s v="Display"/>
    <s v="Amazon"/>
    <s v="Amazon"/>
    <d v="2023-07-01T00:00:00"/>
    <d v="2023-01-01T00:00:00"/>
    <n v="6081.0295999999998"/>
    <n v="950878"/>
    <s v="PY"/>
    <x v="3"/>
  </r>
  <r>
    <s v="Biolage"/>
    <x v="0"/>
    <s v="Display"/>
    <s v="Amazon"/>
    <s v="Amazon"/>
    <d v="2023-07-08T00:00:00"/>
    <d v="2023-01-01T00:00:00"/>
    <n v="42121.893799999998"/>
    <n v="6908484"/>
    <s v="PY"/>
    <x v="3"/>
  </r>
  <r>
    <s v="Biolage"/>
    <x v="0"/>
    <s v="Display"/>
    <s v="Amazon"/>
    <s v="Amazon"/>
    <d v="2023-07-15T00:00:00"/>
    <d v="2023-01-01T00:00:00"/>
    <n v="47907.900499999952"/>
    <n v="8447570"/>
    <s v="LY"/>
    <x v="3"/>
  </r>
  <r>
    <s v="Biolage"/>
    <x v="0"/>
    <s v="Display"/>
    <s v="Amazon"/>
    <s v="Amazon"/>
    <d v="2023-07-22T00:00:00"/>
    <d v="2023-01-01T00:00:00"/>
    <n v="13306.024299999999"/>
    <n v="2636768"/>
    <s v="LY"/>
    <x v="3"/>
  </r>
  <r>
    <s v="Biolage"/>
    <x v="0"/>
    <s v="Display"/>
    <s v="Amazon"/>
    <s v="Amazon"/>
    <d v="2023-07-29T00:00:00"/>
    <d v="2023-01-01T00:00:00"/>
    <n v="17622.624800000001"/>
    <n v="2517354"/>
    <s v="LY"/>
    <x v="3"/>
  </r>
  <r>
    <s v="Biolage"/>
    <x v="0"/>
    <s v="Display"/>
    <s v="Amazon"/>
    <s v="Amazon"/>
    <d v="2023-08-05T00:00:00"/>
    <d v="2023-01-01T00:00:00"/>
    <n v="18644.331200000008"/>
    <n v="2398985"/>
    <s v="LY"/>
    <x v="3"/>
  </r>
  <r>
    <s v="Biolage"/>
    <x v="0"/>
    <s v="Display"/>
    <s v="Amazon"/>
    <s v="Amazon"/>
    <d v="2023-08-12T00:00:00"/>
    <d v="2023-01-01T00:00:00"/>
    <n v="15486.809600000008"/>
    <n v="2575987"/>
    <s v="LY"/>
    <x v="3"/>
  </r>
  <r>
    <s v="Biolage"/>
    <x v="0"/>
    <s v="Display"/>
    <s v="Amazon"/>
    <s v="Amazon"/>
    <d v="2023-08-19T00:00:00"/>
    <d v="2023-01-01T00:00:00"/>
    <n v="17992.608899999996"/>
    <n v="2788644"/>
    <s v="LY"/>
    <x v="3"/>
  </r>
  <r>
    <s v="Biolage"/>
    <x v="0"/>
    <s v="Display"/>
    <s v="Amazon"/>
    <s v="Amazon"/>
    <d v="2023-08-26T00:00:00"/>
    <d v="2023-01-01T00:00:00"/>
    <n v="18022.968700000001"/>
    <n v="2904653"/>
    <s v="LY"/>
    <x v="3"/>
  </r>
  <r>
    <s v="Biolage"/>
    <x v="0"/>
    <s v="Display"/>
    <s v="Amazon"/>
    <s v="Amazon"/>
    <d v="2023-09-02T00:00:00"/>
    <d v="2023-01-01T00:00:00"/>
    <n v="12216.676999999994"/>
    <n v="1830948"/>
    <s v="LY"/>
    <x v="3"/>
  </r>
  <r>
    <s v="Biolage"/>
    <x v="0"/>
    <s v="Display"/>
    <s v="Amazon"/>
    <s v="Amazon"/>
    <d v="2023-09-09T00:00:00"/>
    <d v="2023-01-01T00:00:00"/>
    <n v="3748.4553999999998"/>
    <n v="1364814"/>
    <s v="LY"/>
    <x v="3"/>
  </r>
  <r>
    <s v="Biolage"/>
    <x v="0"/>
    <s v="Display"/>
    <s v="Amazon"/>
    <s v="Amazon"/>
    <d v="2023-09-16T00:00:00"/>
    <d v="2023-01-01T00:00:00"/>
    <n v="3345.7719000000006"/>
    <n v="1399690"/>
    <s v="LY"/>
    <x v="3"/>
  </r>
  <r>
    <s v="Biolage"/>
    <x v="0"/>
    <s v="Display"/>
    <s v="Amazon"/>
    <s v="Amazon"/>
    <d v="2023-09-23T00:00:00"/>
    <d v="2023-01-01T00:00:00"/>
    <n v="3905.2513000000017"/>
    <n v="1399368"/>
    <s v="LY"/>
    <x v="3"/>
  </r>
  <r>
    <s v="Biolage"/>
    <x v="0"/>
    <s v="Display"/>
    <s v="Amazon"/>
    <s v="Amazon"/>
    <d v="2023-09-30T00:00:00"/>
    <d v="2023-01-01T00:00:00"/>
    <n v="4495.1247000000003"/>
    <n v="1526553"/>
    <s v="LY"/>
    <x v="3"/>
  </r>
  <r>
    <s v="Biolage"/>
    <x v="0"/>
    <s v="Display"/>
    <s v="Amazon"/>
    <s v="Amazon"/>
    <d v="2023-10-07T00:00:00"/>
    <d v="2023-01-01T00:00:00"/>
    <n v="12509.161800000007"/>
    <n v="2666402"/>
    <s v="LY"/>
    <x v="3"/>
  </r>
  <r>
    <s v="Biolage"/>
    <x v="0"/>
    <s v="Display"/>
    <s v="Amazon"/>
    <s v="Amazon"/>
    <d v="2023-10-14T00:00:00"/>
    <d v="2023-01-01T00:00:00"/>
    <n v="10359.204599999997"/>
    <n v="2687228"/>
    <s v="LY"/>
    <x v="3"/>
  </r>
  <r>
    <s v="Biolage"/>
    <x v="0"/>
    <s v="Display"/>
    <s v="Amazon"/>
    <s v="Amazon"/>
    <d v="2023-10-21T00:00:00"/>
    <d v="2023-01-01T00:00:00"/>
    <n v="11201.155500000003"/>
    <n v="2188933"/>
    <s v="LY"/>
    <x v="3"/>
  </r>
  <r>
    <s v="Biolage"/>
    <x v="0"/>
    <s v="Display"/>
    <s v="Amazon"/>
    <s v="Amazon"/>
    <d v="2023-10-28T00:00:00"/>
    <d v="2023-01-01T00:00:00"/>
    <n v="9104.0382000000045"/>
    <n v="1583740"/>
    <s v="LY"/>
    <x v="3"/>
  </r>
  <r>
    <s v="Biolage"/>
    <x v="0"/>
    <s v="Display"/>
    <s v="Amazon"/>
    <s v="Amazon"/>
    <d v="2023-11-04T00:00:00"/>
    <d v="2023-01-01T00:00:00"/>
    <n v="17611.450000000012"/>
    <n v="9700481"/>
    <s v="LY"/>
    <x v="3"/>
  </r>
  <r>
    <s v="Biolage"/>
    <x v="0"/>
    <s v="Display"/>
    <s v="Amazon"/>
    <s v="Amazon"/>
    <d v="2023-11-11T00:00:00"/>
    <d v="2023-01-01T00:00:00"/>
    <n v="28071.213699999989"/>
    <n v="18016432"/>
    <s v="LY"/>
    <x v="3"/>
  </r>
  <r>
    <s v="Biolage"/>
    <x v="0"/>
    <s v="Display"/>
    <s v="Amazon"/>
    <s v="Amazon"/>
    <d v="2023-11-18T00:00:00"/>
    <d v="2023-01-01T00:00:00"/>
    <n v="27319.195"/>
    <n v="7845991"/>
    <s v="LY"/>
    <x v="3"/>
  </r>
  <r>
    <s v="Biolage"/>
    <x v="0"/>
    <s v="Display"/>
    <s v="Amazon"/>
    <s v="Amazon"/>
    <d v="2023-11-25T00:00:00"/>
    <d v="2023-01-01T00:00:00"/>
    <n v="29288.523599999997"/>
    <n v="6971585"/>
    <s v="LY"/>
    <x v="3"/>
  </r>
  <r>
    <s v="Biolage"/>
    <x v="0"/>
    <s v="Display"/>
    <s v="Amazon"/>
    <s v="Amazon"/>
    <d v="2023-12-02T00:00:00"/>
    <d v="2023-01-01T00:00:00"/>
    <n v="41230.403100000032"/>
    <n v="11489214"/>
    <s v="LY"/>
    <x v="3"/>
  </r>
  <r>
    <s v="Biolage"/>
    <x v="0"/>
    <s v="Display"/>
    <s v="Amazon"/>
    <s v="Amazon"/>
    <d v="2023-12-09T00:00:00"/>
    <d v="2023-01-01T00:00:00"/>
    <n v="10680.274599999997"/>
    <n v="4448525"/>
    <s v="LY"/>
    <x v="3"/>
  </r>
  <r>
    <s v="Biolage"/>
    <x v="0"/>
    <s v="Display"/>
    <s v="Amazon"/>
    <s v="Amazon"/>
    <d v="2023-12-16T00:00:00"/>
    <d v="2023-01-01T00:00:00"/>
    <n v="10862.2312"/>
    <n v="5058276"/>
    <s v="LY"/>
    <x v="3"/>
  </r>
  <r>
    <s v="Biolage"/>
    <x v="0"/>
    <s v="Display"/>
    <s v="Amazon"/>
    <s v="Amazon"/>
    <d v="2023-12-23T00:00:00"/>
    <d v="2023-01-01T00:00:00"/>
    <n v="10798.572400000001"/>
    <n v="4917615"/>
    <s v="LY"/>
    <x v="3"/>
  </r>
  <r>
    <s v="Biolage"/>
    <x v="0"/>
    <s v="Display"/>
    <s v="Amazon"/>
    <s v="Amazon"/>
    <d v="2023-12-30T00:00:00"/>
    <d v="2023-01-01T00:00:00"/>
    <n v="8072.6683999999996"/>
    <n v="3132194"/>
    <s v="LY"/>
    <x v="3"/>
  </r>
  <r>
    <s v="Biolage"/>
    <x v="0"/>
    <s v="Display"/>
    <s v="Amazon"/>
    <s v="Amazon"/>
    <d v="2024-01-06T00:00:00"/>
    <d v="2023-01-01T00:00:00"/>
    <n v="124.20739999999999"/>
    <n v="76277"/>
    <s v="LY"/>
    <x v="3"/>
  </r>
  <r>
    <s v="Biolage"/>
    <x v="0"/>
    <s v="Display"/>
    <s v="Amazon"/>
    <s v="Amazon"/>
    <d v="2024-01-06T00:00:00"/>
    <d v="2024-01-01T00:00:00"/>
    <n v="3447.2480999999984"/>
    <n v="1372143"/>
    <s v="LY"/>
    <x v="3"/>
  </r>
  <r>
    <s v="Biolage"/>
    <x v="0"/>
    <s v="Display"/>
    <s v="Amazon"/>
    <s v="Amazon"/>
    <d v="2024-01-13T00:00:00"/>
    <d v="2024-01-01T00:00:00"/>
    <n v="5924.3712999999989"/>
    <n v="2686922"/>
    <s v="LY"/>
    <x v="3"/>
  </r>
  <r>
    <s v="Biolage"/>
    <x v="0"/>
    <s v="Display"/>
    <s v="Amazon"/>
    <s v="Amazon"/>
    <d v="2024-01-20T00:00:00"/>
    <d v="2024-01-01T00:00:00"/>
    <n v="6083.7089000000005"/>
    <n v="2870413"/>
    <s v="LY"/>
    <x v="3"/>
  </r>
  <r>
    <s v="Biolage"/>
    <x v="0"/>
    <s v="Display"/>
    <s v="Amazon"/>
    <s v="Amazon"/>
    <d v="2024-01-27T00:00:00"/>
    <d v="2024-01-01T00:00:00"/>
    <n v="5852.6000000000013"/>
    <n v="2290348"/>
    <s v="LY"/>
    <x v="3"/>
  </r>
  <r>
    <s v="Biolage"/>
    <x v="0"/>
    <s v="Display"/>
    <s v="Amazon"/>
    <s v="Amazon"/>
    <d v="2024-02-03T00:00:00"/>
    <d v="2024-01-01T00:00:00"/>
    <n v="1418.1480999999999"/>
    <n v="363387"/>
    <s v="LY"/>
    <x v="3"/>
  </r>
  <r>
    <s v="Biolage"/>
    <x v="0"/>
    <s v="Display"/>
    <s v="Amazon"/>
    <s v="Amazon"/>
    <d v="2024-02-10T00:00:00"/>
    <d v="2024-01-01T00:00:00"/>
    <n v="1967.6221000000005"/>
    <n v="223031"/>
    <s v="LY"/>
    <x v="3"/>
  </r>
  <r>
    <s v="Biolage"/>
    <x v="0"/>
    <s v="Display"/>
    <s v="Amazon"/>
    <s v="Amazon"/>
    <d v="2024-02-17T00:00:00"/>
    <d v="2024-01-01T00:00:00"/>
    <n v="2036.8693999999998"/>
    <n v="215574"/>
    <s v="LY"/>
    <x v="3"/>
  </r>
  <r>
    <s v="Biolage"/>
    <x v="0"/>
    <s v="Display"/>
    <s v="Amazon"/>
    <s v="Amazon"/>
    <d v="2024-02-24T00:00:00"/>
    <d v="2024-01-01T00:00:00"/>
    <n v="3647.9030999999986"/>
    <n v="612872"/>
    <s v="LY"/>
    <x v="3"/>
  </r>
  <r>
    <s v="Biolage"/>
    <x v="0"/>
    <s v="Display"/>
    <s v="Amazon"/>
    <s v="Amazon"/>
    <d v="2024-03-02T00:00:00"/>
    <d v="2024-01-01T00:00:00"/>
    <n v="4991.0021999999999"/>
    <n v="1229439"/>
    <s v="LY"/>
    <x v="3"/>
  </r>
  <r>
    <s v="Biolage"/>
    <x v="0"/>
    <s v="Display"/>
    <s v="Amazon"/>
    <s v="Amazon"/>
    <d v="2024-03-09T00:00:00"/>
    <d v="2024-01-01T00:00:00"/>
    <n v="5770.9738000000016"/>
    <n v="1132488"/>
    <s v="LY"/>
    <x v="3"/>
  </r>
  <r>
    <s v="Biolage"/>
    <x v="0"/>
    <s v="Display"/>
    <s v="Amazon"/>
    <s v="Amazon"/>
    <d v="2024-03-16T00:00:00"/>
    <d v="2024-01-01T00:00:00"/>
    <n v="5836.5745999999972"/>
    <n v="880581"/>
    <s v="LY"/>
    <x v="3"/>
  </r>
  <r>
    <s v="Biolage"/>
    <x v="0"/>
    <s v="Display"/>
    <s v="Amazon"/>
    <s v="Amazon"/>
    <d v="2024-03-23T00:00:00"/>
    <d v="2024-01-01T00:00:00"/>
    <n v="5634.7644"/>
    <n v="709220"/>
    <s v="LY"/>
    <x v="3"/>
  </r>
  <r>
    <s v="Biolage"/>
    <x v="0"/>
    <s v="Display"/>
    <s v="Amazon"/>
    <s v="Amazon"/>
    <d v="2024-03-30T00:00:00"/>
    <d v="2024-01-01T00:00:00"/>
    <n v="6613.0198000000019"/>
    <n v="1024524"/>
    <s v="LY"/>
    <x v="3"/>
  </r>
  <r>
    <s v="Biolage"/>
    <x v="0"/>
    <s v="Display"/>
    <s v="Amazon"/>
    <s v="Amazon"/>
    <d v="2024-04-06T00:00:00"/>
    <d v="2024-01-01T00:00:00"/>
    <n v="6744.3843999999999"/>
    <n v="1138127"/>
    <s v="LY"/>
    <x v="3"/>
  </r>
  <r>
    <s v="Biolage"/>
    <x v="0"/>
    <s v="Display"/>
    <s v="Amazon"/>
    <s v="Amazon"/>
    <d v="2024-04-13T00:00:00"/>
    <d v="2024-01-01T00:00:00"/>
    <n v="6043.7695999999996"/>
    <n v="960050"/>
    <s v="LY"/>
    <x v="3"/>
  </r>
  <r>
    <s v="Biolage"/>
    <x v="0"/>
    <s v="Display"/>
    <s v="Amazon"/>
    <s v="Amazon"/>
    <d v="2024-04-20T00:00:00"/>
    <d v="2024-01-01T00:00:00"/>
    <n v="1614.7319999999997"/>
    <n v="122785"/>
    <s v="LY"/>
    <x v="3"/>
  </r>
  <r>
    <s v="Biolage"/>
    <x v="0"/>
    <s v="Display"/>
    <s v="Amazon"/>
    <s v="Amazon"/>
    <d v="2024-04-27T00:00:00"/>
    <d v="2024-01-01T00:00:00"/>
    <n v="1567.2702999999999"/>
    <n v="121985"/>
    <s v="LY"/>
    <x v="3"/>
  </r>
  <r>
    <s v="Biolage"/>
    <x v="0"/>
    <s v="Display"/>
    <s v="Amazon"/>
    <s v="Amazon"/>
    <d v="2024-05-04T00:00:00"/>
    <d v="2024-01-01T00:00:00"/>
    <n v="1731.2059999999999"/>
    <n v="176964"/>
    <s v="LY"/>
    <x v="3"/>
  </r>
  <r>
    <s v="Biolage"/>
    <x v="0"/>
    <s v="Display"/>
    <s v="Amazon"/>
    <s v="Amazon"/>
    <d v="2024-05-11T00:00:00"/>
    <d v="2024-01-01T00:00:00"/>
    <n v="1775.6202000000003"/>
    <n v="117085"/>
    <s v="LY"/>
    <x v="3"/>
  </r>
  <r>
    <s v="Biolage"/>
    <x v="0"/>
    <s v="Display"/>
    <s v="Amazon"/>
    <s v="Amazon"/>
    <d v="2024-05-18T00:00:00"/>
    <d v="2024-01-01T00:00:00"/>
    <n v="1787.3392000000001"/>
    <n v="110977"/>
    <s v="LY"/>
    <x v="3"/>
  </r>
  <r>
    <s v="Biolage"/>
    <x v="0"/>
    <s v="Display"/>
    <s v="Amazon"/>
    <s v="Amazon"/>
    <d v="2024-05-25T00:00:00"/>
    <d v="2024-01-01T00:00:00"/>
    <n v="1788.3779"/>
    <n v="132855"/>
    <s v="LY"/>
    <x v="3"/>
  </r>
  <r>
    <s v="Biolage"/>
    <x v="0"/>
    <s v="Display"/>
    <s v="Amazon"/>
    <s v="Amazon"/>
    <d v="2024-06-01T00:00:00"/>
    <d v="2024-01-01T00:00:00"/>
    <n v="3736.6814999999997"/>
    <n v="414969"/>
    <s v="LY"/>
    <x v="3"/>
  </r>
  <r>
    <s v="Biolage"/>
    <x v="0"/>
    <s v="Display"/>
    <s v="Amazon"/>
    <s v="Amazon"/>
    <d v="2024-06-08T00:00:00"/>
    <d v="2024-01-01T00:00:00"/>
    <n v="16401.866100000003"/>
    <n v="2936276"/>
    <s v="LY"/>
    <x v="3"/>
  </r>
  <r>
    <s v="Biolage"/>
    <x v="0"/>
    <s v="Display"/>
    <s v="Amazon"/>
    <s v="Amazon"/>
    <d v="2024-06-15T00:00:00"/>
    <d v="2024-01-01T00:00:00"/>
    <n v="16643.962999999996"/>
    <n v="3944269"/>
    <s v="LY"/>
    <x v="3"/>
  </r>
  <r>
    <s v="Biolage"/>
    <x v="0"/>
    <s v="Display"/>
    <s v="Amazon"/>
    <s v="Amazon"/>
    <d v="2024-06-22T00:00:00"/>
    <d v="2024-01-01T00:00:00"/>
    <n v="16734.409200000002"/>
    <n v="4310264"/>
    <s v="LY"/>
    <x v="3"/>
  </r>
  <r>
    <s v="Biolage"/>
    <x v="0"/>
    <s v="Display"/>
    <s v="Amazon"/>
    <s v="Amazon"/>
    <d v="2024-06-29T00:00:00"/>
    <d v="2024-01-01T00:00:00"/>
    <n v="15599.232"/>
    <n v="3554503"/>
    <s v="LY"/>
    <x v="3"/>
  </r>
  <r>
    <s v="Biolage"/>
    <x v="0"/>
    <s v="Display"/>
    <s v="Amazon"/>
    <s v="Amazon"/>
    <d v="2024-07-06T00:00:00"/>
    <d v="2024-01-01T00:00:00"/>
    <n v="18503.618600000009"/>
    <n v="4473512"/>
    <s v="LY"/>
    <x v="3"/>
  </r>
  <r>
    <s v="Biolage"/>
    <x v="0"/>
    <s v="Display"/>
    <s v="Amazon"/>
    <s v="Amazon"/>
    <d v="2024-07-13T00:00:00"/>
    <d v="2024-01-01T00:00:00"/>
    <n v="19340.006600000012"/>
    <n v="4631748"/>
    <s v="TTM"/>
    <x v="3"/>
  </r>
  <r>
    <s v="Biolage"/>
    <x v="0"/>
    <s v="Display"/>
    <s v="Amazon"/>
    <s v="Amazon"/>
    <d v="2024-07-20T00:00:00"/>
    <d v="2024-01-01T00:00:00"/>
    <n v="40342.340600000003"/>
    <n v="8721859"/>
    <s v="TTM"/>
    <x v="3"/>
  </r>
  <r>
    <s v="Biolage"/>
    <x v="0"/>
    <s v="Display"/>
    <s v="Amazon"/>
    <s v="Amazon"/>
    <d v="2024-07-27T00:00:00"/>
    <d v="2024-01-01T00:00:00"/>
    <n v="11731.0458"/>
    <n v="5503471"/>
    <s v="TTM"/>
    <x v="3"/>
  </r>
  <r>
    <s v="Biolage"/>
    <x v="0"/>
    <s v="Display"/>
    <s v="Amazon"/>
    <s v="Amazon"/>
    <d v="2024-08-03T00:00:00"/>
    <d v="2024-01-01T00:00:00"/>
    <n v="9154.9514000000017"/>
    <n v="4964764"/>
    <s v="TTM"/>
    <x v="3"/>
  </r>
  <r>
    <s v="Biolage"/>
    <x v="0"/>
    <s v="Display"/>
    <s v="Amazon"/>
    <s v="Amazon"/>
    <d v="2024-08-10T00:00:00"/>
    <d v="2024-01-01T00:00:00"/>
    <n v="4549.4023000000016"/>
    <n v="2102950"/>
    <s v="TTM"/>
    <x v="3"/>
  </r>
  <r>
    <s v="Biolage"/>
    <x v="0"/>
    <s v="Display"/>
    <s v="Amazon"/>
    <s v="Amazon"/>
    <d v="2024-08-17T00:00:00"/>
    <d v="2024-01-01T00:00:00"/>
    <n v="4461.0186999999987"/>
    <n v="2685435"/>
    <s v="TTM"/>
    <x v="3"/>
  </r>
  <r>
    <s v="Biolage"/>
    <x v="0"/>
    <s v="Display"/>
    <s v="Amazon"/>
    <s v="Amazon"/>
    <d v="2024-08-24T00:00:00"/>
    <d v="2024-01-01T00:00:00"/>
    <n v="4550.1957999999995"/>
    <n v="2716060"/>
    <s v="TTM"/>
    <x v="3"/>
  </r>
  <r>
    <s v="Biolage"/>
    <x v="0"/>
    <s v="Display"/>
    <s v="Amazon"/>
    <s v="Amazon"/>
    <d v="2024-08-31T00:00:00"/>
    <d v="2024-01-01T00:00:00"/>
    <n v="4346.8267999999998"/>
    <n v="2573064"/>
    <s v="TTM"/>
    <x v="3"/>
  </r>
  <r>
    <s v="Biolage"/>
    <x v="0"/>
    <s v="Display"/>
    <s v="Amazon"/>
    <s v="Amazon"/>
    <d v="2024-09-07T00:00:00"/>
    <d v="2024-01-01T00:00:00"/>
    <n v="1409.1728999999998"/>
    <n v="888115"/>
    <s v="TTM"/>
    <x v="3"/>
  </r>
  <r>
    <s v="Biolage"/>
    <x v="0"/>
    <s v="Display"/>
    <s v="Amazon"/>
    <s v="Amazon"/>
    <d v="2024-09-14T00:00:00"/>
    <d v="2024-01-01T00:00:00"/>
    <n v="1432.1981000000003"/>
    <n v="916953"/>
    <s v="TTM"/>
    <x v="3"/>
  </r>
  <r>
    <s v="Biolage"/>
    <x v="0"/>
    <s v="Display"/>
    <s v="Amazon"/>
    <s v="Amazon"/>
    <d v="2024-09-21T00:00:00"/>
    <d v="2024-01-01T00:00:00"/>
    <n v="1428.1926000000001"/>
    <n v="953819"/>
    <s v="TTM"/>
    <x v="3"/>
  </r>
  <r>
    <s v="Biolage"/>
    <x v="0"/>
    <s v="Display"/>
    <s v="Amazon"/>
    <s v="Amazon"/>
    <d v="2024-09-28T00:00:00"/>
    <d v="2024-01-01T00:00:00"/>
    <n v="1400.7916000000002"/>
    <n v="865026"/>
    <s v="TTM"/>
    <x v="3"/>
  </r>
  <r>
    <s v="Biolage"/>
    <x v="0"/>
    <s v="Display"/>
    <s v="Amazon"/>
    <s v="Amazon"/>
    <d v="2024-10-05T00:00:00"/>
    <d v="2024-01-01T00:00:00"/>
    <n v="2078.8935000000006"/>
    <n v="637467"/>
    <s v="TTM"/>
    <x v="3"/>
  </r>
  <r>
    <s v="Biolage"/>
    <x v="0"/>
    <s v="Display"/>
    <s v="Amazon"/>
    <s v="Amazon"/>
    <d v="2024-10-12T00:00:00"/>
    <d v="2024-01-01T00:00:00"/>
    <n v="10842.368600000003"/>
    <n v="3962096"/>
    <s v="TTM"/>
    <x v="3"/>
  </r>
  <r>
    <s v="Biolage"/>
    <x v="0"/>
    <s v="Display"/>
    <s v="Amazon"/>
    <s v="Amazon"/>
    <d v="2024-10-19T00:00:00"/>
    <d v="2024-01-01T00:00:00"/>
    <n v="4476.2005000000008"/>
    <n v="2631002"/>
    <s v="TTM"/>
    <x v="3"/>
  </r>
  <r>
    <s v="Biolage"/>
    <x v="0"/>
    <s v="Display"/>
    <s v="Amazon"/>
    <s v="Amazon"/>
    <d v="2024-10-26T00:00:00"/>
    <d v="2024-01-01T00:00:00"/>
    <n v="4163.9141"/>
    <n v="2549554"/>
    <s v="TTM"/>
    <x v="3"/>
  </r>
  <r>
    <s v="Biolage"/>
    <x v="0"/>
    <s v="Display"/>
    <s v="Amazon"/>
    <s v="Amazon"/>
    <d v="2024-11-02T00:00:00"/>
    <d v="2024-01-01T00:00:00"/>
    <n v="3867.0521999999992"/>
    <n v="2307032"/>
    <s v="TTM"/>
    <x v="3"/>
  </r>
  <r>
    <s v="Biolage"/>
    <x v="0"/>
    <s v="Display"/>
    <s v="Amazon"/>
    <s v="Amazon"/>
    <d v="2024-11-09T00:00:00"/>
    <d v="2024-01-01T00:00:00"/>
    <n v="10078.4306"/>
    <n v="4054650"/>
    <s v="TTM"/>
    <x v="3"/>
  </r>
  <r>
    <s v="Biolage"/>
    <x v="0"/>
    <s v="Display"/>
    <s v="Amazon"/>
    <s v="Amazon"/>
    <d v="2024-11-16T00:00:00"/>
    <d v="2024-01-01T00:00:00"/>
    <n v="11786.932400000009"/>
    <n v="2975283"/>
    <s v="TTM"/>
    <x v="3"/>
  </r>
  <r>
    <s v="Biolage"/>
    <x v="0"/>
    <s v="Display"/>
    <s v="Amazon"/>
    <s v="Amazon"/>
    <d v="2024-11-23T00:00:00"/>
    <d v="2024-01-01T00:00:00"/>
    <n v="11663.030000000006"/>
    <n v="2596165"/>
    <s v="TTM"/>
    <x v="3"/>
  </r>
  <r>
    <s v="Biolage"/>
    <x v="0"/>
    <s v="Display"/>
    <s v="Amazon"/>
    <s v="Amazon"/>
    <d v="2024-11-30T00:00:00"/>
    <d v="2024-01-01T00:00:00"/>
    <n v="44117.349600000016"/>
    <n v="11112375"/>
    <s v="TTM"/>
    <x v="3"/>
  </r>
  <r>
    <s v="Biolage"/>
    <x v="0"/>
    <s v="Display"/>
    <s v="Amazon"/>
    <s v="Amazon"/>
    <d v="2024-12-07T00:00:00"/>
    <d v="2024-01-01T00:00:00"/>
    <n v="27867.296399999999"/>
    <n v="8807869"/>
    <s v="TTM"/>
    <x v="3"/>
  </r>
  <r>
    <s v="Biolage"/>
    <x v="0"/>
    <s v="Display"/>
    <s v="Amazon"/>
    <s v="Amazon"/>
    <d v="2024-12-14T00:00:00"/>
    <d v="2024-01-01T00:00:00"/>
    <n v="5217.2730000000001"/>
    <n v="3287481"/>
    <s v="TTM"/>
    <x v="3"/>
  </r>
  <r>
    <s v="Biolage"/>
    <x v="0"/>
    <s v="Display"/>
    <s v="Amazon"/>
    <s v="Amazon"/>
    <d v="2024-12-21T00:00:00"/>
    <d v="2024-01-01T00:00:00"/>
    <n v="5197.3759"/>
    <n v="3300364"/>
    <s v="TTM"/>
    <x v="3"/>
  </r>
  <r>
    <s v="Biolage"/>
    <x v="0"/>
    <s v="Display"/>
    <s v="Amazon"/>
    <s v="Amazon"/>
    <d v="2024-12-28T00:00:00"/>
    <d v="2024-01-01T00:00:00"/>
    <n v="5185.8923999999988"/>
    <n v="3506993"/>
    <s v="TTM"/>
    <x v="3"/>
  </r>
  <r>
    <s v="Biolage"/>
    <x v="0"/>
    <s v="Display"/>
    <s v="Amazon"/>
    <s v="Amazon"/>
    <d v="2025-01-04T00:00:00"/>
    <d v="2024-01-01T00:00:00"/>
    <n v="1711.2711999999995"/>
    <n v="1262835"/>
    <s v="TTM"/>
    <x v="3"/>
  </r>
  <r>
    <s v="Biolage"/>
    <x v="0"/>
    <s v="Display"/>
    <s v="Amazon"/>
    <s v="Amazon"/>
    <d v="2025-01-04T00:00:00"/>
    <d v="2025-01-01T00:00:00"/>
    <n v="988.49480000000005"/>
    <n v="743456"/>
    <s v="TTM"/>
    <x v="3"/>
  </r>
  <r>
    <s v="Biolage"/>
    <x v="0"/>
    <s v="Display"/>
    <s v="Amazon"/>
    <s v="Amazon"/>
    <d v="2025-01-11T00:00:00"/>
    <d v="2025-01-01T00:00:00"/>
    <n v="1757.7065"/>
    <n v="1306162"/>
    <s v="TTM"/>
    <x v="3"/>
  </r>
  <r>
    <s v="Biolage"/>
    <x v="0"/>
    <s v="Display"/>
    <s v="Amazon"/>
    <s v="Amazon"/>
    <d v="2025-01-18T00:00:00"/>
    <d v="2025-01-01T00:00:00"/>
    <n v="1759.4276000000002"/>
    <n v="1289454"/>
    <s v="TTM"/>
    <x v="3"/>
  </r>
  <r>
    <s v="Biolage"/>
    <x v="0"/>
    <s v="Display"/>
    <s v="Amazon"/>
    <s v="Amazon"/>
    <d v="2025-01-25T00:00:00"/>
    <d v="2025-01-01T00:00:00"/>
    <n v="1755.7918"/>
    <n v="1314997"/>
    <s v="TTM"/>
    <x v="3"/>
  </r>
  <r>
    <s v="Biolage"/>
    <x v="0"/>
    <s v="Display"/>
    <s v="Amazon"/>
    <s v="Amazon"/>
    <d v="2025-02-01T00:00:00"/>
    <d v="2025-01-01T00:00:00"/>
    <n v="1598.4122999999997"/>
    <n v="1193311"/>
    <s v="TTM"/>
    <x v="3"/>
  </r>
  <r>
    <s v="Biolage"/>
    <x v="0"/>
    <s v="Display"/>
    <s v="Amazon"/>
    <s v="Amazon"/>
    <d v="2025-02-08T00:00:00"/>
    <d v="2025-01-01T00:00:00"/>
    <n v="2101.4010000000003"/>
    <n v="1554426"/>
    <s v="TTM"/>
    <x v="3"/>
  </r>
  <r>
    <s v="Biolage"/>
    <x v="0"/>
    <s v="Display"/>
    <s v="Amazon"/>
    <s v="Amazon"/>
    <d v="2025-02-15T00:00:00"/>
    <d v="2025-01-01T00:00:00"/>
    <n v="2128.8376999999996"/>
    <n v="1518048"/>
    <s v="TTM"/>
    <x v="3"/>
  </r>
  <r>
    <s v="Biolage"/>
    <x v="0"/>
    <s v="Display"/>
    <s v="Amazon"/>
    <s v="Amazon"/>
    <d v="2025-02-22T00:00:00"/>
    <d v="2025-01-01T00:00:00"/>
    <n v="2135.8888999999999"/>
    <n v="1288906"/>
    <s v="TTM"/>
    <x v="3"/>
  </r>
  <r>
    <s v="Biolage"/>
    <x v="0"/>
    <s v="Display"/>
    <s v="Amazon"/>
    <s v="Amazon"/>
    <d v="2025-03-01T00:00:00"/>
    <d v="2025-01-01T00:00:00"/>
    <n v="1759.0863999999999"/>
    <n v="152196"/>
    <s v="TTM"/>
    <x v="3"/>
  </r>
  <r>
    <s v="Biolage"/>
    <x v="0"/>
    <s v="Display"/>
    <s v="Amazon"/>
    <s v="Amazon"/>
    <d v="2025-03-08T00:00:00"/>
    <d v="2025-01-01T00:00:00"/>
    <n v="1678.5273999999999"/>
    <n v="141641"/>
    <s v="TTM"/>
    <x v="3"/>
  </r>
  <r>
    <s v="Biolage"/>
    <x v="0"/>
    <s v="Display"/>
    <s v="Amazon"/>
    <s v="Amazon"/>
    <d v="2025-03-15T00:00:00"/>
    <d v="2025-01-01T00:00:00"/>
    <n v="1920.0640000000001"/>
    <n v="172241"/>
    <s v="TTM"/>
    <x v="3"/>
  </r>
  <r>
    <s v="Biolage"/>
    <x v="0"/>
    <s v="Display"/>
    <s v="Amazon"/>
    <s v="Amazon"/>
    <d v="2025-03-22T00:00:00"/>
    <d v="2025-01-01T00:00:00"/>
    <n v="1920.2330999999999"/>
    <n v="158637"/>
    <s v="TTM"/>
    <x v="3"/>
  </r>
  <r>
    <s v="Biolage"/>
    <x v="0"/>
    <s v="Display"/>
    <s v="Amazon"/>
    <s v="Amazon"/>
    <d v="2025-03-29T00:00:00"/>
    <d v="2025-01-01T00:00:00"/>
    <n v="1932.2510999999997"/>
    <n v="141295"/>
    <s v="TTM"/>
    <x v="3"/>
  </r>
  <r>
    <s v="Biolage"/>
    <x v="0"/>
    <s v="Display"/>
    <s v="Amazon"/>
    <s v="Amazon"/>
    <d v="2025-04-05T00:00:00"/>
    <d v="2025-01-01T00:00:00"/>
    <n v="1631.0289"/>
    <n v="160879"/>
    <s v="TTM"/>
    <x v="3"/>
  </r>
  <r>
    <s v="Biolage"/>
    <x v="0"/>
    <s v="Display"/>
    <s v="Amazon"/>
    <s v="Amazon"/>
    <d v="2025-04-12T00:00:00"/>
    <d v="2025-01-01T00:00:00"/>
    <n v="1826.5108"/>
    <n v="244107"/>
    <s v="TTM"/>
    <x v="3"/>
  </r>
  <r>
    <s v="Biolage"/>
    <x v="0"/>
    <s v="Display"/>
    <s v="Amazon"/>
    <s v="Amazon"/>
    <d v="2025-04-19T00:00:00"/>
    <d v="2025-01-01T00:00:00"/>
    <n v="1816.3647999999998"/>
    <n v="260773"/>
    <s v="TTM"/>
    <x v="3"/>
  </r>
  <r>
    <s v="Biolage"/>
    <x v="0"/>
    <s v="Display"/>
    <s v="Amazon"/>
    <s v="Amazon"/>
    <d v="2025-04-26T00:00:00"/>
    <d v="2025-01-01T00:00:00"/>
    <n v="1835.7950999999998"/>
    <n v="237395"/>
    <s v="TTM"/>
    <x v="3"/>
  </r>
  <r>
    <s v="Biolage"/>
    <x v="0"/>
    <s v="Display"/>
    <s v="Amazon"/>
    <s v="Amazon"/>
    <d v="2025-05-03T00:00:00"/>
    <d v="2025-01-01T00:00:00"/>
    <n v="1593.8263000000002"/>
    <n v="249500"/>
    <s v="TTM"/>
    <x v="3"/>
  </r>
  <r>
    <s v="Biolage"/>
    <x v="0"/>
    <s v="Display"/>
    <s v="Amazon"/>
    <s v="Amazon"/>
    <d v="2025-05-10T00:00:00"/>
    <d v="2025-01-01T00:00:00"/>
    <n v="1781.6534000000001"/>
    <n v="281602"/>
    <s v="TTM"/>
    <x v="3"/>
  </r>
  <r>
    <s v="Biolage"/>
    <x v="0"/>
    <s v="Display"/>
    <s v="Amazon"/>
    <s v="Amazon"/>
    <d v="2025-05-17T00:00:00"/>
    <d v="2025-01-01T00:00:00"/>
    <n v="1811.604"/>
    <n v="275084"/>
    <s v="TTM"/>
    <x v="3"/>
  </r>
  <r>
    <s v="Biolage"/>
    <x v="0"/>
    <s v="Display"/>
    <s v="Amazon"/>
    <s v="Amazon"/>
    <d v="2025-05-24T00:00:00"/>
    <d v="2025-01-01T00:00:00"/>
    <n v="1781.5704000000001"/>
    <n v="236495"/>
    <s v="TTM"/>
    <x v="3"/>
  </r>
  <r>
    <s v="Biolage"/>
    <x v="0"/>
    <s v="Display"/>
    <s v="Amazon"/>
    <s v="Amazon"/>
    <d v="2025-05-31T00:00:00"/>
    <d v="2025-01-01T00:00:00"/>
    <n v="1606.3448999999998"/>
    <n v="197920"/>
    <s v="TTM"/>
    <x v="3"/>
  </r>
  <r>
    <s v="Biolage"/>
    <x v="0"/>
    <s v="Display"/>
    <s v="Amazon"/>
    <s v="Amazon"/>
    <d v="2025-06-07T00:00:00"/>
    <d v="2025-01-01T00:00:00"/>
    <n v="9534.2357999999986"/>
    <n v="5864470"/>
    <s v="TTM"/>
    <x v="3"/>
  </r>
  <r>
    <s v="Biolage"/>
    <x v="0"/>
    <s v="Display"/>
    <s v="Amazon"/>
    <s v="Amazon"/>
    <d v="2025-06-14T00:00:00"/>
    <d v="2025-01-01T00:00:00"/>
    <n v="9786.4768999999997"/>
    <n v="5996019"/>
    <s v="TTM"/>
    <x v="3"/>
  </r>
  <r>
    <s v="Biolage"/>
    <x v="0"/>
    <s v="Display"/>
    <s v="Amazon"/>
    <s v="Amazon"/>
    <d v="2025-06-21T00:00:00"/>
    <d v="2025-01-01T00:00:00"/>
    <n v="9828.9657999999999"/>
    <n v="5346268"/>
    <s v="TTM"/>
    <x v="3"/>
  </r>
  <r>
    <s v="Biolage"/>
    <x v="0"/>
    <s v="Display"/>
    <s v="Amazon"/>
    <s v="Amazon"/>
    <d v="2025-06-28T00:00:00"/>
    <d v="2025-01-01T00:00:00"/>
    <n v="8438.7793999999994"/>
    <n v="3191834"/>
    <s v="TTM"/>
    <x v="3"/>
  </r>
  <r>
    <s v="Biolage"/>
    <x v="0"/>
    <s v="OTT"/>
    <s v="Amazon"/>
    <s v="Amazon"/>
    <d v="2024-06-15T00:00:00"/>
    <d v="2024-01-01T00:00:00"/>
    <n v="273.60270000000003"/>
    <n v="89824"/>
    <s v="LY"/>
    <x v="5"/>
  </r>
  <r>
    <s v="Biolage"/>
    <x v="0"/>
    <s v="OTT"/>
    <s v="Amazon"/>
    <s v="Amazon"/>
    <d v="2024-06-22T00:00:00"/>
    <d v="2024-01-01T00:00:00"/>
    <n v="1784.9059999999999"/>
    <n v="585831"/>
    <s v="LY"/>
    <x v="5"/>
  </r>
  <r>
    <s v="Biolage"/>
    <x v="0"/>
    <s v="OTT"/>
    <s v="Amazon"/>
    <s v="Amazon"/>
    <d v="2024-06-29T00:00:00"/>
    <d v="2024-01-01T00:00:00"/>
    <n v="1749.7381"/>
    <n v="575098"/>
    <s v="LY"/>
    <x v="5"/>
  </r>
  <r>
    <s v="Biolage"/>
    <x v="0"/>
    <s v="OTT"/>
    <s v="Amazon"/>
    <s v="Amazon"/>
    <d v="2024-07-06T00:00:00"/>
    <d v="2024-01-01T00:00:00"/>
    <n v="1723.3786000000002"/>
    <n v="566050"/>
    <s v="LY"/>
    <x v="5"/>
  </r>
  <r>
    <s v="Biolage"/>
    <x v="0"/>
    <s v="OTT"/>
    <s v="Amazon"/>
    <s v="Amazon"/>
    <d v="2024-07-13T00:00:00"/>
    <d v="2024-01-01T00:00:00"/>
    <n v="1774.6779000000001"/>
    <n v="583104"/>
    <s v="TTM"/>
    <x v="5"/>
  </r>
  <r>
    <s v="Biolage"/>
    <x v="0"/>
    <s v="OTT"/>
    <s v="Amazon"/>
    <s v="Amazon"/>
    <d v="2024-07-20T00:00:00"/>
    <d v="2024-01-01T00:00:00"/>
    <n v="1821.8292000000001"/>
    <n v="591250"/>
    <s v="TTM"/>
    <x v="5"/>
  </r>
  <r>
    <s v="Biolage"/>
    <x v="0"/>
    <s v="OTT"/>
    <s v="Amazon"/>
    <s v="Amazon"/>
    <d v="2024-07-27T00:00:00"/>
    <d v="2024-01-01T00:00:00"/>
    <n v="1789.8894"/>
    <n v="588605"/>
    <s v="TTM"/>
    <x v="5"/>
  </r>
  <r>
    <s v="Biolage"/>
    <x v="0"/>
    <s v="OTT"/>
    <s v="Amazon"/>
    <s v="Amazon"/>
    <d v="2024-08-03T00:00:00"/>
    <d v="2024-01-01T00:00:00"/>
    <n v="688.82029999999997"/>
    <n v="227086"/>
    <s v="TTM"/>
    <x v="5"/>
  </r>
  <r>
    <s v="Biolage"/>
    <x v="0"/>
    <s v="OTT"/>
    <s v="Amazon"/>
    <s v="Amazon"/>
    <d v="2025-05-03T00:00:00"/>
    <d v="2025-01-01T00:00:00"/>
    <n v="8507.5246000000006"/>
    <n v="777792"/>
    <s v="TTM"/>
    <x v="5"/>
  </r>
  <r>
    <s v="Biolage"/>
    <x v="0"/>
    <s v="OTT"/>
    <s v="Amazon"/>
    <s v="Amazon"/>
    <d v="2025-05-10T00:00:00"/>
    <d v="2025-01-01T00:00:00"/>
    <n v="22785.651300000005"/>
    <n v="2619662"/>
    <s v="TTM"/>
    <x v="5"/>
  </r>
  <r>
    <s v="Biolage"/>
    <x v="0"/>
    <s v="OTT"/>
    <s v="Amazon"/>
    <s v="Amazon"/>
    <d v="2025-05-17T00:00:00"/>
    <d v="2025-01-01T00:00:00"/>
    <n v="24157.396700000001"/>
    <n v="2716818"/>
    <s v="TTM"/>
    <x v="5"/>
  </r>
  <r>
    <s v="Biolage"/>
    <x v="0"/>
    <s v="OTT"/>
    <s v="Amazon"/>
    <s v="Amazon"/>
    <d v="2025-05-24T00:00:00"/>
    <d v="2025-01-01T00:00:00"/>
    <n v="24013.282599999995"/>
    <n v="2839878"/>
    <s v="TTM"/>
    <x v="5"/>
  </r>
  <r>
    <s v="Biolage"/>
    <x v="0"/>
    <s v="OTT"/>
    <s v="Amazon"/>
    <s v="Amazon"/>
    <d v="2025-05-31T00:00:00"/>
    <d v="2025-01-01T00:00:00"/>
    <n v="44444.99629999997"/>
    <n v="3834368"/>
    <s v="TTM"/>
    <x v="5"/>
  </r>
  <r>
    <s v="Biolage"/>
    <x v="0"/>
    <s v="OTT"/>
    <s v="Amazon"/>
    <s v="Amazon"/>
    <d v="2025-06-07T00:00:00"/>
    <d v="2025-01-01T00:00:00"/>
    <n v="41723.29730000002"/>
    <n v="3529942"/>
    <s v="TTM"/>
    <x v="5"/>
  </r>
  <r>
    <s v="Biolage"/>
    <x v="0"/>
    <s v="OTT"/>
    <s v="Amazon"/>
    <s v="Amazon"/>
    <d v="2025-06-14T00:00:00"/>
    <d v="2025-01-01T00:00:00"/>
    <n v="32770.593000000023"/>
    <n v="2809293"/>
    <s v="TTM"/>
    <x v="5"/>
  </r>
  <r>
    <s v="Biolage"/>
    <x v="0"/>
    <s v="OTT"/>
    <s v="Amazon"/>
    <s v="Amazon"/>
    <d v="2025-06-21T00:00:00"/>
    <d v="2025-01-01T00:00:00"/>
    <n v="25464.323799999987"/>
    <n v="2070293"/>
    <s v="TTM"/>
    <x v="5"/>
  </r>
  <r>
    <s v="Biolage"/>
    <x v="0"/>
    <s v="OTT"/>
    <s v="Amazon"/>
    <s v="Amazon"/>
    <d v="2025-06-28T00:00:00"/>
    <d v="2025-01-01T00:00:00"/>
    <n v="18826.381600000001"/>
    <n v="1483029"/>
    <s v="TTM"/>
    <x v="5"/>
  </r>
  <r>
    <s v="Biolage"/>
    <x v="0"/>
    <s v="Search"/>
    <s v="Amazon"/>
    <s v="Amazon"/>
    <d v="2023-07-01T00:00:00"/>
    <d v="2023-01-01T00:00:00"/>
    <n v="2394.65"/>
    <n v="231909"/>
    <s v="PY"/>
    <x v="4"/>
  </r>
  <r>
    <s v="Biolage"/>
    <x v="0"/>
    <s v="Search"/>
    <s v="Amazon"/>
    <s v="Amazon"/>
    <d v="2023-07-08T00:00:00"/>
    <d v="2023-01-01T00:00:00"/>
    <n v="17444.350000000006"/>
    <n v="1941689"/>
    <s v="PY"/>
    <x v="4"/>
  </r>
  <r>
    <s v="Biolage"/>
    <x v="0"/>
    <s v="Search"/>
    <s v="Amazon"/>
    <s v="Amazon"/>
    <d v="2023-07-15T00:00:00"/>
    <d v="2023-01-01T00:00:00"/>
    <n v="74943.300000000017"/>
    <n v="4749934"/>
    <s v="LY"/>
    <x v="4"/>
  </r>
  <r>
    <s v="Biolage"/>
    <x v="0"/>
    <s v="Search"/>
    <s v="Amazon"/>
    <s v="Amazon"/>
    <d v="2023-07-22T00:00:00"/>
    <d v="2023-01-01T00:00:00"/>
    <n v="13233.259999999998"/>
    <n v="3110099"/>
    <s v="LY"/>
    <x v="4"/>
  </r>
  <r>
    <s v="Biolage"/>
    <x v="0"/>
    <s v="Search"/>
    <s v="Amazon"/>
    <s v="Amazon"/>
    <d v="2023-07-29T00:00:00"/>
    <d v="2023-01-01T00:00:00"/>
    <n v="22424.630000000005"/>
    <n v="4265016"/>
    <s v="LY"/>
    <x v="4"/>
  </r>
  <r>
    <s v="Biolage"/>
    <x v="0"/>
    <s v="Search"/>
    <s v="Amazon"/>
    <s v="Amazon"/>
    <d v="2023-08-05T00:00:00"/>
    <d v="2023-01-01T00:00:00"/>
    <n v="19160.000000000015"/>
    <n v="3578089"/>
    <s v="LY"/>
    <x v="4"/>
  </r>
  <r>
    <s v="Biolage"/>
    <x v="0"/>
    <s v="Search"/>
    <s v="Amazon"/>
    <s v="Amazon"/>
    <d v="2023-08-12T00:00:00"/>
    <d v="2023-01-01T00:00:00"/>
    <n v="7393.9799999999977"/>
    <n v="2038179"/>
    <s v="LY"/>
    <x v="4"/>
  </r>
  <r>
    <s v="Biolage"/>
    <x v="0"/>
    <s v="Search"/>
    <s v="Amazon"/>
    <s v="Amazon"/>
    <d v="2023-08-19T00:00:00"/>
    <d v="2023-01-01T00:00:00"/>
    <n v="2508.8700000000003"/>
    <n v="891382"/>
    <s v="LY"/>
    <x v="4"/>
  </r>
  <r>
    <s v="Biolage"/>
    <x v="0"/>
    <s v="Search"/>
    <s v="Amazon"/>
    <s v="Amazon"/>
    <d v="2023-08-26T00:00:00"/>
    <d v="2023-01-01T00:00:00"/>
    <n v="1923.2099999999998"/>
    <n v="543927"/>
    <s v="LY"/>
    <x v="4"/>
  </r>
  <r>
    <s v="Biolage"/>
    <x v="0"/>
    <s v="Search"/>
    <s v="Amazon"/>
    <s v="Amazon"/>
    <d v="2023-09-02T00:00:00"/>
    <d v="2023-01-01T00:00:00"/>
    <n v="2192.1400000000003"/>
    <n v="640415"/>
    <s v="LY"/>
    <x v="4"/>
  </r>
  <r>
    <s v="Biolage"/>
    <x v="0"/>
    <s v="Search"/>
    <s v="Amazon"/>
    <s v="Amazon"/>
    <d v="2023-09-09T00:00:00"/>
    <d v="2023-01-01T00:00:00"/>
    <n v="2109.2899999999995"/>
    <n v="598304"/>
    <s v="LY"/>
    <x v="4"/>
  </r>
  <r>
    <s v="Biolage"/>
    <x v="0"/>
    <s v="Search"/>
    <s v="Amazon"/>
    <s v="Amazon"/>
    <d v="2023-09-16T00:00:00"/>
    <d v="2023-01-01T00:00:00"/>
    <n v="2960.1799999999994"/>
    <n v="587208"/>
    <s v="LY"/>
    <x v="4"/>
  </r>
  <r>
    <s v="Biolage"/>
    <x v="0"/>
    <s v="Search"/>
    <s v="Amazon"/>
    <s v="Amazon"/>
    <d v="2023-09-23T00:00:00"/>
    <d v="2023-01-01T00:00:00"/>
    <n v="3158.5"/>
    <n v="636873"/>
    <s v="LY"/>
    <x v="4"/>
  </r>
  <r>
    <s v="Biolage"/>
    <x v="0"/>
    <s v="Search"/>
    <s v="Amazon"/>
    <s v="Amazon"/>
    <d v="2023-09-30T00:00:00"/>
    <d v="2023-01-01T00:00:00"/>
    <n v="2960.0099999999993"/>
    <n v="767431"/>
    <s v="LY"/>
    <x v="4"/>
  </r>
  <r>
    <s v="Biolage"/>
    <x v="0"/>
    <s v="Search"/>
    <s v="Amazon"/>
    <s v="Amazon"/>
    <d v="2023-10-07T00:00:00"/>
    <d v="2023-01-01T00:00:00"/>
    <n v="3689.5800000000004"/>
    <n v="996228"/>
    <s v="LY"/>
    <x v="4"/>
  </r>
  <r>
    <s v="Biolage"/>
    <x v="0"/>
    <s v="Search"/>
    <s v="Amazon"/>
    <s v="Amazon"/>
    <d v="2023-10-14T00:00:00"/>
    <d v="2023-01-01T00:00:00"/>
    <n v="3223.619999999999"/>
    <n v="878800"/>
    <s v="LY"/>
    <x v="4"/>
  </r>
  <r>
    <s v="Biolage"/>
    <x v="0"/>
    <s v="Search"/>
    <s v="Amazon"/>
    <s v="Amazon"/>
    <d v="2023-10-21T00:00:00"/>
    <d v="2023-01-01T00:00:00"/>
    <n v="2736.4500000000003"/>
    <n v="756233"/>
    <s v="LY"/>
    <x v="4"/>
  </r>
  <r>
    <s v="Biolage"/>
    <x v="0"/>
    <s v="Search"/>
    <s v="Amazon"/>
    <s v="Amazon"/>
    <d v="2023-10-28T00:00:00"/>
    <d v="2023-01-01T00:00:00"/>
    <n v="2533.7199999999993"/>
    <n v="647063"/>
    <s v="LY"/>
    <x v="4"/>
  </r>
  <r>
    <s v="Biolage"/>
    <x v="0"/>
    <s v="Search"/>
    <s v="Amazon"/>
    <s v="Amazon"/>
    <d v="2023-11-04T00:00:00"/>
    <d v="2023-01-01T00:00:00"/>
    <n v="2880.27"/>
    <n v="748646"/>
    <s v="LY"/>
    <x v="4"/>
  </r>
  <r>
    <s v="Biolage"/>
    <x v="0"/>
    <s v="Search"/>
    <s v="Amazon"/>
    <s v="Amazon"/>
    <d v="2023-11-11T00:00:00"/>
    <d v="2023-01-01T00:00:00"/>
    <n v="2691.41"/>
    <n v="834724"/>
    <s v="LY"/>
    <x v="4"/>
  </r>
  <r>
    <s v="Biolage"/>
    <x v="0"/>
    <s v="Search"/>
    <s v="Amazon"/>
    <s v="Amazon"/>
    <d v="2023-11-18T00:00:00"/>
    <d v="2023-01-01T00:00:00"/>
    <n v="3632.3299999999995"/>
    <n v="944984"/>
    <s v="LY"/>
    <x v="4"/>
  </r>
  <r>
    <s v="Biolage"/>
    <x v="0"/>
    <s v="Search"/>
    <s v="Amazon"/>
    <s v="Amazon"/>
    <d v="2023-11-25T00:00:00"/>
    <d v="2023-01-01T00:00:00"/>
    <n v="33483.25999999998"/>
    <n v="3741647"/>
    <s v="LY"/>
    <x v="4"/>
  </r>
  <r>
    <s v="Biolage"/>
    <x v="0"/>
    <s v="Search"/>
    <s v="Amazon"/>
    <s v="Amazon"/>
    <d v="2023-12-02T00:00:00"/>
    <d v="2023-01-01T00:00:00"/>
    <n v="11963.440000000002"/>
    <n v="2234271"/>
    <s v="LY"/>
    <x v="4"/>
  </r>
  <r>
    <s v="Biolage"/>
    <x v="0"/>
    <s v="Search"/>
    <s v="Amazon"/>
    <s v="Amazon"/>
    <d v="2023-12-09T00:00:00"/>
    <d v="2023-01-01T00:00:00"/>
    <n v="3882.2400000000007"/>
    <n v="1053125"/>
    <s v="LY"/>
    <x v="4"/>
  </r>
  <r>
    <s v="Biolage"/>
    <x v="0"/>
    <s v="Search"/>
    <s v="Amazon"/>
    <s v="Amazon"/>
    <d v="2023-12-16T00:00:00"/>
    <d v="2023-01-01T00:00:00"/>
    <n v="2533.8599999999988"/>
    <n v="936669"/>
    <s v="LY"/>
    <x v="4"/>
  </r>
  <r>
    <s v="Biolage"/>
    <x v="0"/>
    <s v="Search"/>
    <s v="Amazon"/>
    <s v="Amazon"/>
    <d v="2023-12-23T00:00:00"/>
    <d v="2023-01-01T00:00:00"/>
    <n v="1970.0999999999995"/>
    <n v="729325"/>
    <s v="LY"/>
    <x v="4"/>
  </r>
  <r>
    <s v="Biolage"/>
    <x v="0"/>
    <s v="Search"/>
    <s v="Amazon"/>
    <s v="Amazon"/>
    <d v="2023-12-30T00:00:00"/>
    <d v="2023-01-01T00:00:00"/>
    <n v="2159.1"/>
    <n v="742031"/>
    <s v="LY"/>
    <x v="4"/>
  </r>
  <r>
    <s v="Biolage"/>
    <x v="0"/>
    <s v="Search"/>
    <s v="Amazon"/>
    <s v="Amazon"/>
    <d v="2024-01-06T00:00:00"/>
    <d v="2024-01-01T00:00:00"/>
    <n v="1741.8099999999993"/>
    <n v="587877"/>
    <s v="LY"/>
    <x v="4"/>
  </r>
  <r>
    <s v="Biolage"/>
    <x v="0"/>
    <s v="Search"/>
    <s v="Amazon"/>
    <s v="Amazon"/>
    <d v="2024-01-13T00:00:00"/>
    <d v="2024-01-01T00:00:00"/>
    <n v="3524.4099999999989"/>
    <n v="823337"/>
    <s v="LY"/>
    <x v="4"/>
  </r>
  <r>
    <s v="Biolage"/>
    <x v="0"/>
    <s v="Search"/>
    <s v="Amazon"/>
    <s v="Amazon"/>
    <d v="2024-01-20T00:00:00"/>
    <d v="2024-01-01T00:00:00"/>
    <n v="5343.2799999999988"/>
    <n v="1192487"/>
    <s v="LY"/>
    <x v="4"/>
  </r>
  <r>
    <s v="Biolage"/>
    <x v="0"/>
    <s v="Search"/>
    <s v="Amazon"/>
    <s v="Amazon"/>
    <d v="2024-01-27T00:00:00"/>
    <d v="2024-01-01T00:00:00"/>
    <n v="5506.5200000000013"/>
    <n v="1373191"/>
    <s v="LY"/>
    <x v="4"/>
  </r>
  <r>
    <s v="Biolage"/>
    <x v="0"/>
    <s v="Search"/>
    <s v="Amazon"/>
    <s v="Amazon"/>
    <d v="2024-02-03T00:00:00"/>
    <d v="2024-01-01T00:00:00"/>
    <n v="5538.95"/>
    <n v="1398991"/>
    <s v="LY"/>
    <x v="4"/>
  </r>
  <r>
    <s v="Biolage"/>
    <x v="0"/>
    <s v="Search"/>
    <s v="Amazon"/>
    <s v="Amazon"/>
    <d v="2024-02-10T00:00:00"/>
    <d v="2024-01-01T00:00:00"/>
    <n v="6281.57"/>
    <n v="1398207"/>
    <s v="LY"/>
    <x v="4"/>
  </r>
  <r>
    <s v="Biolage"/>
    <x v="0"/>
    <s v="Search"/>
    <s v="Amazon"/>
    <s v="Amazon"/>
    <d v="2024-02-17T00:00:00"/>
    <d v="2024-01-01T00:00:00"/>
    <n v="6080.07"/>
    <n v="1447147"/>
    <s v="LY"/>
    <x v="4"/>
  </r>
  <r>
    <s v="Biolage"/>
    <x v="0"/>
    <s v="Search"/>
    <s v="Amazon"/>
    <s v="Amazon"/>
    <d v="2024-02-24T00:00:00"/>
    <d v="2024-01-01T00:00:00"/>
    <n v="5273.43"/>
    <n v="1208131"/>
    <s v="LY"/>
    <x v="4"/>
  </r>
  <r>
    <s v="Biolage"/>
    <x v="0"/>
    <s v="Search"/>
    <s v="Amazon"/>
    <s v="Amazon"/>
    <d v="2024-03-02T00:00:00"/>
    <d v="2024-01-01T00:00:00"/>
    <n v="5531.4299999999976"/>
    <n v="1227380"/>
    <s v="LY"/>
    <x v="4"/>
  </r>
  <r>
    <s v="Biolage"/>
    <x v="0"/>
    <s v="Search"/>
    <s v="Amazon"/>
    <s v="Amazon"/>
    <d v="2024-03-09T00:00:00"/>
    <d v="2024-01-01T00:00:00"/>
    <n v="5769.7199999999975"/>
    <n v="1177415"/>
    <s v="LY"/>
    <x v="4"/>
  </r>
  <r>
    <s v="Biolage"/>
    <x v="0"/>
    <s v="Search"/>
    <s v="Amazon"/>
    <s v="Amazon"/>
    <d v="2024-03-16T00:00:00"/>
    <d v="2024-01-01T00:00:00"/>
    <n v="4432.1699999999983"/>
    <n v="1043795"/>
    <s v="LY"/>
    <x v="4"/>
  </r>
  <r>
    <s v="Biolage"/>
    <x v="0"/>
    <s v="Search"/>
    <s v="Amazon"/>
    <s v="Amazon"/>
    <d v="2024-03-23T00:00:00"/>
    <d v="2024-01-01T00:00:00"/>
    <n v="4541.9400000000032"/>
    <n v="1160569"/>
    <s v="LY"/>
    <x v="4"/>
  </r>
  <r>
    <s v="Biolage"/>
    <x v="0"/>
    <s v="Search"/>
    <s v="Amazon"/>
    <s v="Amazon"/>
    <d v="2024-03-30T00:00:00"/>
    <d v="2024-01-01T00:00:00"/>
    <n v="4921.8"/>
    <n v="1286059"/>
    <s v="LY"/>
    <x v="4"/>
  </r>
  <r>
    <s v="Biolage"/>
    <x v="0"/>
    <s v="Search"/>
    <s v="Amazon"/>
    <s v="Amazon"/>
    <d v="2024-04-06T00:00:00"/>
    <d v="2024-01-01T00:00:00"/>
    <n v="5490.9500000000007"/>
    <n v="1266479"/>
    <s v="LY"/>
    <x v="4"/>
  </r>
  <r>
    <s v="Biolage"/>
    <x v="0"/>
    <s v="Search"/>
    <s v="Amazon"/>
    <s v="Amazon"/>
    <d v="2024-04-13T00:00:00"/>
    <d v="2024-01-01T00:00:00"/>
    <n v="4850.5599999999995"/>
    <n v="1130461"/>
    <s v="LY"/>
    <x v="4"/>
  </r>
  <r>
    <s v="Biolage"/>
    <x v="0"/>
    <s v="Search"/>
    <s v="Amazon"/>
    <s v="Amazon"/>
    <d v="2024-04-20T00:00:00"/>
    <d v="2024-01-01T00:00:00"/>
    <n v="7549.5599999999995"/>
    <n v="1476595"/>
    <s v="LY"/>
    <x v="4"/>
  </r>
  <r>
    <s v="Biolage"/>
    <x v="0"/>
    <s v="Search"/>
    <s v="Amazon"/>
    <s v="Amazon"/>
    <d v="2024-04-27T00:00:00"/>
    <d v="2024-01-01T00:00:00"/>
    <n v="8397.2800000000007"/>
    <n v="1732118"/>
    <s v="LY"/>
    <x v="4"/>
  </r>
  <r>
    <s v="Biolage"/>
    <x v="0"/>
    <s v="Search"/>
    <s v="Amazon"/>
    <s v="Amazon"/>
    <d v="2024-05-04T00:00:00"/>
    <d v="2024-01-01T00:00:00"/>
    <n v="9702.5100000000039"/>
    <n v="1948963"/>
    <s v="LY"/>
    <x v="4"/>
  </r>
  <r>
    <s v="Biolage"/>
    <x v="0"/>
    <s v="Search"/>
    <s v="Amazon"/>
    <s v="Amazon"/>
    <d v="2024-05-11T00:00:00"/>
    <d v="2024-01-01T00:00:00"/>
    <n v="10371.069999999998"/>
    <n v="1936143"/>
    <s v="LY"/>
    <x v="4"/>
  </r>
  <r>
    <s v="Biolage"/>
    <x v="0"/>
    <s v="Search"/>
    <s v="Amazon"/>
    <s v="Amazon"/>
    <d v="2024-05-18T00:00:00"/>
    <d v="2024-01-01T00:00:00"/>
    <n v="11032.830000000002"/>
    <n v="1896406"/>
    <s v="LY"/>
    <x v="4"/>
  </r>
  <r>
    <s v="Biolage"/>
    <x v="0"/>
    <s v="Search"/>
    <s v="Amazon"/>
    <s v="Amazon"/>
    <d v="2024-05-25T00:00:00"/>
    <d v="2024-01-01T00:00:00"/>
    <n v="10230.150000000001"/>
    <n v="1760422"/>
    <s v="LY"/>
    <x v="4"/>
  </r>
  <r>
    <s v="Biolage"/>
    <x v="0"/>
    <s v="Search"/>
    <s v="Amazon"/>
    <s v="Amazon"/>
    <d v="2024-06-01T00:00:00"/>
    <d v="2024-01-01T00:00:00"/>
    <n v="8302.31"/>
    <n v="1397277"/>
    <s v="LY"/>
    <x v="4"/>
  </r>
  <r>
    <s v="Biolage"/>
    <x v="0"/>
    <s v="Search"/>
    <s v="Amazon"/>
    <s v="Amazon"/>
    <d v="2024-06-08T00:00:00"/>
    <d v="2024-01-01T00:00:00"/>
    <n v="9289.6399999999976"/>
    <n v="1592835"/>
    <s v="LY"/>
    <x v="4"/>
  </r>
  <r>
    <s v="Biolage"/>
    <x v="0"/>
    <s v="Search"/>
    <s v="Amazon"/>
    <s v="Amazon"/>
    <d v="2024-06-15T00:00:00"/>
    <d v="2024-01-01T00:00:00"/>
    <n v="9192.380000000001"/>
    <n v="1480291"/>
    <s v="LY"/>
    <x v="4"/>
  </r>
  <r>
    <s v="Biolage"/>
    <x v="0"/>
    <s v="Search"/>
    <s v="Amazon"/>
    <s v="Amazon"/>
    <d v="2024-06-22T00:00:00"/>
    <d v="2024-01-01T00:00:00"/>
    <n v="9450.9"/>
    <n v="1495320"/>
    <s v="LY"/>
    <x v="4"/>
  </r>
  <r>
    <s v="Biolage"/>
    <x v="0"/>
    <s v="Search"/>
    <s v="Amazon"/>
    <s v="Amazon"/>
    <d v="2024-06-29T00:00:00"/>
    <d v="2024-01-01T00:00:00"/>
    <n v="17439.609999999997"/>
    <n v="2023848"/>
    <s v="LY"/>
    <x v="4"/>
  </r>
  <r>
    <s v="Biolage"/>
    <x v="0"/>
    <s v="Search"/>
    <s v="Amazon"/>
    <s v="Amazon"/>
    <d v="2024-07-06T00:00:00"/>
    <d v="2024-01-01T00:00:00"/>
    <n v="16232.81"/>
    <n v="1965678"/>
    <s v="LY"/>
    <x v="4"/>
  </r>
  <r>
    <s v="Biolage"/>
    <x v="0"/>
    <s v="Search"/>
    <s v="Amazon"/>
    <s v="Amazon"/>
    <d v="2024-07-13T00:00:00"/>
    <d v="2024-01-01T00:00:00"/>
    <n v="16456.060000000005"/>
    <n v="2007962"/>
    <s v="TTM"/>
    <x v="4"/>
  </r>
  <r>
    <s v="Biolage"/>
    <x v="0"/>
    <s v="Search"/>
    <s v="Amazon"/>
    <s v="Amazon"/>
    <d v="2024-07-20T00:00:00"/>
    <d v="2024-01-01T00:00:00"/>
    <n v="51930.590000000011"/>
    <n v="3148777"/>
    <s v="TTM"/>
    <x v="4"/>
  </r>
  <r>
    <s v="Biolage"/>
    <x v="0"/>
    <s v="Search"/>
    <s v="Amazon"/>
    <s v="Amazon"/>
    <d v="2024-07-27T00:00:00"/>
    <d v="2024-01-01T00:00:00"/>
    <n v="6917.4900000000034"/>
    <n v="1010083"/>
    <s v="TTM"/>
    <x v="4"/>
  </r>
  <r>
    <s v="Biolage"/>
    <x v="0"/>
    <s v="Search"/>
    <s v="Amazon"/>
    <s v="Amazon"/>
    <d v="2024-08-03T00:00:00"/>
    <d v="2024-01-01T00:00:00"/>
    <n v="7267.33"/>
    <n v="935657"/>
    <s v="TTM"/>
    <x v="4"/>
  </r>
  <r>
    <s v="Biolage"/>
    <x v="0"/>
    <s v="Search"/>
    <s v="Amazon"/>
    <s v="Amazon"/>
    <d v="2024-08-10T00:00:00"/>
    <d v="2024-01-01T00:00:00"/>
    <n v="8551.0799999999963"/>
    <n v="920244"/>
    <s v="TTM"/>
    <x v="4"/>
  </r>
  <r>
    <s v="Biolage"/>
    <x v="0"/>
    <s v="Search"/>
    <s v="Amazon"/>
    <s v="Amazon"/>
    <d v="2024-08-17T00:00:00"/>
    <d v="2024-01-01T00:00:00"/>
    <n v="7064.7000000000007"/>
    <n v="784636"/>
    <s v="TTM"/>
    <x v="4"/>
  </r>
  <r>
    <s v="Biolage"/>
    <x v="0"/>
    <s v="Search"/>
    <s v="Amazon"/>
    <s v="Amazon"/>
    <d v="2024-08-24T00:00:00"/>
    <d v="2024-01-01T00:00:00"/>
    <n v="6992.0199999999986"/>
    <n v="941804"/>
    <s v="TTM"/>
    <x v="4"/>
  </r>
  <r>
    <s v="Biolage"/>
    <x v="0"/>
    <s v="Search"/>
    <s v="Amazon"/>
    <s v="Amazon"/>
    <d v="2024-08-31T00:00:00"/>
    <d v="2024-01-01T00:00:00"/>
    <n v="7438.96"/>
    <n v="901645"/>
    <s v="TTM"/>
    <x v="4"/>
  </r>
  <r>
    <s v="Biolage"/>
    <x v="0"/>
    <s v="Search"/>
    <s v="Amazon"/>
    <s v="Amazon"/>
    <d v="2024-09-07T00:00:00"/>
    <d v="2024-01-01T00:00:00"/>
    <n v="7340.3999999999987"/>
    <n v="903241"/>
    <s v="TTM"/>
    <x v="4"/>
  </r>
  <r>
    <s v="Biolage"/>
    <x v="0"/>
    <s v="Search"/>
    <s v="Amazon"/>
    <s v="Amazon"/>
    <d v="2024-09-14T00:00:00"/>
    <d v="2024-01-01T00:00:00"/>
    <n v="7077.36"/>
    <n v="911427"/>
    <s v="TTM"/>
    <x v="4"/>
  </r>
  <r>
    <s v="Biolage"/>
    <x v="0"/>
    <s v="Search"/>
    <s v="Amazon"/>
    <s v="Amazon"/>
    <d v="2024-09-21T00:00:00"/>
    <d v="2024-01-01T00:00:00"/>
    <n v="6918.2400000000007"/>
    <n v="809967"/>
    <s v="TTM"/>
    <x v="4"/>
  </r>
  <r>
    <s v="Biolage"/>
    <x v="0"/>
    <s v="Search"/>
    <s v="Amazon"/>
    <s v="Amazon"/>
    <d v="2024-09-28T00:00:00"/>
    <d v="2024-01-01T00:00:00"/>
    <n v="7083.1000000000022"/>
    <n v="918069"/>
    <s v="TTM"/>
    <x v="4"/>
  </r>
  <r>
    <s v="Biolage"/>
    <x v="0"/>
    <s v="Search"/>
    <s v="Amazon"/>
    <s v="Amazon"/>
    <d v="2024-10-05T00:00:00"/>
    <d v="2024-01-01T00:00:00"/>
    <n v="7050.2200000000012"/>
    <n v="921717"/>
    <s v="TTM"/>
    <x v="4"/>
  </r>
  <r>
    <s v="Biolage"/>
    <x v="0"/>
    <s v="Search"/>
    <s v="Amazon"/>
    <s v="Amazon"/>
    <d v="2024-10-12T00:00:00"/>
    <d v="2024-01-01T00:00:00"/>
    <n v="19206.60999999999"/>
    <n v="2154802"/>
    <s v="TTM"/>
    <x v="4"/>
  </r>
  <r>
    <s v="Biolage"/>
    <x v="0"/>
    <s v="Search"/>
    <s v="Amazon"/>
    <s v="Amazon"/>
    <d v="2024-10-19T00:00:00"/>
    <d v="2024-01-01T00:00:00"/>
    <n v="13362.960000000001"/>
    <n v="1479269"/>
    <s v="TTM"/>
    <x v="4"/>
  </r>
  <r>
    <s v="Biolage"/>
    <x v="0"/>
    <s v="Search"/>
    <s v="Amazon"/>
    <s v="Amazon"/>
    <d v="2024-10-26T00:00:00"/>
    <d v="2024-01-01T00:00:00"/>
    <n v="13626.760000000002"/>
    <n v="1325885"/>
    <s v="TTM"/>
    <x v="4"/>
  </r>
  <r>
    <s v="Biolage"/>
    <x v="0"/>
    <s v="Search"/>
    <s v="Amazon"/>
    <s v="Amazon"/>
    <d v="2024-11-02T00:00:00"/>
    <d v="2024-01-01T00:00:00"/>
    <n v="13148.350000000004"/>
    <n v="1194244"/>
    <s v="TTM"/>
    <x v="4"/>
  </r>
  <r>
    <s v="Biolage"/>
    <x v="0"/>
    <s v="Search"/>
    <s v="Amazon"/>
    <s v="Amazon"/>
    <d v="2024-11-09T00:00:00"/>
    <d v="2024-01-01T00:00:00"/>
    <n v="12885.310000000001"/>
    <n v="1314119"/>
    <s v="TTM"/>
    <x v="4"/>
  </r>
  <r>
    <s v="Biolage"/>
    <x v="0"/>
    <s v="Search"/>
    <s v="Amazon"/>
    <s v="Amazon"/>
    <d v="2024-11-16T00:00:00"/>
    <d v="2024-01-01T00:00:00"/>
    <n v="13728.680000000004"/>
    <n v="1485645"/>
    <s v="TTM"/>
    <x v="4"/>
  </r>
  <r>
    <s v="Biolage"/>
    <x v="0"/>
    <s v="Search"/>
    <s v="Amazon"/>
    <s v="Amazon"/>
    <d v="2024-11-23T00:00:00"/>
    <d v="2024-01-01T00:00:00"/>
    <n v="13611.39"/>
    <n v="1292443"/>
    <s v="TTM"/>
    <x v="4"/>
  </r>
  <r>
    <s v="Biolage"/>
    <x v="0"/>
    <s v="Search"/>
    <s v="Amazon"/>
    <s v="Amazon"/>
    <d v="2024-11-30T00:00:00"/>
    <d v="2024-01-01T00:00:00"/>
    <n v="24256.400000000001"/>
    <n v="2185067"/>
    <s v="TTM"/>
    <x v="4"/>
  </r>
  <r>
    <s v="Biolage"/>
    <x v="0"/>
    <s v="Search"/>
    <s v="Amazon"/>
    <s v="Amazon"/>
    <d v="2024-12-07T00:00:00"/>
    <d v="2024-01-01T00:00:00"/>
    <n v="12871.820000000002"/>
    <n v="1112334"/>
    <s v="TTM"/>
    <x v="4"/>
  </r>
  <r>
    <s v="Biolage"/>
    <x v="0"/>
    <s v="Search"/>
    <s v="Amazon"/>
    <s v="Amazon"/>
    <d v="2024-12-14T00:00:00"/>
    <d v="2024-01-01T00:00:00"/>
    <n v="6781.4600000000019"/>
    <n v="1023794"/>
    <s v="TTM"/>
    <x v="4"/>
  </r>
  <r>
    <s v="Biolage"/>
    <x v="0"/>
    <s v="Search"/>
    <s v="Amazon"/>
    <s v="Amazon"/>
    <d v="2024-12-21T00:00:00"/>
    <d v="2024-01-01T00:00:00"/>
    <n v="3464.5499999999993"/>
    <n v="497202"/>
    <s v="TTM"/>
    <x v="4"/>
  </r>
  <r>
    <s v="Biolage"/>
    <x v="0"/>
    <s v="Search"/>
    <s v="Amazon"/>
    <s v="Amazon"/>
    <d v="2024-12-28T00:00:00"/>
    <d v="2024-01-01T00:00:00"/>
    <n v="2223.54"/>
    <n v="194867"/>
    <s v="TTM"/>
    <x v="4"/>
  </r>
  <r>
    <s v="Biolage"/>
    <x v="0"/>
    <s v="Search"/>
    <s v="Amazon"/>
    <s v="Amazon"/>
    <d v="2025-01-04T00:00:00"/>
    <d v="2024-01-01T00:00:00"/>
    <n v="915.01"/>
    <n v="75914"/>
    <s v="TTM"/>
    <x v="4"/>
  </r>
  <r>
    <s v="Biolage"/>
    <x v="0"/>
    <s v="Search"/>
    <s v="Amazon"/>
    <s v="Amazon"/>
    <d v="2025-01-04T00:00:00"/>
    <d v="2025-01-01T00:00:00"/>
    <n v="1152.29"/>
    <n v="108518"/>
    <s v="TTM"/>
    <x v="4"/>
  </r>
  <r>
    <s v="Biolage"/>
    <x v="0"/>
    <s v="Search"/>
    <s v="Amazon"/>
    <s v="Amazon"/>
    <d v="2025-01-11T00:00:00"/>
    <d v="2025-01-01T00:00:00"/>
    <n v="1522.27"/>
    <n v="148706"/>
    <s v="TTM"/>
    <x v="4"/>
  </r>
  <r>
    <s v="Biolage"/>
    <x v="0"/>
    <s v="Search"/>
    <s v="Amazon"/>
    <s v="Amazon"/>
    <d v="2025-01-18T00:00:00"/>
    <d v="2025-01-01T00:00:00"/>
    <n v="1540.3500000000001"/>
    <n v="149971"/>
    <s v="TTM"/>
    <x v="4"/>
  </r>
  <r>
    <s v="Biolage"/>
    <x v="0"/>
    <s v="Search"/>
    <s v="Amazon"/>
    <s v="Amazon"/>
    <d v="2025-01-25T00:00:00"/>
    <d v="2025-01-01T00:00:00"/>
    <n v="1490.12"/>
    <n v="148964"/>
    <s v="TTM"/>
    <x v="4"/>
  </r>
  <r>
    <s v="Biolage"/>
    <x v="0"/>
    <s v="Search"/>
    <s v="Amazon"/>
    <s v="Amazon"/>
    <d v="2025-02-01T00:00:00"/>
    <d v="2025-01-01T00:00:00"/>
    <n v="1851.49"/>
    <n v="250189"/>
    <s v="TTM"/>
    <x v="4"/>
  </r>
  <r>
    <s v="Biolage"/>
    <x v="0"/>
    <s v="Search"/>
    <s v="Amazon"/>
    <s v="Amazon"/>
    <d v="2025-02-08T00:00:00"/>
    <d v="2025-01-01T00:00:00"/>
    <n v="2438.8000000000002"/>
    <n v="338295"/>
    <s v="TTM"/>
    <x v="4"/>
  </r>
  <r>
    <s v="Biolage"/>
    <x v="0"/>
    <s v="Search"/>
    <s v="Amazon"/>
    <s v="Amazon"/>
    <d v="2025-02-15T00:00:00"/>
    <d v="2025-01-01T00:00:00"/>
    <n v="2402.8199999999993"/>
    <n v="261360"/>
    <s v="TTM"/>
    <x v="4"/>
  </r>
  <r>
    <s v="Biolage"/>
    <x v="0"/>
    <s v="Search"/>
    <s v="Amazon"/>
    <s v="Amazon"/>
    <d v="2025-02-22T00:00:00"/>
    <d v="2025-01-01T00:00:00"/>
    <n v="2451.9500000000003"/>
    <n v="221318"/>
    <s v="TTM"/>
    <x v="4"/>
  </r>
  <r>
    <s v="Biolage"/>
    <x v="0"/>
    <s v="Search"/>
    <s v="Amazon"/>
    <s v="Amazon"/>
    <d v="2025-03-01T00:00:00"/>
    <d v="2025-01-01T00:00:00"/>
    <n v="4396.07"/>
    <n v="423272"/>
    <s v="TTM"/>
    <x v="4"/>
  </r>
  <r>
    <s v="Biolage"/>
    <x v="0"/>
    <s v="Search"/>
    <s v="Amazon"/>
    <s v="Amazon"/>
    <d v="2025-03-08T00:00:00"/>
    <d v="2025-01-01T00:00:00"/>
    <n v="4948.2299999999996"/>
    <n v="354715"/>
    <s v="TTM"/>
    <x v="4"/>
  </r>
  <r>
    <s v="Biolage"/>
    <x v="0"/>
    <s v="Search"/>
    <s v="Amazon"/>
    <s v="Amazon"/>
    <d v="2025-03-15T00:00:00"/>
    <d v="2025-01-01T00:00:00"/>
    <n v="5018.949999999998"/>
    <n v="316729"/>
    <s v="TTM"/>
    <x v="4"/>
  </r>
  <r>
    <s v="Biolage"/>
    <x v="0"/>
    <s v="Search"/>
    <s v="Amazon"/>
    <s v="Amazon"/>
    <d v="2025-03-22T00:00:00"/>
    <d v="2025-01-01T00:00:00"/>
    <n v="4964.97"/>
    <n v="344319"/>
    <s v="TTM"/>
    <x v="4"/>
  </r>
  <r>
    <s v="Biolage"/>
    <x v="0"/>
    <s v="Search"/>
    <s v="Amazon"/>
    <s v="Amazon"/>
    <d v="2025-03-29T00:00:00"/>
    <d v="2025-01-01T00:00:00"/>
    <n v="3387.6600000000003"/>
    <n v="290217"/>
    <s v="TTM"/>
    <x v="4"/>
  </r>
  <r>
    <s v="Biolage"/>
    <x v="0"/>
    <s v="Search"/>
    <s v="Amazon"/>
    <s v="Amazon"/>
    <d v="2025-04-05T00:00:00"/>
    <d v="2025-01-01T00:00:00"/>
    <n v="3302.6099999999988"/>
    <n v="197669"/>
    <s v="TTM"/>
    <x v="4"/>
  </r>
  <r>
    <s v="Biolage"/>
    <x v="0"/>
    <s v="Search"/>
    <s v="Amazon"/>
    <s v="Amazon"/>
    <d v="2025-04-12T00:00:00"/>
    <d v="2025-01-01T00:00:00"/>
    <n v="4614.1000000000004"/>
    <n v="239080"/>
    <s v="TTM"/>
    <x v="4"/>
  </r>
  <r>
    <s v="Biolage"/>
    <x v="0"/>
    <s v="Search"/>
    <s v="Amazon"/>
    <s v="Amazon"/>
    <d v="2025-04-19T00:00:00"/>
    <d v="2025-01-01T00:00:00"/>
    <n v="5812.74"/>
    <n v="235145"/>
    <s v="TTM"/>
    <x v="4"/>
  </r>
  <r>
    <s v="Biolage"/>
    <x v="0"/>
    <s v="Search"/>
    <s v="Amazon"/>
    <s v="Amazon"/>
    <d v="2025-04-26T00:00:00"/>
    <d v="2025-01-01T00:00:00"/>
    <n v="7921.6600000000035"/>
    <n v="291939"/>
    <s v="TTM"/>
    <x v="4"/>
  </r>
  <r>
    <s v="Biolage"/>
    <x v="0"/>
    <s v="Search"/>
    <s v="Amazon"/>
    <s v="Amazon"/>
    <d v="2025-05-03T00:00:00"/>
    <d v="2025-01-01T00:00:00"/>
    <n v="12181.109999999993"/>
    <n v="480182"/>
    <s v="TTM"/>
    <x v="4"/>
  </r>
  <r>
    <s v="Biolage"/>
    <x v="0"/>
    <s v="Search"/>
    <s v="Amazon"/>
    <s v="Amazon"/>
    <d v="2025-05-10T00:00:00"/>
    <d v="2025-01-01T00:00:00"/>
    <n v="13053.08"/>
    <n v="598982"/>
    <s v="TTM"/>
    <x v="4"/>
  </r>
  <r>
    <s v="Biolage"/>
    <x v="0"/>
    <s v="Search"/>
    <s v="Amazon"/>
    <s v="Amazon"/>
    <d v="2025-05-17T00:00:00"/>
    <d v="2025-01-01T00:00:00"/>
    <n v="16050.230000000005"/>
    <n v="735038"/>
    <s v="TTM"/>
    <x v="4"/>
  </r>
  <r>
    <s v="Biolage"/>
    <x v="0"/>
    <s v="Search"/>
    <s v="Amazon"/>
    <s v="Amazon"/>
    <d v="2025-05-24T00:00:00"/>
    <d v="2025-01-01T00:00:00"/>
    <n v="8414.84"/>
    <n v="497238"/>
    <s v="TTM"/>
    <x v="4"/>
  </r>
  <r>
    <s v="Biolage"/>
    <x v="0"/>
    <s v="Search"/>
    <s v="Amazon"/>
    <s v="Amazon"/>
    <d v="2025-05-31T00:00:00"/>
    <d v="2025-01-01T00:00:00"/>
    <n v="12189.31"/>
    <n v="893453"/>
    <s v="TTM"/>
    <x v="4"/>
  </r>
  <r>
    <s v="Biolage"/>
    <x v="0"/>
    <s v="Search"/>
    <s v="Amazon"/>
    <s v="Amazon"/>
    <d v="2025-06-07T00:00:00"/>
    <d v="2025-01-01T00:00:00"/>
    <n v="14789.17"/>
    <n v="864833"/>
    <s v="TTM"/>
    <x v="4"/>
  </r>
  <r>
    <s v="Biolage"/>
    <x v="0"/>
    <s v="Search"/>
    <s v="Amazon"/>
    <s v="Amazon"/>
    <d v="2025-06-14T00:00:00"/>
    <d v="2025-01-01T00:00:00"/>
    <n v="15685.35"/>
    <n v="1010296"/>
    <s v="TTM"/>
    <x v="4"/>
  </r>
  <r>
    <s v="Biolage"/>
    <x v="0"/>
    <s v="Search"/>
    <s v="Amazon"/>
    <s v="Amazon"/>
    <d v="2025-06-21T00:00:00"/>
    <d v="2025-01-01T00:00:00"/>
    <n v="15722.250000000007"/>
    <n v="1762988"/>
    <s v="TTM"/>
    <x v="4"/>
  </r>
  <r>
    <s v="Biolage"/>
    <x v="0"/>
    <s v="Search"/>
    <s v="Amazon"/>
    <s v="Amazon"/>
    <d v="2025-06-28T00:00:00"/>
    <d v="2025-01-01T00:00:00"/>
    <n v="11872.499999999996"/>
    <n v="1574755"/>
    <s v="TTM"/>
    <x v="4"/>
  </r>
  <r>
    <s v="Biolage"/>
    <x v="3"/>
    <s v="Display"/>
    <s v="Amazon"/>
    <s v="Amazon"/>
    <d v="2023-07-01T00:00:00"/>
    <d v="2023-01-01T00:00:00"/>
    <n v="838.63439999999991"/>
    <n v="113183"/>
    <s v="PY"/>
    <x v="3"/>
  </r>
  <r>
    <s v="Biolage"/>
    <x v="3"/>
    <s v="Display"/>
    <s v="Amazon"/>
    <s v="Amazon"/>
    <d v="2023-07-08T00:00:00"/>
    <d v="2023-01-01T00:00:00"/>
    <n v="5782.3420999999989"/>
    <n v="732872"/>
    <s v="PY"/>
    <x v="3"/>
  </r>
  <r>
    <s v="Biolage"/>
    <x v="3"/>
    <s v="Display"/>
    <s v="Amazon"/>
    <s v="Amazon"/>
    <d v="2023-07-15T00:00:00"/>
    <d v="2023-01-01T00:00:00"/>
    <n v="5795.5743999999995"/>
    <n v="727121"/>
    <s v="LY"/>
    <x v="3"/>
  </r>
  <r>
    <s v="Biolage"/>
    <x v="3"/>
    <s v="Display"/>
    <s v="Amazon"/>
    <s v="Amazon"/>
    <d v="2023-07-22T00:00:00"/>
    <d v="2023-01-01T00:00:00"/>
    <n v="6467.8800999999985"/>
    <n v="870309"/>
    <s v="LY"/>
    <x v="3"/>
  </r>
  <r>
    <s v="Biolage"/>
    <x v="3"/>
    <s v="Display"/>
    <s v="Amazon"/>
    <s v="Amazon"/>
    <d v="2023-07-29T00:00:00"/>
    <d v="2023-01-01T00:00:00"/>
    <n v="6478.1186000000043"/>
    <n v="853281"/>
    <s v="LY"/>
    <x v="3"/>
  </r>
  <r>
    <s v="Biolage"/>
    <x v="3"/>
    <s v="Display"/>
    <s v="Amazon"/>
    <s v="Amazon"/>
    <d v="2023-08-05T00:00:00"/>
    <d v="2023-01-01T00:00:00"/>
    <n v="6616.887700000003"/>
    <n v="997291"/>
    <s v="LY"/>
    <x v="3"/>
  </r>
  <r>
    <s v="Biolage"/>
    <x v="3"/>
    <s v="Display"/>
    <s v="Amazon"/>
    <s v="Amazon"/>
    <d v="2023-08-12T00:00:00"/>
    <d v="2023-01-01T00:00:00"/>
    <n v="6345.0311999999985"/>
    <n v="880414"/>
    <s v="LY"/>
    <x v="3"/>
  </r>
  <r>
    <s v="Biolage"/>
    <x v="3"/>
    <s v="Display"/>
    <s v="Amazon"/>
    <s v="Amazon"/>
    <d v="2023-08-19T00:00:00"/>
    <d v="2023-01-01T00:00:00"/>
    <n v="8070.4940999999981"/>
    <n v="1075785"/>
    <s v="LY"/>
    <x v="3"/>
  </r>
  <r>
    <s v="Biolage"/>
    <x v="3"/>
    <s v="Display"/>
    <s v="Amazon"/>
    <s v="Amazon"/>
    <d v="2023-08-26T00:00:00"/>
    <d v="2023-01-01T00:00:00"/>
    <n v="8057.9412999999995"/>
    <n v="1095793"/>
    <s v="LY"/>
    <x v="3"/>
  </r>
  <r>
    <s v="Biolage"/>
    <x v="3"/>
    <s v="Display"/>
    <s v="Amazon"/>
    <s v="Amazon"/>
    <d v="2023-09-02T00:00:00"/>
    <d v="2023-01-01T00:00:00"/>
    <n v="9400.9896000000044"/>
    <n v="1092307"/>
    <s v="LY"/>
    <x v="3"/>
  </r>
  <r>
    <s v="Biolage"/>
    <x v="3"/>
    <s v="Display"/>
    <s v="Amazon"/>
    <s v="Amazon"/>
    <d v="2023-09-09T00:00:00"/>
    <d v="2023-01-01T00:00:00"/>
    <n v="5948.8983999999973"/>
    <n v="956122"/>
    <s v="LY"/>
    <x v="3"/>
  </r>
  <r>
    <s v="Biolage"/>
    <x v="3"/>
    <s v="Display"/>
    <s v="Amazon"/>
    <s v="Amazon"/>
    <d v="2023-09-16T00:00:00"/>
    <d v="2023-01-01T00:00:00"/>
    <n v="6560.9118999999973"/>
    <n v="1082202"/>
    <s v="LY"/>
    <x v="3"/>
  </r>
  <r>
    <s v="Biolage"/>
    <x v="3"/>
    <s v="Display"/>
    <s v="Amazon"/>
    <s v="Amazon"/>
    <d v="2023-09-23T00:00:00"/>
    <d v="2023-01-01T00:00:00"/>
    <n v="4838.3943999999983"/>
    <n v="721878"/>
    <s v="LY"/>
    <x v="3"/>
  </r>
  <r>
    <s v="Biolage"/>
    <x v="3"/>
    <s v="Display"/>
    <s v="Amazon"/>
    <s v="Amazon"/>
    <d v="2023-09-30T00:00:00"/>
    <d v="2023-01-01T00:00:00"/>
    <n v="2774.3762999999994"/>
    <n v="266672"/>
    <s v="LY"/>
    <x v="3"/>
  </r>
  <r>
    <s v="Biolage"/>
    <x v="3"/>
    <s v="Display"/>
    <s v="Amazon"/>
    <s v="Amazon"/>
    <d v="2023-10-07T00:00:00"/>
    <d v="2023-01-01T00:00:00"/>
    <n v="6464.8902000000007"/>
    <n v="872306"/>
    <s v="LY"/>
    <x v="3"/>
  </r>
  <r>
    <s v="Biolage"/>
    <x v="3"/>
    <s v="Display"/>
    <s v="Amazon"/>
    <s v="Amazon"/>
    <d v="2023-10-14T00:00:00"/>
    <d v="2023-01-01T00:00:00"/>
    <n v="7350.6913000000031"/>
    <n v="958900"/>
    <s v="LY"/>
    <x v="3"/>
  </r>
  <r>
    <s v="Biolage"/>
    <x v="3"/>
    <s v="Display"/>
    <s v="Amazon"/>
    <s v="Amazon"/>
    <d v="2023-10-21T00:00:00"/>
    <d v="2023-01-01T00:00:00"/>
    <n v="7832.879100000001"/>
    <n v="1066391"/>
    <s v="LY"/>
    <x v="3"/>
  </r>
  <r>
    <s v="Biolage"/>
    <x v="3"/>
    <s v="Display"/>
    <s v="Amazon"/>
    <s v="Amazon"/>
    <d v="2023-10-28T00:00:00"/>
    <d v="2023-01-01T00:00:00"/>
    <n v="6446.2257000000018"/>
    <n v="887762"/>
    <s v="LY"/>
    <x v="3"/>
  </r>
  <r>
    <s v="Biolage"/>
    <x v="3"/>
    <s v="Display"/>
    <s v="Amazon"/>
    <s v="Amazon"/>
    <d v="2023-11-04T00:00:00"/>
    <d v="2023-01-01T00:00:00"/>
    <n v="6111.8703000000014"/>
    <n v="902840"/>
    <s v="LY"/>
    <x v="3"/>
  </r>
  <r>
    <s v="Biolage"/>
    <x v="3"/>
    <s v="Display"/>
    <s v="Amazon"/>
    <s v="Amazon"/>
    <d v="2023-11-11T00:00:00"/>
    <d v="2023-01-01T00:00:00"/>
    <n v="7335.3335000000006"/>
    <n v="1052203"/>
    <s v="LY"/>
    <x v="3"/>
  </r>
  <r>
    <s v="Biolage"/>
    <x v="3"/>
    <s v="Display"/>
    <s v="Amazon"/>
    <s v="Amazon"/>
    <d v="2023-11-18T00:00:00"/>
    <d v="2023-01-01T00:00:00"/>
    <n v="6245.5969000000023"/>
    <n v="812067"/>
    <s v="LY"/>
    <x v="3"/>
  </r>
  <r>
    <s v="Biolage"/>
    <x v="3"/>
    <s v="Display"/>
    <s v="Amazon"/>
    <s v="Amazon"/>
    <d v="2023-11-25T00:00:00"/>
    <d v="2023-01-01T00:00:00"/>
    <n v="5834.1454000000022"/>
    <n v="746990"/>
    <s v="LY"/>
    <x v="3"/>
  </r>
  <r>
    <s v="Biolage"/>
    <x v="3"/>
    <s v="Display"/>
    <s v="Amazon"/>
    <s v="Amazon"/>
    <d v="2023-12-02T00:00:00"/>
    <d v="2023-01-01T00:00:00"/>
    <n v="4090.4277999999999"/>
    <n v="501122"/>
    <s v="LY"/>
    <x v="3"/>
  </r>
  <r>
    <s v="Biolage"/>
    <x v="3"/>
    <s v="Display"/>
    <s v="Amazon"/>
    <s v="Amazon"/>
    <d v="2023-12-09T00:00:00"/>
    <d v="2023-01-01T00:00:00"/>
    <n v="4386.2370999999976"/>
    <n v="651753"/>
    <s v="LY"/>
    <x v="3"/>
  </r>
  <r>
    <s v="Biolage"/>
    <x v="3"/>
    <s v="Display"/>
    <s v="Amazon"/>
    <s v="Amazon"/>
    <d v="2023-12-16T00:00:00"/>
    <d v="2023-01-01T00:00:00"/>
    <n v="4300.1457"/>
    <n v="725610"/>
    <s v="LY"/>
    <x v="3"/>
  </r>
  <r>
    <s v="Biolage"/>
    <x v="3"/>
    <s v="Display"/>
    <s v="Amazon"/>
    <s v="Amazon"/>
    <d v="2023-12-23T00:00:00"/>
    <d v="2023-01-01T00:00:00"/>
    <n v="4172.0446999999995"/>
    <n v="779202"/>
    <s v="LY"/>
    <x v="3"/>
  </r>
  <r>
    <s v="Biolage"/>
    <x v="3"/>
    <s v="Display"/>
    <s v="Amazon"/>
    <s v="Amazon"/>
    <d v="2023-12-30T00:00:00"/>
    <d v="2023-01-01T00:00:00"/>
    <n v="2882.5598000000005"/>
    <n v="592693"/>
    <s v="LY"/>
    <x v="3"/>
  </r>
  <r>
    <s v="Biolage"/>
    <x v="3"/>
    <s v="Display"/>
    <s v="Amazon"/>
    <s v="Amazon"/>
    <d v="2024-01-06T00:00:00"/>
    <d v="2023-01-01T00:00:00"/>
    <n v="17.196099999999998"/>
    <n v="5069"/>
    <s v="LY"/>
    <x v="3"/>
  </r>
  <r>
    <s v="Biolage"/>
    <x v="3"/>
    <s v="Display"/>
    <s v="Amazon"/>
    <s v="Amazon"/>
    <d v="2024-01-06T00:00:00"/>
    <d v="2024-01-01T00:00:00"/>
    <n v="4102.947000000001"/>
    <n v="691155"/>
    <s v="LY"/>
    <x v="3"/>
  </r>
  <r>
    <s v="Biolage"/>
    <x v="3"/>
    <s v="Display"/>
    <s v="Amazon"/>
    <s v="Amazon"/>
    <d v="2024-01-13T00:00:00"/>
    <d v="2024-01-01T00:00:00"/>
    <n v="7017.3684999999969"/>
    <n v="1338907"/>
    <s v="LY"/>
    <x v="3"/>
  </r>
  <r>
    <s v="Biolage"/>
    <x v="3"/>
    <s v="Display"/>
    <s v="Amazon"/>
    <s v="Amazon"/>
    <d v="2024-01-20T00:00:00"/>
    <d v="2024-01-01T00:00:00"/>
    <n v="7183.6363000000001"/>
    <n v="1469457"/>
    <s v="LY"/>
    <x v="3"/>
  </r>
  <r>
    <s v="Biolage"/>
    <x v="3"/>
    <s v="Display"/>
    <s v="Amazon"/>
    <s v="Amazon"/>
    <d v="2024-01-27T00:00:00"/>
    <d v="2024-01-01T00:00:00"/>
    <n v="7121.7094999999999"/>
    <n v="1459880"/>
    <s v="LY"/>
    <x v="3"/>
  </r>
  <r>
    <s v="Biolage"/>
    <x v="3"/>
    <s v="Display"/>
    <s v="Amazon"/>
    <s v="Amazon"/>
    <d v="2024-02-03T00:00:00"/>
    <d v="2024-01-01T00:00:00"/>
    <n v="4245.222499999998"/>
    <n v="911053"/>
    <s v="LY"/>
    <x v="3"/>
  </r>
  <r>
    <s v="Biolage"/>
    <x v="3"/>
    <s v="Display"/>
    <s v="Amazon"/>
    <s v="Amazon"/>
    <d v="2024-02-10T00:00:00"/>
    <d v="2024-01-01T00:00:00"/>
    <n v="7178.1404999999977"/>
    <n v="1573613"/>
    <s v="LY"/>
    <x v="3"/>
  </r>
  <r>
    <s v="Biolage"/>
    <x v="3"/>
    <s v="Display"/>
    <s v="Amazon"/>
    <s v="Amazon"/>
    <d v="2024-02-17T00:00:00"/>
    <d v="2024-01-01T00:00:00"/>
    <n v="7063.3274000000038"/>
    <n v="1605831"/>
    <s v="LY"/>
    <x v="3"/>
  </r>
  <r>
    <s v="Biolage"/>
    <x v="3"/>
    <s v="Display"/>
    <s v="Amazon"/>
    <s v="Amazon"/>
    <d v="2024-02-24T00:00:00"/>
    <d v="2024-01-01T00:00:00"/>
    <n v="6835.9557999999988"/>
    <n v="1599046"/>
    <s v="LY"/>
    <x v="3"/>
  </r>
  <r>
    <s v="Biolage"/>
    <x v="3"/>
    <s v="Display"/>
    <s v="Amazon"/>
    <s v="Amazon"/>
    <d v="2024-03-02T00:00:00"/>
    <d v="2024-01-01T00:00:00"/>
    <n v="3669.5361999999977"/>
    <n v="767666"/>
    <s v="LY"/>
    <x v="3"/>
  </r>
  <r>
    <s v="Biolage"/>
    <x v="3"/>
    <s v="Display"/>
    <s v="Amazon"/>
    <s v="Amazon"/>
    <d v="2024-03-09T00:00:00"/>
    <d v="2024-01-01T00:00:00"/>
    <n v="5334.588600000001"/>
    <n v="960617"/>
    <s v="LY"/>
    <x v="3"/>
  </r>
  <r>
    <s v="Biolage"/>
    <x v="3"/>
    <s v="Display"/>
    <s v="Amazon"/>
    <s v="Amazon"/>
    <d v="2024-03-16T00:00:00"/>
    <d v="2024-01-01T00:00:00"/>
    <n v="5314.477100000001"/>
    <n v="771512"/>
    <s v="LY"/>
    <x v="3"/>
  </r>
  <r>
    <s v="Biolage"/>
    <x v="3"/>
    <s v="Display"/>
    <s v="Amazon"/>
    <s v="Amazon"/>
    <d v="2024-03-23T00:00:00"/>
    <d v="2024-01-01T00:00:00"/>
    <n v="5419.9525000000012"/>
    <n v="829069"/>
    <s v="LY"/>
    <x v="3"/>
  </r>
  <r>
    <s v="Biolage"/>
    <x v="3"/>
    <s v="Display"/>
    <s v="Amazon"/>
    <s v="Amazon"/>
    <d v="2024-03-30T00:00:00"/>
    <d v="2024-01-01T00:00:00"/>
    <n v="4678.0623999999971"/>
    <n v="701026"/>
    <s v="LY"/>
    <x v="3"/>
  </r>
  <r>
    <s v="Biolage"/>
    <x v="3"/>
    <s v="Display"/>
    <s v="Amazon"/>
    <s v="Amazon"/>
    <d v="2024-04-06T00:00:00"/>
    <d v="2024-01-01T00:00:00"/>
    <n v="5697.4231000000018"/>
    <n v="975042"/>
    <s v="LY"/>
    <x v="3"/>
  </r>
  <r>
    <s v="Biolage"/>
    <x v="3"/>
    <s v="Display"/>
    <s v="Amazon"/>
    <s v="Amazon"/>
    <d v="2024-04-13T00:00:00"/>
    <d v="2024-01-01T00:00:00"/>
    <n v="6972.1745999999994"/>
    <n v="1205741"/>
    <s v="LY"/>
    <x v="3"/>
  </r>
  <r>
    <s v="Biolage"/>
    <x v="3"/>
    <s v="Display"/>
    <s v="Amazon"/>
    <s v="Amazon"/>
    <d v="2024-04-20T00:00:00"/>
    <d v="2024-01-01T00:00:00"/>
    <n v="7775.753999999999"/>
    <n v="1339507"/>
    <s v="LY"/>
    <x v="3"/>
  </r>
  <r>
    <s v="Biolage"/>
    <x v="3"/>
    <s v="Display"/>
    <s v="Amazon"/>
    <s v="Amazon"/>
    <d v="2024-04-27T00:00:00"/>
    <d v="2024-01-01T00:00:00"/>
    <n v="7911.2648999999992"/>
    <n v="1155660"/>
    <s v="LY"/>
    <x v="3"/>
  </r>
  <r>
    <s v="Biolage"/>
    <x v="3"/>
    <s v="Display"/>
    <s v="Amazon"/>
    <s v="Amazon"/>
    <d v="2024-05-04T00:00:00"/>
    <d v="2024-01-01T00:00:00"/>
    <n v="6958.256000000004"/>
    <n v="1026928"/>
    <s v="LY"/>
    <x v="3"/>
  </r>
  <r>
    <s v="Biolage"/>
    <x v="3"/>
    <s v="Display"/>
    <s v="Amazon"/>
    <s v="Amazon"/>
    <d v="2024-05-11T00:00:00"/>
    <d v="2024-01-01T00:00:00"/>
    <n v="7437.2620000000052"/>
    <n v="1240242"/>
    <s v="LY"/>
    <x v="3"/>
  </r>
  <r>
    <s v="Biolage"/>
    <x v="3"/>
    <s v="Display"/>
    <s v="Amazon"/>
    <s v="Amazon"/>
    <d v="2024-05-18T00:00:00"/>
    <d v="2024-01-01T00:00:00"/>
    <n v="7011.0145999999986"/>
    <n v="1064484"/>
    <s v="LY"/>
    <x v="3"/>
  </r>
  <r>
    <s v="Biolage"/>
    <x v="3"/>
    <s v="Display"/>
    <s v="Amazon"/>
    <s v="Amazon"/>
    <d v="2024-05-25T00:00:00"/>
    <d v="2024-01-01T00:00:00"/>
    <n v="7299.7984999999981"/>
    <n v="1339265"/>
    <s v="LY"/>
    <x v="3"/>
  </r>
  <r>
    <s v="Biolage"/>
    <x v="3"/>
    <s v="Display"/>
    <s v="Amazon"/>
    <s v="Amazon"/>
    <d v="2024-06-01T00:00:00"/>
    <d v="2024-01-01T00:00:00"/>
    <n v="7096.5883999999951"/>
    <n v="1509675"/>
    <s v="LY"/>
    <x v="3"/>
  </r>
  <r>
    <s v="Biolage"/>
    <x v="3"/>
    <s v="Display"/>
    <s v="Amazon"/>
    <s v="Amazon"/>
    <d v="2024-06-08T00:00:00"/>
    <d v="2024-01-01T00:00:00"/>
    <n v="12454.006200000013"/>
    <n v="2656124"/>
    <s v="LY"/>
    <x v="3"/>
  </r>
  <r>
    <s v="Biolage"/>
    <x v="3"/>
    <s v="Display"/>
    <s v="Amazon"/>
    <s v="Amazon"/>
    <d v="2024-06-15T00:00:00"/>
    <d v="2024-01-01T00:00:00"/>
    <n v="15719.700500000004"/>
    <n v="3315977"/>
    <s v="LY"/>
    <x v="3"/>
  </r>
  <r>
    <s v="Biolage"/>
    <x v="3"/>
    <s v="Display"/>
    <s v="Amazon"/>
    <s v="Amazon"/>
    <d v="2024-06-22T00:00:00"/>
    <d v="2024-01-01T00:00:00"/>
    <n v="14335.960600000008"/>
    <n v="3005367"/>
    <s v="LY"/>
    <x v="3"/>
  </r>
  <r>
    <s v="Biolage"/>
    <x v="3"/>
    <s v="Display"/>
    <s v="Amazon"/>
    <s v="Amazon"/>
    <d v="2024-06-29T00:00:00"/>
    <d v="2024-01-01T00:00:00"/>
    <n v="13608.718099999995"/>
    <n v="2762164"/>
    <s v="LY"/>
    <x v="3"/>
  </r>
  <r>
    <s v="Biolage"/>
    <x v="3"/>
    <s v="Display"/>
    <s v="Amazon"/>
    <s v="Amazon"/>
    <d v="2024-07-06T00:00:00"/>
    <d v="2024-01-01T00:00:00"/>
    <n v="6419.6618999999973"/>
    <n v="1798709"/>
    <s v="LY"/>
    <x v="3"/>
  </r>
  <r>
    <s v="Biolage"/>
    <x v="3"/>
    <s v="Display"/>
    <s v="Amazon"/>
    <s v="Amazon"/>
    <d v="2024-07-13T00:00:00"/>
    <d v="2024-01-01T00:00:00"/>
    <n v="5462.6431999999977"/>
    <n v="1527595"/>
    <s v="TTM"/>
    <x v="3"/>
  </r>
  <r>
    <s v="Biolage"/>
    <x v="3"/>
    <s v="Display"/>
    <s v="Amazon"/>
    <s v="Amazon"/>
    <d v="2024-07-20T00:00:00"/>
    <d v="2024-01-01T00:00:00"/>
    <n v="3985.3638000000019"/>
    <n v="927020"/>
    <s v="TTM"/>
    <x v="3"/>
  </r>
  <r>
    <s v="Biolage"/>
    <x v="3"/>
    <s v="Display"/>
    <s v="Amazon"/>
    <s v="Amazon"/>
    <d v="2024-07-27T00:00:00"/>
    <d v="2024-01-01T00:00:00"/>
    <n v="6544.4733000000006"/>
    <n v="1792984"/>
    <s v="TTM"/>
    <x v="3"/>
  </r>
  <r>
    <s v="Biolage"/>
    <x v="3"/>
    <s v="Display"/>
    <s v="Amazon"/>
    <s v="Amazon"/>
    <d v="2024-08-03T00:00:00"/>
    <d v="2024-01-01T00:00:00"/>
    <n v="5720.512000000007"/>
    <n v="1700850"/>
    <s v="TTM"/>
    <x v="3"/>
  </r>
  <r>
    <s v="Biolage"/>
    <x v="3"/>
    <s v="Display"/>
    <s v="Amazon"/>
    <s v="Amazon"/>
    <d v="2024-08-10T00:00:00"/>
    <d v="2024-01-01T00:00:00"/>
    <n v="5663.8552999999993"/>
    <n v="1790774"/>
    <s v="TTM"/>
    <x v="3"/>
  </r>
  <r>
    <s v="Biolage"/>
    <x v="3"/>
    <s v="Display"/>
    <s v="Amazon"/>
    <s v="Amazon"/>
    <d v="2024-08-17T00:00:00"/>
    <d v="2024-01-01T00:00:00"/>
    <n v="5591.6180000000013"/>
    <n v="1633791"/>
    <s v="TTM"/>
    <x v="3"/>
  </r>
  <r>
    <s v="Biolage"/>
    <x v="3"/>
    <s v="Display"/>
    <s v="Amazon"/>
    <s v="Amazon"/>
    <d v="2024-08-24T00:00:00"/>
    <d v="2024-01-01T00:00:00"/>
    <n v="5620.3661000000047"/>
    <n v="1674106"/>
    <s v="TTM"/>
    <x v="3"/>
  </r>
  <r>
    <s v="Biolage"/>
    <x v="3"/>
    <s v="Display"/>
    <s v="Amazon"/>
    <s v="Amazon"/>
    <d v="2024-08-31T00:00:00"/>
    <d v="2024-01-01T00:00:00"/>
    <n v="7576.036900000001"/>
    <n v="2037767"/>
    <s v="TTM"/>
    <x v="3"/>
  </r>
  <r>
    <s v="Biolage"/>
    <x v="3"/>
    <s v="Display"/>
    <s v="Amazon"/>
    <s v="Amazon"/>
    <d v="2024-09-07T00:00:00"/>
    <d v="2024-01-01T00:00:00"/>
    <n v="9659.0651999999991"/>
    <n v="2241173"/>
    <s v="TTM"/>
    <x v="3"/>
  </r>
  <r>
    <s v="Biolage"/>
    <x v="3"/>
    <s v="Display"/>
    <s v="Amazon"/>
    <s v="Amazon"/>
    <d v="2024-09-14T00:00:00"/>
    <d v="2024-01-01T00:00:00"/>
    <n v="9735.6572000000069"/>
    <n v="2344205"/>
    <s v="TTM"/>
    <x v="3"/>
  </r>
  <r>
    <s v="Biolage"/>
    <x v="3"/>
    <s v="Display"/>
    <s v="Amazon"/>
    <s v="Amazon"/>
    <d v="2024-09-21T00:00:00"/>
    <d v="2024-01-01T00:00:00"/>
    <n v="9794.821699999995"/>
    <n v="2361275"/>
    <s v="TTM"/>
    <x v="3"/>
  </r>
  <r>
    <s v="Biolage"/>
    <x v="3"/>
    <s v="Display"/>
    <s v="Amazon"/>
    <s v="Amazon"/>
    <d v="2024-09-28T00:00:00"/>
    <d v="2024-01-01T00:00:00"/>
    <n v="9758.4418999999962"/>
    <n v="2309108"/>
    <s v="TTM"/>
    <x v="3"/>
  </r>
  <r>
    <s v="Biolage"/>
    <x v="3"/>
    <s v="Display"/>
    <s v="Amazon"/>
    <s v="Amazon"/>
    <d v="2024-10-05T00:00:00"/>
    <d v="2024-01-01T00:00:00"/>
    <n v="8334.4894000000022"/>
    <n v="2289715"/>
    <s v="TTM"/>
    <x v="3"/>
  </r>
  <r>
    <s v="Biolage"/>
    <x v="3"/>
    <s v="Display"/>
    <s v="Amazon"/>
    <s v="Amazon"/>
    <d v="2024-10-12T00:00:00"/>
    <d v="2024-01-01T00:00:00"/>
    <n v="8824.4339999999956"/>
    <n v="2138255"/>
    <s v="TTM"/>
    <x v="3"/>
  </r>
  <r>
    <s v="Biolage"/>
    <x v="3"/>
    <s v="Display"/>
    <s v="Amazon"/>
    <s v="Amazon"/>
    <d v="2024-10-19T00:00:00"/>
    <d v="2024-01-01T00:00:00"/>
    <n v="7314.5318000000043"/>
    <n v="4265804"/>
    <s v="TTM"/>
    <x v="3"/>
  </r>
  <r>
    <s v="Biolage"/>
    <x v="3"/>
    <s v="Display"/>
    <s v="Amazon"/>
    <s v="Amazon"/>
    <d v="2024-10-26T00:00:00"/>
    <d v="2024-01-01T00:00:00"/>
    <n v="10091.927600000005"/>
    <n v="7023755"/>
    <s v="TTM"/>
    <x v="3"/>
  </r>
  <r>
    <s v="Biolage"/>
    <x v="3"/>
    <s v="Display"/>
    <s v="Amazon"/>
    <s v="Amazon"/>
    <d v="2024-11-02T00:00:00"/>
    <d v="2024-01-01T00:00:00"/>
    <n v="11482.0893"/>
    <n v="5970169"/>
    <s v="TTM"/>
    <x v="3"/>
  </r>
  <r>
    <s v="Biolage"/>
    <x v="3"/>
    <s v="Display"/>
    <s v="Amazon"/>
    <s v="Amazon"/>
    <d v="2024-11-09T00:00:00"/>
    <d v="2024-01-01T00:00:00"/>
    <n v="13038.100600000007"/>
    <n v="8132619"/>
    <s v="TTM"/>
    <x v="3"/>
  </r>
  <r>
    <s v="Biolage"/>
    <x v="3"/>
    <s v="Display"/>
    <s v="Amazon"/>
    <s v="Amazon"/>
    <d v="2024-11-16T00:00:00"/>
    <d v="2024-01-01T00:00:00"/>
    <n v="12388.117099999998"/>
    <n v="6432203"/>
    <s v="TTM"/>
    <x v="3"/>
  </r>
  <r>
    <s v="Biolage"/>
    <x v="3"/>
    <s v="Display"/>
    <s v="Amazon"/>
    <s v="Amazon"/>
    <d v="2024-11-23T00:00:00"/>
    <d v="2024-01-01T00:00:00"/>
    <n v="13146.266100000012"/>
    <n v="5898199"/>
    <s v="TTM"/>
    <x v="3"/>
  </r>
  <r>
    <s v="Biolage"/>
    <x v="3"/>
    <s v="Display"/>
    <s v="Amazon"/>
    <s v="Amazon"/>
    <d v="2024-11-30T00:00:00"/>
    <d v="2024-01-01T00:00:00"/>
    <n v="16179.458799999989"/>
    <n v="5926870"/>
    <s v="TTM"/>
    <x v="3"/>
  </r>
  <r>
    <s v="Biolage"/>
    <x v="3"/>
    <s v="Display"/>
    <s v="Amazon"/>
    <s v="Amazon"/>
    <d v="2024-12-07T00:00:00"/>
    <d v="2024-01-01T00:00:00"/>
    <n v="6228.6185999999989"/>
    <n v="2247514"/>
    <s v="TTM"/>
    <x v="3"/>
  </r>
  <r>
    <s v="Biolage"/>
    <x v="3"/>
    <s v="Display"/>
    <s v="Amazon"/>
    <s v="Amazon"/>
    <d v="2024-12-14T00:00:00"/>
    <d v="2024-01-01T00:00:00"/>
    <n v="6338.3932999999997"/>
    <n v="2530733"/>
    <s v="TTM"/>
    <x v="3"/>
  </r>
  <r>
    <s v="Biolage"/>
    <x v="3"/>
    <s v="Display"/>
    <s v="Amazon"/>
    <s v="Amazon"/>
    <d v="2024-12-21T00:00:00"/>
    <d v="2024-01-01T00:00:00"/>
    <n v="6421.0867000000026"/>
    <n v="2313687"/>
    <s v="TTM"/>
    <x v="3"/>
  </r>
  <r>
    <s v="Biolage"/>
    <x v="3"/>
    <s v="Display"/>
    <s v="Amazon"/>
    <s v="Amazon"/>
    <d v="2024-12-28T00:00:00"/>
    <d v="2024-01-01T00:00:00"/>
    <n v="6293.3225999999986"/>
    <n v="2351550"/>
    <s v="TTM"/>
    <x v="3"/>
  </r>
  <r>
    <s v="Biolage"/>
    <x v="3"/>
    <s v="Display"/>
    <s v="Amazon"/>
    <s v="Amazon"/>
    <d v="2025-01-04T00:00:00"/>
    <d v="2024-01-01T00:00:00"/>
    <n v="2470.8179000000005"/>
    <n v="882198"/>
    <s v="TTM"/>
    <x v="3"/>
  </r>
  <r>
    <s v="Biolage"/>
    <x v="3"/>
    <s v="Display"/>
    <s v="Amazon"/>
    <s v="Amazon"/>
    <d v="2025-01-04T00:00:00"/>
    <d v="2025-01-01T00:00:00"/>
    <n v="4527.7916999999989"/>
    <n v="2090152"/>
    <s v="TTM"/>
    <x v="3"/>
  </r>
  <r>
    <s v="Biolage"/>
    <x v="3"/>
    <s v="Display"/>
    <s v="Amazon"/>
    <s v="Amazon"/>
    <d v="2025-01-11T00:00:00"/>
    <d v="2025-01-01T00:00:00"/>
    <n v="7785.6547999999975"/>
    <n v="2869641"/>
    <s v="TTM"/>
    <x v="3"/>
  </r>
  <r>
    <s v="Biolage"/>
    <x v="3"/>
    <s v="Display"/>
    <s v="Amazon"/>
    <s v="Amazon"/>
    <d v="2025-01-18T00:00:00"/>
    <d v="2025-01-01T00:00:00"/>
    <n v="7734.9034999999994"/>
    <n v="2806902"/>
    <s v="TTM"/>
    <x v="3"/>
  </r>
  <r>
    <s v="Biolage"/>
    <x v="3"/>
    <s v="Display"/>
    <s v="Amazon"/>
    <s v="Amazon"/>
    <d v="2025-01-25T00:00:00"/>
    <d v="2025-01-01T00:00:00"/>
    <n v="7683.4050000000007"/>
    <n v="3250881"/>
    <s v="TTM"/>
    <x v="3"/>
  </r>
  <r>
    <s v="Biolage"/>
    <x v="3"/>
    <s v="Display"/>
    <s v="Amazon"/>
    <s v="Amazon"/>
    <d v="2025-02-01T00:00:00"/>
    <d v="2025-01-01T00:00:00"/>
    <n v="7874.2349000000004"/>
    <n v="3165551"/>
    <s v="TTM"/>
    <x v="3"/>
  </r>
  <r>
    <s v="Biolage"/>
    <x v="3"/>
    <s v="Display"/>
    <s v="Amazon"/>
    <s v="Amazon"/>
    <d v="2025-02-08T00:00:00"/>
    <d v="2025-01-01T00:00:00"/>
    <n v="9317.4222999999965"/>
    <n v="3930576"/>
    <s v="TTM"/>
    <x v="3"/>
  </r>
  <r>
    <s v="Biolage"/>
    <x v="3"/>
    <s v="Display"/>
    <s v="Amazon"/>
    <s v="Amazon"/>
    <d v="2025-02-15T00:00:00"/>
    <d v="2025-01-01T00:00:00"/>
    <n v="9457.8002000000033"/>
    <n v="3671654"/>
    <s v="TTM"/>
    <x v="3"/>
  </r>
  <r>
    <s v="Biolage"/>
    <x v="3"/>
    <s v="Display"/>
    <s v="Amazon"/>
    <s v="Amazon"/>
    <d v="2025-02-22T00:00:00"/>
    <d v="2025-01-01T00:00:00"/>
    <n v="9391.854099999995"/>
    <n v="3470966"/>
    <s v="TTM"/>
    <x v="3"/>
  </r>
  <r>
    <s v="Biolage"/>
    <x v="3"/>
    <s v="Display"/>
    <s v="Amazon"/>
    <s v="Amazon"/>
    <d v="2025-03-01T00:00:00"/>
    <d v="2025-01-01T00:00:00"/>
    <n v="8587.9166000000023"/>
    <n v="2679552"/>
    <s v="TTM"/>
    <x v="3"/>
  </r>
  <r>
    <s v="Biolage"/>
    <x v="3"/>
    <s v="Display"/>
    <s v="Amazon"/>
    <s v="Amazon"/>
    <d v="2025-03-08T00:00:00"/>
    <d v="2025-01-01T00:00:00"/>
    <n v="7960.5798999999997"/>
    <n v="2778758"/>
    <s v="TTM"/>
    <x v="3"/>
  </r>
  <r>
    <s v="Biolage"/>
    <x v="3"/>
    <s v="Display"/>
    <s v="Amazon"/>
    <s v="Amazon"/>
    <d v="2025-03-15T00:00:00"/>
    <d v="2025-01-01T00:00:00"/>
    <n v="8602.3359000000037"/>
    <n v="2668676"/>
    <s v="TTM"/>
    <x v="3"/>
  </r>
  <r>
    <s v="Biolage"/>
    <x v="3"/>
    <s v="Display"/>
    <s v="Amazon"/>
    <s v="Amazon"/>
    <d v="2025-03-22T00:00:00"/>
    <d v="2025-01-01T00:00:00"/>
    <n v="8361.9835999999996"/>
    <n v="1941711"/>
    <s v="TTM"/>
    <x v="3"/>
  </r>
  <r>
    <s v="Biolage"/>
    <x v="3"/>
    <s v="Display"/>
    <s v="Amazon"/>
    <s v="Amazon"/>
    <d v="2025-03-29T00:00:00"/>
    <d v="2025-01-01T00:00:00"/>
    <n v="8353.868400000003"/>
    <n v="2061773"/>
    <s v="TTM"/>
    <x v="3"/>
  </r>
  <r>
    <s v="Biolage"/>
    <x v="3"/>
    <s v="Display"/>
    <s v="Amazon"/>
    <s v="Amazon"/>
    <d v="2025-04-05T00:00:00"/>
    <d v="2025-01-01T00:00:00"/>
    <n v="8246.2480999999989"/>
    <n v="2078375"/>
    <s v="TTM"/>
    <x v="3"/>
  </r>
  <r>
    <s v="Biolage"/>
    <x v="3"/>
    <s v="Display"/>
    <s v="Amazon"/>
    <s v="Amazon"/>
    <d v="2025-04-12T00:00:00"/>
    <d v="2025-01-01T00:00:00"/>
    <n v="8496.5743000000002"/>
    <n v="2150744"/>
    <s v="TTM"/>
    <x v="3"/>
  </r>
  <r>
    <s v="Biolage"/>
    <x v="3"/>
    <s v="Display"/>
    <s v="Amazon"/>
    <s v="Amazon"/>
    <d v="2025-04-19T00:00:00"/>
    <d v="2025-01-01T00:00:00"/>
    <n v="8466.5890000000054"/>
    <n v="2033389"/>
    <s v="TTM"/>
    <x v="3"/>
  </r>
  <r>
    <s v="Biolage"/>
    <x v="3"/>
    <s v="Display"/>
    <s v="Amazon"/>
    <s v="Amazon"/>
    <d v="2025-04-26T00:00:00"/>
    <d v="2025-01-01T00:00:00"/>
    <n v="8463.5318999999981"/>
    <n v="2121624"/>
    <s v="TTM"/>
    <x v="3"/>
  </r>
  <r>
    <s v="Biolage"/>
    <x v="3"/>
    <s v="Display"/>
    <s v="Amazon"/>
    <s v="Amazon"/>
    <d v="2025-05-03T00:00:00"/>
    <d v="2025-01-01T00:00:00"/>
    <n v="7546.3607000000011"/>
    <n v="1884361"/>
    <s v="TTM"/>
    <x v="3"/>
  </r>
  <r>
    <s v="Biolage"/>
    <x v="3"/>
    <s v="Display"/>
    <s v="Amazon"/>
    <s v="Amazon"/>
    <d v="2025-05-10T00:00:00"/>
    <d v="2025-01-01T00:00:00"/>
    <n v="8126.6434000000063"/>
    <n v="1756260"/>
    <s v="TTM"/>
    <x v="3"/>
  </r>
  <r>
    <s v="Biolage"/>
    <x v="3"/>
    <s v="Display"/>
    <s v="Amazon"/>
    <s v="Amazon"/>
    <d v="2025-05-17T00:00:00"/>
    <d v="2025-01-01T00:00:00"/>
    <n v="8172.514000000001"/>
    <n v="1993530"/>
    <s v="TTM"/>
    <x v="3"/>
  </r>
  <r>
    <s v="Biolage"/>
    <x v="3"/>
    <s v="Display"/>
    <s v="Amazon"/>
    <s v="Amazon"/>
    <d v="2025-05-24T00:00:00"/>
    <d v="2025-01-01T00:00:00"/>
    <n v="8177.1677"/>
    <n v="1978199"/>
    <s v="TTM"/>
    <x v="3"/>
  </r>
  <r>
    <s v="Biolage"/>
    <x v="3"/>
    <s v="Display"/>
    <s v="Amazon"/>
    <s v="Amazon"/>
    <d v="2025-05-31T00:00:00"/>
    <d v="2025-01-01T00:00:00"/>
    <n v="7496.534700000002"/>
    <n v="2333585"/>
    <s v="TTM"/>
    <x v="3"/>
  </r>
  <r>
    <s v="Biolage"/>
    <x v="3"/>
    <s v="Display"/>
    <s v="Amazon"/>
    <s v="Amazon"/>
    <d v="2025-06-07T00:00:00"/>
    <d v="2025-01-01T00:00:00"/>
    <n v="10693.669100000005"/>
    <n v="5307333"/>
    <s v="TTM"/>
    <x v="3"/>
  </r>
  <r>
    <s v="Biolage"/>
    <x v="3"/>
    <s v="Display"/>
    <s v="Amazon"/>
    <s v="Amazon"/>
    <d v="2025-06-14T00:00:00"/>
    <d v="2025-01-01T00:00:00"/>
    <n v="12668.522499999997"/>
    <n v="6180854"/>
    <s v="TTM"/>
    <x v="3"/>
  </r>
  <r>
    <s v="Biolage"/>
    <x v="3"/>
    <s v="Display"/>
    <s v="Amazon"/>
    <s v="Amazon"/>
    <d v="2025-06-21T00:00:00"/>
    <d v="2025-01-01T00:00:00"/>
    <n v="12548.576799999999"/>
    <n v="5930461"/>
    <s v="TTM"/>
    <x v="3"/>
  </r>
  <r>
    <s v="Biolage"/>
    <x v="3"/>
    <s v="Display"/>
    <s v="Amazon"/>
    <s v="Amazon"/>
    <d v="2025-06-28T00:00:00"/>
    <d v="2025-01-01T00:00:00"/>
    <n v="11322.4141"/>
    <n v="3932780"/>
    <s v="TTM"/>
    <x v="3"/>
  </r>
  <r>
    <s v="Biolage"/>
    <x v="3"/>
    <s v="Search"/>
    <s v="Amazon"/>
    <s v="Amazon"/>
    <d v="2023-07-01T00:00:00"/>
    <d v="2023-01-01T00:00:00"/>
    <n v="3155.5600000000004"/>
    <n v="401729"/>
    <s v="PY"/>
    <x v="4"/>
  </r>
  <r>
    <s v="Biolage"/>
    <x v="3"/>
    <s v="Search"/>
    <s v="Amazon"/>
    <s v="Amazon"/>
    <d v="2023-07-08T00:00:00"/>
    <d v="2023-01-01T00:00:00"/>
    <n v="16312.230000000001"/>
    <n v="2309552"/>
    <s v="PY"/>
    <x v="4"/>
  </r>
  <r>
    <s v="Biolage"/>
    <x v="3"/>
    <s v="Search"/>
    <s v="Amazon"/>
    <s v="Amazon"/>
    <d v="2023-07-15T00:00:00"/>
    <d v="2023-01-01T00:00:00"/>
    <n v="86543.2"/>
    <n v="6001537"/>
    <s v="LY"/>
    <x v="4"/>
  </r>
  <r>
    <s v="Biolage"/>
    <x v="3"/>
    <s v="Search"/>
    <s v="Amazon"/>
    <s v="Amazon"/>
    <d v="2023-07-22T00:00:00"/>
    <d v="2023-01-01T00:00:00"/>
    <n v="5971.3799999999992"/>
    <n v="1453405"/>
    <s v="LY"/>
    <x v="4"/>
  </r>
  <r>
    <s v="Biolage"/>
    <x v="3"/>
    <s v="Search"/>
    <s v="Amazon"/>
    <s v="Amazon"/>
    <d v="2023-07-29T00:00:00"/>
    <d v="2023-01-01T00:00:00"/>
    <n v="6216.0800000000027"/>
    <n v="1680381"/>
    <s v="LY"/>
    <x v="4"/>
  </r>
  <r>
    <s v="Biolage"/>
    <x v="3"/>
    <s v="Search"/>
    <s v="Amazon"/>
    <s v="Amazon"/>
    <d v="2023-08-05T00:00:00"/>
    <d v="2023-01-01T00:00:00"/>
    <n v="5883.1499999999978"/>
    <n v="1498878"/>
    <s v="LY"/>
    <x v="4"/>
  </r>
  <r>
    <s v="Biolage"/>
    <x v="3"/>
    <s v="Search"/>
    <s v="Amazon"/>
    <s v="Amazon"/>
    <d v="2023-08-12T00:00:00"/>
    <d v="2023-01-01T00:00:00"/>
    <n v="6986.8900000000012"/>
    <n v="1632708"/>
    <s v="LY"/>
    <x v="4"/>
  </r>
  <r>
    <s v="Biolage"/>
    <x v="3"/>
    <s v="Search"/>
    <s v="Amazon"/>
    <s v="Amazon"/>
    <d v="2023-08-19T00:00:00"/>
    <d v="2023-01-01T00:00:00"/>
    <n v="7911.0200000000013"/>
    <n v="1855963"/>
    <s v="LY"/>
    <x v="4"/>
  </r>
  <r>
    <s v="Biolage"/>
    <x v="3"/>
    <s v="Search"/>
    <s v="Amazon"/>
    <s v="Amazon"/>
    <d v="2023-08-26T00:00:00"/>
    <d v="2023-01-01T00:00:00"/>
    <n v="9311.6699999999983"/>
    <n v="2600185"/>
    <s v="LY"/>
    <x v="4"/>
  </r>
  <r>
    <s v="Biolage"/>
    <x v="3"/>
    <s v="Search"/>
    <s v="Amazon"/>
    <s v="Amazon"/>
    <d v="2023-09-02T00:00:00"/>
    <d v="2023-01-01T00:00:00"/>
    <n v="6580.8700000000026"/>
    <n v="1293897"/>
    <s v="LY"/>
    <x v="4"/>
  </r>
  <r>
    <s v="Biolage"/>
    <x v="3"/>
    <s v="Search"/>
    <s v="Amazon"/>
    <s v="Amazon"/>
    <d v="2023-09-09T00:00:00"/>
    <d v="2023-01-01T00:00:00"/>
    <n v="7492.2000000000016"/>
    <n v="1003932"/>
    <s v="LY"/>
    <x v="4"/>
  </r>
  <r>
    <s v="Biolage"/>
    <x v="3"/>
    <s v="Search"/>
    <s v="Amazon"/>
    <s v="Amazon"/>
    <d v="2023-09-16T00:00:00"/>
    <d v="2023-01-01T00:00:00"/>
    <n v="8166.6700000000055"/>
    <n v="1021776"/>
    <s v="LY"/>
    <x v="4"/>
  </r>
  <r>
    <s v="Biolage"/>
    <x v="3"/>
    <s v="Search"/>
    <s v="Amazon"/>
    <s v="Amazon"/>
    <d v="2023-09-23T00:00:00"/>
    <d v="2023-01-01T00:00:00"/>
    <n v="10469.630000000006"/>
    <n v="1331006"/>
    <s v="LY"/>
    <x v="4"/>
  </r>
  <r>
    <s v="Biolage"/>
    <x v="3"/>
    <s v="Search"/>
    <s v="Amazon"/>
    <s v="Amazon"/>
    <d v="2023-09-30T00:00:00"/>
    <d v="2023-01-01T00:00:00"/>
    <n v="7474.56"/>
    <n v="1446597"/>
    <s v="LY"/>
    <x v="4"/>
  </r>
  <r>
    <s v="Biolage"/>
    <x v="3"/>
    <s v="Search"/>
    <s v="Amazon"/>
    <s v="Amazon"/>
    <d v="2023-10-07T00:00:00"/>
    <d v="2023-01-01T00:00:00"/>
    <n v="10517.14"/>
    <n v="2393271"/>
    <s v="LY"/>
    <x v="4"/>
  </r>
  <r>
    <s v="Biolage"/>
    <x v="3"/>
    <s v="Search"/>
    <s v="Amazon"/>
    <s v="Amazon"/>
    <d v="2023-10-14T00:00:00"/>
    <d v="2023-01-01T00:00:00"/>
    <n v="11177.240000000003"/>
    <n v="2155957"/>
    <s v="LY"/>
    <x v="4"/>
  </r>
  <r>
    <s v="Biolage"/>
    <x v="3"/>
    <s v="Search"/>
    <s v="Amazon"/>
    <s v="Amazon"/>
    <d v="2023-10-21T00:00:00"/>
    <d v="2023-01-01T00:00:00"/>
    <n v="14642.900000000003"/>
    <n v="3258032"/>
    <s v="LY"/>
    <x v="4"/>
  </r>
  <r>
    <s v="Biolage"/>
    <x v="3"/>
    <s v="Search"/>
    <s v="Amazon"/>
    <s v="Amazon"/>
    <d v="2023-10-28T00:00:00"/>
    <d v="2023-01-01T00:00:00"/>
    <n v="13364.49"/>
    <n v="2852428"/>
    <s v="LY"/>
    <x v="4"/>
  </r>
  <r>
    <s v="Biolage"/>
    <x v="3"/>
    <s v="Search"/>
    <s v="Amazon"/>
    <s v="Amazon"/>
    <d v="2023-11-04T00:00:00"/>
    <d v="2023-01-01T00:00:00"/>
    <n v="12211.740000000003"/>
    <n v="2638022"/>
    <s v="LY"/>
    <x v="4"/>
  </r>
  <r>
    <s v="Biolage"/>
    <x v="3"/>
    <s v="Search"/>
    <s v="Amazon"/>
    <s v="Amazon"/>
    <d v="2023-11-11T00:00:00"/>
    <d v="2023-01-01T00:00:00"/>
    <n v="10620.699999999999"/>
    <n v="2029166"/>
    <s v="LY"/>
    <x v="4"/>
  </r>
  <r>
    <s v="Biolage"/>
    <x v="3"/>
    <s v="Search"/>
    <s v="Amazon"/>
    <s v="Amazon"/>
    <d v="2023-11-18T00:00:00"/>
    <d v="2023-01-01T00:00:00"/>
    <n v="11421.140000000001"/>
    <n v="2070626"/>
    <s v="LY"/>
    <x v="4"/>
  </r>
  <r>
    <s v="Biolage"/>
    <x v="3"/>
    <s v="Search"/>
    <s v="Amazon"/>
    <s v="Amazon"/>
    <d v="2023-11-25T00:00:00"/>
    <d v="2023-01-01T00:00:00"/>
    <n v="27711.41"/>
    <n v="4818433"/>
    <s v="LY"/>
    <x v="4"/>
  </r>
  <r>
    <s v="Biolage"/>
    <x v="3"/>
    <s v="Search"/>
    <s v="Amazon"/>
    <s v="Amazon"/>
    <d v="2023-12-02T00:00:00"/>
    <d v="2023-01-01T00:00:00"/>
    <n v="20340.710000000017"/>
    <n v="2791079"/>
    <s v="LY"/>
    <x v="4"/>
  </r>
  <r>
    <s v="Biolage"/>
    <x v="3"/>
    <s v="Search"/>
    <s v="Amazon"/>
    <s v="Amazon"/>
    <d v="2023-12-09T00:00:00"/>
    <d v="2023-01-01T00:00:00"/>
    <n v="8657.4700000000012"/>
    <n v="953837"/>
    <s v="LY"/>
    <x v="4"/>
  </r>
  <r>
    <s v="Biolage"/>
    <x v="3"/>
    <s v="Search"/>
    <s v="Amazon"/>
    <s v="Amazon"/>
    <d v="2023-12-16T00:00:00"/>
    <d v="2023-01-01T00:00:00"/>
    <n v="5653.81"/>
    <n v="762749"/>
    <s v="LY"/>
    <x v="4"/>
  </r>
  <r>
    <s v="Biolage"/>
    <x v="3"/>
    <s v="Search"/>
    <s v="Amazon"/>
    <s v="Amazon"/>
    <d v="2023-12-23T00:00:00"/>
    <d v="2023-01-01T00:00:00"/>
    <n v="4265.3600000000015"/>
    <n v="573301"/>
    <s v="LY"/>
    <x v="4"/>
  </r>
  <r>
    <s v="Biolage"/>
    <x v="3"/>
    <s v="Search"/>
    <s v="Amazon"/>
    <s v="Amazon"/>
    <d v="2023-12-30T00:00:00"/>
    <d v="2023-01-01T00:00:00"/>
    <n v="5065.0499999999993"/>
    <n v="750908"/>
    <s v="LY"/>
    <x v="4"/>
  </r>
  <r>
    <s v="Biolage"/>
    <x v="3"/>
    <s v="Search"/>
    <s v="Amazon"/>
    <s v="Amazon"/>
    <d v="2024-01-06T00:00:00"/>
    <d v="2024-01-01T00:00:00"/>
    <n v="4042.0499999999993"/>
    <n v="554106"/>
    <s v="LY"/>
    <x v="4"/>
  </r>
  <r>
    <s v="Biolage"/>
    <x v="3"/>
    <s v="Search"/>
    <s v="Amazon"/>
    <s v="Amazon"/>
    <d v="2024-01-13T00:00:00"/>
    <d v="2024-01-01T00:00:00"/>
    <n v="7692.01"/>
    <n v="923568"/>
    <s v="LY"/>
    <x v="4"/>
  </r>
  <r>
    <s v="Biolage"/>
    <x v="3"/>
    <s v="Search"/>
    <s v="Amazon"/>
    <s v="Amazon"/>
    <d v="2024-01-20T00:00:00"/>
    <d v="2024-01-01T00:00:00"/>
    <n v="8751.6799999999948"/>
    <n v="921726"/>
    <s v="LY"/>
    <x v="4"/>
  </r>
  <r>
    <s v="Biolage"/>
    <x v="3"/>
    <s v="Search"/>
    <s v="Amazon"/>
    <s v="Amazon"/>
    <d v="2024-01-27T00:00:00"/>
    <d v="2024-01-01T00:00:00"/>
    <n v="8821.2999999999938"/>
    <n v="967748"/>
    <s v="LY"/>
    <x v="4"/>
  </r>
  <r>
    <s v="Biolage"/>
    <x v="3"/>
    <s v="Search"/>
    <s v="Amazon"/>
    <s v="Amazon"/>
    <d v="2024-02-03T00:00:00"/>
    <d v="2024-01-01T00:00:00"/>
    <n v="7749.8700000000026"/>
    <n v="1036352"/>
    <s v="LY"/>
    <x v="4"/>
  </r>
  <r>
    <s v="Biolage"/>
    <x v="3"/>
    <s v="Search"/>
    <s v="Amazon"/>
    <s v="Amazon"/>
    <d v="2024-02-10T00:00:00"/>
    <d v="2024-01-01T00:00:00"/>
    <n v="7835.6700000000046"/>
    <n v="1029944"/>
    <s v="LY"/>
    <x v="4"/>
  </r>
  <r>
    <s v="Biolage"/>
    <x v="3"/>
    <s v="Search"/>
    <s v="Amazon"/>
    <s v="Amazon"/>
    <d v="2024-02-17T00:00:00"/>
    <d v="2024-01-01T00:00:00"/>
    <n v="8113.2199999999984"/>
    <n v="1045283"/>
    <s v="LY"/>
    <x v="4"/>
  </r>
  <r>
    <s v="Biolage"/>
    <x v="3"/>
    <s v="Search"/>
    <s v="Amazon"/>
    <s v="Amazon"/>
    <d v="2024-02-24T00:00:00"/>
    <d v="2024-01-01T00:00:00"/>
    <n v="8113.0300000000034"/>
    <n v="977996"/>
    <s v="LY"/>
    <x v="4"/>
  </r>
  <r>
    <s v="Biolage"/>
    <x v="3"/>
    <s v="Search"/>
    <s v="Amazon"/>
    <s v="Amazon"/>
    <d v="2024-03-02T00:00:00"/>
    <d v="2024-01-01T00:00:00"/>
    <n v="6394.0099999999993"/>
    <n v="1026525"/>
    <s v="LY"/>
    <x v="4"/>
  </r>
  <r>
    <s v="Biolage"/>
    <x v="3"/>
    <s v="Search"/>
    <s v="Amazon"/>
    <s v="Amazon"/>
    <d v="2024-03-09T00:00:00"/>
    <d v="2024-01-01T00:00:00"/>
    <n v="6616.9599999999982"/>
    <n v="1216949"/>
    <s v="LY"/>
    <x v="4"/>
  </r>
  <r>
    <s v="Biolage"/>
    <x v="3"/>
    <s v="Search"/>
    <s v="Amazon"/>
    <s v="Amazon"/>
    <d v="2024-03-16T00:00:00"/>
    <d v="2024-01-01T00:00:00"/>
    <n v="7251.72"/>
    <n v="1381239"/>
    <s v="LY"/>
    <x v="4"/>
  </r>
  <r>
    <s v="Biolage"/>
    <x v="3"/>
    <s v="Search"/>
    <s v="Amazon"/>
    <s v="Amazon"/>
    <d v="2024-03-23T00:00:00"/>
    <d v="2024-01-01T00:00:00"/>
    <n v="7676.3600000000006"/>
    <n v="1709971"/>
    <s v="LY"/>
    <x v="4"/>
  </r>
  <r>
    <s v="Biolage"/>
    <x v="3"/>
    <s v="Search"/>
    <s v="Amazon"/>
    <s v="Amazon"/>
    <d v="2024-03-30T00:00:00"/>
    <d v="2024-01-01T00:00:00"/>
    <n v="7304.0799999999972"/>
    <n v="1583344"/>
    <s v="LY"/>
    <x v="4"/>
  </r>
  <r>
    <s v="Biolage"/>
    <x v="3"/>
    <s v="Search"/>
    <s v="Amazon"/>
    <s v="Amazon"/>
    <d v="2024-04-06T00:00:00"/>
    <d v="2024-01-01T00:00:00"/>
    <n v="8249.980000000005"/>
    <n v="1826267"/>
    <s v="LY"/>
    <x v="4"/>
  </r>
  <r>
    <s v="Biolage"/>
    <x v="3"/>
    <s v="Search"/>
    <s v="Amazon"/>
    <s v="Amazon"/>
    <d v="2024-04-13T00:00:00"/>
    <d v="2024-01-01T00:00:00"/>
    <n v="10199.040000000003"/>
    <n v="2323604"/>
    <s v="LY"/>
    <x v="4"/>
  </r>
  <r>
    <s v="Biolage"/>
    <x v="3"/>
    <s v="Search"/>
    <s v="Amazon"/>
    <s v="Amazon"/>
    <d v="2024-04-20T00:00:00"/>
    <d v="2024-01-01T00:00:00"/>
    <n v="10692.359999999999"/>
    <n v="2777882"/>
    <s v="LY"/>
    <x v="4"/>
  </r>
  <r>
    <s v="Biolage"/>
    <x v="3"/>
    <s v="Search"/>
    <s v="Amazon"/>
    <s v="Amazon"/>
    <d v="2024-04-27T00:00:00"/>
    <d v="2024-01-01T00:00:00"/>
    <n v="9686.8300000000017"/>
    <n v="2330395"/>
    <s v="LY"/>
    <x v="4"/>
  </r>
  <r>
    <s v="Biolage"/>
    <x v="3"/>
    <s v="Search"/>
    <s v="Amazon"/>
    <s v="Amazon"/>
    <d v="2024-05-04T00:00:00"/>
    <d v="2024-01-01T00:00:00"/>
    <n v="10958.749999999998"/>
    <n v="3121063"/>
    <s v="LY"/>
    <x v="4"/>
  </r>
  <r>
    <s v="Biolage"/>
    <x v="3"/>
    <s v="Search"/>
    <s v="Amazon"/>
    <s v="Amazon"/>
    <d v="2024-05-11T00:00:00"/>
    <d v="2024-01-01T00:00:00"/>
    <n v="12529.640000000003"/>
    <n v="3519964"/>
    <s v="LY"/>
    <x v="4"/>
  </r>
  <r>
    <s v="Biolage"/>
    <x v="3"/>
    <s v="Search"/>
    <s v="Amazon"/>
    <s v="Amazon"/>
    <d v="2024-05-18T00:00:00"/>
    <d v="2024-01-01T00:00:00"/>
    <n v="11375.900000000007"/>
    <n v="3187719"/>
    <s v="LY"/>
    <x v="4"/>
  </r>
  <r>
    <s v="Biolage"/>
    <x v="3"/>
    <s v="Search"/>
    <s v="Amazon"/>
    <s v="Amazon"/>
    <d v="2024-05-25T00:00:00"/>
    <d v="2024-01-01T00:00:00"/>
    <n v="10666.44"/>
    <n v="2668502"/>
    <s v="LY"/>
    <x v="4"/>
  </r>
  <r>
    <s v="Biolage"/>
    <x v="3"/>
    <s v="Search"/>
    <s v="Amazon"/>
    <s v="Amazon"/>
    <d v="2024-06-01T00:00:00"/>
    <d v="2024-01-01T00:00:00"/>
    <n v="8255.7599999999984"/>
    <n v="1682349"/>
    <s v="LY"/>
    <x v="4"/>
  </r>
  <r>
    <s v="Biolage"/>
    <x v="3"/>
    <s v="Search"/>
    <s v="Amazon"/>
    <s v="Amazon"/>
    <d v="2024-06-08T00:00:00"/>
    <d v="2024-01-01T00:00:00"/>
    <n v="9942.159999999998"/>
    <n v="2122421"/>
    <s v="LY"/>
    <x v="4"/>
  </r>
  <r>
    <s v="Biolage"/>
    <x v="3"/>
    <s v="Search"/>
    <s v="Amazon"/>
    <s v="Amazon"/>
    <d v="2024-06-15T00:00:00"/>
    <d v="2024-01-01T00:00:00"/>
    <n v="9987.7000000000007"/>
    <n v="2584708"/>
    <s v="LY"/>
    <x v="4"/>
  </r>
  <r>
    <s v="Biolage"/>
    <x v="3"/>
    <s v="Search"/>
    <s v="Amazon"/>
    <s v="Amazon"/>
    <d v="2024-06-22T00:00:00"/>
    <d v="2024-01-01T00:00:00"/>
    <n v="11078.639999999996"/>
    <n v="2790583"/>
    <s v="LY"/>
    <x v="4"/>
  </r>
  <r>
    <s v="Biolage"/>
    <x v="3"/>
    <s v="Search"/>
    <s v="Amazon"/>
    <s v="Amazon"/>
    <d v="2024-06-29T00:00:00"/>
    <d v="2024-01-01T00:00:00"/>
    <n v="18048.659999999996"/>
    <n v="4382522"/>
    <s v="LY"/>
    <x v="4"/>
  </r>
  <r>
    <s v="Biolage"/>
    <x v="3"/>
    <s v="Search"/>
    <s v="Amazon"/>
    <s v="Amazon"/>
    <d v="2024-07-06T00:00:00"/>
    <d v="2024-01-01T00:00:00"/>
    <n v="18641.490000000009"/>
    <n v="3898367"/>
    <s v="LY"/>
    <x v="4"/>
  </r>
  <r>
    <s v="Biolage"/>
    <x v="3"/>
    <s v="Search"/>
    <s v="Amazon"/>
    <s v="Amazon"/>
    <d v="2024-07-13T00:00:00"/>
    <d v="2024-01-01T00:00:00"/>
    <n v="18644.260000000006"/>
    <n v="3344353"/>
    <s v="TTM"/>
    <x v="4"/>
  </r>
  <r>
    <s v="Biolage"/>
    <x v="3"/>
    <s v="Search"/>
    <s v="Amazon"/>
    <s v="Amazon"/>
    <d v="2024-07-20T00:00:00"/>
    <d v="2024-01-01T00:00:00"/>
    <n v="119138.89999999997"/>
    <n v="10577276"/>
    <s v="TTM"/>
    <x v="4"/>
  </r>
  <r>
    <s v="Biolage"/>
    <x v="3"/>
    <s v="Search"/>
    <s v="Amazon"/>
    <s v="Amazon"/>
    <d v="2024-07-27T00:00:00"/>
    <d v="2024-01-01T00:00:00"/>
    <n v="12994.579999999998"/>
    <n v="1926591"/>
    <s v="TTM"/>
    <x v="4"/>
  </r>
  <r>
    <s v="Biolage"/>
    <x v="3"/>
    <s v="Search"/>
    <s v="Amazon"/>
    <s v="Amazon"/>
    <d v="2024-08-03T00:00:00"/>
    <d v="2024-01-01T00:00:00"/>
    <n v="10939.349999999997"/>
    <n v="1597468"/>
    <s v="TTM"/>
    <x v="4"/>
  </r>
  <r>
    <s v="Biolage"/>
    <x v="3"/>
    <s v="Search"/>
    <s v="Amazon"/>
    <s v="Amazon"/>
    <d v="2024-08-10T00:00:00"/>
    <d v="2024-01-01T00:00:00"/>
    <n v="10800.960000000003"/>
    <n v="1605280"/>
    <s v="TTM"/>
    <x v="4"/>
  </r>
  <r>
    <s v="Biolage"/>
    <x v="3"/>
    <s v="Search"/>
    <s v="Amazon"/>
    <s v="Amazon"/>
    <d v="2024-08-17T00:00:00"/>
    <d v="2024-01-01T00:00:00"/>
    <n v="8216.369999999999"/>
    <n v="1041815"/>
    <s v="TTM"/>
    <x v="4"/>
  </r>
  <r>
    <s v="Biolage"/>
    <x v="3"/>
    <s v="Search"/>
    <s v="Amazon"/>
    <s v="Amazon"/>
    <d v="2024-08-24T00:00:00"/>
    <d v="2024-01-01T00:00:00"/>
    <n v="8132.2499999999991"/>
    <n v="893299"/>
    <s v="TTM"/>
    <x v="4"/>
  </r>
  <r>
    <s v="Biolage"/>
    <x v="3"/>
    <s v="Search"/>
    <s v="Amazon"/>
    <s v="Amazon"/>
    <d v="2024-08-31T00:00:00"/>
    <d v="2024-01-01T00:00:00"/>
    <n v="8737.8800000000028"/>
    <n v="1024885"/>
    <s v="TTM"/>
    <x v="4"/>
  </r>
  <r>
    <s v="Biolage"/>
    <x v="3"/>
    <s v="Search"/>
    <s v="Amazon"/>
    <s v="Amazon"/>
    <d v="2024-09-07T00:00:00"/>
    <d v="2024-01-01T00:00:00"/>
    <n v="9205.07"/>
    <n v="1247407"/>
    <s v="TTM"/>
    <x v="4"/>
  </r>
  <r>
    <s v="Biolage"/>
    <x v="3"/>
    <s v="Search"/>
    <s v="Amazon"/>
    <s v="Amazon"/>
    <d v="2024-09-14T00:00:00"/>
    <d v="2024-01-01T00:00:00"/>
    <n v="10137.550000000005"/>
    <n v="1349807"/>
    <s v="TTM"/>
    <x v="4"/>
  </r>
  <r>
    <s v="Biolage"/>
    <x v="3"/>
    <s v="Search"/>
    <s v="Amazon"/>
    <s v="Amazon"/>
    <d v="2024-09-21T00:00:00"/>
    <d v="2024-01-01T00:00:00"/>
    <n v="8969.6500000000015"/>
    <n v="1143539"/>
    <s v="TTM"/>
    <x v="4"/>
  </r>
  <r>
    <s v="Biolage"/>
    <x v="3"/>
    <s v="Search"/>
    <s v="Amazon"/>
    <s v="Amazon"/>
    <d v="2024-09-28T00:00:00"/>
    <d v="2024-01-01T00:00:00"/>
    <n v="9669.1899999999932"/>
    <n v="1355070"/>
    <s v="TTM"/>
    <x v="4"/>
  </r>
  <r>
    <s v="Biolage"/>
    <x v="3"/>
    <s v="Search"/>
    <s v="Amazon"/>
    <s v="Amazon"/>
    <d v="2024-10-05T00:00:00"/>
    <d v="2024-01-01T00:00:00"/>
    <n v="9191.1999999999971"/>
    <n v="1181800"/>
    <s v="TTM"/>
    <x v="4"/>
  </r>
  <r>
    <s v="Biolage"/>
    <x v="3"/>
    <s v="Search"/>
    <s v="Amazon"/>
    <s v="Amazon"/>
    <d v="2024-10-12T00:00:00"/>
    <d v="2024-01-01T00:00:00"/>
    <n v="17724.05000000001"/>
    <n v="1602659"/>
    <s v="TTM"/>
    <x v="4"/>
  </r>
  <r>
    <s v="Biolage"/>
    <x v="3"/>
    <s v="Search"/>
    <s v="Amazon"/>
    <s v="Amazon"/>
    <d v="2024-10-19T00:00:00"/>
    <d v="2024-01-01T00:00:00"/>
    <n v="6309.83"/>
    <n v="688820"/>
    <s v="TTM"/>
    <x v="4"/>
  </r>
  <r>
    <s v="Biolage"/>
    <x v="3"/>
    <s v="Search"/>
    <s v="Amazon"/>
    <s v="Amazon"/>
    <d v="2024-10-26T00:00:00"/>
    <d v="2024-01-01T00:00:00"/>
    <n v="7374.5000000000018"/>
    <n v="1274154"/>
    <s v="TTM"/>
    <x v="4"/>
  </r>
  <r>
    <s v="Biolage"/>
    <x v="3"/>
    <s v="Search"/>
    <s v="Amazon"/>
    <s v="Amazon"/>
    <d v="2024-11-02T00:00:00"/>
    <d v="2024-01-01T00:00:00"/>
    <n v="8146.8199999999979"/>
    <n v="1494154"/>
    <s v="TTM"/>
    <x v="4"/>
  </r>
  <r>
    <s v="Biolage"/>
    <x v="3"/>
    <s v="Search"/>
    <s v="Amazon"/>
    <s v="Amazon"/>
    <d v="2024-11-09T00:00:00"/>
    <d v="2024-01-01T00:00:00"/>
    <n v="8080.0500000000011"/>
    <n v="1546815"/>
    <s v="TTM"/>
    <x v="4"/>
  </r>
  <r>
    <s v="Biolage"/>
    <x v="3"/>
    <s v="Search"/>
    <s v="Amazon"/>
    <s v="Amazon"/>
    <d v="2024-11-16T00:00:00"/>
    <d v="2024-01-01T00:00:00"/>
    <n v="8343.0800000000017"/>
    <n v="1661747"/>
    <s v="TTM"/>
    <x v="4"/>
  </r>
  <r>
    <s v="Biolage"/>
    <x v="3"/>
    <s v="Search"/>
    <s v="Amazon"/>
    <s v="Amazon"/>
    <d v="2024-11-23T00:00:00"/>
    <d v="2024-01-01T00:00:00"/>
    <n v="9283.880000000001"/>
    <n v="1333454"/>
    <s v="TTM"/>
    <x v="4"/>
  </r>
  <r>
    <s v="Biolage"/>
    <x v="3"/>
    <s v="Search"/>
    <s v="Amazon"/>
    <s v="Amazon"/>
    <d v="2024-11-30T00:00:00"/>
    <d v="2024-01-01T00:00:00"/>
    <n v="20079.929999999993"/>
    <n v="1547940"/>
    <s v="TTM"/>
    <x v="4"/>
  </r>
  <r>
    <s v="Biolage"/>
    <x v="3"/>
    <s v="Search"/>
    <s v="Amazon"/>
    <s v="Amazon"/>
    <d v="2024-12-07T00:00:00"/>
    <d v="2024-01-01T00:00:00"/>
    <n v="9933.5699999999979"/>
    <n v="1144302"/>
    <s v="TTM"/>
    <x v="4"/>
  </r>
  <r>
    <s v="Biolage"/>
    <x v="3"/>
    <s v="Search"/>
    <s v="Amazon"/>
    <s v="Amazon"/>
    <d v="2024-12-14T00:00:00"/>
    <d v="2024-01-01T00:00:00"/>
    <n v="7308.09"/>
    <n v="889448"/>
    <s v="TTM"/>
    <x v="4"/>
  </r>
  <r>
    <s v="Biolage"/>
    <x v="3"/>
    <s v="Search"/>
    <s v="Amazon"/>
    <s v="Amazon"/>
    <d v="2024-12-21T00:00:00"/>
    <d v="2024-01-01T00:00:00"/>
    <n v="9057.4399999999951"/>
    <n v="1220649"/>
    <s v="TTM"/>
    <x v="4"/>
  </r>
  <r>
    <s v="Biolage"/>
    <x v="3"/>
    <s v="Search"/>
    <s v="Amazon"/>
    <s v="Amazon"/>
    <d v="2024-12-28T00:00:00"/>
    <d v="2024-01-01T00:00:00"/>
    <n v="14821.449999999995"/>
    <n v="1573356"/>
    <s v="TTM"/>
    <x v="4"/>
  </r>
  <r>
    <s v="Biolage"/>
    <x v="3"/>
    <s v="Search"/>
    <s v="Amazon"/>
    <s v="Amazon"/>
    <d v="2025-01-04T00:00:00"/>
    <d v="2024-01-01T00:00:00"/>
    <n v="5394.5599999999986"/>
    <n v="518369"/>
    <s v="TTM"/>
    <x v="4"/>
  </r>
  <r>
    <s v="Biolage"/>
    <x v="3"/>
    <s v="Search"/>
    <s v="Amazon"/>
    <s v="Amazon"/>
    <d v="2025-01-04T00:00:00"/>
    <d v="2025-01-01T00:00:00"/>
    <n v="4735.8400000000011"/>
    <n v="423993"/>
    <s v="TTM"/>
    <x v="4"/>
  </r>
  <r>
    <s v="Biolage"/>
    <x v="3"/>
    <s v="Search"/>
    <s v="Amazon"/>
    <s v="Amazon"/>
    <d v="2025-01-11T00:00:00"/>
    <d v="2025-01-01T00:00:00"/>
    <n v="7348.7800000000007"/>
    <n v="626984"/>
    <s v="TTM"/>
    <x v="4"/>
  </r>
  <r>
    <s v="Biolage"/>
    <x v="3"/>
    <s v="Search"/>
    <s v="Amazon"/>
    <s v="Amazon"/>
    <d v="2025-01-18T00:00:00"/>
    <d v="2025-01-01T00:00:00"/>
    <n v="7391.1700000000019"/>
    <n v="696930"/>
    <s v="TTM"/>
    <x v="4"/>
  </r>
  <r>
    <s v="Biolage"/>
    <x v="3"/>
    <s v="Search"/>
    <s v="Amazon"/>
    <s v="Amazon"/>
    <d v="2025-01-25T00:00:00"/>
    <d v="2025-01-01T00:00:00"/>
    <n v="12675.250000000004"/>
    <n v="1368185"/>
    <s v="TTM"/>
    <x v="4"/>
  </r>
  <r>
    <s v="Biolage"/>
    <x v="3"/>
    <s v="Search"/>
    <s v="Amazon"/>
    <s v="Amazon"/>
    <d v="2025-02-01T00:00:00"/>
    <d v="2025-01-01T00:00:00"/>
    <n v="10814.579999999998"/>
    <n v="2291145"/>
    <s v="TTM"/>
    <x v="4"/>
  </r>
  <r>
    <s v="Biolage"/>
    <x v="3"/>
    <s v="Search"/>
    <s v="Amazon"/>
    <s v="Amazon"/>
    <d v="2025-02-08T00:00:00"/>
    <d v="2025-01-01T00:00:00"/>
    <n v="10648.5"/>
    <n v="2420628"/>
    <s v="TTM"/>
    <x v="4"/>
  </r>
  <r>
    <s v="Biolage"/>
    <x v="3"/>
    <s v="Search"/>
    <s v="Amazon"/>
    <s v="Amazon"/>
    <d v="2025-02-15T00:00:00"/>
    <d v="2025-01-01T00:00:00"/>
    <n v="11220.300000000001"/>
    <n v="1890806"/>
    <s v="TTM"/>
    <x v="4"/>
  </r>
  <r>
    <s v="Biolage"/>
    <x v="3"/>
    <s v="Search"/>
    <s v="Amazon"/>
    <s v="Amazon"/>
    <d v="2025-02-22T00:00:00"/>
    <d v="2025-01-01T00:00:00"/>
    <n v="13415.84"/>
    <n v="2078140"/>
    <s v="TTM"/>
    <x v="4"/>
  </r>
  <r>
    <s v="Biolage"/>
    <x v="3"/>
    <s v="Search"/>
    <s v="Amazon"/>
    <s v="Amazon"/>
    <d v="2025-03-01T00:00:00"/>
    <d v="2025-01-01T00:00:00"/>
    <n v="17359.29"/>
    <n v="2818319"/>
    <s v="TTM"/>
    <x v="4"/>
  </r>
  <r>
    <s v="Biolage"/>
    <x v="3"/>
    <s v="Search"/>
    <s v="Amazon"/>
    <s v="Amazon"/>
    <d v="2025-03-08T00:00:00"/>
    <d v="2025-01-01T00:00:00"/>
    <n v="15311.380000000006"/>
    <n v="2293520"/>
    <s v="TTM"/>
    <x v="4"/>
  </r>
  <r>
    <s v="Biolage"/>
    <x v="3"/>
    <s v="Search"/>
    <s v="Amazon"/>
    <s v="Amazon"/>
    <d v="2025-03-15T00:00:00"/>
    <d v="2025-01-01T00:00:00"/>
    <n v="15049.17"/>
    <n v="2204845"/>
    <s v="TTM"/>
    <x v="4"/>
  </r>
  <r>
    <s v="Biolage"/>
    <x v="3"/>
    <s v="Search"/>
    <s v="Amazon"/>
    <s v="Amazon"/>
    <d v="2025-03-22T00:00:00"/>
    <d v="2025-01-01T00:00:00"/>
    <n v="12368.700000000004"/>
    <n v="1827911"/>
    <s v="TTM"/>
    <x v="4"/>
  </r>
  <r>
    <s v="Biolage"/>
    <x v="3"/>
    <s v="Search"/>
    <s v="Amazon"/>
    <s v="Amazon"/>
    <d v="2025-03-29T00:00:00"/>
    <d v="2025-01-01T00:00:00"/>
    <n v="7813.1600000000017"/>
    <n v="963845"/>
    <s v="TTM"/>
    <x v="4"/>
  </r>
  <r>
    <s v="Biolage"/>
    <x v="3"/>
    <s v="Search"/>
    <s v="Amazon"/>
    <s v="Amazon"/>
    <d v="2025-04-05T00:00:00"/>
    <d v="2025-01-01T00:00:00"/>
    <n v="7786.7500000000018"/>
    <n v="1536387"/>
    <s v="TTM"/>
    <x v="4"/>
  </r>
  <r>
    <s v="Biolage"/>
    <x v="3"/>
    <s v="Search"/>
    <s v="Amazon"/>
    <s v="Amazon"/>
    <d v="2025-04-12T00:00:00"/>
    <d v="2025-01-01T00:00:00"/>
    <n v="9899.9800000000014"/>
    <n v="1704203"/>
    <s v="TTM"/>
    <x v="4"/>
  </r>
  <r>
    <s v="Biolage"/>
    <x v="3"/>
    <s v="Search"/>
    <s v="Amazon"/>
    <s v="Amazon"/>
    <d v="2025-04-19T00:00:00"/>
    <d v="2025-01-01T00:00:00"/>
    <n v="14805.809999999998"/>
    <n v="2129684"/>
    <s v="TTM"/>
    <x v="4"/>
  </r>
  <r>
    <s v="Biolage"/>
    <x v="3"/>
    <s v="Search"/>
    <s v="Amazon"/>
    <s v="Amazon"/>
    <d v="2025-04-26T00:00:00"/>
    <d v="2025-01-01T00:00:00"/>
    <n v="19654.550000000003"/>
    <n v="2718498"/>
    <s v="TTM"/>
    <x v="4"/>
  </r>
  <r>
    <s v="Biolage"/>
    <x v="3"/>
    <s v="Search"/>
    <s v="Amazon"/>
    <s v="Amazon"/>
    <d v="2025-05-03T00:00:00"/>
    <d v="2025-01-01T00:00:00"/>
    <n v="19391.520000000004"/>
    <n v="2725620"/>
    <s v="TTM"/>
    <x v="4"/>
  </r>
  <r>
    <s v="Biolage"/>
    <x v="3"/>
    <s v="Search"/>
    <s v="Amazon"/>
    <s v="Amazon"/>
    <d v="2025-05-10T00:00:00"/>
    <d v="2025-01-01T00:00:00"/>
    <n v="14111.450000000004"/>
    <n v="2089023"/>
    <s v="TTM"/>
    <x v="4"/>
  </r>
  <r>
    <s v="Biolage"/>
    <x v="3"/>
    <s v="Search"/>
    <s v="Amazon"/>
    <s v="Amazon"/>
    <d v="2025-05-17T00:00:00"/>
    <d v="2025-01-01T00:00:00"/>
    <n v="13057.840000000006"/>
    <n v="1948863"/>
    <s v="TTM"/>
    <x v="4"/>
  </r>
  <r>
    <s v="Biolage"/>
    <x v="3"/>
    <s v="Search"/>
    <s v="Amazon"/>
    <s v="Amazon"/>
    <d v="2025-05-24T00:00:00"/>
    <d v="2025-01-01T00:00:00"/>
    <n v="10933.79"/>
    <n v="1571145"/>
    <s v="TTM"/>
    <x v="4"/>
  </r>
  <r>
    <s v="Biolage"/>
    <x v="3"/>
    <s v="Search"/>
    <s v="Amazon"/>
    <s v="Amazon"/>
    <d v="2025-05-31T00:00:00"/>
    <d v="2025-01-01T00:00:00"/>
    <n v="8796.4200000000037"/>
    <n v="1437208"/>
    <s v="TTM"/>
    <x v="4"/>
  </r>
  <r>
    <s v="Biolage"/>
    <x v="3"/>
    <s v="Search"/>
    <s v="Amazon"/>
    <s v="Amazon"/>
    <d v="2025-06-07T00:00:00"/>
    <d v="2025-01-01T00:00:00"/>
    <n v="17545.849999999999"/>
    <n v="2237688"/>
    <s v="TTM"/>
    <x v="4"/>
  </r>
  <r>
    <s v="Biolage"/>
    <x v="3"/>
    <s v="Search"/>
    <s v="Amazon"/>
    <s v="Amazon"/>
    <d v="2025-06-14T00:00:00"/>
    <d v="2025-01-01T00:00:00"/>
    <n v="19847.09"/>
    <n v="2236322"/>
    <s v="TTM"/>
    <x v="4"/>
  </r>
  <r>
    <s v="Biolage"/>
    <x v="3"/>
    <s v="Search"/>
    <s v="Amazon"/>
    <s v="Amazon"/>
    <d v="2025-06-21T00:00:00"/>
    <d v="2025-01-01T00:00:00"/>
    <n v="12027.609999999993"/>
    <n v="1183701"/>
    <s v="TTM"/>
    <x v="4"/>
  </r>
  <r>
    <s v="Biolage"/>
    <x v="3"/>
    <s v="Search"/>
    <s v="Amazon"/>
    <s v="Amazon"/>
    <d v="2025-06-28T00:00:00"/>
    <d v="2025-01-01T00:00:00"/>
    <n v="3918.61"/>
    <n v="471233"/>
    <s v="TTM"/>
    <x v="4"/>
  </r>
  <r>
    <s v="Biolage"/>
    <x v="8"/>
    <s v="Display"/>
    <s v="Amazon"/>
    <s v="Amazon"/>
    <d v="2023-07-01T00:00:00"/>
    <d v="2023-01-01T00:00:00"/>
    <n v="740.48889999999994"/>
    <n v="87514"/>
    <s v="PY"/>
    <x v="3"/>
  </r>
  <r>
    <s v="Biolage"/>
    <x v="8"/>
    <s v="Display"/>
    <s v="Amazon"/>
    <s v="Amazon"/>
    <d v="2023-07-08T00:00:00"/>
    <d v="2023-01-01T00:00:00"/>
    <n v="5084.612799999999"/>
    <n v="644944"/>
    <s v="PY"/>
    <x v="3"/>
  </r>
  <r>
    <s v="Biolage"/>
    <x v="8"/>
    <s v="Display"/>
    <s v="Amazon"/>
    <s v="Amazon"/>
    <d v="2023-07-15T00:00:00"/>
    <d v="2023-01-01T00:00:00"/>
    <n v="5096.2629999999981"/>
    <n v="705589"/>
    <s v="LY"/>
    <x v="3"/>
  </r>
  <r>
    <s v="Biolage"/>
    <x v="8"/>
    <s v="Display"/>
    <s v="Amazon"/>
    <s v="Amazon"/>
    <d v="2023-07-22T00:00:00"/>
    <d v="2023-01-01T00:00:00"/>
    <n v="6071.4559000000008"/>
    <n v="949823"/>
    <s v="LY"/>
    <x v="3"/>
  </r>
  <r>
    <s v="Biolage"/>
    <x v="8"/>
    <s v="Display"/>
    <s v="Amazon"/>
    <s v="Amazon"/>
    <d v="2023-07-29T00:00:00"/>
    <d v="2023-01-01T00:00:00"/>
    <n v="6057.3192000000008"/>
    <n v="932308"/>
    <s v="LY"/>
    <x v="3"/>
  </r>
  <r>
    <s v="Biolage"/>
    <x v="8"/>
    <s v="Display"/>
    <s v="Amazon"/>
    <s v="Amazon"/>
    <d v="2023-08-05T00:00:00"/>
    <d v="2023-01-01T00:00:00"/>
    <n v="6018.5332000000017"/>
    <n v="852071"/>
    <s v="LY"/>
    <x v="3"/>
  </r>
  <r>
    <s v="Biolage"/>
    <x v="8"/>
    <s v="Display"/>
    <s v="Amazon"/>
    <s v="Amazon"/>
    <d v="2023-08-12T00:00:00"/>
    <d v="2023-01-01T00:00:00"/>
    <n v="5830.0846000000001"/>
    <n v="830217"/>
    <s v="LY"/>
    <x v="3"/>
  </r>
  <r>
    <s v="Biolage"/>
    <x v="8"/>
    <s v="Display"/>
    <s v="Amazon"/>
    <s v="Amazon"/>
    <d v="2023-08-19T00:00:00"/>
    <d v="2023-01-01T00:00:00"/>
    <n v="4737.5258000000003"/>
    <n v="592965"/>
    <s v="LY"/>
    <x v="3"/>
  </r>
  <r>
    <s v="Biolage"/>
    <x v="8"/>
    <s v="Display"/>
    <s v="Amazon"/>
    <s v="Amazon"/>
    <d v="2023-08-26T00:00:00"/>
    <d v="2023-01-01T00:00:00"/>
    <n v="4058.3792000000008"/>
    <n v="557078"/>
    <s v="LY"/>
    <x v="3"/>
  </r>
  <r>
    <s v="Biolage"/>
    <x v="8"/>
    <s v="Display"/>
    <s v="Amazon"/>
    <s v="Amazon"/>
    <d v="2023-09-02T00:00:00"/>
    <d v="2023-01-01T00:00:00"/>
    <n v="5023.656600000003"/>
    <n v="554421"/>
    <s v="LY"/>
    <x v="3"/>
  </r>
  <r>
    <s v="Biolage"/>
    <x v="8"/>
    <s v="Display"/>
    <s v="Amazon"/>
    <s v="Amazon"/>
    <d v="2023-09-09T00:00:00"/>
    <d v="2023-01-01T00:00:00"/>
    <n v="3559.2014000000004"/>
    <n v="461366"/>
    <s v="LY"/>
    <x v="3"/>
  </r>
  <r>
    <s v="Biolage"/>
    <x v="8"/>
    <s v="Display"/>
    <s v="Amazon"/>
    <s v="Amazon"/>
    <d v="2023-09-16T00:00:00"/>
    <d v="2023-01-01T00:00:00"/>
    <n v="3982.9713999999985"/>
    <n v="512097"/>
    <s v="LY"/>
    <x v="3"/>
  </r>
  <r>
    <s v="Biolage"/>
    <x v="8"/>
    <s v="Display"/>
    <s v="Amazon"/>
    <s v="Amazon"/>
    <d v="2023-09-23T00:00:00"/>
    <d v="2023-01-01T00:00:00"/>
    <n v="4712.5533999999989"/>
    <n v="641220"/>
    <s v="LY"/>
    <x v="3"/>
  </r>
  <r>
    <s v="Biolage"/>
    <x v="8"/>
    <s v="Display"/>
    <s v="Amazon"/>
    <s v="Amazon"/>
    <d v="2023-09-30T00:00:00"/>
    <d v="2023-01-01T00:00:00"/>
    <n v="5622.0327999999981"/>
    <n v="801519"/>
    <s v="LY"/>
    <x v="3"/>
  </r>
  <r>
    <s v="Biolage"/>
    <x v="8"/>
    <s v="Display"/>
    <s v="Amazon"/>
    <s v="Amazon"/>
    <d v="2023-10-07T00:00:00"/>
    <d v="2023-01-01T00:00:00"/>
    <n v="6333.9197999999997"/>
    <n v="950677"/>
    <s v="LY"/>
    <x v="3"/>
  </r>
  <r>
    <s v="Biolage"/>
    <x v="8"/>
    <s v="Display"/>
    <s v="Amazon"/>
    <s v="Amazon"/>
    <d v="2023-10-14T00:00:00"/>
    <d v="2023-01-01T00:00:00"/>
    <n v="7147.4304999999986"/>
    <n v="956615"/>
    <s v="LY"/>
    <x v="3"/>
  </r>
  <r>
    <s v="Biolage"/>
    <x v="8"/>
    <s v="Display"/>
    <s v="Amazon"/>
    <s v="Amazon"/>
    <d v="2023-10-21T00:00:00"/>
    <d v="2023-01-01T00:00:00"/>
    <n v="7395.7773999999981"/>
    <n v="1016879"/>
    <s v="LY"/>
    <x v="3"/>
  </r>
  <r>
    <s v="Biolage"/>
    <x v="8"/>
    <s v="Display"/>
    <s v="Amazon"/>
    <s v="Amazon"/>
    <d v="2023-10-28T00:00:00"/>
    <d v="2023-01-01T00:00:00"/>
    <n v="6055.8194000000003"/>
    <n v="834271"/>
    <s v="LY"/>
    <x v="3"/>
  </r>
  <r>
    <s v="Biolage"/>
    <x v="8"/>
    <s v="Display"/>
    <s v="Amazon"/>
    <s v="Amazon"/>
    <d v="2023-11-04T00:00:00"/>
    <d v="2023-01-01T00:00:00"/>
    <n v="6126.4387999999999"/>
    <n v="967771"/>
    <s v="LY"/>
    <x v="3"/>
  </r>
  <r>
    <s v="Biolage"/>
    <x v="8"/>
    <s v="Display"/>
    <s v="Amazon"/>
    <s v="Amazon"/>
    <d v="2023-11-11T00:00:00"/>
    <d v="2023-01-01T00:00:00"/>
    <n v="6427.3482999999997"/>
    <n v="1018394"/>
    <s v="LY"/>
    <x v="3"/>
  </r>
  <r>
    <s v="Biolage"/>
    <x v="8"/>
    <s v="Display"/>
    <s v="Amazon"/>
    <s v="Amazon"/>
    <d v="2023-11-18T00:00:00"/>
    <d v="2023-01-01T00:00:00"/>
    <n v="5854.1636000000008"/>
    <n v="749629"/>
    <s v="LY"/>
    <x v="3"/>
  </r>
  <r>
    <s v="Biolage"/>
    <x v="8"/>
    <s v="Display"/>
    <s v="Amazon"/>
    <s v="Amazon"/>
    <d v="2023-11-25T00:00:00"/>
    <d v="2023-01-01T00:00:00"/>
    <n v="6900.4465000000009"/>
    <n v="756932"/>
    <s v="LY"/>
    <x v="3"/>
  </r>
  <r>
    <s v="Biolage"/>
    <x v="8"/>
    <s v="Display"/>
    <s v="Amazon"/>
    <s v="Amazon"/>
    <d v="2023-12-02T00:00:00"/>
    <d v="2023-01-01T00:00:00"/>
    <n v="4389.4712999999983"/>
    <n v="492355"/>
    <s v="LY"/>
    <x v="3"/>
  </r>
  <r>
    <s v="Biolage"/>
    <x v="8"/>
    <s v="Display"/>
    <s v="Amazon"/>
    <s v="Amazon"/>
    <d v="2023-12-09T00:00:00"/>
    <d v="2023-01-01T00:00:00"/>
    <n v="3894.8914999999979"/>
    <n v="552124"/>
    <s v="LY"/>
    <x v="3"/>
  </r>
  <r>
    <s v="Biolage"/>
    <x v="8"/>
    <s v="Display"/>
    <s v="Amazon"/>
    <s v="Amazon"/>
    <d v="2023-12-16T00:00:00"/>
    <d v="2023-01-01T00:00:00"/>
    <n v="3982.0275999999999"/>
    <n v="609108"/>
    <s v="LY"/>
    <x v="3"/>
  </r>
  <r>
    <s v="Biolage"/>
    <x v="8"/>
    <s v="Display"/>
    <s v="Amazon"/>
    <s v="Amazon"/>
    <d v="2023-12-23T00:00:00"/>
    <d v="2023-01-01T00:00:00"/>
    <n v="3936.3377000000005"/>
    <n v="592829"/>
    <s v="LY"/>
    <x v="3"/>
  </r>
  <r>
    <s v="Biolage"/>
    <x v="8"/>
    <s v="Display"/>
    <s v="Amazon"/>
    <s v="Amazon"/>
    <d v="2023-12-30T00:00:00"/>
    <d v="2023-01-01T00:00:00"/>
    <n v="2807.4654"/>
    <n v="566892"/>
    <s v="LY"/>
    <x v="3"/>
  </r>
  <r>
    <s v="Biolage"/>
    <x v="8"/>
    <s v="Display"/>
    <s v="Amazon"/>
    <s v="Amazon"/>
    <d v="2024-01-06T00:00:00"/>
    <d v="2023-01-01T00:00:00"/>
    <n v="12.6975"/>
    <n v="2498"/>
    <s v="LY"/>
    <x v="3"/>
  </r>
  <r>
    <s v="Biolage"/>
    <x v="8"/>
    <s v="Display"/>
    <s v="Amazon"/>
    <s v="Amazon"/>
    <d v="2024-01-06T00:00:00"/>
    <d v="2024-01-01T00:00:00"/>
    <n v="3965.7071999999989"/>
    <n v="735327"/>
    <s v="LY"/>
    <x v="3"/>
  </r>
  <r>
    <s v="Biolage"/>
    <x v="8"/>
    <s v="Display"/>
    <s v="Amazon"/>
    <s v="Amazon"/>
    <d v="2024-01-13T00:00:00"/>
    <d v="2024-01-01T00:00:00"/>
    <n v="6733.6956999999975"/>
    <n v="1276008"/>
    <s v="LY"/>
    <x v="3"/>
  </r>
  <r>
    <s v="Biolage"/>
    <x v="8"/>
    <s v="Display"/>
    <s v="Amazon"/>
    <s v="Amazon"/>
    <d v="2024-01-20T00:00:00"/>
    <d v="2024-01-01T00:00:00"/>
    <n v="6672.8546999999971"/>
    <n v="1117978"/>
    <s v="LY"/>
    <x v="3"/>
  </r>
  <r>
    <s v="Biolage"/>
    <x v="8"/>
    <s v="Display"/>
    <s v="Amazon"/>
    <s v="Amazon"/>
    <d v="2024-01-27T00:00:00"/>
    <d v="2024-01-01T00:00:00"/>
    <n v="6798.0000999999993"/>
    <n v="1131771"/>
    <s v="LY"/>
    <x v="3"/>
  </r>
  <r>
    <s v="Biolage"/>
    <x v="8"/>
    <s v="Display"/>
    <s v="Amazon"/>
    <s v="Amazon"/>
    <d v="2024-02-03T00:00:00"/>
    <d v="2024-01-01T00:00:00"/>
    <n v="4110.6302999999998"/>
    <n v="681126"/>
    <s v="LY"/>
    <x v="3"/>
  </r>
  <r>
    <s v="Biolage"/>
    <x v="8"/>
    <s v="Display"/>
    <s v="Amazon"/>
    <s v="Amazon"/>
    <d v="2024-02-10T00:00:00"/>
    <d v="2024-01-01T00:00:00"/>
    <n v="7140.3116999999975"/>
    <n v="1924448"/>
    <s v="LY"/>
    <x v="3"/>
  </r>
  <r>
    <s v="Biolage"/>
    <x v="8"/>
    <s v="Display"/>
    <s v="Amazon"/>
    <s v="Amazon"/>
    <d v="2024-02-17T00:00:00"/>
    <d v="2024-01-01T00:00:00"/>
    <n v="6866.8573000000024"/>
    <n v="2091803"/>
    <s v="LY"/>
    <x v="3"/>
  </r>
  <r>
    <s v="Biolage"/>
    <x v="8"/>
    <s v="Display"/>
    <s v="Amazon"/>
    <s v="Amazon"/>
    <d v="2024-02-24T00:00:00"/>
    <d v="2024-01-01T00:00:00"/>
    <n v="6912.5581000000038"/>
    <n v="2590070"/>
    <s v="LY"/>
    <x v="3"/>
  </r>
  <r>
    <s v="Biolage"/>
    <x v="8"/>
    <s v="Display"/>
    <s v="Amazon"/>
    <s v="Amazon"/>
    <d v="2024-03-02T00:00:00"/>
    <d v="2024-01-01T00:00:00"/>
    <n v="4421.9359000000004"/>
    <n v="1435783"/>
    <s v="LY"/>
    <x v="3"/>
  </r>
  <r>
    <s v="Biolage"/>
    <x v="8"/>
    <s v="Display"/>
    <s v="Amazon"/>
    <s v="Amazon"/>
    <d v="2024-03-09T00:00:00"/>
    <d v="2024-01-01T00:00:00"/>
    <n v="5621.4567999999972"/>
    <n v="1529708"/>
    <s v="LY"/>
    <x v="3"/>
  </r>
  <r>
    <s v="Biolage"/>
    <x v="8"/>
    <s v="Display"/>
    <s v="Amazon"/>
    <s v="Amazon"/>
    <d v="2024-03-16T00:00:00"/>
    <d v="2024-01-01T00:00:00"/>
    <n v="5609.5313999999971"/>
    <n v="1588380"/>
    <s v="LY"/>
    <x v="3"/>
  </r>
  <r>
    <s v="Biolage"/>
    <x v="8"/>
    <s v="Display"/>
    <s v="Amazon"/>
    <s v="Amazon"/>
    <d v="2024-03-23T00:00:00"/>
    <d v="2024-01-01T00:00:00"/>
    <n v="5647.7424999999976"/>
    <n v="1291095"/>
    <s v="LY"/>
    <x v="3"/>
  </r>
  <r>
    <s v="Biolage"/>
    <x v="8"/>
    <s v="Display"/>
    <s v="Amazon"/>
    <s v="Amazon"/>
    <d v="2024-03-30T00:00:00"/>
    <d v="2024-01-01T00:00:00"/>
    <n v="5170.1101999999983"/>
    <n v="585118"/>
    <s v="LY"/>
    <x v="3"/>
  </r>
  <r>
    <s v="Biolage"/>
    <x v="8"/>
    <s v="Display"/>
    <s v="Amazon"/>
    <s v="Amazon"/>
    <d v="2024-04-06T00:00:00"/>
    <d v="2024-01-01T00:00:00"/>
    <n v="5417.0466999999981"/>
    <n v="900266"/>
    <s v="LY"/>
    <x v="3"/>
  </r>
  <r>
    <s v="Biolage"/>
    <x v="8"/>
    <s v="Display"/>
    <s v="Amazon"/>
    <s v="Amazon"/>
    <d v="2024-04-13T00:00:00"/>
    <d v="2024-01-01T00:00:00"/>
    <n v="7143.3048000000017"/>
    <n v="1192619"/>
    <s v="LY"/>
    <x v="3"/>
  </r>
  <r>
    <s v="Biolage"/>
    <x v="8"/>
    <s v="Display"/>
    <s v="Amazon"/>
    <s v="Amazon"/>
    <d v="2024-04-20T00:00:00"/>
    <d v="2024-01-01T00:00:00"/>
    <n v="5046.263899999999"/>
    <n v="722557"/>
    <s v="LY"/>
    <x v="3"/>
  </r>
  <r>
    <s v="Biolage"/>
    <x v="8"/>
    <s v="Display"/>
    <s v="Amazon"/>
    <s v="Amazon"/>
    <d v="2024-04-27T00:00:00"/>
    <d v="2024-01-01T00:00:00"/>
    <n v="4555.7056999999986"/>
    <n v="649587"/>
    <s v="LY"/>
    <x v="3"/>
  </r>
  <r>
    <s v="Biolage"/>
    <x v="8"/>
    <s v="Display"/>
    <s v="Amazon"/>
    <s v="Amazon"/>
    <d v="2024-05-04T00:00:00"/>
    <d v="2024-01-01T00:00:00"/>
    <n v="4971.2066000000004"/>
    <n v="756164"/>
    <s v="LY"/>
    <x v="3"/>
  </r>
  <r>
    <s v="Biolage"/>
    <x v="8"/>
    <s v="Display"/>
    <s v="Amazon"/>
    <s v="Amazon"/>
    <d v="2024-05-11T00:00:00"/>
    <d v="2024-01-01T00:00:00"/>
    <n v="5077.7660999999989"/>
    <n v="770550"/>
    <s v="LY"/>
    <x v="3"/>
  </r>
  <r>
    <s v="Biolage"/>
    <x v="8"/>
    <s v="Display"/>
    <s v="Amazon"/>
    <s v="Amazon"/>
    <d v="2024-05-18T00:00:00"/>
    <d v="2024-01-01T00:00:00"/>
    <n v="4879.5247999999983"/>
    <n v="612402"/>
    <s v="LY"/>
    <x v="3"/>
  </r>
  <r>
    <s v="Biolage"/>
    <x v="8"/>
    <s v="Display"/>
    <s v="Amazon"/>
    <s v="Amazon"/>
    <d v="2024-05-25T00:00:00"/>
    <d v="2024-01-01T00:00:00"/>
    <n v="5004.9694000000027"/>
    <n v="532733"/>
    <s v="LY"/>
    <x v="3"/>
  </r>
  <r>
    <s v="Biolage"/>
    <x v="8"/>
    <s v="Display"/>
    <s v="Amazon"/>
    <s v="Amazon"/>
    <d v="2024-06-01T00:00:00"/>
    <d v="2024-01-01T00:00:00"/>
    <n v="4825.0331999999999"/>
    <n v="451209"/>
    <s v="LY"/>
    <x v="3"/>
  </r>
  <r>
    <s v="Biolage"/>
    <x v="8"/>
    <s v="Display"/>
    <s v="Amazon"/>
    <s v="Amazon"/>
    <d v="2024-06-08T00:00:00"/>
    <d v="2024-01-01T00:00:00"/>
    <n v="4343.7521000000006"/>
    <n v="407698"/>
    <s v="LY"/>
    <x v="3"/>
  </r>
  <r>
    <s v="Biolage"/>
    <x v="8"/>
    <s v="Display"/>
    <s v="Amazon"/>
    <s v="Amazon"/>
    <d v="2024-06-15T00:00:00"/>
    <d v="2024-01-01T00:00:00"/>
    <n v="4872.1052"/>
    <n v="400325"/>
    <s v="LY"/>
    <x v="3"/>
  </r>
  <r>
    <s v="Biolage"/>
    <x v="8"/>
    <s v="Display"/>
    <s v="Amazon"/>
    <s v="Amazon"/>
    <d v="2024-06-22T00:00:00"/>
    <d v="2024-01-01T00:00:00"/>
    <n v="4945.9644000000017"/>
    <n v="378190"/>
    <s v="LY"/>
    <x v="3"/>
  </r>
  <r>
    <s v="Biolage"/>
    <x v="8"/>
    <s v="Display"/>
    <s v="Amazon"/>
    <s v="Amazon"/>
    <d v="2024-06-29T00:00:00"/>
    <d v="2024-01-01T00:00:00"/>
    <n v="4556.9813999999997"/>
    <n v="331957"/>
    <s v="LY"/>
    <x v="3"/>
  </r>
  <r>
    <s v="Biolage"/>
    <x v="8"/>
    <s v="Display"/>
    <s v="Amazon"/>
    <s v="Amazon"/>
    <d v="2024-07-06T00:00:00"/>
    <d v="2024-01-01T00:00:00"/>
    <n v="3781.5192000000029"/>
    <n v="390041"/>
    <s v="LY"/>
    <x v="3"/>
  </r>
  <r>
    <s v="Biolage"/>
    <x v="8"/>
    <s v="Display"/>
    <s v="Amazon"/>
    <s v="Amazon"/>
    <d v="2024-07-13T00:00:00"/>
    <d v="2024-01-01T00:00:00"/>
    <n v="3797.8841999999986"/>
    <n v="409674"/>
    <s v="TTM"/>
    <x v="3"/>
  </r>
  <r>
    <s v="Biolage"/>
    <x v="8"/>
    <s v="Display"/>
    <s v="Amazon"/>
    <s v="Amazon"/>
    <d v="2024-07-20T00:00:00"/>
    <d v="2024-01-01T00:00:00"/>
    <n v="2709.2779"/>
    <n v="224649"/>
    <s v="TTM"/>
    <x v="3"/>
  </r>
  <r>
    <s v="Biolage"/>
    <x v="8"/>
    <s v="Display"/>
    <s v="Amazon"/>
    <s v="Amazon"/>
    <d v="2024-07-27T00:00:00"/>
    <d v="2024-01-01T00:00:00"/>
    <n v="4492.3219000000008"/>
    <n v="678716"/>
    <s v="TTM"/>
    <x v="3"/>
  </r>
  <r>
    <s v="Biolage"/>
    <x v="8"/>
    <s v="Display"/>
    <s v="Amazon"/>
    <s v="Amazon"/>
    <d v="2024-08-03T00:00:00"/>
    <d v="2024-01-01T00:00:00"/>
    <n v="3927.7318000000018"/>
    <n v="573244"/>
    <s v="TTM"/>
    <x v="3"/>
  </r>
  <r>
    <s v="Biolage"/>
    <x v="8"/>
    <s v="Display"/>
    <s v="Amazon"/>
    <s v="Amazon"/>
    <d v="2024-08-10T00:00:00"/>
    <d v="2024-01-01T00:00:00"/>
    <n v="3875.8870999999999"/>
    <n v="381959"/>
    <s v="TTM"/>
    <x v="3"/>
  </r>
  <r>
    <s v="Biolage"/>
    <x v="8"/>
    <s v="Display"/>
    <s v="Amazon"/>
    <s v="Amazon"/>
    <d v="2024-08-17T00:00:00"/>
    <d v="2024-01-01T00:00:00"/>
    <n v="3808.0692000000004"/>
    <n v="271473"/>
    <s v="TTM"/>
    <x v="3"/>
  </r>
  <r>
    <s v="Biolage"/>
    <x v="8"/>
    <s v="Display"/>
    <s v="Amazon"/>
    <s v="Amazon"/>
    <d v="2024-08-24T00:00:00"/>
    <d v="2024-01-01T00:00:00"/>
    <n v="3863.3629000000001"/>
    <n v="379083"/>
    <s v="TTM"/>
    <x v="3"/>
  </r>
  <r>
    <s v="Biolage"/>
    <x v="8"/>
    <s v="Display"/>
    <s v="Amazon"/>
    <s v="Amazon"/>
    <d v="2024-08-31T00:00:00"/>
    <d v="2024-01-01T00:00:00"/>
    <n v="3619.2930999999994"/>
    <n v="332881"/>
    <s v="TTM"/>
    <x v="3"/>
  </r>
  <r>
    <s v="Biolage"/>
    <x v="8"/>
    <s v="Display"/>
    <s v="Amazon"/>
    <s v="Amazon"/>
    <d v="2024-09-07T00:00:00"/>
    <d v="2024-01-01T00:00:00"/>
    <n v="3973.7300999999998"/>
    <n v="336205"/>
    <s v="TTM"/>
    <x v="3"/>
  </r>
  <r>
    <s v="Biolage"/>
    <x v="8"/>
    <s v="Display"/>
    <s v="Amazon"/>
    <s v="Amazon"/>
    <d v="2024-09-14T00:00:00"/>
    <d v="2024-01-01T00:00:00"/>
    <n v="4018.8783000000003"/>
    <n v="269303"/>
    <s v="TTM"/>
    <x v="3"/>
  </r>
  <r>
    <s v="Biolage"/>
    <x v="8"/>
    <s v="Display"/>
    <s v="Amazon"/>
    <s v="Amazon"/>
    <d v="2024-09-21T00:00:00"/>
    <d v="2024-01-01T00:00:00"/>
    <n v="3581.4115999999999"/>
    <n v="179244"/>
    <s v="TTM"/>
    <x v="3"/>
  </r>
  <r>
    <s v="Biolage"/>
    <x v="8"/>
    <s v="Display"/>
    <s v="Amazon"/>
    <s v="Amazon"/>
    <d v="2024-09-28T00:00:00"/>
    <d v="2024-01-01T00:00:00"/>
    <n v="3013.6907999999989"/>
    <n v="268021"/>
    <s v="TTM"/>
    <x v="3"/>
  </r>
  <r>
    <s v="Biolage"/>
    <x v="8"/>
    <s v="Display"/>
    <s v="Amazon"/>
    <s v="Amazon"/>
    <d v="2024-10-05T00:00:00"/>
    <d v="2024-01-01T00:00:00"/>
    <n v="5049.5283000000027"/>
    <n v="542178"/>
    <s v="TTM"/>
    <x v="3"/>
  </r>
  <r>
    <s v="Biolage"/>
    <x v="8"/>
    <s v="Display"/>
    <s v="Amazon"/>
    <s v="Amazon"/>
    <d v="2024-10-12T00:00:00"/>
    <d v="2024-01-01T00:00:00"/>
    <n v="5954.2887000000001"/>
    <n v="584005"/>
    <s v="TTM"/>
    <x v="3"/>
  </r>
  <r>
    <s v="Biolage"/>
    <x v="8"/>
    <s v="Display"/>
    <s v="Amazon"/>
    <s v="Amazon"/>
    <d v="2024-10-19T00:00:00"/>
    <d v="2024-01-01T00:00:00"/>
    <n v="5721.1953000000021"/>
    <n v="677779"/>
    <s v="TTM"/>
    <x v="3"/>
  </r>
  <r>
    <s v="Biolage"/>
    <x v="8"/>
    <s v="Display"/>
    <s v="Amazon"/>
    <s v="Amazon"/>
    <d v="2024-10-26T00:00:00"/>
    <d v="2024-01-01T00:00:00"/>
    <n v="5844.5855999999976"/>
    <n v="772959"/>
    <s v="TTM"/>
    <x v="3"/>
  </r>
  <r>
    <s v="Biolage"/>
    <x v="8"/>
    <s v="Display"/>
    <s v="Amazon"/>
    <s v="Amazon"/>
    <d v="2024-11-02T00:00:00"/>
    <d v="2024-01-01T00:00:00"/>
    <n v="4705.0527999999986"/>
    <n v="613862"/>
    <s v="TTM"/>
    <x v="3"/>
  </r>
  <r>
    <s v="Biolage"/>
    <x v="8"/>
    <s v="Display"/>
    <s v="Amazon"/>
    <s v="Amazon"/>
    <d v="2024-11-09T00:00:00"/>
    <d v="2024-01-01T00:00:00"/>
    <n v="5040.7197000000024"/>
    <n v="615088"/>
    <s v="TTM"/>
    <x v="3"/>
  </r>
  <r>
    <s v="Biolage"/>
    <x v="8"/>
    <s v="Display"/>
    <s v="Amazon"/>
    <s v="Amazon"/>
    <d v="2024-11-16T00:00:00"/>
    <d v="2024-01-01T00:00:00"/>
    <n v="4798.9595000000008"/>
    <n v="772285"/>
    <s v="TTM"/>
    <x v="3"/>
  </r>
  <r>
    <s v="Biolage"/>
    <x v="8"/>
    <s v="Display"/>
    <s v="Amazon"/>
    <s v="Amazon"/>
    <d v="2024-11-23T00:00:00"/>
    <d v="2024-01-01T00:00:00"/>
    <n v="4659.5454"/>
    <n v="864981"/>
    <s v="TTM"/>
    <x v="3"/>
  </r>
  <r>
    <s v="Biolage"/>
    <x v="8"/>
    <s v="Display"/>
    <s v="Amazon"/>
    <s v="Amazon"/>
    <d v="2024-11-30T00:00:00"/>
    <d v="2024-01-01T00:00:00"/>
    <n v="3969.1189000000027"/>
    <n v="567003"/>
    <s v="TTM"/>
    <x v="3"/>
  </r>
  <r>
    <s v="Biolage"/>
    <x v="8"/>
    <s v="Display"/>
    <s v="Amazon"/>
    <s v="Amazon"/>
    <d v="2024-12-07T00:00:00"/>
    <d v="2024-01-01T00:00:00"/>
    <n v="4294.7366000000002"/>
    <n v="690296"/>
    <s v="TTM"/>
    <x v="3"/>
  </r>
  <r>
    <s v="Biolage"/>
    <x v="8"/>
    <s v="Display"/>
    <s v="Amazon"/>
    <s v="Amazon"/>
    <d v="2024-12-14T00:00:00"/>
    <d v="2024-01-01T00:00:00"/>
    <n v="4376.7573999999977"/>
    <n v="1000654"/>
    <s v="TTM"/>
    <x v="3"/>
  </r>
  <r>
    <s v="Biolage"/>
    <x v="8"/>
    <s v="Display"/>
    <s v="Amazon"/>
    <s v="Amazon"/>
    <d v="2024-12-21T00:00:00"/>
    <d v="2024-01-01T00:00:00"/>
    <n v="4093.4698999999996"/>
    <n v="959594"/>
    <s v="TTM"/>
    <x v="3"/>
  </r>
  <r>
    <s v="Biolage"/>
    <x v="8"/>
    <s v="Display"/>
    <s v="Amazon"/>
    <s v="Amazon"/>
    <d v="2024-12-28T00:00:00"/>
    <d v="2024-01-01T00:00:00"/>
    <n v="4011.7960000000003"/>
    <n v="990452"/>
    <s v="TTM"/>
    <x v="3"/>
  </r>
  <r>
    <s v="Biolage"/>
    <x v="8"/>
    <s v="Display"/>
    <s v="Amazon"/>
    <s v="Amazon"/>
    <d v="2025-01-04T00:00:00"/>
    <d v="2024-01-01T00:00:00"/>
    <n v="1385.2909"/>
    <n v="365275"/>
    <s v="TTM"/>
    <x v="3"/>
  </r>
  <r>
    <s v="Biolage"/>
    <x v="8"/>
    <s v="Display"/>
    <s v="Amazon"/>
    <s v="Amazon"/>
    <d v="2025-01-04T00:00:00"/>
    <d v="2025-01-01T00:00:00"/>
    <n v="2869.1986999999995"/>
    <n v="1123338"/>
    <s v="TTM"/>
    <x v="3"/>
  </r>
  <r>
    <s v="Biolage"/>
    <x v="8"/>
    <s v="Display"/>
    <s v="Amazon"/>
    <s v="Amazon"/>
    <d v="2025-01-11T00:00:00"/>
    <d v="2025-01-01T00:00:00"/>
    <n v="5233.235200000001"/>
    <n v="2231767"/>
    <s v="TTM"/>
    <x v="3"/>
  </r>
  <r>
    <s v="Biolage"/>
    <x v="8"/>
    <s v="Display"/>
    <s v="Amazon"/>
    <s v="Amazon"/>
    <d v="2025-01-18T00:00:00"/>
    <d v="2025-01-01T00:00:00"/>
    <n v="5106.0614999999962"/>
    <n v="2053609"/>
    <s v="TTM"/>
    <x v="3"/>
  </r>
  <r>
    <s v="Biolage"/>
    <x v="8"/>
    <s v="Display"/>
    <s v="Amazon"/>
    <s v="Amazon"/>
    <d v="2025-01-25T00:00:00"/>
    <d v="2025-01-01T00:00:00"/>
    <n v="4646.7890000000007"/>
    <n v="1949103"/>
    <s v="TTM"/>
    <x v="3"/>
  </r>
  <r>
    <s v="Biolage"/>
    <x v="8"/>
    <s v="Display"/>
    <s v="Amazon"/>
    <s v="Amazon"/>
    <d v="2025-02-01T00:00:00"/>
    <d v="2025-01-01T00:00:00"/>
    <n v="5485.3549999999996"/>
    <n v="1838178"/>
    <s v="TTM"/>
    <x v="3"/>
  </r>
  <r>
    <s v="Biolage"/>
    <x v="8"/>
    <s v="Display"/>
    <s v="Amazon"/>
    <s v="Amazon"/>
    <d v="2025-02-08T00:00:00"/>
    <d v="2025-01-01T00:00:00"/>
    <n v="6054.2161000000033"/>
    <n v="2263315"/>
    <s v="TTM"/>
    <x v="3"/>
  </r>
  <r>
    <s v="Biolage"/>
    <x v="8"/>
    <s v="Display"/>
    <s v="Amazon"/>
    <s v="Amazon"/>
    <d v="2025-02-15T00:00:00"/>
    <d v="2025-01-01T00:00:00"/>
    <n v="6314.694300000001"/>
    <n v="2115332"/>
    <s v="TTM"/>
    <x v="3"/>
  </r>
  <r>
    <s v="Biolage"/>
    <x v="8"/>
    <s v="Display"/>
    <s v="Amazon"/>
    <s v="Amazon"/>
    <d v="2025-02-22T00:00:00"/>
    <d v="2025-01-01T00:00:00"/>
    <n v="6082.183299999997"/>
    <n v="1720229"/>
    <s v="TTM"/>
    <x v="3"/>
  </r>
  <r>
    <s v="Biolage"/>
    <x v="8"/>
    <s v="Display"/>
    <s v="Amazon"/>
    <s v="Amazon"/>
    <d v="2025-03-01T00:00:00"/>
    <d v="2025-01-01T00:00:00"/>
    <n v="7846.6367999999993"/>
    <n v="1537693"/>
    <s v="TTM"/>
    <x v="3"/>
  </r>
  <r>
    <s v="Biolage"/>
    <x v="8"/>
    <s v="Display"/>
    <s v="Amazon"/>
    <s v="Amazon"/>
    <d v="2025-03-08T00:00:00"/>
    <d v="2025-01-01T00:00:00"/>
    <n v="9415.9598000000005"/>
    <n v="1733998"/>
    <s v="TTM"/>
    <x v="3"/>
  </r>
  <r>
    <s v="Biolage"/>
    <x v="8"/>
    <s v="Display"/>
    <s v="Amazon"/>
    <s v="Amazon"/>
    <d v="2025-03-15T00:00:00"/>
    <d v="2025-01-01T00:00:00"/>
    <n v="10466.7904"/>
    <n v="1600171"/>
    <s v="TTM"/>
    <x v="3"/>
  </r>
  <r>
    <s v="Biolage"/>
    <x v="8"/>
    <s v="Display"/>
    <s v="Amazon"/>
    <s v="Amazon"/>
    <d v="2025-03-22T00:00:00"/>
    <d v="2025-01-01T00:00:00"/>
    <n v="9543.1287999999986"/>
    <n v="1181010"/>
    <s v="TTM"/>
    <x v="3"/>
  </r>
  <r>
    <s v="Biolage"/>
    <x v="8"/>
    <s v="Display"/>
    <s v="Amazon"/>
    <s v="Amazon"/>
    <d v="2025-03-29T00:00:00"/>
    <d v="2025-01-01T00:00:00"/>
    <n v="9954.8606"/>
    <n v="1327317"/>
    <s v="TTM"/>
    <x v="3"/>
  </r>
  <r>
    <s v="Biolage"/>
    <x v="8"/>
    <s v="Display"/>
    <s v="Amazon"/>
    <s v="Amazon"/>
    <d v="2025-04-05T00:00:00"/>
    <d v="2025-01-01T00:00:00"/>
    <n v="6163.0784000000003"/>
    <n v="1813170"/>
    <s v="TTM"/>
    <x v="3"/>
  </r>
  <r>
    <s v="Biolage"/>
    <x v="8"/>
    <s v="Display"/>
    <s v="Amazon"/>
    <s v="Amazon"/>
    <d v="2025-04-12T00:00:00"/>
    <d v="2025-01-01T00:00:00"/>
    <n v="4744.9227000000001"/>
    <n v="1036727"/>
    <s v="TTM"/>
    <x v="3"/>
  </r>
  <r>
    <s v="Biolage"/>
    <x v="8"/>
    <s v="Display"/>
    <s v="Amazon"/>
    <s v="Amazon"/>
    <d v="2025-04-19T00:00:00"/>
    <d v="2025-01-01T00:00:00"/>
    <n v="5896.0440999999973"/>
    <n v="959634"/>
    <s v="TTM"/>
    <x v="3"/>
  </r>
  <r>
    <s v="Biolage"/>
    <x v="8"/>
    <s v="Display"/>
    <s v="Amazon"/>
    <s v="Amazon"/>
    <d v="2025-04-26T00:00:00"/>
    <d v="2025-01-01T00:00:00"/>
    <n v="5758.6119000000008"/>
    <n v="905307"/>
    <s v="TTM"/>
    <x v="3"/>
  </r>
  <r>
    <s v="Biolage"/>
    <x v="8"/>
    <s v="Display"/>
    <s v="Amazon"/>
    <s v="Amazon"/>
    <d v="2025-05-03T00:00:00"/>
    <d v="2025-01-01T00:00:00"/>
    <n v="5251.421000000003"/>
    <n v="981304"/>
    <s v="TTM"/>
    <x v="3"/>
  </r>
  <r>
    <s v="Biolage"/>
    <x v="8"/>
    <s v="Display"/>
    <s v="Amazon"/>
    <s v="Amazon"/>
    <d v="2025-05-10T00:00:00"/>
    <d v="2025-01-01T00:00:00"/>
    <n v="5619.1816000000026"/>
    <n v="993272"/>
    <s v="TTM"/>
    <x v="3"/>
  </r>
  <r>
    <s v="Biolage"/>
    <x v="8"/>
    <s v="Display"/>
    <s v="Amazon"/>
    <s v="Amazon"/>
    <d v="2025-05-17T00:00:00"/>
    <d v="2025-01-01T00:00:00"/>
    <n v="5533.3743000000004"/>
    <n v="944163"/>
    <s v="TTM"/>
    <x v="3"/>
  </r>
  <r>
    <s v="Biolage"/>
    <x v="8"/>
    <s v="Display"/>
    <s v="Amazon"/>
    <s v="Amazon"/>
    <d v="2025-05-24T00:00:00"/>
    <d v="2025-01-01T00:00:00"/>
    <n v="5642.2011999999941"/>
    <n v="1003548"/>
    <s v="TTM"/>
    <x v="3"/>
  </r>
  <r>
    <s v="Biolage"/>
    <x v="8"/>
    <s v="Display"/>
    <s v="Amazon"/>
    <s v="Amazon"/>
    <d v="2025-05-31T00:00:00"/>
    <d v="2025-01-01T00:00:00"/>
    <n v="5526.1924000000017"/>
    <n v="1267171"/>
    <s v="TTM"/>
    <x v="3"/>
  </r>
  <r>
    <s v="Biolage"/>
    <x v="8"/>
    <s v="Display"/>
    <s v="Amazon"/>
    <s v="Amazon"/>
    <d v="2025-06-07T00:00:00"/>
    <d v="2025-01-01T00:00:00"/>
    <n v="9485.8097000000016"/>
    <n v="2035215"/>
    <s v="TTM"/>
    <x v="3"/>
  </r>
  <r>
    <s v="Biolage"/>
    <x v="8"/>
    <s v="Display"/>
    <s v="Amazon"/>
    <s v="Amazon"/>
    <d v="2025-06-14T00:00:00"/>
    <d v="2025-01-01T00:00:00"/>
    <n v="9818.1250999999975"/>
    <n v="3081455"/>
    <s v="TTM"/>
    <x v="3"/>
  </r>
  <r>
    <s v="Biolage"/>
    <x v="8"/>
    <s v="Display"/>
    <s v="Amazon"/>
    <s v="Amazon"/>
    <d v="2025-06-21T00:00:00"/>
    <d v="2025-01-01T00:00:00"/>
    <n v="9619.2668999999987"/>
    <n v="3345326"/>
    <s v="TTM"/>
    <x v="3"/>
  </r>
  <r>
    <s v="Biolage"/>
    <x v="8"/>
    <s v="Display"/>
    <s v="Amazon"/>
    <s v="Amazon"/>
    <d v="2025-06-28T00:00:00"/>
    <d v="2025-01-01T00:00:00"/>
    <n v="9685.1985999999961"/>
    <n v="1831650"/>
    <s v="TTM"/>
    <x v="3"/>
  </r>
  <r>
    <s v="Biolage"/>
    <x v="8"/>
    <s v="Search"/>
    <s v="Amazon"/>
    <s v="Amazon"/>
    <d v="2023-07-01T00:00:00"/>
    <d v="2023-01-01T00:00:00"/>
    <n v="1117.17"/>
    <n v="142010"/>
    <s v="PY"/>
    <x v="4"/>
  </r>
  <r>
    <s v="Biolage"/>
    <x v="8"/>
    <s v="Search"/>
    <s v="Amazon"/>
    <s v="Amazon"/>
    <d v="2023-07-08T00:00:00"/>
    <d v="2023-01-01T00:00:00"/>
    <n v="6553.2099999999982"/>
    <n v="981257"/>
    <s v="PY"/>
    <x v="4"/>
  </r>
  <r>
    <s v="Biolage"/>
    <x v="8"/>
    <s v="Search"/>
    <s v="Amazon"/>
    <s v="Amazon"/>
    <d v="2023-07-15T00:00:00"/>
    <d v="2023-01-01T00:00:00"/>
    <n v="26588.239999999987"/>
    <n v="2463552"/>
    <s v="LY"/>
    <x v="4"/>
  </r>
  <r>
    <s v="Biolage"/>
    <x v="8"/>
    <s v="Search"/>
    <s v="Amazon"/>
    <s v="Amazon"/>
    <d v="2023-07-22T00:00:00"/>
    <d v="2023-01-01T00:00:00"/>
    <n v="3061.0800000000013"/>
    <n v="1221281"/>
    <s v="LY"/>
    <x v="4"/>
  </r>
  <r>
    <s v="Biolage"/>
    <x v="8"/>
    <s v="Search"/>
    <s v="Amazon"/>
    <s v="Amazon"/>
    <d v="2023-07-29T00:00:00"/>
    <d v="2023-01-01T00:00:00"/>
    <n v="8279.9100000000017"/>
    <n v="2752806"/>
    <s v="LY"/>
    <x v="4"/>
  </r>
  <r>
    <s v="Biolage"/>
    <x v="8"/>
    <s v="Search"/>
    <s v="Amazon"/>
    <s v="Amazon"/>
    <d v="2023-08-05T00:00:00"/>
    <d v="2023-01-01T00:00:00"/>
    <n v="13286.260000000002"/>
    <n v="3596361"/>
    <s v="LY"/>
    <x v="4"/>
  </r>
  <r>
    <s v="Biolage"/>
    <x v="8"/>
    <s v="Search"/>
    <s v="Amazon"/>
    <s v="Amazon"/>
    <d v="2023-08-12T00:00:00"/>
    <d v="2023-01-01T00:00:00"/>
    <n v="5642.86"/>
    <n v="1178802"/>
    <s v="LY"/>
    <x v="4"/>
  </r>
  <r>
    <s v="Biolage"/>
    <x v="8"/>
    <s v="Search"/>
    <s v="Amazon"/>
    <s v="Amazon"/>
    <d v="2023-08-19T00:00:00"/>
    <d v="2023-01-01T00:00:00"/>
    <n v="2912.7300000000014"/>
    <n v="708787"/>
    <s v="LY"/>
    <x v="4"/>
  </r>
  <r>
    <s v="Biolage"/>
    <x v="8"/>
    <s v="Search"/>
    <s v="Amazon"/>
    <s v="Amazon"/>
    <d v="2023-08-26T00:00:00"/>
    <d v="2023-01-01T00:00:00"/>
    <n v="3040.0099999999993"/>
    <n v="770475"/>
    <s v="LY"/>
    <x v="4"/>
  </r>
  <r>
    <s v="Biolage"/>
    <x v="8"/>
    <s v="Search"/>
    <s v="Amazon"/>
    <s v="Amazon"/>
    <d v="2023-09-02T00:00:00"/>
    <d v="2023-01-01T00:00:00"/>
    <n v="3448.2400000000007"/>
    <n v="1029309"/>
    <s v="LY"/>
    <x v="4"/>
  </r>
  <r>
    <s v="Biolage"/>
    <x v="8"/>
    <s v="Search"/>
    <s v="Amazon"/>
    <s v="Amazon"/>
    <d v="2023-09-09T00:00:00"/>
    <d v="2023-01-01T00:00:00"/>
    <n v="3757.8999999999992"/>
    <n v="911126"/>
    <s v="LY"/>
    <x v="4"/>
  </r>
  <r>
    <s v="Biolage"/>
    <x v="8"/>
    <s v="Search"/>
    <s v="Amazon"/>
    <s v="Amazon"/>
    <d v="2023-09-16T00:00:00"/>
    <d v="2023-01-01T00:00:00"/>
    <n v="3708.8599999999983"/>
    <n v="868829"/>
    <s v="LY"/>
    <x v="4"/>
  </r>
  <r>
    <s v="Biolage"/>
    <x v="8"/>
    <s v="Search"/>
    <s v="Amazon"/>
    <s v="Amazon"/>
    <d v="2023-09-23T00:00:00"/>
    <d v="2023-01-01T00:00:00"/>
    <n v="8455.8700000000026"/>
    <n v="1116221"/>
    <s v="LY"/>
    <x v="4"/>
  </r>
  <r>
    <s v="Biolage"/>
    <x v="8"/>
    <s v="Search"/>
    <s v="Amazon"/>
    <s v="Amazon"/>
    <d v="2023-09-30T00:00:00"/>
    <d v="2023-01-01T00:00:00"/>
    <n v="9952.9200000000037"/>
    <n v="1649973"/>
    <s v="LY"/>
    <x v="4"/>
  </r>
  <r>
    <s v="Biolage"/>
    <x v="8"/>
    <s v="Search"/>
    <s v="Amazon"/>
    <s v="Amazon"/>
    <d v="2023-10-07T00:00:00"/>
    <d v="2023-01-01T00:00:00"/>
    <n v="14860.779999999997"/>
    <n v="2247214"/>
    <s v="LY"/>
    <x v="4"/>
  </r>
  <r>
    <s v="Biolage"/>
    <x v="8"/>
    <s v="Search"/>
    <s v="Amazon"/>
    <s v="Amazon"/>
    <d v="2023-10-14T00:00:00"/>
    <d v="2023-01-01T00:00:00"/>
    <n v="10218.710000000003"/>
    <n v="1598013"/>
    <s v="LY"/>
    <x v="4"/>
  </r>
  <r>
    <s v="Biolage"/>
    <x v="8"/>
    <s v="Search"/>
    <s v="Amazon"/>
    <s v="Amazon"/>
    <d v="2023-10-21T00:00:00"/>
    <d v="2023-01-01T00:00:00"/>
    <n v="9837.1699999999983"/>
    <n v="1826835"/>
    <s v="LY"/>
    <x v="4"/>
  </r>
  <r>
    <s v="Biolage"/>
    <x v="8"/>
    <s v="Search"/>
    <s v="Amazon"/>
    <s v="Amazon"/>
    <d v="2023-10-28T00:00:00"/>
    <d v="2023-01-01T00:00:00"/>
    <n v="12847.099999999997"/>
    <n v="2205993"/>
    <s v="LY"/>
    <x v="4"/>
  </r>
  <r>
    <s v="Biolage"/>
    <x v="8"/>
    <s v="Search"/>
    <s v="Amazon"/>
    <s v="Amazon"/>
    <d v="2023-11-04T00:00:00"/>
    <d v="2023-01-01T00:00:00"/>
    <n v="16932.13"/>
    <n v="3120262"/>
    <s v="LY"/>
    <x v="4"/>
  </r>
  <r>
    <s v="Biolage"/>
    <x v="8"/>
    <s v="Search"/>
    <s v="Amazon"/>
    <s v="Amazon"/>
    <d v="2023-11-11T00:00:00"/>
    <d v="2023-01-01T00:00:00"/>
    <n v="17857.470000000005"/>
    <n v="3072266"/>
    <s v="LY"/>
    <x v="4"/>
  </r>
  <r>
    <s v="Biolage"/>
    <x v="8"/>
    <s v="Search"/>
    <s v="Amazon"/>
    <s v="Amazon"/>
    <d v="2023-11-18T00:00:00"/>
    <d v="2023-01-01T00:00:00"/>
    <n v="17767.500000000007"/>
    <n v="3147404"/>
    <s v="LY"/>
    <x v="4"/>
  </r>
  <r>
    <s v="Biolage"/>
    <x v="8"/>
    <s v="Search"/>
    <s v="Amazon"/>
    <s v="Amazon"/>
    <d v="2023-11-25T00:00:00"/>
    <d v="2023-01-01T00:00:00"/>
    <n v="36047.94000000001"/>
    <n v="5751637"/>
    <s v="LY"/>
    <x v="4"/>
  </r>
  <r>
    <s v="Biolage"/>
    <x v="8"/>
    <s v="Search"/>
    <s v="Amazon"/>
    <s v="Amazon"/>
    <d v="2023-12-02T00:00:00"/>
    <d v="2023-01-01T00:00:00"/>
    <n v="20122.900000000012"/>
    <n v="2925258"/>
    <s v="LY"/>
    <x v="4"/>
  </r>
  <r>
    <s v="Biolage"/>
    <x v="8"/>
    <s v="Search"/>
    <s v="Amazon"/>
    <s v="Amazon"/>
    <d v="2023-12-09T00:00:00"/>
    <d v="2023-01-01T00:00:00"/>
    <n v="5738.7099999999991"/>
    <n v="1198458"/>
    <s v="LY"/>
    <x v="4"/>
  </r>
  <r>
    <s v="Biolage"/>
    <x v="8"/>
    <s v="Search"/>
    <s v="Amazon"/>
    <s v="Amazon"/>
    <d v="2023-12-16T00:00:00"/>
    <d v="2023-01-01T00:00:00"/>
    <n v="3770.6200000000022"/>
    <n v="1017212"/>
    <s v="LY"/>
    <x v="4"/>
  </r>
  <r>
    <s v="Biolage"/>
    <x v="8"/>
    <s v="Search"/>
    <s v="Amazon"/>
    <s v="Amazon"/>
    <d v="2023-12-23T00:00:00"/>
    <d v="2023-01-01T00:00:00"/>
    <n v="3155.8799999999987"/>
    <n v="582934"/>
    <s v="LY"/>
    <x v="4"/>
  </r>
  <r>
    <s v="Biolage"/>
    <x v="8"/>
    <s v="Search"/>
    <s v="Amazon"/>
    <s v="Amazon"/>
    <d v="2023-12-30T00:00:00"/>
    <d v="2023-01-01T00:00:00"/>
    <n v="3970.6599999999985"/>
    <n v="979038"/>
    <s v="LY"/>
    <x v="4"/>
  </r>
  <r>
    <s v="Biolage"/>
    <x v="8"/>
    <s v="Search"/>
    <s v="Amazon"/>
    <s v="Amazon"/>
    <d v="2024-01-06T00:00:00"/>
    <d v="2024-01-01T00:00:00"/>
    <n v="3402.35"/>
    <n v="913261"/>
    <s v="LY"/>
    <x v="4"/>
  </r>
  <r>
    <s v="Biolage"/>
    <x v="8"/>
    <s v="Search"/>
    <s v="Amazon"/>
    <s v="Amazon"/>
    <d v="2024-01-13T00:00:00"/>
    <d v="2024-01-01T00:00:00"/>
    <n v="6201.35"/>
    <n v="1376831"/>
    <s v="LY"/>
    <x v="4"/>
  </r>
  <r>
    <s v="Biolage"/>
    <x v="8"/>
    <s v="Search"/>
    <s v="Amazon"/>
    <s v="Amazon"/>
    <d v="2024-01-20T00:00:00"/>
    <d v="2024-01-01T00:00:00"/>
    <n v="8708.2700000000059"/>
    <n v="1653547"/>
    <s v="LY"/>
    <x v="4"/>
  </r>
  <r>
    <s v="Biolage"/>
    <x v="8"/>
    <s v="Search"/>
    <s v="Amazon"/>
    <s v="Amazon"/>
    <d v="2024-01-27T00:00:00"/>
    <d v="2024-01-01T00:00:00"/>
    <n v="10380.179999999997"/>
    <n v="1857468"/>
    <s v="LY"/>
    <x v="4"/>
  </r>
  <r>
    <s v="Biolage"/>
    <x v="8"/>
    <s v="Search"/>
    <s v="Amazon"/>
    <s v="Amazon"/>
    <d v="2024-02-03T00:00:00"/>
    <d v="2024-01-01T00:00:00"/>
    <n v="10760.730000000005"/>
    <n v="2143416"/>
    <s v="LY"/>
    <x v="4"/>
  </r>
  <r>
    <s v="Biolage"/>
    <x v="8"/>
    <s v="Search"/>
    <s v="Amazon"/>
    <s v="Amazon"/>
    <d v="2024-02-10T00:00:00"/>
    <d v="2024-01-01T00:00:00"/>
    <n v="11372.780000000004"/>
    <n v="2234018"/>
    <s v="LY"/>
    <x v="4"/>
  </r>
  <r>
    <s v="Biolage"/>
    <x v="8"/>
    <s v="Search"/>
    <s v="Amazon"/>
    <s v="Amazon"/>
    <d v="2024-02-17T00:00:00"/>
    <d v="2024-01-01T00:00:00"/>
    <n v="11950.14"/>
    <n v="2695161"/>
    <s v="LY"/>
    <x v="4"/>
  </r>
  <r>
    <s v="Biolage"/>
    <x v="8"/>
    <s v="Search"/>
    <s v="Amazon"/>
    <s v="Amazon"/>
    <d v="2024-02-24T00:00:00"/>
    <d v="2024-01-01T00:00:00"/>
    <n v="10986.860000000002"/>
    <n v="2281546"/>
    <s v="LY"/>
    <x v="4"/>
  </r>
  <r>
    <s v="Biolage"/>
    <x v="8"/>
    <s v="Search"/>
    <s v="Amazon"/>
    <s v="Amazon"/>
    <d v="2024-03-02T00:00:00"/>
    <d v="2024-01-01T00:00:00"/>
    <n v="10210.839999999997"/>
    <n v="2025046"/>
    <s v="LY"/>
    <x v="4"/>
  </r>
  <r>
    <s v="Biolage"/>
    <x v="8"/>
    <s v="Search"/>
    <s v="Amazon"/>
    <s v="Amazon"/>
    <d v="2024-03-09T00:00:00"/>
    <d v="2024-01-01T00:00:00"/>
    <n v="8081.3200000000006"/>
    <n v="1850263"/>
    <s v="LY"/>
    <x v="4"/>
  </r>
  <r>
    <s v="Biolage"/>
    <x v="8"/>
    <s v="Search"/>
    <s v="Amazon"/>
    <s v="Amazon"/>
    <d v="2024-03-16T00:00:00"/>
    <d v="2024-01-01T00:00:00"/>
    <n v="4763.0299999999979"/>
    <n v="1189621"/>
    <s v="LY"/>
    <x v="4"/>
  </r>
  <r>
    <s v="Biolage"/>
    <x v="8"/>
    <s v="Search"/>
    <s v="Amazon"/>
    <s v="Amazon"/>
    <d v="2024-03-23T00:00:00"/>
    <d v="2024-01-01T00:00:00"/>
    <n v="5309.619999999999"/>
    <n v="1388342"/>
    <s v="LY"/>
    <x v="4"/>
  </r>
  <r>
    <s v="Biolage"/>
    <x v="8"/>
    <s v="Search"/>
    <s v="Amazon"/>
    <s v="Amazon"/>
    <d v="2024-03-30T00:00:00"/>
    <d v="2024-01-01T00:00:00"/>
    <n v="4104.6499999999987"/>
    <n v="1114538"/>
    <s v="LY"/>
    <x v="4"/>
  </r>
  <r>
    <s v="Biolage"/>
    <x v="8"/>
    <s v="Search"/>
    <s v="Amazon"/>
    <s v="Amazon"/>
    <d v="2024-04-06T00:00:00"/>
    <d v="2024-01-01T00:00:00"/>
    <n v="3517.9199999999978"/>
    <n v="1022832"/>
    <s v="LY"/>
    <x v="4"/>
  </r>
  <r>
    <s v="Biolage"/>
    <x v="8"/>
    <s v="Search"/>
    <s v="Amazon"/>
    <s v="Amazon"/>
    <d v="2024-04-13T00:00:00"/>
    <d v="2024-01-01T00:00:00"/>
    <n v="6111.28"/>
    <n v="1469080"/>
    <s v="LY"/>
    <x v="4"/>
  </r>
  <r>
    <s v="Biolage"/>
    <x v="8"/>
    <s v="Search"/>
    <s v="Amazon"/>
    <s v="Amazon"/>
    <d v="2024-04-20T00:00:00"/>
    <d v="2024-01-01T00:00:00"/>
    <n v="11089.740000000005"/>
    <n v="2991511"/>
    <s v="LY"/>
    <x v="4"/>
  </r>
  <r>
    <s v="Biolage"/>
    <x v="8"/>
    <s v="Search"/>
    <s v="Amazon"/>
    <s v="Amazon"/>
    <d v="2024-04-27T00:00:00"/>
    <d v="2024-01-01T00:00:00"/>
    <n v="9661.4299999999985"/>
    <n v="2144664"/>
    <s v="LY"/>
    <x v="4"/>
  </r>
  <r>
    <s v="Biolage"/>
    <x v="8"/>
    <s v="Search"/>
    <s v="Amazon"/>
    <s v="Amazon"/>
    <d v="2024-05-04T00:00:00"/>
    <d v="2024-01-01T00:00:00"/>
    <n v="11751.45"/>
    <n v="2923735"/>
    <s v="LY"/>
    <x v="4"/>
  </r>
  <r>
    <s v="Biolage"/>
    <x v="8"/>
    <s v="Search"/>
    <s v="Amazon"/>
    <s v="Amazon"/>
    <d v="2024-05-11T00:00:00"/>
    <d v="2024-01-01T00:00:00"/>
    <n v="14041.000000000005"/>
    <n v="2804773"/>
    <s v="LY"/>
    <x v="4"/>
  </r>
  <r>
    <s v="Biolage"/>
    <x v="8"/>
    <s v="Search"/>
    <s v="Amazon"/>
    <s v="Amazon"/>
    <d v="2024-05-18T00:00:00"/>
    <d v="2024-01-01T00:00:00"/>
    <n v="9946.6500000000033"/>
    <n v="1972140"/>
    <s v="LY"/>
    <x v="4"/>
  </r>
  <r>
    <s v="Biolage"/>
    <x v="8"/>
    <s v="Search"/>
    <s v="Amazon"/>
    <s v="Amazon"/>
    <d v="2024-05-25T00:00:00"/>
    <d v="2024-01-01T00:00:00"/>
    <n v="7359.6599999999971"/>
    <n v="1702387"/>
    <s v="LY"/>
    <x v="4"/>
  </r>
  <r>
    <s v="Biolage"/>
    <x v="8"/>
    <s v="Search"/>
    <s v="Amazon"/>
    <s v="Amazon"/>
    <d v="2024-06-01T00:00:00"/>
    <d v="2024-01-01T00:00:00"/>
    <n v="4014.0199999999991"/>
    <n v="1053647"/>
    <s v="LY"/>
    <x v="4"/>
  </r>
  <r>
    <s v="Biolage"/>
    <x v="8"/>
    <s v="Search"/>
    <s v="Amazon"/>
    <s v="Amazon"/>
    <d v="2024-06-08T00:00:00"/>
    <d v="2024-01-01T00:00:00"/>
    <n v="6085.869999999999"/>
    <n v="1311079"/>
    <s v="LY"/>
    <x v="4"/>
  </r>
  <r>
    <s v="Biolage"/>
    <x v="8"/>
    <s v="Search"/>
    <s v="Amazon"/>
    <s v="Amazon"/>
    <d v="2024-06-15T00:00:00"/>
    <d v="2024-01-01T00:00:00"/>
    <n v="12008.620000000004"/>
    <n v="2352520"/>
    <s v="LY"/>
    <x v="4"/>
  </r>
  <r>
    <s v="Biolage"/>
    <x v="8"/>
    <s v="Search"/>
    <s v="Amazon"/>
    <s v="Amazon"/>
    <d v="2024-06-22T00:00:00"/>
    <d v="2024-01-01T00:00:00"/>
    <n v="13801.55"/>
    <n v="2467356"/>
    <s v="LY"/>
    <x v="4"/>
  </r>
  <r>
    <s v="Biolage"/>
    <x v="8"/>
    <s v="Search"/>
    <s v="Amazon"/>
    <s v="Amazon"/>
    <d v="2024-06-29T00:00:00"/>
    <d v="2024-01-01T00:00:00"/>
    <n v="14100.420000000004"/>
    <n v="2888116"/>
    <s v="LY"/>
    <x v="4"/>
  </r>
  <r>
    <s v="Biolage"/>
    <x v="8"/>
    <s v="Search"/>
    <s v="Amazon"/>
    <s v="Amazon"/>
    <d v="2024-07-06T00:00:00"/>
    <d v="2024-01-01T00:00:00"/>
    <n v="12565.890000000003"/>
    <n v="2615513"/>
    <s v="LY"/>
    <x v="4"/>
  </r>
  <r>
    <s v="Biolage"/>
    <x v="8"/>
    <s v="Search"/>
    <s v="Amazon"/>
    <s v="Amazon"/>
    <d v="2024-07-13T00:00:00"/>
    <d v="2024-01-01T00:00:00"/>
    <n v="13158.420000000007"/>
    <n v="2437396"/>
    <s v="TTM"/>
    <x v="4"/>
  </r>
  <r>
    <s v="Biolage"/>
    <x v="8"/>
    <s v="Search"/>
    <s v="Amazon"/>
    <s v="Amazon"/>
    <d v="2024-07-20T00:00:00"/>
    <d v="2024-01-01T00:00:00"/>
    <n v="44521.04"/>
    <n v="6767775"/>
    <s v="TTM"/>
    <x v="4"/>
  </r>
  <r>
    <s v="Biolage"/>
    <x v="8"/>
    <s v="Search"/>
    <s v="Amazon"/>
    <s v="Amazon"/>
    <d v="2024-07-27T00:00:00"/>
    <d v="2024-01-01T00:00:00"/>
    <n v="6349.4299999999994"/>
    <n v="1517424"/>
    <s v="TTM"/>
    <x v="4"/>
  </r>
  <r>
    <s v="Biolage"/>
    <x v="8"/>
    <s v="Search"/>
    <s v="Amazon"/>
    <s v="Amazon"/>
    <d v="2024-08-03T00:00:00"/>
    <d v="2024-01-01T00:00:00"/>
    <n v="5789.1799999999985"/>
    <n v="1224756"/>
    <s v="TTM"/>
    <x v="4"/>
  </r>
  <r>
    <s v="Biolage"/>
    <x v="8"/>
    <s v="Search"/>
    <s v="Amazon"/>
    <s v="Amazon"/>
    <d v="2024-08-10T00:00:00"/>
    <d v="2024-01-01T00:00:00"/>
    <n v="5695.7400000000016"/>
    <n v="1042083"/>
    <s v="TTM"/>
    <x v="4"/>
  </r>
  <r>
    <s v="Biolage"/>
    <x v="8"/>
    <s v="Search"/>
    <s v="Amazon"/>
    <s v="Amazon"/>
    <d v="2024-08-17T00:00:00"/>
    <d v="2024-01-01T00:00:00"/>
    <n v="5590.8299999999981"/>
    <n v="1075691"/>
    <s v="TTM"/>
    <x v="4"/>
  </r>
  <r>
    <s v="Biolage"/>
    <x v="8"/>
    <s v="Search"/>
    <s v="Amazon"/>
    <s v="Amazon"/>
    <d v="2024-08-24T00:00:00"/>
    <d v="2024-01-01T00:00:00"/>
    <n v="5471.8999999999942"/>
    <n v="939766"/>
    <s v="TTM"/>
    <x v="4"/>
  </r>
  <r>
    <s v="Biolage"/>
    <x v="8"/>
    <s v="Search"/>
    <s v="Amazon"/>
    <s v="Amazon"/>
    <d v="2024-08-31T00:00:00"/>
    <d v="2024-01-01T00:00:00"/>
    <n v="5674.199999999998"/>
    <n v="1038285"/>
    <s v="TTM"/>
    <x v="4"/>
  </r>
  <r>
    <s v="Biolage"/>
    <x v="8"/>
    <s v="Search"/>
    <s v="Amazon"/>
    <s v="Amazon"/>
    <d v="2024-09-07T00:00:00"/>
    <d v="2024-01-01T00:00:00"/>
    <n v="5793.3099999999977"/>
    <n v="1080414"/>
    <s v="TTM"/>
    <x v="4"/>
  </r>
  <r>
    <s v="Biolage"/>
    <x v="8"/>
    <s v="Search"/>
    <s v="Amazon"/>
    <s v="Amazon"/>
    <d v="2024-09-14T00:00:00"/>
    <d v="2024-01-01T00:00:00"/>
    <n v="6219.8099999999986"/>
    <n v="1324149"/>
    <s v="TTM"/>
    <x v="4"/>
  </r>
  <r>
    <s v="Biolage"/>
    <x v="8"/>
    <s v="Search"/>
    <s v="Amazon"/>
    <s v="Amazon"/>
    <d v="2024-09-21T00:00:00"/>
    <d v="2024-01-01T00:00:00"/>
    <n v="6045.2000000000016"/>
    <n v="1369316"/>
    <s v="TTM"/>
    <x v="4"/>
  </r>
  <r>
    <s v="Biolage"/>
    <x v="8"/>
    <s v="Search"/>
    <s v="Amazon"/>
    <s v="Amazon"/>
    <d v="2024-09-28T00:00:00"/>
    <d v="2024-01-01T00:00:00"/>
    <n v="6493.5199999999977"/>
    <n v="1308122"/>
    <s v="TTM"/>
    <x v="4"/>
  </r>
  <r>
    <s v="Biolage"/>
    <x v="8"/>
    <s v="Search"/>
    <s v="Amazon"/>
    <s v="Amazon"/>
    <d v="2024-10-05T00:00:00"/>
    <d v="2024-01-01T00:00:00"/>
    <n v="6737.9100000000008"/>
    <n v="1410010"/>
    <s v="TTM"/>
    <x v="4"/>
  </r>
  <r>
    <s v="Biolage"/>
    <x v="8"/>
    <s v="Search"/>
    <s v="Amazon"/>
    <s v="Amazon"/>
    <d v="2024-10-12T00:00:00"/>
    <d v="2024-01-01T00:00:00"/>
    <n v="38742.649999999994"/>
    <n v="4956025"/>
    <s v="TTM"/>
    <x v="4"/>
  </r>
  <r>
    <s v="Biolage"/>
    <x v="8"/>
    <s v="Search"/>
    <s v="Amazon"/>
    <s v="Amazon"/>
    <d v="2024-10-19T00:00:00"/>
    <d v="2024-01-01T00:00:00"/>
    <n v="14991.080000000005"/>
    <n v="2892180"/>
    <s v="TTM"/>
    <x v="4"/>
  </r>
  <r>
    <s v="Biolage"/>
    <x v="8"/>
    <s v="Search"/>
    <s v="Amazon"/>
    <s v="Amazon"/>
    <d v="2024-10-26T00:00:00"/>
    <d v="2024-01-01T00:00:00"/>
    <n v="13227.59"/>
    <n v="2963388"/>
    <s v="TTM"/>
    <x v="4"/>
  </r>
  <r>
    <s v="Biolage"/>
    <x v="8"/>
    <s v="Search"/>
    <s v="Amazon"/>
    <s v="Amazon"/>
    <d v="2024-11-02T00:00:00"/>
    <d v="2024-01-01T00:00:00"/>
    <n v="15917.649999999996"/>
    <n v="3331194"/>
    <s v="TTM"/>
    <x v="4"/>
  </r>
  <r>
    <s v="Biolage"/>
    <x v="8"/>
    <s v="Search"/>
    <s v="Amazon"/>
    <s v="Amazon"/>
    <d v="2024-11-09T00:00:00"/>
    <d v="2024-01-01T00:00:00"/>
    <n v="11478.029999999997"/>
    <n v="2528480"/>
    <s v="TTM"/>
    <x v="4"/>
  </r>
  <r>
    <s v="Biolage"/>
    <x v="8"/>
    <s v="Search"/>
    <s v="Amazon"/>
    <s v="Amazon"/>
    <d v="2024-11-16T00:00:00"/>
    <d v="2024-01-01T00:00:00"/>
    <n v="8747.6200000000008"/>
    <n v="1836934"/>
    <s v="TTM"/>
    <x v="4"/>
  </r>
  <r>
    <s v="Biolage"/>
    <x v="8"/>
    <s v="Search"/>
    <s v="Amazon"/>
    <s v="Amazon"/>
    <d v="2024-11-23T00:00:00"/>
    <d v="2024-01-01T00:00:00"/>
    <n v="7915.41"/>
    <n v="1471022"/>
    <s v="TTM"/>
    <x v="4"/>
  </r>
  <r>
    <s v="Biolage"/>
    <x v="8"/>
    <s v="Search"/>
    <s v="Amazon"/>
    <s v="Amazon"/>
    <d v="2024-11-30T00:00:00"/>
    <d v="2024-01-01T00:00:00"/>
    <n v="7116.84"/>
    <n v="1426249"/>
    <s v="TTM"/>
    <x v="4"/>
  </r>
  <r>
    <s v="Biolage"/>
    <x v="8"/>
    <s v="Search"/>
    <s v="Amazon"/>
    <s v="Amazon"/>
    <d v="2024-12-07T00:00:00"/>
    <d v="2024-01-01T00:00:00"/>
    <n v="6116.1099999999979"/>
    <n v="1326915"/>
    <s v="TTM"/>
    <x v="4"/>
  </r>
  <r>
    <s v="Biolage"/>
    <x v="8"/>
    <s v="Search"/>
    <s v="Amazon"/>
    <s v="Amazon"/>
    <d v="2024-12-14T00:00:00"/>
    <d v="2024-01-01T00:00:00"/>
    <n v="4688.2699999999977"/>
    <n v="896891"/>
    <s v="TTM"/>
    <x v="4"/>
  </r>
  <r>
    <s v="Biolage"/>
    <x v="8"/>
    <s v="Search"/>
    <s v="Amazon"/>
    <s v="Amazon"/>
    <d v="2024-12-21T00:00:00"/>
    <d v="2024-01-01T00:00:00"/>
    <n v="4535.72"/>
    <n v="1024595"/>
    <s v="TTM"/>
    <x v="4"/>
  </r>
  <r>
    <s v="Biolage"/>
    <x v="8"/>
    <s v="Search"/>
    <s v="Amazon"/>
    <s v="Amazon"/>
    <d v="2024-12-28T00:00:00"/>
    <d v="2024-01-01T00:00:00"/>
    <n v="5285.8399999999983"/>
    <n v="796358"/>
    <s v="TTM"/>
    <x v="4"/>
  </r>
  <r>
    <s v="Biolage"/>
    <x v="8"/>
    <s v="Search"/>
    <s v="Amazon"/>
    <s v="Amazon"/>
    <d v="2025-01-04T00:00:00"/>
    <d v="2024-01-01T00:00:00"/>
    <n v="1072.8599999999999"/>
    <n v="164744"/>
    <s v="TTM"/>
    <x v="4"/>
  </r>
  <r>
    <s v="Biolage"/>
    <x v="8"/>
    <s v="Search"/>
    <s v="Amazon"/>
    <s v="Amazon"/>
    <d v="2025-01-04T00:00:00"/>
    <d v="2025-01-01T00:00:00"/>
    <n v="1305"/>
    <n v="255201"/>
    <s v="TTM"/>
    <x v="4"/>
  </r>
  <r>
    <s v="Biolage"/>
    <x v="8"/>
    <s v="Search"/>
    <s v="Amazon"/>
    <s v="Amazon"/>
    <d v="2025-01-11T00:00:00"/>
    <d v="2025-01-01T00:00:00"/>
    <n v="3048.2499999999995"/>
    <n v="668127"/>
    <s v="TTM"/>
    <x v="4"/>
  </r>
  <r>
    <s v="Biolage"/>
    <x v="8"/>
    <s v="Search"/>
    <s v="Amazon"/>
    <s v="Amazon"/>
    <d v="2025-01-18T00:00:00"/>
    <d v="2025-01-01T00:00:00"/>
    <n v="3125.7099999999987"/>
    <n v="767922"/>
    <s v="TTM"/>
    <x v="4"/>
  </r>
  <r>
    <s v="Biolage"/>
    <x v="8"/>
    <s v="Search"/>
    <s v="Amazon"/>
    <s v="Amazon"/>
    <d v="2025-01-25T00:00:00"/>
    <d v="2025-01-01T00:00:00"/>
    <n v="7073.2199999999993"/>
    <n v="1569889"/>
    <s v="TTM"/>
    <x v="4"/>
  </r>
  <r>
    <s v="Biolage"/>
    <x v="8"/>
    <s v="Search"/>
    <s v="Amazon"/>
    <s v="Amazon"/>
    <d v="2025-02-01T00:00:00"/>
    <d v="2025-01-01T00:00:00"/>
    <n v="7290.6299999999992"/>
    <n v="1661418"/>
    <s v="TTM"/>
    <x v="4"/>
  </r>
  <r>
    <s v="Biolage"/>
    <x v="8"/>
    <s v="Search"/>
    <s v="Amazon"/>
    <s v="Amazon"/>
    <d v="2025-02-08T00:00:00"/>
    <d v="2025-01-01T00:00:00"/>
    <n v="6991.0099999999993"/>
    <n v="1615521"/>
    <s v="TTM"/>
    <x v="4"/>
  </r>
  <r>
    <s v="Biolage"/>
    <x v="8"/>
    <s v="Search"/>
    <s v="Amazon"/>
    <s v="Amazon"/>
    <d v="2025-02-15T00:00:00"/>
    <d v="2025-01-01T00:00:00"/>
    <n v="8257.9299999999985"/>
    <n v="1732362"/>
    <s v="TTM"/>
    <x v="4"/>
  </r>
  <r>
    <s v="Biolage"/>
    <x v="8"/>
    <s v="Search"/>
    <s v="Amazon"/>
    <s v="Amazon"/>
    <d v="2025-02-22T00:00:00"/>
    <d v="2025-01-01T00:00:00"/>
    <n v="10187.25"/>
    <n v="1953684"/>
    <s v="TTM"/>
    <x v="4"/>
  </r>
  <r>
    <s v="Biolage"/>
    <x v="8"/>
    <s v="Search"/>
    <s v="Amazon"/>
    <s v="Amazon"/>
    <d v="2025-03-01T00:00:00"/>
    <d v="2025-01-01T00:00:00"/>
    <n v="16391.220000000008"/>
    <n v="2427377"/>
    <s v="TTM"/>
    <x v="4"/>
  </r>
  <r>
    <s v="Biolage"/>
    <x v="8"/>
    <s v="Search"/>
    <s v="Amazon"/>
    <s v="Amazon"/>
    <d v="2025-03-08T00:00:00"/>
    <d v="2025-01-01T00:00:00"/>
    <n v="11619.620000000003"/>
    <n v="2128617"/>
    <s v="TTM"/>
    <x v="4"/>
  </r>
  <r>
    <s v="Biolage"/>
    <x v="8"/>
    <s v="Search"/>
    <s v="Amazon"/>
    <s v="Amazon"/>
    <d v="2025-03-15T00:00:00"/>
    <d v="2025-01-01T00:00:00"/>
    <n v="11602.000000000004"/>
    <n v="1919597"/>
    <s v="TTM"/>
    <x v="4"/>
  </r>
  <r>
    <s v="Biolage"/>
    <x v="8"/>
    <s v="Search"/>
    <s v="Amazon"/>
    <s v="Amazon"/>
    <d v="2025-03-22T00:00:00"/>
    <d v="2025-01-01T00:00:00"/>
    <n v="10035.230000000003"/>
    <n v="1419487"/>
    <s v="TTM"/>
    <x v="4"/>
  </r>
  <r>
    <s v="Biolage"/>
    <x v="8"/>
    <s v="Search"/>
    <s v="Amazon"/>
    <s v="Amazon"/>
    <d v="2025-03-29T00:00:00"/>
    <d v="2025-01-01T00:00:00"/>
    <n v="4012.2799999999988"/>
    <n v="1142963"/>
    <s v="TTM"/>
    <x v="4"/>
  </r>
  <r>
    <s v="Biolage"/>
    <x v="8"/>
    <s v="Search"/>
    <s v="Amazon"/>
    <s v="Amazon"/>
    <d v="2025-04-05T00:00:00"/>
    <d v="2025-01-01T00:00:00"/>
    <n v="3301.03"/>
    <n v="956670"/>
    <s v="TTM"/>
    <x v="4"/>
  </r>
  <r>
    <s v="Biolage"/>
    <x v="8"/>
    <s v="Search"/>
    <s v="Amazon"/>
    <s v="Amazon"/>
    <d v="2025-04-12T00:00:00"/>
    <d v="2025-01-01T00:00:00"/>
    <n v="3316.6000000000004"/>
    <n v="582146"/>
    <s v="TTM"/>
    <x v="4"/>
  </r>
  <r>
    <s v="Biolage"/>
    <x v="8"/>
    <s v="Search"/>
    <s v="Amazon"/>
    <s v="Amazon"/>
    <d v="2025-04-19T00:00:00"/>
    <d v="2025-01-01T00:00:00"/>
    <n v="5024.0800000000027"/>
    <n v="696722"/>
    <s v="TTM"/>
    <x v="4"/>
  </r>
  <r>
    <s v="Biolage"/>
    <x v="8"/>
    <s v="Search"/>
    <s v="Amazon"/>
    <s v="Amazon"/>
    <d v="2025-04-26T00:00:00"/>
    <d v="2025-01-01T00:00:00"/>
    <n v="8380.9799999999959"/>
    <n v="980084"/>
    <s v="TTM"/>
    <x v="4"/>
  </r>
  <r>
    <s v="Biolage"/>
    <x v="8"/>
    <s v="Search"/>
    <s v="Amazon"/>
    <s v="Amazon"/>
    <d v="2025-05-03T00:00:00"/>
    <d v="2025-01-01T00:00:00"/>
    <n v="8360.7899999999972"/>
    <n v="1071401"/>
    <s v="TTM"/>
    <x v="4"/>
  </r>
  <r>
    <s v="Biolage"/>
    <x v="8"/>
    <s v="Search"/>
    <s v="Amazon"/>
    <s v="Amazon"/>
    <d v="2025-05-10T00:00:00"/>
    <d v="2025-01-01T00:00:00"/>
    <n v="4768.9700000000012"/>
    <n v="770234"/>
    <s v="TTM"/>
    <x v="4"/>
  </r>
  <r>
    <s v="Biolage"/>
    <x v="8"/>
    <s v="Search"/>
    <s v="Amazon"/>
    <s v="Amazon"/>
    <d v="2025-05-17T00:00:00"/>
    <d v="2025-01-01T00:00:00"/>
    <n v="4099.3500000000004"/>
    <n v="743408"/>
    <s v="TTM"/>
    <x v="4"/>
  </r>
  <r>
    <s v="Biolage"/>
    <x v="8"/>
    <s v="Search"/>
    <s v="Amazon"/>
    <s v="Amazon"/>
    <d v="2025-05-24T00:00:00"/>
    <d v="2025-01-01T00:00:00"/>
    <n v="4343.9799999999977"/>
    <n v="792197"/>
    <s v="TTM"/>
    <x v="4"/>
  </r>
  <r>
    <s v="Biolage"/>
    <x v="8"/>
    <s v="Search"/>
    <s v="Amazon"/>
    <s v="Amazon"/>
    <d v="2025-05-31T00:00:00"/>
    <d v="2025-01-01T00:00:00"/>
    <n v="4381.47"/>
    <n v="868333"/>
    <s v="TTM"/>
    <x v="4"/>
  </r>
  <r>
    <s v="Biolage"/>
    <x v="8"/>
    <s v="Search"/>
    <s v="Amazon"/>
    <s v="Amazon"/>
    <d v="2025-06-07T00:00:00"/>
    <d v="2025-01-01T00:00:00"/>
    <n v="6329.3999999999969"/>
    <n v="1182353"/>
    <s v="TTM"/>
    <x v="4"/>
  </r>
  <r>
    <s v="Biolage"/>
    <x v="8"/>
    <s v="Search"/>
    <s v="Amazon"/>
    <s v="Amazon"/>
    <d v="2025-06-14T00:00:00"/>
    <d v="2025-01-01T00:00:00"/>
    <n v="6930.8500000000022"/>
    <n v="1414174"/>
    <s v="TTM"/>
    <x v="4"/>
  </r>
  <r>
    <s v="Biolage"/>
    <x v="8"/>
    <s v="Search"/>
    <s v="Amazon"/>
    <s v="Amazon"/>
    <d v="2025-06-21T00:00:00"/>
    <d v="2025-01-01T00:00:00"/>
    <n v="12009.069999999998"/>
    <n v="1599490"/>
    <s v="TTM"/>
    <x v="4"/>
  </r>
  <r>
    <s v="Biolage"/>
    <x v="8"/>
    <s v="Search"/>
    <s v="Amazon"/>
    <s v="Amazon"/>
    <d v="2025-06-28T00:00:00"/>
    <d v="2025-01-01T00:00:00"/>
    <n v="11668.01999999999"/>
    <n v="1484478"/>
    <s v="TTM"/>
    <x v="4"/>
  </r>
  <r>
    <s v="Biolage"/>
    <x v="9"/>
    <s v="Display"/>
    <s v="Amazon"/>
    <s v="Amazon"/>
    <d v="2023-07-01T00:00:00"/>
    <d v="2023-01-01T00:00:00"/>
    <n v="709.24260000000004"/>
    <n v="102065"/>
    <s v="PY"/>
    <x v="3"/>
  </r>
  <r>
    <s v="Biolage"/>
    <x v="9"/>
    <s v="Display"/>
    <s v="Amazon"/>
    <s v="Amazon"/>
    <d v="2023-07-08T00:00:00"/>
    <d v="2023-01-01T00:00:00"/>
    <n v="5234.5829000000022"/>
    <n v="724079"/>
    <s v="PY"/>
    <x v="3"/>
  </r>
  <r>
    <s v="Biolage"/>
    <x v="9"/>
    <s v="Display"/>
    <s v="Amazon"/>
    <s v="Amazon"/>
    <d v="2023-07-15T00:00:00"/>
    <d v="2023-01-01T00:00:00"/>
    <n v="5347.2809999999999"/>
    <n v="787074"/>
    <s v="LY"/>
    <x v="3"/>
  </r>
  <r>
    <s v="Biolage"/>
    <x v="9"/>
    <s v="Display"/>
    <s v="Amazon"/>
    <s v="Amazon"/>
    <d v="2023-07-22T00:00:00"/>
    <d v="2023-01-01T00:00:00"/>
    <n v="5748.3383999999987"/>
    <n v="844367"/>
    <s v="LY"/>
    <x v="3"/>
  </r>
  <r>
    <s v="Biolage"/>
    <x v="9"/>
    <s v="Display"/>
    <s v="Amazon"/>
    <s v="Amazon"/>
    <d v="2023-07-29T00:00:00"/>
    <d v="2023-01-01T00:00:00"/>
    <n v="5831.0729000000028"/>
    <n v="827455"/>
    <s v="LY"/>
    <x v="3"/>
  </r>
  <r>
    <s v="Biolage"/>
    <x v="9"/>
    <s v="Display"/>
    <s v="Amazon"/>
    <s v="Amazon"/>
    <d v="2023-08-05T00:00:00"/>
    <d v="2023-01-01T00:00:00"/>
    <n v="5907.6620999999986"/>
    <n v="966883"/>
    <s v="LY"/>
    <x v="3"/>
  </r>
  <r>
    <s v="Biolage"/>
    <x v="9"/>
    <s v="Display"/>
    <s v="Amazon"/>
    <s v="Amazon"/>
    <d v="2023-08-12T00:00:00"/>
    <d v="2023-01-01T00:00:00"/>
    <n v="6305.6124999999993"/>
    <n v="972514"/>
    <s v="LY"/>
    <x v="3"/>
  </r>
  <r>
    <s v="Biolage"/>
    <x v="9"/>
    <s v="Display"/>
    <s v="Amazon"/>
    <s v="Amazon"/>
    <d v="2023-08-19T00:00:00"/>
    <d v="2023-01-01T00:00:00"/>
    <n v="4965.8113999999978"/>
    <n v="685325"/>
    <s v="LY"/>
    <x v="3"/>
  </r>
  <r>
    <s v="Biolage"/>
    <x v="9"/>
    <s v="Display"/>
    <s v="Amazon"/>
    <s v="Amazon"/>
    <d v="2023-08-26T00:00:00"/>
    <d v="2023-01-01T00:00:00"/>
    <n v="4450.6425000000027"/>
    <n v="579105"/>
    <s v="LY"/>
    <x v="3"/>
  </r>
  <r>
    <s v="Biolage"/>
    <x v="9"/>
    <s v="Display"/>
    <s v="Amazon"/>
    <s v="Amazon"/>
    <d v="2023-09-02T00:00:00"/>
    <d v="2023-01-01T00:00:00"/>
    <n v="4754.7316000000001"/>
    <n v="537208"/>
    <s v="LY"/>
    <x v="3"/>
  </r>
  <r>
    <s v="Biolage"/>
    <x v="9"/>
    <s v="Display"/>
    <s v="Amazon"/>
    <s v="Amazon"/>
    <d v="2023-09-09T00:00:00"/>
    <d v="2023-01-01T00:00:00"/>
    <n v="3636.9271999999992"/>
    <n v="550405"/>
    <s v="LY"/>
    <x v="3"/>
  </r>
  <r>
    <s v="Biolage"/>
    <x v="9"/>
    <s v="Display"/>
    <s v="Amazon"/>
    <s v="Amazon"/>
    <d v="2023-09-16T00:00:00"/>
    <d v="2023-01-01T00:00:00"/>
    <n v="3601.9108000000001"/>
    <n v="549674"/>
    <s v="LY"/>
    <x v="3"/>
  </r>
  <r>
    <s v="Biolage"/>
    <x v="9"/>
    <s v="Display"/>
    <s v="Amazon"/>
    <s v="Amazon"/>
    <d v="2023-09-23T00:00:00"/>
    <d v="2023-01-01T00:00:00"/>
    <n v="4453.5141000000012"/>
    <n v="601611"/>
    <s v="LY"/>
    <x v="3"/>
  </r>
  <r>
    <s v="Biolage"/>
    <x v="9"/>
    <s v="Display"/>
    <s v="Amazon"/>
    <s v="Amazon"/>
    <d v="2023-09-30T00:00:00"/>
    <d v="2023-01-01T00:00:00"/>
    <n v="6152.8482999999978"/>
    <n v="753805"/>
    <s v="LY"/>
    <x v="3"/>
  </r>
  <r>
    <s v="Biolage"/>
    <x v="9"/>
    <s v="Display"/>
    <s v="Amazon"/>
    <s v="Amazon"/>
    <d v="2023-10-07T00:00:00"/>
    <d v="2023-01-01T00:00:00"/>
    <n v="6076.0272000000004"/>
    <n v="828135"/>
    <s v="LY"/>
    <x v="3"/>
  </r>
  <r>
    <s v="Biolage"/>
    <x v="9"/>
    <s v="Display"/>
    <s v="Amazon"/>
    <s v="Amazon"/>
    <d v="2023-10-14T00:00:00"/>
    <d v="2023-01-01T00:00:00"/>
    <n v="6950.9208999999973"/>
    <n v="844111"/>
    <s v="LY"/>
    <x v="3"/>
  </r>
  <r>
    <s v="Biolage"/>
    <x v="9"/>
    <s v="Display"/>
    <s v="Amazon"/>
    <s v="Amazon"/>
    <d v="2023-10-21T00:00:00"/>
    <d v="2023-01-01T00:00:00"/>
    <n v="7436.8347999999996"/>
    <n v="957656"/>
    <s v="LY"/>
    <x v="3"/>
  </r>
  <r>
    <s v="Biolage"/>
    <x v="9"/>
    <s v="Display"/>
    <s v="Amazon"/>
    <s v="Amazon"/>
    <d v="2023-10-28T00:00:00"/>
    <d v="2023-01-01T00:00:00"/>
    <n v="6404.5790999999999"/>
    <n v="874961"/>
    <s v="LY"/>
    <x v="3"/>
  </r>
  <r>
    <s v="Biolage"/>
    <x v="9"/>
    <s v="Display"/>
    <s v="Amazon"/>
    <s v="Amazon"/>
    <d v="2023-11-04T00:00:00"/>
    <d v="2023-01-01T00:00:00"/>
    <n v="6509.9135999999999"/>
    <n v="969424"/>
    <s v="LY"/>
    <x v="3"/>
  </r>
  <r>
    <s v="Biolage"/>
    <x v="9"/>
    <s v="Display"/>
    <s v="Amazon"/>
    <s v="Amazon"/>
    <d v="2023-11-11T00:00:00"/>
    <d v="2023-01-01T00:00:00"/>
    <n v="6396.5228000000043"/>
    <n v="872453"/>
    <s v="LY"/>
    <x v="3"/>
  </r>
  <r>
    <s v="Biolage"/>
    <x v="9"/>
    <s v="Display"/>
    <s v="Amazon"/>
    <s v="Amazon"/>
    <d v="2023-11-18T00:00:00"/>
    <d v="2023-01-01T00:00:00"/>
    <n v="6545.3453000000027"/>
    <n v="1416239"/>
    <s v="LY"/>
    <x v="3"/>
  </r>
  <r>
    <s v="Biolage"/>
    <x v="9"/>
    <s v="Display"/>
    <s v="Amazon"/>
    <s v="Amazon"/>
    <d v="2023-11-25T00:00:00"/>
    <d v="2023-01-01T00:00:00"/>
    <n v="6232.3820999999989"/>
    <n v="1647049"/>
    <s v="LY"/>
    <x v="3"/>
  </r>
  <r>
    <s v="Biolage"/>
    <x v="9"/>
    <s v="Display"/>
    <s v="Amazon"/>
    <s v="Amazon"/>
    <d v="2023-12-02T00:00:00"/>
    <d v="2023-01-01T00:00:00"/>
    <n v="2789.8084999999992"/>
    <n v="703551"/>
    <s v="LY"/>
    <x v="3"/>
  </r>
  <r>
    <s v="Biolage"/>
    <x v="9"/>
    <s v="Display"/>
    <s v="Amazon"/>
    <s v="Amazon"/>
    <d v="2023-12-09T00:00:00"/>
    <d v="2023-01-01T00:00:00"/>
    <n v="3896.7898000000005"/>
    <n v="1010465"/>
    <s v="LY"/>
    <x v="3"/>
  </r>
  <r>
    <s v="Biolage"/>
    <x v="9"/>
    <s v="Display"/>
    <s v="Amazon"/>
    <s v="Amazon"/>
    <d v="2023-12-16T00:00:00"/>
    <d v="2023-01-01T00:00:00"/>
    <n v="3952.2930000000001"/>
    <n v="1094318"/>
    <s v="LY"/>
    <x v="3"/>
  </r>
  <r>
    <s v="Biolage"/>
    <x v="9"/>
    <s v="Display"/>
    <s v="Amazon"/>
    <s v="Amazon"/>
    <d v="2023-12-23T00:00:00"/>
    <d v="2023-01-01T00:00:00"/>
    <n v="3927.8930999999993"/>
    <n v="1014469"/>
    <s v="LY"/>
    <x v="3"/>
  </r>
  <r>
    <s v="Biolage"/>
    <x v="9"/>
    <s v="Display"/>
    <s v="Amazon"/>
    <s v="Amazon"/>
    <d v="2023-12-30T00:00:00"/>
    <d v="2023-01-01T00:00:00"/>
    <n v="2842.0390999999991"/>
    <n v="742659"/>
    <s v="LY"/>
    <x v="3"/>
  </r>
  <r>
    <s v="Biolage"/>
    <x v="9"/>
    <s v="Display"/>
    <s v="Amazon"/>
    <s v="Amazon"/>
    <d v="2024-01-06T00:00:00"/>
    <d v="2023-01-01T00:00:00"/>
    <n v="22.471200000000003"/>
    <n v="4896"/>
    <s v="LY"/>
    <x v="3"/>
  </r>
  <r>
    <s v="Biolage"/>
    <x v="9"/>
    <s v="Display"/>
    <s v="Amazon"/>
    <s v="Amazon"/>
    <d v="2024-01-06T00:00:00"/>
    <d v="2024-01-01T00:00:00"/>
    <n v="3768.9037000000003"/>
    <n v="911414"/>
    <s v="LY"/>
    <x v="3"/>
  </r>
  <r>
    <s v="Biolage"/>
    <x v="9"/>
    <s v="Display"/>
    <s v="Amazon"/>
    <s v="Amazon"/>
    <d v="2024-01-13T00:00:00"/>
    <d v="2024-01-01T00:00:00"/>
    <n v="6710.7088000000022"/>
    <n v="1821449"/>
    <s v="LY"/>
    <x v="3"/>
  </r>
  <r>
    <s v="Biolage"/>
    <x v="9"/>
    <s v="Display"/>
    <s v="Amazon"/>
    <s v="Amazon"/>
    <d v="2024-01-20T00:00:00"/>
    <d v="2024-01-01T00:00:00"/>
    <n v="6873.7996999999978"/>
    <n v="1914580"/>
    <s v="LY"/>
    <x v="3"/>
  </r>
  <r>
    <s v="Biolage"/>
    <x v="9"/>
    <s v="Display"/>
    <s v="Amazon"/>
    <s v="Amazon"/>
    <d v="2024-01-27T00:00:00"/>
    <d v="2024-01-01T00:00:00"/>
    <n v="6728.8148999999903"/>
    <n v="1814655"/>
    <s v="LY"/>
    <x v="3"/>
  </r>
  <r>
    <s v="Biolage"/>
    <x v="9"/>
    <s v="Display"/>
    <s v="Amazon"/>
    <s v="Amazon"/>
    <d v="2024-02-03T00:00:00"/>
    <d v="2024-01-01T00:00:00"/>
    <n v="4012.1473000000001"/>
    <n v="1025229"/>
    <s v="LY"/>
    <x v="3"/>
  </r>
  <r>
    <s v="Biolage"/>
    <x v="9"/>
    <s v="Display"/>
    <s v="Amazon"/>
    <s v="Amazon"/>
    <d v="2024-02-10T00:00:00"/>
    <d v="2024-01-01T00:00:00"/>
    <n v="7182.4997999999987"/>
    <n v="2084171"/>
    <s v="LY"/>
    <x v="3"/>
  </r>
  <r>
    <s v="Biolage"/>
    <x v="9"/>
    <s v="Display"/>
    <s v="Amazon"/>
    <s v="Amazon"/>
    <d v="2024-02-17T00:00:00"/>
    <d v="2024-01-01T00:00:00"/>
    <n v="7090.4279000000006"/>
    <n v="2065178"/>
    <s v="LY"/>
    <x v="3"/>
  </r>
  <r>
    <s v="Biolage"/>
    <x v="9"/>
    <s v="Display"/>
    <s v="Amazon"/>
    <s v="Amazon"/>
    <d v="2024-02-24T00:00:00"/>
    <d v="2024-01-01T00:00:00"/>
    <n v="6799.8084999999992"/>
    <n v="2431884"/>
    <s v="LY"/>
    <x v="3"/>
  </r>
  <r>
    <s v="Biolage"/>
    <x v="9"/>
    <s v="Display"/>
    <s v="Amazon"/>
    <s v="Amazon"/>
    <d v="2024-03-02T00:00:00"/>
    <d v="2024-01-01T00:00:00"/>
    <n v="3655.9493000000034"/>
    <n v="1355308"/>
    <s v="LY"/>
    <x v="3"/>
  </r>
  <r>
    <s v="Biolage"/>
    <x v="9"/>
    <s v="Display"/>
    <s v="Amazon"/>
    <s v="Amazon"/>
    <d v="2024-03-09T00:00:00"/>
    <d v="2024-01-01T00:00:00"/>
    <n v="5333.349299999998"/>
    <n v="1991177"/>
    <s v="LY"/>
    <x v="3"/>
  </r>
  <r>
    <s v="Biolage"/>
    <x v="9"/>
    <s v="Display"/>
    <s v="Amazon"/>
    <s v="Amazon"/>
    <d v="2024-03-16T00:00:00"/>
    <d v="2024-01-01T00:00:00"/>
    <n v="5476.7584999999954"/>
    <n v="1809762"/>
    <s v="LY"/>
    <x v="3"/>
  </r>
  <r>
    <s v="Biolage"/>
    <x v="9"/>
    <s v="Display"/>
    <s v="Amazon"/>
    <s v="Amazon"/>
    <d v="2024-03-23T00:00:00"/>
    <d v="2024-01-01T00:00:00"/>
    <n v="5443.6207999999997"/>
    <n v="1622812"/>
    <s v="LY"/>
    <x v="3"/>
  </r>
  <r>
    <s v="Biolage"/>
    <x v="9"/>
    <s v="Display"/>
    <s v="Amazon"/>
    <s v="Amazon"/>
    <d v="2024-03-30T00:00:00"/>
    <d v="2024-01-01T00:00:00"/>
    <n v="4597.78"/>
    <n v="1151580"/>
    <s v="LY"/>
    <x v="3"/>
  </r>
  <r>
    <s v="Biolage"/>
    <x v="9"/>
    <s v="Display"/>
    <s v="Amazon"/>
    <s v="Amazon"/>
    <d v="2024-04-06T00:00:00"/>
    <d v="2024-01-01T00:00:00"/>
    <n v="11820.418499999998"/>
    <n v="2465604"/>
    <s v="LY"/>
    <x v="3"/>
  </r>
  <r>
    <s v="Biolage"/>
    <x v="9"/>
    <s v="Display"/>
    <s v="Amazon"/>
    <s v="Amazon"/>
    <d v="2024-04-13T00:00:00"/>
    <d v="2024-01-01T00:00:00"/>
    <n v="5290.145300000001"/>
    <n v="1448631"/>
    <s v="LY"/>
    <x v="3"/>
  </r>
  <r>
    <s v="Biolage"/>
    <x v="9"/>
    <s v="Display"/>
    <s v="Amazon"/>
    <s v="Amazon"/>
    <d v="2024-04-20T00:00:00"/>
    <d v="2024-01-01T00:00:00"/>
    <n v="3743.4843999999989"/>
    <n v="888574"/>
    <s v="LY"/>
    <x v="3"/>
  </r>
  <r>
    <s v="Biolage"/>
    <x v="9"/>
    <s v="Display"/>
    <s v="Amazon"/>
    <s v="Amazon"/>
    <d v="2024-04-27T00:00:00"/>
    <d v="2024-01-01T00:00:00"/>
    <n v="3132.7918000000009"/>
    <n v="703411"/>
    <s v="LY"/>
    <x v="3"/>
  </r>
  <r>
    <s v="Biolage"/>
    <x v="9"/>
    <s v="Display"/>
    <s v="Amazon"/>
    <s v="Amazon"/>
    <d v="2024-05-04T00:00:00"/>
    <d v="2024-01-01T00:00:00"/>
    <n v="3488.1769999999992"/>
    <n v="1137741"/>
    <s v="LY"/>
    <x v="3"/>
  </r>
  <r>
    <s v="Biolage"/>
    <x v="9"/>
    <s v="Display"/>
    <s v="Amazon"/>
    <s v="Amazon"/>
    <d v="2024-05-11T00:00:00"/>
    <d v="2024-01-01T00:00:00"/>
    <n v="5626.529300000002"/>
    <n v="1621307"/>
    <s v="LY"/>
    <x v="3"/>
  </r>
  <r>
    <s v="Biolage"/>
    <x v="9"/>
    <s v="Display"/>
    <s v="Amazon"/>
    <s v="Amazon"/>
    <d v="2024-05-18T00:00:00"/>
    <d v="2024-01-01T00:00:00"/>
    <n v="5677.1150000000016"/>
    <n v="1278134"/>
    <s v="LY"/>
    <x v="3"/>
  </r>
  <r>
    <s v="Biolage"/>
    <x v="9"/>
    <s v="Display"/>
    <s v="Amazon"/>
    <s v="Amazon"/>
    <d v="2024-05-25T00:00:00"/>
    <d v="2024-01-01T00:00:00"/>
    <n v="6194.6886000000031"/>
    <n v="1297820"/>
    <s v="LY"/>
    <x v="3"/>
  </r>
  <r>
    <s v="Biolage"/>
    <x v="9"/>
    <s v="Display"/>
    <s v="Amazon"/>
    <s v="Amazon"/>
    <d v="2024-06-01T00:00:00"/>
    <d v="2024-01-01T00:00:00"/>
    <n v="5699.2451999999994"/>
    <n v="1418429"/>
    <s v="LY"/>
    <x v="3"/>
  </r>
  <r>
    <s v="Biolage"/>
    <x v="9"/>
    <s v="Display"/>
    <s v="Amazon"/>
    <s v="Amazon"/>
    <d v="2024-06-08T00:00:00"/>
    <d v="2024-01-01T00:00:00"/>
    <n v="5115.6659000000027"/>
    <n v="1292080"/>
    <s v="LY"/>
    <x v="3"/>
  </r>
  <r>
    <s v="Biolage"/>
    <x v="9"/>
    <s v="Display"/>
    <s v="Amazon"/>
    <s v="Amazon"/>
    <d v="2024-06-15T00:00:00"/>
    <d v="2024-01-01T00:00:00"/>
    <n v="5133.7747999999974"/>
    <n v="1397267"/>
    <s v="LY"/>
    <x v="3"/>
  </r>
  <r>
    <s v="Biolage"/>
    <x v="9"/>
    <s v="Display"/>
    <s v="Amazon"/>
    <s v="Amazon"/>
    <d v="2024-06-22T00:00:00"/>
    <d v="2024-01-01T00:00:00"/>
    <n v="5288.122800000001"/>
    <n v="993546"/>
    <s v="LY"/>
    <x v="3"/>
  </r>
  <r>
    <s v="Biolage"/>
    <x v="9"/>
    <s v="Display"/>
    <s v="Amazon"/>
    <s v="Amazon"/>
    <d v="2024-06-29T00:00:00"/>
    <d v="2024-01-01T00:00:00"/>
    <n v="5009.6037000000015"/>
    <n v="1014080"/>
    <s v="LY"/>
    <x v="3"/>
  </r>
  <r>
    <s v="Biolage"/>
    <x v="9"/>
    <s v="Display"/>
    <s v="Amazon"/>
    <s v="Amazon"/>
    <d v="2024-07-06T00:00:00"/>
    <d v="2024-01-01T00:00:00"/>
    <n v="4243.3991000000005"/>
    <n v="1341897"/>
    <s v="LY"/>
    <x v="3"/>
  </r>
  <r>
    <s v="Biolage"/>
    <x v="9"/>
    <s v="Display"/>
    <s v="Amazon"/>
    <s v="Amazon"/>
    <d v="2024-07-13T00:00:00"/>
    <d v="2024-01-01T00:00:00"/>
    <n v="4239.3718999999992"/>
    <n v="1599537"/>
    <s v="TTM"/>
    <x v="3"/>
  </r>
  <r>
    <s v="Biolage"/>
    <x v="9"/>
    <s v="Display"/>
    <s v="Amazon"/>
    <s v="Amazon"/>
    <d v="2024-07-20T00:00:00"/>
    <d v="2024-01-01T00:00:00"/>
    <n v="3059.0468000000001"/>
    <n v="917642"/>
    <s v="TTM"/>
    <x v="3"/>
  </r>
  <r>
    <s v="Biolage"/>
    <x v="9"/>
    <s v="Display"/>
    <s v="Amazon"/>
    <s v="Amazon"/>
    <d v="2024-07-27T00:00:00"/>
    <d v="2024-01-01T00:00:00"/>
    <n v="5106.9132"/>
    <n v="1919940"/>
    <s v="TTM"/>
    <x v="3"/>
  </r>
  <r>
    <s v="Biolage"/>
    <x v="9"/>
    <s v="Display"/>
    <s v="Amazon"/>
    <s v="Amazon"/>
    <d v="2024-08-03T00:00:00"/>
    <d v="2024-01-01T00:00:00"/>
    <n v="4489.3201000000017"/>
    <n v="1254008"/>
    <s v="TTM"/>
    <x v="3"/>
  </r>
  <r>
    <s v="Biolage"/>
    <x v="9"/>
    <s v="Display"/>
    <s v="Amazon"/>
    <s v="Amazon"/>
    <d v="2024-08-10T00:00:00"/>
    <d v="2024-01-01T00:00:00"/>
    <n v="4266.7728000000034"/>
    <n v="1232221"/>
    <s v="TTM"/>
    <x v="3"/>
  </r>
  <r>
    <s v="Biolage"/>
    <x v="9"/>
    <s v="Display"/>
    <s v="Amazon"/>
    <s v="Amazon"/>
    <d v="2024-08-17T00:00:00"/>
    <d v="2024-01-01T00:00:00"/>
    <n v="4253.0930000000017"/>
    <n v="1234188"/>
    <s v="TTM"/>
    <x v="3"/>
  </r>
  <r>
    <s v="Biolage"/>
    <x v="9"/>
    <s v="Display"/>
    <s v="Amazon"/>
    <s v="Amazon"/>
    <d v="2024-08-24T00:00:00"/>
    <d v="2024-01-01T00:00:00"/>
    <n v="4317.2237000000005"/>
    <n v="1212931"/>
    <s v="TTM"/>
    <x v="3"/>
  </r>
  <r>
    <s v="Biolage"/>
    <x v="9"/>
    <s v="Display"/>
    <s v="Amazon"/>
    <s v="Amazon"/>
    <d v="2024-08-31T00:00:00"/>
    <d v="2024-01-01T00:00:00"/>
    <n v="6578.3256000000029"/>
    <n v="2742347"/>
    <s v="TTM"/>
    <x v="3"/>
  </r>
  <r>
    <s v="Biolage"/>
    <x v="9"/>
    <s v="Display"/>
    <s v="Amazon"/>
    <s v="Amazon"/>
    <d v="2024-09-07T00:00:00"/>
    <d v="2024-01-01T00:00:00"/>
    <n v="8363.6358000000018"/>
    <n v="3325015"/>
    <s v="TTM"/>
    <x v="3"/>
  </r>
  <r>
    <s v="Biolage"/>
    <x v="9"/>
    <s v="Display"/>
    <s v="Amazon"/>
    <s v="Amazon"/>
    <d v="2024-09-14T00:00:00"/>
    <d v="2024-01-01T00:00:00"/>
    <n v="8454.2747999999938"/>
    <n v="3222894"/>
    <s v="TTM"/>
    <x v="3"/>
  </r>
  <r>
    <s v="Biolage"/>
    <x v="9"/>
    <s v="Display"/>
    <s v="Amazon"/>
    <s v="Amazon"/>
    <d v="2024-09-21T00:00:00"/>
    <d v="2024-01-01T00:00:00"/>
    <n v="7981.8233000000009"/>
    <n v="1603266"/>
    <s v="TTM"/>
    <x v="3"/>
  </r>
  <r>
    <s v="Biolage"/>
    <x v="9"/>
    <s v="Display"/>
    <s v="Amazon"/>
    <s v="Amazon"/>
    <d v="2024-09-28T00:00:00"/>
    <d v="2024-01-01T00:00:00"/>
    <n v="7335.7093000000004"/>
    <n v="1383942"/>
    <s v="TTM"/>
    <x v="3"/>
  </r>
  <r>
    <s v="Biolage"/>
    <x v="9"/>
    <s v="Display"/>
    <s v="Amazon"/>
    <s v="Amazon"/>
    <d v="2024-10-05T00:00:00"/>
    <d v="2024-01-01T00:00:00"/>
    <n v="6258.0273000000025"/>
    <n v="1144394"/>
    <s v="TTM"/>
    <x v="3"/>
  </r>
  <r>
    <s v="Biolage"/>
    <x v="9"/>
    <s v="Display"/>
    <s v="Amazon"/>
    <s v="Amazon"/>
    <d v="2024-10-12T00:00:00"/>
    <d v="2024-01-01T00:00:00"/>
    <n v="6824.5480999999982"/>
    <n v="1019985"/>
    <s v="TTM"/>
    <x v="3"/>
  </r>
  <r>
    <s v="Biolage"/>
    <x v="9"/>
    <s v="Display"/>
    <s v="Amazon"/>
    <s v="Amazon"/>
    <d v="2024-10-19T00:00:00"/>
    <d v="2024-01-01T00:00:00"/>
    <n v="6757.0432000000001"/>
    <n v="1434952"/>
    <s v="TTM"/>
    <x v="3"/>
  </r>
  <r>
    <s v="Biolage"/>
    <x v="9"/>
    <s v="Display"/>
    <s v="Amazon"/>
    <s v="Amazon"/>
    <d v="2024-10-26T00:00:00"/>
    <d v="2024-01-01T00:00:00"/>
    <n v="6978.1048999999994"/>
    <n v="1682957"/>
    <s v="TTM"/>
    <x v="3"/>
  </r>
  <r>
    <s v="Biolage"/>
    <x v="9"/>
    <s v="Display"/>
    <s v="Amazon"/>
    <s v="Amazon"/>
    <d v="2024-11-02T00:00:00"/>
    <d v="2024-01-01T00:00:00"/>
    <n v="6181.1669000000011"/>
    <n v="1405652"/>
    <s v="TTM"/>
    <x v="3"/>
  </r>
  <r>
    <s v="Biolage"/>
    <x v="9"/>
    <s v="Display"/>
    <s v="Amazon"/>
    <s v="Amazon"/>
    <d v="2024-11-09T00:00:00"/>
    <d v="2024-01-01T00:00:00"/>
    <n v="5729.2723999999998"/>
    <n v="1385392"/>
    <s v="TTM"/>
    <x v="3"/>
  </r>
  <r>
    <s v="Biolage"/>
    <x v="9"/>
    <s v="Display"/>
    <s v="Amazon"/>
    <s v="Amazon"/>
    <d v="2024-11-16T00:00:00"/>
    <d v="2024-01-01T00:00:00"/>
    <n v="5253.5214000000005"/>
    <n v="1173942"/>
    <s v="TTM"/>
    <x v="3"/>
  </r>
  <r>
    <s v="Biolage"/>
    <x v="9"/>
    <s v="Display"/>
    <s v="Amazon"/>
    <s v="Amazon"/>
    <d v="2024-11-23T00:00:00"/>
    <d v="2024-01-01T00:00:00"/>
    <n v="5286.8309999999974"/>
    <n v="916496"/>
    <s v="TTM"/>
    <x v="3"/>
  </r>
  <r>
    <s v="Biolage"/>
    <x v="9"/>
    <s v="Display"/>
    <s v="Amazon"/>
    <s v="Amazon"/>
    <d v="2024-11-30T00:00:00"/>
    <d v="2024-01-01T00:00:00"/>
    <n v="4361.3540000000003"/>
    <n v="526250"/>
    <s v="TTM"/>
    <x v="3"/>
  </r>
  <r>
    <s v="Biolage"/>
    <x v="9"/>
    <s v="Display"/>
    <s v="Amazon"/>
    <s v="Amazon"/>
    <d v="2024-12-07T00:00:00"/>
    <d v="2024-01-01T00:00:00"/>
    <n v="4700.6687000000011"/>
    <n v="921609"/>
    <s v="TTM"/>
    <x v="3"/>
  </r>
  <r>
    <s v="Biolage"/>
    <x v="9"/>
    <s v="Display"/>
    <s v="Amazon"/>
    <s v="Amazon"/>
    <d v="2024-12-14T00:00:00"/>
    <d v="2024-01-01T00:00:00"/>
    <n v="4915.8602999999994"/>
    <n v="1162551"/>
    <s v="TTM"/>
    <x v="3"/>
  </r>
  <r>
    <s v="Biolage"/>
    <x v="9"/>
    <s v="Display"/>
    <s v="Amazon"/>
    <s v="Amazon"/>
    <d v="2024-12-21T00:00:00"/>
    <d v="2024-01-01T00:00:00"/>
    <n v="4879.0752000000011"/>
    <n v="1264896"/>
    <s v="TTM"/>
    <x v="3"/>
  </r>
  <r>
    <s v="Biolage"/>
    <x v="9"/>
    <s v="Display"/>
    <s v="Amazon"/>
    <s v="Amazon"/>
    <d v="2024-12-28T00:00:00"/>
    <d v="2024-01-01T00:00:00"/>
    <n v="4789.3036999999986"/>
    <n v="1396088"/>
    <s v="TTM"/>
    <x v="3"/>
  </r>
  <r>
    <s v="Biolage"/>
    <x v="9"/>
    <s v="Display"/>
    <s v="Amazon"/>
    <s v="Amazon"/>
    <d v="2025-01-04T00:00:00"/>
    <d v="2024-01-01T00:00:00"/>
    <n v="1731.0464000000004"/>
    <n v="508297"/>
    <s v="TTM"/>
    <x v="3"/>
  </r>
  <r>
    <s v="Biolage"/>
    <x v="9"/>
    <s v="Display"/>
    <s v="Amazon"/>
    <s v="Amazon"/>
    <d v="2025-01-04T00:00:00"/>
    <d v="2025-01-01T00:00:00"/>
    <n v="3109.6780000000012"/>
    <n v="1325025"/>
    <s v="TTM"/>
    <x v="3"/>
  </r>
  <r>
    <s v="Biolage"/>
    <x v="9"/>
    <s v="Display"/>
    <s v="Amazon"/>
    <s v="Amazon"/>
    <d v="2025-01-11T00:00:00"/>
    <d v="2025-01-01T00:00:00"/>
    <n v="5477.4909999999954"/>
    <n v="2100834"/>
    <s v="TTM"/>
    <x v="3"/>
  </r>
  <r>
    <s v="Biolage"/>
    <x v="9"/>
    <s v="Display"/>
    <s v="Amazon"/>
    <s v="Amazon"/>
    <d v="2025-01-18T00:00:00"/>
    <d v="2025-01-01T00:00:00"/>
    <n v="5626.1701000000012"/>
    <n v="1982006"/>
    <s v="TTM"/>
    <x v="3"/>
  </r>
  <r>
    <s v="Biolage"/>
    <x v="9"/>
    <s v="Display"/>
    <s v="Amazon"/>
    <s v="Amazon"/>
    <d v="2025-01-25T00:00:00"/>
    <d v="2025-01-01T00:00:00"/>
    <n v="5485.9715000000024"/>
    <n v="1918806"/>
    <s v="TTM"/>
    <x v="3"/>
  </r>
  <r>
    <s v="Biolage"/>
    <x v="9"/>
    <s v="Display"/>
    <s v="Amazon"/>
    <s v="Amazon"/>
    <d v="2025-02-01T00:00:00"/>
    <d v="2025-01-01T00:00:00"/>
    <n v="5613.6606999999985"/>
    <n v="1876996"/>
    <s v="TTM"/>
    <x v="3"/>
  </r>
  <r>
    <s v="Biolage"/>
    <x v="9"/>
    <s v="Display"/>
    <s v="Amazon"/>
    <s v="Amazon"/>
    <d v="2025-02-08T00:00:00"/>
    <d v="2025-01-01T00:00:00"/>
    <n v="6531.9242000000022"/>
    <n v="2359367"/>
    <s v="TTM"/>
    <x v="3"/>
  </r>
  <r>
    <s v="Biolage"/>
    <x v="9"/>
    <s v="Display"/>
    <s v="Amazon"/>
    <s v="Amazon"/>
    <d v="2025-02-15T00:00:00"/>
    <d v="2025-01-01T00:00:00"/>
    <n v="6550.547599999999"/>
    <n v="2406420"/>
    <s v="TTM"/>
    <x v="3"/>
  </r>
  <r>
    <s v="Biolage"/>
    <x v="9"/>
    <s v="Display"/>
    <s v="Amazon"/>
    <s v="Amazon"/>
    <d v="2025-02-22T00:00:00"/>
    <d v="2025-01-01T00:00:00"/>
    <n v="6568.3112999999967"/>
    <n v="1912617"/>
    <s v="TTM"/>
    <x v="3"/>
  </r>
  <r>
    <s v="Biolage"/>
    <x v="9"/>
    <s v="Display"/>
    <s v="Amazon"/>
    <s v="Amazon"/>
    <d v="2025-03-01T00:00:00"/>
    <d v="2025-01-01T00:00:00"/>
    <n v="8286.0642000000007"/>
    <n v="1709882"/>
    <s v="TTM"/>
    <x v="3"/>
  </r>
  <r>
    <s v="Biolage"/>
    <x v="9"/>
    <s v="Display"/>
    <s v="Amazon"/>
    <s v="Amazon"/>
    <d v="2025-03-08T00:00:00"/>
    <d v="2025-01-01T00:00:00"/>
    <n v="10020.850700000001"/>
    <n v="2018966"/>
    <s v="TTM"/>
    <x v="3"/>
  </r>
  <r>
    <s v="Biolage"/>
    <x v="9"/>
    <s v="Display"/>
    <s v="Amazon"/>
    <s v="Amazon"/>
    <d v="2025-03-15T00:00:00"/>
    <d v="2025-01-01T00:00:00"/>
    <n v="10508.572899999996"/>
    <n v="1920551"/>
    <s v="TTM"/>
    <x v="3"/>
  </r>
  <r>
    <s v="Biolage"/>
    <x v="9"/>
    <s v="Display"/>
    <s v="Amazon"/>
    <s v="Amazon"/>
    <d v="2025-03-22T00:00:00"/>
    <d v="2025-01-01T00:00:00"/>
    <n v="10253.666600000006"/>
    <n v="1799015"/>
    <s v="TTM"/>
    <x v="3"/>
  </r>
  <r>
    <s v="Biolage"/>
    <x v="9"/>
    <s v="Display"/>
    <s v="Amazon"/>
    <s v="Amazon"/>
    <d v="2025-03-29T00:00:00"/>
    <d v="2025-01-01T00:00:00"/>
    <n v="10192.703600000003"/>
    <n v="1895955"/>
    <s v="TTM"/>
    <x v="3"/>
  </r>
  <r>
    <s v="Biolage"/>
    <x v="9"/>
    <s v="Display"/>
    <s v="Amazon"/>
    <s v="Amazon"/>
    <d v="2025-04-05T00:00:00"/>
    <d v="2025-01-01T00:00:00"/>
    <n v="6386.5364000000018"/>
    <n v="1491745"/>
    <s v="TTM"/>
    <x v="3"/>
  </r>
  <r>
    <s v="Biolage"/>
    <x v="9"/>
    <s v="Display"/>
    <s v="Amazon"/>
    <s v="Amazon"/>
    <d v="2025-04-12T00:00:00"/>
    <d v="2025-01-01T00:00:00"/>
    <n v="5975.5874000000013"/>
    <n v="1266838"/>
    <s v="TTM"/>
    <x v="3"/>
  </r>
  <r>
    <s v="Biolage"/>
    <x v="9"/>
    <s v="Display"/>
    <s v="Amazon"/>
    <s v="Amazon"/>
    <d v="2025-04-19T00:00:00"/>
    <d v="2025-01-01T00:00:00"/>
    <n v="5866.896200000001"/>
    <n v="1164750"/>
    <s v="TTM"/>
    <x v="3"/>
  </r>
  <r>
    <s v="Biolage"/>
    <x v="9"/>
    <s v="Display"/>
    <s v="Amazon"/>
    <s v="Amazon"/>
    <d v="2025-04-26T00:00:00"/>
    <d v="2025-01-01T00:00:00"/>
    <n v="5831.7265000000034"/>
    <n v="1290810"/>
    <s v="TTM"/>
    <x v="3"/>
  </r>
  <r>
    <s v="Biolage"/>
    <x v="9"/>
    <s v="Display"/>
    <s v="Amazon"/>
    <s v="Amazon"/>
    <d v="2025-05-03T00:00:00"/>
    <d v="2025-01-01T00:00:00"/>
    <n v="5033.9136000000008"/>
    <n v="1292797"/>
    <s v="TTM"/>
    <x v="3"/>
  </r>
  <r>
    <s v="Biolage"/>
    <x v="9"/>
    <s v="Display"/>
    <s v="Amazon"/>
    <s v="Amazon"/>
    <d v="2025-05-10T00:00:00"/>
    <d v="2025-01-01T00:00:00"/>
    <n v="5087.9211000000005"/>
    <n v="1049895"/>
    <s v="TTM"/>
    <x v="3"/>
  </r>
  <r>
    <s v="Biolage"/>
    <x v="9"/>
    <s v="Display"/>
    <s v="Amazon"/>
    <s v="Amazon"/>
    <d v="2025-05-17T00:00:00"/>
    <d v="2025-01-01T00:00:00"/>
    <n v="5092.7151999999996"/>
    <n v="1084087"/>
    <s v="TTM"/>
    <x v="3"/>
  </r>
  <r>
    <s v="Biolage"/>
    <x v="9"/>
    <s v="Display"/>
    <s v="Amazon"/>
    <s v="Amazon"/>
    <d v="2025-05-24T00:00:00"/>
    <d v="2025-01-01T00:00:00"/>
    <n v="5059.7958999999983"/>
    <n v="1355982"/>
    <s v="TTM"/>
    <x v="3"/>
  </r>
  <r>
    <s v="Biolage"/>
    <x v="9"/>
    <s v="Display"/>
    <s v="Amazon"/>
    <s v="Amazon"/>
    <d v="2025-05-31T00:00:00"/>
    <d v="2025-01-01T00:00:00"/>
    <n v="4628.8854000000001"/>
    <n v="1417167"/>
    <s v="TTM"/>
    <x v="3"/>
  </r>
  <r>
    <s v="Biolage"/>
    <x v="9"/>
    <s v="Display"/>
    <s v="Amazon"/>
    <s v="Amazon"/>
    <d v="2025-06-07T00:00:00"/>
    <d v="2025-01-01T00:00:00"/>
    <n v="8768.9116999999987"/>
    <n v="3505624"/>
    <s v="TTM"/>
    <x v="3"/>
  </r>
  <r>
    <s v="Biolage"/>
    <x v="9"/>
    <s v="Display"/>
    <s v="Amazon"/>
    <s v="Amazon"/>
    <d v="2025-06-14T00:00:00"/>
    <d v="2025-01-01T00:00:00"/>
    <n v="9116.9534999999978"/>
    <n v="3437513"/>
    <s v="TTM"/>
    <x v="3"/>
  </r>
  <r>
    <s v="Biolage"/>
    <x v="9"/>
    <s v="Display"/>
    <s v="Amazon"/>
    <s v="Amazon"/>
    <d v="2025-06-21T00:00:00"/>
    <d v="2025-01-01T00:00:00"/>
    <n v="9158.1856000000007"/>
    <n v="3290186"/>
    <s v="TTM"/>
    <x v="3"/>
  </r>
  <r>
    <s v="Biolage"/>
    <x v="9"/>
    <s v="Display"/>
    <s v="Amazon"/>
    <s v="Amazon"/>
    <d v="2025-06-28T00:00:00"/>
    <d v="2025-01-01T00:00:00"/>
    <n v="7839.1786999999995"/>
    <n v="2938080"/>
    <s v="TTM"/>
    <x v="3"/>
  </r>
  <r>
    <s v="Biolage"/>
    <x v="9"/>
    <s v="Search"/>
    <s v="Amazon"/>
    <s v="Amazon"/>
    <d v="2023-07-01T00:00:00"/>
    <d v="2023-01-01T00:00:00"/>
    <n v="503.13"/>
    <n v="89476"/>
    <s v="PY"/>
    <x v="4"/>
  </r>
  <r>
    <s v="Biolage"/>
    <x v="9"/>
    <s v="Search"/>
    <s v="Amazon"/>
    <s v="Amazon"/>
    <d v="2023-07-08T00:00:00"/>
    <d v="2023-01-01T00:00:00"/>
    <n v="4101.8500000000004"/>
    <n v="988367"/>
    <s v="PY"/>
    <x v="4"/>
  </r>
  <r>
    <s v="Biolage"/>
    <x v="9"/>
    <s v="Search"/>
    <s v="Amazon"/>
    <s v="Amazon"/>
    <d v="2023-07-15T00:00:00"/>
    <d v="2023-01-01T00:00:00"/>
    <n v="20015.16"/>
    <n v="2356562"/>
    <s v="LY"/>
    <x v="4"/>
  </r>
  <r>
    <s v="Biolage"/>
    <x v="9"/>
    <s v="Search"/>
    <s v="Amazon"/>
    <s v="Amazon"/>
    <d v="2023-07-22T00:00:00"/>
    <d v="2023-01-01T00:00:00"/>
    <n v="2718.9999999999995"/>
    <n v="1385964"/>
    <s v="LY"/>
    <x v="4"/>
  </r>
  <r>
    <s v="Biolage"/>
    <x v="9"/>
    <s v="Search"/>
    <s v="Amazon"/>
    <s v="Amazon"/>
    <d v="2023-07-29T00:00:00"/>
    <d v="2023-01-01T00:00:00"/>
    <n v="3139.6"/>
    <n v="1509103"/>
    <s v="LY"/>
    <x v="4"/>
  </r>
  <r>
    <s v="Biolage"/>
    <x v="9"/>
    <s v="Search"/>
    <s v="Amazon"/>
    <s v="Amazon"/>
    <d v="2023-08-05T00:00:00"/>
    <d v="2023-01-01T00:00:00"/>
    <n v="3918.1000000000008"/>
    <n v="2303619"/>
    <s v="LY"/>
    <x v="4"/>
  </r>
  <r>
    <s v="Biolage"/>
    <x v="9"/>
    <s v="Search"/>
    <s v="Amazon"/>
    <s v="Amazon"/>
    <d v="2023-08-12T00:00:00"/>
    <d v="2023-01-01T00:00:00"/>
    <n v="3812.1299999999992"/>
    <n v="1478237"/>
    <s v="LY"/>
    <x v="4"/>
  </r>
  <r>
    <s v="Biolage"/>
    <x v="9"/>
    <s v="Search"/>
    <s v="Amazon"/>
    <s v="Amazon"/>
    <d v="2023-08-19T00:00:00"/>
    <d v="2023-01-01T00:00:00"/>
    <n v="4888.55"/>
    <n v="1936216"/>
    <s v="LY"/>
    <x v="4"/>
  </r>
  <r>
    <s v="Biolage"/>
    <x v="9"/>
    <s v="Search"/>
    <s v="Amazon"/>
    <s v="Amazon"/>
    <d v="2023-08-26T00:00:00"/>
    <d v="2023-01-01T00:00:00"/>
    <n v="5839.829999999999"/>
    <n v="2191585"/>
    <s v="LY"/>
    <x v="4"/>
  </r>
  <r>
    <s v="Biolage"/>
    <x v="9"/>
    <s v="Search"/>
    <s v="Amazon"/>
    <s v="Amazon"/>
    <d v="2023-09-02T00:00:00"/>
    <d v="2023-01-01T00:00:00"/>
    <n v="4232.1999999999989"/>
    <n v="1611220"/>
    <s v="LY"/>
    <x v="4"/>
  </r>
  <r>
    <s v="Biolage"/>
    <x v="9"/>
    <s v="Search"/>
    <s v="Amazon"/>
    <s v="Amazon"/>
    <d v="2023-09-09T00:00:00"/>
    <d v="2023-01-01T00:00:00"/>
    <n v="4772.46"/>
    <n v="1962236"/>
    <s v="LY"/>
    <x v="4"/>
  </r>
  <r>
    <s v="Biolage"/>
    <x v="9"/>
    <s v="Search"/>
    <s v="Amazon"/>
    <s v="Amazon"/>
    <d v="2023-09-16T00:00:00"/>
    <d v="2023-01-01T00:00:00"/>
    <n v="4385.33"/>
    <n v="1669530"/>
    <s v="LY"/>
    <x v="4"/>
  </r>
  <r>
    <s v="Biolage"/>
    <x v="9"/>
    <s v="Search"/>
    <s v="Amazon"/>
    <s v="Amazon"/>
    <d v="2023-09-23T00:00:00"/>
    <d v="2023-01-01T00:00:00"/>
    <n v="5088.2300000000005"/>
    <n v="1614233"/>
    <s v="LY"/>
    <x v="4"/>
  </r>
  <r>
    <s v="Biolage"/>
    <x v="9"/>
    <s v="Search"/>
    <s v="Amazon"/>
    <s v="Amazon"/>
    <d v="2023-09-30T00:00:00"/>
    <d v="2023-01-01T00:00:00"/>
    <n v="6291.2899999999991"/>
    <n v="2292534"/>
    <s v="LY"/>
    <x v="4"/>
  </r>
  <r>
    <s v="Biolage"/>
    <x v="9"/>
    <s v="Search"/>
    <s v="Amazon"/>
    <s v="Amazon"/>
    <d v="2023-10-07T00:00:00"/>
    <d v="2023-01-01T00:00:00"/>
    <n v="7981.7900000000009"/>
    <n v="2662704"/>
    <s v="LY"/>
    <x v="4"/>
  </r>
  <r>
    <s v="Biolage"/>
    <x v="9"/>
    <s v="Search"/>
    <s v="Amazon"/>
    <s v="Amazon"/>
    <d v="2023-10-14T00:00:00"/>
    <d v="2023-01-01T00:00:00"/>
    <n v="6973.41"/>
    <n v="2068444"/>
    <s v="LY"/>
    <x v="4"/>
  </r>
  <r>
    <s v="Biolage"/>
    <x v="9"/>
    <s v="Search"/>
    <s v="Amazon"/>
    <s v="Amazon"/>
    <d v="2023-10-21T00:00:00"/>
    <d v="2023-01-01T00:00:00"/>
    <n v="8162.79"/>
    <n v="2326724"/>
    <s v="LY"/>
    <x v="4"/>
  </r>
  <r>
    <s v="Biolage"/>
    <x v="9"/>
    <s v="Search"/>
    <s v="Amazon"/>
    <s v="Amazon"/>
    <d v="2023-10-28T00:00:00"/>
    <d v="2023-01-01T00:00:00"/>
    <n v="9470.5499999999993"/>
    <n v="2601230"/>
    <s v="LY"/>
    <x v="4"/>
  </r>
  <r>
    <s v="Biolage"/>
    <x v="9"/>
    <s v="Search"/>
    <s v="Amazon"/>
    <s v="Amazon"/>
    <d v="2023-11-04T00:00:00"/>
    <d v="2023-01-01T00:00:00"/>
    <n v="8418.17"/>
    <n v="2714220"/>
    <s v="LY"/>
    <x v="4"/>
  </r>
  <r>
    <s v="Biolage"/>
    <x v="9"/>
    <s v="Search"/>
    <s v="Amazon"/>
    <s v="Amazon"/>
    <d v="2023-11-11T00:00:00"/>
    <d v="2023-01-01T00:00:00"/>
    <n v="8786.69"/>
    <n v="2401367"/>
    <s v="LY"/>
    <x v="4"/>
  </r>
  <r>
    <s v="Biolage"/>
    <x v="9"/>
    <s v="Search"/>
    <s v="Amazon"/>
    <s v="Amazon"/>
    <d v="2023-11-18T00:00:00"/>
    <d v="2023-01-01T00:00:00"/>
    <n v="9637.909999999998"/>
    <n v="2662615"/>
    <s v="LY"/>
    <x v="4"/>
  </r>
  <r>
    <s v="Biolage"/>
    <x v="9"/>
    <s v="Search"/>
    <s v="Amazon"/>
    <s v="Amazon"/>
    <d v="2023-11-25T00:00:00"/>
    <d v="2023-01-01T00:00:00"/>
    <n v="17396.099999999995"/>
    <n v="3611993"/>
    <s v="LY"/>
    <x v="4"/>
  </r>
  <r>
    <s v="Biolage"/>
    <x v="9"/>
    <s v="Search"/>
    <s v="Amazon"/>
    <s v="Amazon"/>
    <d v="2023-12-02T00:00:00"/>
    <d v="2023-01-01T00:00:00"/>
    <n v="7475.5600000000022"/>
    <n v="1553001"/>
    <s v="LY"/>
    <x v="4"/>
  </r>
  <r>
    <s v="Biolage"/>
    <x v="9"/>
    <s v="Search"/>
    <s v="Amazon"/>
    <s v="Amazon"/>
    <d v="2023-12-09T00:00:00"/>
    <d v="2023-01-01T00:00:00"/>
    <n v="2958.3299999999986"/>
    <n v="868175"/>
    <s v="LY"/>
    <x v="4"/>
  </r>
  <r>
    <s v="Biolage"/>
    <x v="9"/>
    <s v="Search"/>
    <s v="Amazon"/>
    <s v="Amazon"/>
    <d v="2023-12-16T00:00:00"/>
    <d v="2023-01-01T00:00:00"/>
    <n v="1611.1199999999994"/>
    <n v="319036"/>
    <s v="LY"/>
    <x v="4"/>
  </r>
  <r>
    <s v="Biolage"/>
    <x v="9"/>
    <s v="Search"/>
    <s v="Amazon"/>
    <s v="Amazon"/>
    <d v="2023-12-23T00:00:00"/>
    <d v="2023-01-01T00:00:00"/>
    <n v="1110.8199999999995"/>
    <n v="254163"/>
    <s v="LY"/>
    <x v="4"/>
  </r>
  <r>
    <s v="Biolage"/>
    <x v="9"/>
    <s v="Search"/>
    <s v="Amazon"/>
    <s v="Amazon"/>
    <d v="2023-12-30T00:00:00"/>
    <d v="2023-01-01T00:00:00"/>
    <n v="1359.9299999999998"/>
    <n v="284609"/>
    <s v="LY"/>
    <x v="4"/>
  </r>
  <r>
    <s v="Biolage"/>
    <x v="9"/>
    <s v="Search"/>
    <s v="Amazon"/>
    <s v="Amazon"/>
    <d v="2024-01-06T00:00:00"/>
    <d v="2024-01-01T00:00:00"/>
    <n v="1015.0899999999998"/>
    <n v="205155"/>
    <s v="LY"/>
    <x v="4"/>
  </r>
  <r>
    <s v="Biolage"/>
    <x v="9"/>
    <s v="Search"/>
    <s v="Amazon"/>
    <s v="Amazon"/>
    <d v="2024-01-13T00:00:00"/>
    <d v="2024-01-01T00:00:00"/>
    <n v="3228.6599999999994"/>
    <n v="408094"/>
    <s v="LY"/>
    <x v="4"/>
  </r>
  <r>
    <s v="Biolage"/>
    <x v="9"/>
    <s v="Search"/>
    <s v="Amazon"/>
    <s v="Amazon"/>
    <d v="2024-01-20T00:00:00"/>
    <d v="2024-01-01T00:00:00"/>
    <n v="7322.7899999999991"/>
    <n v="1059238"/>
    <s v="LY"/>
    <x v="4"/>
  </r>
  <r>
    <s v="Biolage"/>
    <x v="9"/>
    <s v="Search"/>
    <s v="Amazon"/>
    <s v="Amazon"/>
    <d v="2024-01-27T00:00:00"/>
    <d v="2024-01-01T00:00:00"/>
    <n v="10397.080000000002"/>
    <n v="1657871"/>
    <s v="LY"/>
    <x v="4"/>
  </r>
  <r>
    <s v="Biolage"/>
    <x v="9"/>
    <s v="Search"/>
    <s v="Amazon"/>
    <s v="Amazon"/>
    <d v="2024-02-03T00:00:00"/>
    <d v="2024-01-01T00:00:00"/>
    <n v="9656.9799999999977"/>
    <n v="2054668"/>
    <s v="LY"/>
    <x v="4"/>
  </r>
  <r>
    <s v="Biolage"/>
    <x v="9"/>
    <s v="Search"/>
    <s v="Amazon"/>
    <s v="Amazon"/>
    <d v="2024-02-10T00:00:00"/>
    <d v="2024-01-01T00:00:00"/>
    <n v="7979.699999999998"/>
    <n v="1740487"/>
    <s v="LY"/>
    <x v="4"/>
  </r>
  <r>
    <s v="Biolage"/>
    <x v="9"/>
    <s v="Search"/>
    <s v="Amazon"/>
    <s v="Amazon"/>
    <d v="2024-02-17T00:00:00"/>
    <d v="2024-01-01T00:00:00"/>
    <n v="5484.7800000000016"/>
    <n v="1001649"/>
    <s v="LY"/>
    <x v="4"/>
  </r>
  <r>
    <s v="Biolage"/>
    <x v="9"/>
    <s v="Search"/>
    <s v="Amazon"/>
    <s v="Amazon"/>
    <d v="2024-02-24T00:00:00"/>
    <d v="2024-01-01T00:00:00"/>
    <n v="4650.1900000000005"/>
    <n v="831149"/>
    <s v="LY"/>
    <x v="4"/>
  </r>
  <r>
    <s v="Biolage"/>
    <x v="9"/>
    <s v="Search"/>
    <s v="Amazon"/>
    <s v="Amazon"/>
    <d v="2024-03-02T00:00:00"/>
    <d v="2024-01-01T00:00:00"/>
    <n v="3712.7299999999991"/>
    <n v="1052250"/>
    <s v="LY"/>
    <x v="4"/>
  </r>
  <r>
    <s v="Biolage"/>
    <x v="9"/>
    <s v="Search"/>
    <s v="Amazon"/>
    <s v="Amazon"/>
    <d v="2024-03-09T00:00:00"/>
    <d v="2024-01-01T00:00:00"/>
    <n v="3538.48"/>
    <n v="1214141"/>
    <s v="LY"/>
    <x v="4"/>
  </r>
  <r>
    <s v="Biolage"/>
    <x v="9"/>
    <s v="Search"/>
    <s v="Amazon"/>
    <s v="Amazon"/>
    <d v="2024-03-16T00:00:00"/>
    <d v="2024-01-01T00:00:00"/>
    <n v="3903.3199999999993"/>
    <n v="1580471"/>
    <s v="LY"/>
    <x v="4"/>
  </r>
  <r>
    <s v="Biolage"/>
    <x v="9"/>
    <s v="Search"/>
    <s v="Amazon"/>
    <s v="Amazon"/>
    <d v="2024-03-23T00:00:00"/>
    <d v="2024-01-01T00:00:00"/>
    <n v="7051.7300000000014"/>
    <n v="2463931"/>
    <s v="LY"/>
    <x v="4"/>
  </r>
  <r>
    <s v="Biolage"/>
    <x v="9"/>
    <s v="Search"/>
    <s v="Amazon"/>
    <s v="Amazon"/>
    <d v="2024-03-30T00:00:00"/>
    <d v="2024-01-01T00:00:00"/>
    <n v="9884.9500000000007"/>
    <n v="3279343"/>
    <s v="LY"/>
    <x v="4"/>
  </r>
  <r>
    <s v="Biolage"/>
    <x v="9"/>
    <s v="Search"/>
    <s v="Amazon"/>
    <s v="Amazon"/>
    <d v="2024-04-06T00:00:00"/>
    <d v="2024-01-01T00:00:00"/>
    <n v="9863.5500000000029"/>
    <n v="3232867"/>
    <s v="LY"/>
    <x v="4"/>
  </r>
  <r>
    <s v="Biolage"/>
    <x v="9"/>
    <s v="Search"/>
    <s v="Amazon"/>
    <s v="Amazon"/>
    <d v="2024-04-13T00:00:00"/>
    <d v="2024-01-01T00:00:00"/>
    <n v="7098.7800000000007"/>
    <n v="2443805"/>
    <s v="LY"/>
    <x v="4"/>
  </r>
  <r>
    <s v="Biolage"/>
    <x v="9"/>
    <s v="Search"/>
    <s v="Amazon"/>
    <s v="Amazon"/>
    <d v="2024-04-20T00:00:00"/>
    <d v="2024-01-01T00:00:00"/>
    <n v="8467.2599999999984"/>
    <n v="2409767"/>
    <s v="LY"/>
    <x v="4"/>
  </r>
  <r>
    <s v="Biolage"/>
    <x v="9"/>
    <s v="Search"/>
    <s v="Amazon"/>
    <s v="Amazon"/>
    <d v="2024-04-27T00:00:00"/>
    <d v="2024-01-01T00:00:00"/>
    <n v="4568.1800000000012"/>
    <n v="1363715"/>
    <s v="LY"/>
    <x v="4"/>
  </r>
  <r>
    <s v="Biolage"/>
    <x v="9"/>
    <s v="Search"/>
    <s v="Amazon"/>
    <s v="Amazon"/>
    <d v="2024-05-04T00:00:00"/>
    <d v="2024-01-01T00:00:00"/>
    <n v="3854.3899999999994"/>
    <n v="1361116"/>
    <s v="LY"/>
    <x v="4"/>
  </r>
  <r>
    <s v="Biolage"/>
    <x v="9"/>
    <s v="Search"/>
    <s v="Amazon"/>
    <s v="Amazon"/>
    <d v="2024-05-11T00:00:00"/>
    <d v="2024-01-01T00:00:00"/>
    <n v="4683.7299999999977"/>
    <n v="1522065"/>
    <s v="LY"/>
    <x v="4"/>
  </r>
  <r>
    <s v="Biolage"/>
    <x v="9"/>
    <s v="Search"/>
    <s v="Amazon"/>
    <s v="Amazon"/>
    <d v="2024-05-18T00:00:00"/>
    <d v="2024-01-01T00:00:00"/>
    <n v="9328.31"/>
    <n v="3019010"/>
    <s v="LY"/>
    <x v="4"/>
  </r>
  <r>
    <s v="Biolage"/>
    <x v="9"/>
    <s v="Search"/>
    <s v="Amazon"/>
    <s v="Amazon"/>
    <d v="2024-05-25T00:00:00"/>
    <d v="2024-01-01T00:00:00"/>
    <n v="8773.1"/>
    <n v="2937948"/>
    <s v="LY"/>
    <x v="4"/>
  </r>
  <r>
    <s v="Biolage"/>
    <x v="9"/>
    <s v="Search"/>
    <s v="Amazon"/>
    <s v="Amazon"/>
    <d v="2024-06-01T00:00:00"/>
    <d v="2024-01-01T00:00:00"/>
    <n v="7167.0100000000011"/>
    <n v="2387037"/>
    <s v="LY"/>
    <x v="4"/>
  </r>
  <r>
    <s v="Biolage"/>
    <x v="9"/>
    <s v="Search"/>
    <s v="Amazon"/>
    <s v="Amazon"/>
    <d v="2024-06-08T00:00:00"/>
    <d v="2024-01-01T00:00:00"/>
    <n v="6891.57"/>
    <n v="1642643"/>
    <s v="LY"/>
    <x v="4"/>
  </r>
  <r>
    <s v="Biolage"/>
    <x v="9"/>
    <s v="Search"/>
    <s v="Amazon"/>
    <s v="Amazon"/>
    <d v="2024-06-15T00:00:00"/>
    <d v="2024-01-01T00:00:00"/>
    <n v="6025.04"/>
    <n v="1460313"/>
    <s v="LY"/>
    <x v="4"/>
  </r>
  <r>
    <s v="Biolage"/>
    <x v="9"/>
    <s v="Search"/>
    <s v="Amazon"/>
    <s v="Amazon"/>
    <d v="2024-06-22T00:00:00"/>
    <d v="2024-01-01T00:00:00"/>
    <n v="6784.2300000000032"/>
    <n v="1470743"/>
    <s v="LY"/>
    <x v="4"/>
  </r>
  <r>
    <s v="Biolage"/>
    <x v="9"/>
    <s v="Search"/>
    <s v="Amazon"/>
    <s v="Amazon"/>
    <d v="2024-06-29T00:00:00"/>
    <d v="2024-01-01T00:00:00"/>
    <n v="11151.809999999998"/>
    <n v="2019016"/>
    <s v="LY"/>
    <x v="4"/>
  </r>
  <r>
    <s v="Biolage"/>
    <x v="9"/>
    <s v="Search"/>
    <s v="Amazon"/>
    <s v="Amazon"/>
    <d v="2024-07-06T00:00:00"/>
    <d v="2024-01-01T00:00:00"/>
    <n v="9182.5099999999966"/>
    <n v="1674567"/>
    <s v="LY"/>
    <x v="4"/>
  </r>
  <r>
    <s v="Biolage"/>
    <x v="9"/>
    <s v="Search"/>
    <s v="Amazon"/>
    <s v="Amazon"/>
    <d v="2024-07-13T00:00:00"/>
    <d v="2024-01-01T00:00:00"/>
    <n v="7462.8800000000019"/>
    <n v="1499788"/>
    <s v="TTM"/>
    <x v="4"/>
  </r>
  <r>
    <s v="Biolage"/>
    <x v="9"/>
    <s v="Search"/>
    <s v="Amazon"/>
    <s v="Amazon"/>
    <d v="2024-07-20T00:00:00"/>
    <d v="2024-01-01T00:00:00"/>
    <n v="7504.079999999999"/>
    <n v="2222193"/>
    <s v="TTM"/>
    <x v="4"/>
  </r>
  <r>
    <s v="Biolage"/>
    <x v="9"/>
    <s v="Search"/>
    <s v="Amazon"/>
    <s v="Amazon"/>
    <d v="2024-07-27T00:00:00"/>
    <d v="2024-01-01T00:00:00"/>
    <n v="4627.78"/>
    <n v="1272916"/>
    <s v="TTM"/>
    <x v="4"/>
  </r>
  <r>
    <s v="Biolage"/>
    <x v="9"/>
    <s v="Search"/>
    <s v="Amazon"/>
    <s v="Amazon"/>
    <d v="2024-08-03T00:00:00"/>
    <d v="2024-01-01T00:00:00"/>
    <n v="4372.8599999999988"/>
    <n v="1185140"/>
    <s v="TTM"/>
    <x v="4"/>
  </r>
  <r>
    <s v="Biolage"/>
    <x v="9"/>
    <s v="Search"/>
    <s v="Amazon"/>
    <s v="Amazon"/>
    <d v="2024-08-10T00:00:00"/>
    <d v="2024-01-01T00:00:00"/>
    <n v="5085.5999999999958"/>
    <n v="1404284"/>
    <s v="TTM"/>
    <x v="4"/>
  </r>
  <r>
    <s v="Biolage"/>
    <x v="9"/>
    <s v="Search"/>
    <s v="Amazon"/>
    <s v="Amazon"/>
    <d v="2024-08-17T00:00:00"/>
    <d v="2024-01-01T00:00:00"/>
    <n v="6777.92"/>
    <n v="1533777"/>
    <s v="TTM"/>
    <x v="4"/>
  </r>
  <r>
    <s v="Biolage"/>
    <x v="9"/>
    <s v="Search"/>
    <s v="Amazon"/>
    <s v="Amazon"/>
    <d v="2024-08-24T00:00:00"/>
    <d v="2024-01-01T00:00:00"/>
    <n v="9689.32"/>
    <n v="1814789"/>
    <s v="TTM"/>
    <x v="4"/>
  </r>
  <r>
    <s v="Biolage"/>
    <x v="9"/>
    <s v="Search"/>
    <s v="Amazon"/>
    <s v="Amazon"/>
    <d v="2024-08-31T00:00:00"/>
    <d v="2024-01-01T00:00:00"/>
    <n v="10096.570000000002"/>
    <n v="1810676"/>
    <s v="TTM"/>
    <x v="4"/>
  </r>
  <r>
    <s v="Biolage"/>
    <x v="9"/>
    <s v="Search"/>
    <s v="Amazon"/>
    <s v="Amazon"/>
    <d v="2024-09-07T00:00:00"/>
    <d v="2024-01-01T00:00:00"/>
    <n v="9015.3799999999992"/>
    <n v="1910006"/>
    <s v="TTM"/>
    <x v="4"/>
  </r>
  <r>
    <s v="Biolage"/>
    <x v="9"/>
    <s v="Search"/>
    <s v="Amazon"/>
    <s v="Amazon"/>
    <d v="2024-09-14T00:00:00"/>
    <d v="2024-01-01T00:00:00"/>
    <n v="5501.1900000000005"/>
    <n v="1511624"/>
    <s v="TTM"/>
    <x v="4"/>
  </r>
  <r>
    <s v="Biolage"/>
    <x v="9"/>
    <s v="Search"/>
    <s v="Amazon"/>
    <s v="Amazon"/>
    <d v="2024-09-21T00:00:00"/>
    <d v="2024-01-01T00:00:00"/>
    <n v="5121.1800000000012"/>
    <n v="1430201"/>
    <s v="TTM"/>
    <x v="4"/>
  </r>
  <r>
    <s v="Biolage"/>
    <x v="9"/>
    <s v="Search"/>
    <s v="Amazon"/>
    <s v="Amazon"/>
    <d v="2024-09-28T00:00:00"/>
    <d v="2024-01-01T00:00:00"/>
    <n v="5557.31"/>
    <n v="1653033"/>
    <s v="TTM"/>
    <x v="4"/>
  </r>
  <r>
    <s v="Biolage"/>
    <x v="9"/>
    <s v="Search"/>
    <s v="Amazon"/>
    <s v="Amazon"/>
    <d v="2024-10-05T00:00:00"/>
    <d v="2024-01-01T00:00:00"/>
    <n v="5842.82"/>
    <n v="1809204"/>
    <s v="TTM"/>
    <x v="4"/>
  </r>
  <r>
    <s v="Biolage"/>
    <x v="9"/>
    <s v="Search"/>
    <s v="Amazon"/>
    <s v="Amazon"/>
    <d v="2024-10-12T00:00:00"/>
    <d v="2024-01-01T00:00:00"/>
    <n v="37256.219999999994"/>
    <n v="4895523"/>
    <s v="TTM"/>
    <x v="4"/>
  </r>
  <r>
    <s v="Biolage"/>
    <x v="9"/>
    <s v="Search"/>
    <s v="Amazon"/>
    <s v="Amazon"/>
    <d v="2024-10-19T00:00:00"/>
    <d v="2024-01-01T00:00:00"/>
    <n v="14096.289999999988"/>
    <n v="2460439"/>
    <s v="TTM"/>
    <x v="4"/>
  </r>
  <r>
    <s v="Biolage"/>
    <x v="9"/>
    <s v="Search"/>
    <s v="Amazon"/>
    <s v="Amazon"/>
    <d v="2024-10-26T00:00:00"/>
    <d v="2024-01-01T00:00:00"/>
    <n v="12077.110000000006"/>
    <n v="2661966"/>
    <s v="TTM"/>
    <x v="4"/>
  </r>
  <r>
    <s v="Biolage"/>
    <x v="9"/>
    <s v="Search"/>
    <s v="Amazon"/>
    <s v="Amazon"/>
    <d v="2024-11-02T00:00:00"/>
    <d v="2024-01-01T00:00:00"/>
    <n v="13169.269999999997"/>
    <n v="2887031"/>
    <s v="TTM"/>
    <x v="4"/>
  </r>
  <r>
    <s v="Biolage"/>
    <x v="9"/>
    <s v="Search"/>
    <s v="Amazon"/>
    <s v="Amazon"/>
    <d v="2024-11-09T00:00:00"/>
    <d v="2024-01-01T00:00:00"/>
    <n v="9806.1299999999974"/>
    <n v="2495570"/>
    <s v="TTM"/>
    <x v="4"/>
  </r>
  <r>
    <s v="Biolage"/>
    <x v="9"/>
    <s v="Search"/>
    <s v="Amazon"/>
    <s v="Amazon"/>
    <d v="2024-11-16T00:00:00"/>
    <d v="2024-01-01T00:00:00"/>
    <n v="8590.2999999999993"/>
    <n v="1919712"/>
    <s v="TTM"/>
    <x v="4"/>
  </r>
  <r>
    <s v="Biolage"/>
    <x v="9"/>
    <s v="Search"/>
    <s v="Amazon"/>
    <s v="Amazon"/>
    <d v="2024-11-23T00:00:00"/>
    <d v="2024-01-01T00:00:00"/>
    <n v="8070.4900000000007"/>
    <n v="1784095"/>
    <s v="TTM"/>
    <x v="4"/>
  </r>
  <r>
    <s v="Biolage"/>
    <x v="9"/>
    <s v="Search"/>
    <s v="Amazon"/>
    <s v="Amazon"/>
    <d v="2024-11-30T00:00:00"/>
    <d v="2024-01-01T00:00:00"/>
    <n v="10166.380000000003"/>
    <n v="1796120"/>
    <s v="TTM"/>
    <x v="4"/>
  </r>
  <r>
    <s v="Biolage"/>
    <x v="9"/>
    <s v="Search"/>
    <s v="Amazon"/>
    <s v="Amazon"/>
    <d v="2024-12-07T00:00:00"/>
    <d v="2024-01-01T00:00:00"/>
    <n v="7785.4799999999987"/>
    <n v="1839244"/>
    <s v="TTM"/>
    <x v="4"/>
  </r>
  <r>
    <s v="Biolage"/>
    <x v="9"/>
    <s v="Search"/>
    <s v="Amazon"/>
    <s v="Amazon"/>
    <d v="2024-12-14T00:00:00"/>
    <d v="2024-01-01T00:00:00"/>
    <n v="6689.01"/>
    <n v="1315799"/>
    <s v="TTM"/>
    <x v="4"/>
  </r>
  <r>
    <s v="Biolage"/>
    <x v="9"/>
    <s v="Search"/>
    <s v="Amazon"/>
    <s v="Amazon"/>
    <d v="2024-12-21T00:00:00"/>
    <d v="2024-01-01T00:00:00"/>
    <n v="3744.5500000000006"/>
    <n v="834912"/>
    <s v="TTM"/>
    <x v="4"/>
  </r>
  <r>
    <s v="Biolage"/>
    <x v="9"/>
    <s v="Search"/>
    <s v="Amazon"/>
    <s v="Amazon"/>
    <d v="2024-12-28T00:00:00"/>
    <d v="2024-01-01T00:00:00"/>
    <n v="2467.0400000000004"/>
    <n v="465872"/>
    <s v="TTM"/>
    <x v="4"/>
  </r>
  <r>
    <s v="Biolage"/>
    <x v="9"/>
    <s v="Search"/>
    <s v="Amazon"/>
    <s v="Amazon"/>
    <d v="2025-01-04T00:00:00"/>
    <d v="2024-01-01T00:00:00"/>
    <n v="735.82999999999993"/>
    <n v="98308"/>
    <s v="TTM"/>
    <x v="4"/>
  </r>
  <r>
    <s v="Biolage"/>
    <x v="9"/>
    <s v="Search"/>
    <s v="Amazon"/>
    <s v="Amazon"/>
    <d v="2025-01-04T00:00:00"/>
    <d v="2025-01-01T00:00:00"/>
    <n v="1475.0899999999995"/>
    <n v="232248"/>
    <s v="TTM"/>
    <x v="4"/>
  </r>
  <r>
    <s v="Biolage"/>
    <x v="9"/>
    <s v="Search"/>
    <s v="Amazon"/>
    <s v="Amazon"/>
    <d v="2025-01-11T00:00:00"/>
    <d v="2025-01-01T00:00:00"/>
    <n v="4227.16"/>
    <n v="615838"/>
    <s v="TTM"/>
    <x v="4"/>
  </r>
  <r>
    <s v="Biolage"/>
    <x v="9"/>
    <s v="Search"/>
    <s v="Amazon"/>
    <s v="Amazon"/>
    <d v="2025-01-18T00:00:00"/>
    <d v="2025-01-01T00:00:00"/>
    <n v="4237.6699999999992"/>
    <n v="755747"/>
    <s v="TTM"/>
    <x v="4"/>
  </r>
  <r>
    <s v="Biolage"/>
    <x v="9"/>
    <s v="Search"/>
    <s v="Amazon"/>
    <s v="Amazon"/>
    <d v="2025-01-25T00:00:00"/>
    <d v="2025-01-01T00:00:00"/>
    <n v="5789.3500000000013"/>
    <n v="1013864"/>
    <s v="TTM"/>
    <x v="4"/>
  </r>
  <r>
    <s v="Biolage"/>
    <x v="9"/>
    <s v="Search"/>
    <s v="Amazon"/>
    <s v="Amazon"/>
    <d v="2025-02-01T00:00:00"/>
    <d v="2025-01-01T00:00:00"/>
    <n v="5812.6900000000032"/>
    <n v="1635917"/>
    <s v="TTM"/>
    <x v="4"/>
  </r>
  <r>
    <s v="Biolage"/>
    <x v="9"/>
    <s v="Search"/>
    <s v="Amazon"/>
    <s v="Amazon"/>
    <d v="2025-02-08T00:00:00"/>
    <d v="2025-01-01T00:00:00"/>
    <n v="5722.4999999999991"/>
    <n v="2324076"/>
    <s v="TTM"/>
    <x v="4"/>
  </r>
  <r>
    <s v="Biolage"/>
    <x v="9"/>
    <s v="Search"/>
    <s v="Amazon"/>
    <s v="Amazon"/>
    <d v="2025-02-15T00:00:00"/>
    <d v="2025-01-01T00:00:00"/>
    <n v="8752.9200000000019"/>
    <n v="2344105"/>
    <s v="TTM"/>
    <x v="4"/>
  </r>
  <r>
    <s v="Biolage"/>
    <x v="9"/>
    <s v="Search"/>
    <s v="Amazon"/>
    <s v="Amazon"/>
    <d v="2025-02-22T00:00:00"/>
    <d v="2025-01-01T00:00:00"/>
    <n v="10576.800000000001"/>
    <n v="2183192"/>
    <s v="TTM"/>
    <x v="4"/>
  </r>
  <r>
    <s v="Biolage"/>
    <x v="9"/>
    <s v="Search"/>
    <s v="Amazon"/>
    <s v="Amazon"/>
    <d v="2025-03-01T00:00:00"/>
    <d v="2025-01-01T00:00:00"/>
    <n v="7956.619999999999"/>
    <n v="1733366"/>
    <s v="TTM"/>
    <x v="4"/>
  </r>
  <r>
    <s v="Biolage"/>
    <x v="9"/>
    <s v="Search"/>
    <s v="Amazon"/>
    <s v="Amazon"/>
    <d v="2025-03-08T00:00:00"/>
    <d v="2025-01-01T00:00:00"/>
    <n v="8487.9"/>
    <n v="1908382"/>
    <s v="TTM"/>
    <x v="4"/>
  </r>
  <r>
    <s v="Biolage"/>
    <x v="9"/>
    <s v="Search"/>
    <s v="Amazon"/>
    <s v="Amazon"/>
    <d v="2025-03-15T00:00:00"/>
    <d v="2025-01-01T00:00:00"/>
    <n v="8638.9000000000015"/>
    <n v="1873703"/>
    <s v="TTM"/>
    <x v="4"/>
  </r>
  <r>
    <s v="Biolage"/>
    <x v="9"/>
    <s v="Search"/>
    <s v="Amazon"/>
    <s v="Amazon"/>
    <d v="2025-03-22T00:00:00"/>
    <d v="2025-01-01T00:00:00"/>
    <n v="8810.0499999999993"/>
    <n v="2017348"/>
    <s v="TTM"/>
    <x v="4"/>
  </r>
  <r>
    <s v="Biolage"/>
    <x v="9"/>
    <s v="Search"/>
    <s v="Amazon"/>
    <s v="Amazon"/>
    <d v="2025-03-29T00:00:00"/>
    <d v="2025-01-01T00:00:00"/>
    <n v="8141.2699999999995"/>
    <n v="2206850"/>
    <s v="TTM"/>
    <x v="4"/>
  </r>
  <r>
    <s v="Biolage"/>
    <x v="9"/>
    <s v="Search"/>
    <s v="Amazon"/>
    <s v="Amazon"/>
    <d v="2025-04-05T00:00:00"/>
    <d v="2025-01-01T00:00:00"/>
    <n v="6811.37"/>
    <n v="1755277"/>
    <s v="TTM"/>
    <x v="4"/>
  </r>
  <r>
    <s v="Biolage"/>
    <x v="9"/>
    <s v="Search"/>
    <s v="Amazon"/>
    <s v="Amazon"/>
    <d v="2025-04-12T00:00:00"/>
    <d v="2025-01-01T00:00:00"/>
    <n v="8798.41"/>
    <n v="2276153"/>
    <s v="TTM"/>
    <x v="4"/>
  </r>
  <r>
    <s v="Biolage"/>
    <x v="9"/>
    <s v="Search"/>
    <s v="Amazon"/>
    <s v="Amazon"/>
    <d v="2025-04-19T00:00:00"/>
    <d v="2025-01-01T00:00:00"/>
    <n v="12109.039999999997"/>
    <n v="2199563"/>
    <s v="TTM"/>
    <x v="4"/>
  </r>
  <r>
    <s v="Biolage"/>
    <x v="9"/>
    <s v="Search"/>
    <s v="Amazon"/>
    <s v="Amazon"/>
    <d v="2025-04-26T00:00:00"/>
    <d v="2025-01-01T00:00:00"/>
    <n v="11552.710000000005"/>
    <n v="2126641"/>
    <s v="TTM"/>
    <x v="4"/>
  </r>
  <r>
    <s v="Biolage"/>
    <x v="9"/>
    <s v="Search"/>
    <s v="Amazon"/>
    <s v="Amazon"/>
    <d v="2025-05-03T00:00:00"/>
    <d v="2025-01-01T00:00:00"/>
    <n v="10520.53"/>
    <n v="2178083"/>
    <s v="TTM"/>
    <x v="4"/>
  </r>
  <r>
    <s v="Biolage"/>
    <x v="9"/>
    <s v="Search"/>
    <s v="Amazon"/>
    <s v="Amazon"/>
    <d v="2025-05-10T00:00:00"/>
    <d v="2025-01-01T00:00:00"/>
    <n v="8137.5899999999965"/>
    <n v="2037439"/>
    <s v="TTM"/>
    <x v="4"/>
  </r>
  <r>
    <s v="Biolage"/>
    <x v="9"/>
    <s v="Search"/>
    <s v="Amazon"/>
    <s v="Amazon"/>
    <d v="2025-05-17T00:00:00"/>
    <d v="2025-01-01T00:00:00"/>
    <n v="7662.8600000000015"/>
    <n v="1994089"/>
    <s v="TTM"/>
    <x v="4"/>
  </r>
  <r>
    <s v="Biolage"/>
    <x v="9"/>
    <s v="Search"/>
    <s v="Amazon"/>
    <s v="Amazon"/>
    <d v="2025-05-24T00:00:00"/>
    <d v="2025-01-01T00:00:00"/>
    <n v="7587.0799999999981"/>
    <n v="2132222"/>
    <s v="TTM"/>
    <x v="4"/>
  </r>
  <r>
    <s v="Biolage"/>
    <x v="9"/>
    <s v="Search"/>
    <s v="Amazon"/>
    <s v="Amazon"/>
    <d v="2025-05-31T00:00:00"/>
    <d v="2025-01-01T00:00:00"/>
    <n v="6687.4899999999971"/>
    <n v="1775091"/>
    <s v="TTM"/>
    <x v="4"/>
  </r>
  <r>
    <s v="Biolage"/>
    <x v="9"/>
    <s v="Search"/>
    <s v="Amazon"/>
    <s v="Amazon"/>
    <d v="2025-06-07T00:00:00"/>
    <d v="2025-01-01T00:00:00"/>
    <n v="12943.740000000005"/>
    <n v="1867668"/>
    <s v="TTM"/>
    <x v="4"/>
  </r>
  <r>
    <s v="Biolage"/>
    <x v="9"/>
    <s v="Search"/>
    <s v="Amazon"/>
    <s v="Amazon"/>
    <d v="2025-06-14T00:00:00"/>
    <d v="2025-01-01T00:00:00"/>
    <n v="12279.090000000002"/>
    <n v="1457182"/>
    <s v="TTM"/>
    <x v="4"/>
  </r>
  <r>
    <s v="Biolage"/>
    <x v="9"/>
    <s v="Search"/>
    <s v="Amazon"/>
    <s v="Amazon"/>
    <d v="2025-06-21T00:00:00"/>
    <d v="2025-01-01T00:00:00"/>
    <n v="10397.57"/>
    <n v="1087899"/>
    <s v="TTM"/>
    <x v="4"/>
  </r>
  <r>
    <s v="Biolage"/>
    <x v="9"/>
    <s v="Search"/>
    <s v="Amazon"/>
    <s v="Amazon"/>
    <d v="2025-06-28T00:00:00"/>
    <d v="2025-01-01T00:00:00"/>
    <n v="6088.409999999998"/>
    <n v="623050"/>
    <s v="TTM"/>
    <x v="4"/>
  </r>
  <r>
    <s v="Biolage"/>
    <x v="7"/>
    <s v="Display"/>
    <s v="Amazon"/>
    <s v="Amazon"/>
    <d v="2024-04-06T00:00:00"/>
    <d v="2024-01-01T00:00:00"/>
    <n v="2502.9568000000004"/>
    <n v="685982"/>
    <s v="LY"/>
    <x v="3"/>
  </r>
  <r>
    <s v="Biolage"/>
    <x v="7"/>
    <s v="Display"/>
    <s v="Amazon"/>
    <s v="Amazon"/>
    <d v="2024-04-13T00:00:00"/>
    <d v="2024-01-01T00:00:00"/>
    <n v="3915.5297999999993"/>
    <n v="1064546"/>
    <s v="LY"/>
    <x v="3"/>
  </r>
  <r>
    <s v="Biolage"/>
    <x v="7"/>
    <s v="Display"/>
    <s v="Amazon"/>
    <s v="Amazon"/>
    <d v="2024-04-20T00:00:00"/>
    <d v="2024-01-01T00:00:00"/>
    <n v="3423.4799999999991"/>
    <n v="1003431"/>
    <s v="LY"/>
    <x v="3"/>
  </r>
  <r>
    <s v="Biolage"/>
    <x v="7"/>
    <s v="Display"/>
    <s v="Amazon"/>
    <s v="Amazon"/>
    <d v="2024-04-27T00:00:00"/>
    <d v="2024-01-01T00:00:00"/>
    <n v="3318.5928000000013"/>
    <n v="831262"/>
    <s v="LY"/>
    <x v="3"/>
  </r>
  <r>
    <s v="Biolage"/>
    <x v="7"/>
    <s v="Display"/>
    <s v="Amazon"/>
    <s v="Amazon"/>
    <d v="2024-05-04T00:00:00"/>
    <d v="2024-01-01T00:00:00"/>
    <n v="4378.7928999999995"/>
    <n v="1371739"/>
    <s v="LY"/>
    <x v="3"/>
  </r>
  <r>
    <s v="Biolage"/>
    <x v="7"/>
    <s v="Display"/>
    <s v="Amazon"/>
    <s v="Amazon"/>
    <d v="2024-05-11T00:00:00"/>
    <d v="2024-01-01T00:00:00"/>
    <n v="5121.5629999999974"/>
    <n v="1598545"/>
    <s v="LY"/>
    <x v="3"/>
  </r>
  <r>
    <s v="Biolage"/>
    <x v="7"/>
    <s v="Display"/>
    <s v="Amazon"/>
    <s v="Amazon"/>
    <d v="2024-05-18T00:00:00"/>
    <d v="2024-01-01T00:00:00"/>
    <n v="4257.7149000000009"/>
    <n v="1006942"/>
    <s v="LY"/>
    <x v="3"/>
  </r>
  <r>
    <s v="Biolage"/>
    <x v="7"/>
    <s v="Display"/>
    <s v="Amazon"/>
    <s v="Amazon"/>
    <d v="2024-05-25T00:00:00"/>
    <d v="2024-01-01T00:00:00"/>
    <n v="3548.3088000000002"/>
    <n v="1152268"/>
    <s v="LY"/>
    <x v="3"/>
  </r>
  <r>
    <s v="Biolage"/>
    <x v="7"/>
    <s v="Display"/>
    <s v="Amazon"/>
    <s v="Amazon"/>
    <d v="2024-06-01T00:00:00"/>
    <d v="2024-01-01T00:00:00"/>
    <n v="4475.6559000000016"/>
    <n v="1602845"/>
    <s v="LY"/>
    <x v="3"/>
  </r>
  <r>
    <s v="Biolage"/>
    <x v="7"/>
    <s v="Display"/>
    <s v="Amazon"/>
    <s v="Amazon"/>
    <d v="2024-06-08T00:00:00"/>
    <d v="2024-01-01T00:00:00"/>
    <n v="3512.6432999999997"/>
    <n v="1314883"/>
    <s v="LY"/>
    <x v="3"/>
  </r>
  <r>
    <s v="Biolage"/>
    <x v="7"/>
    <s v="Display"/>
    <s v="Amazon"/>
    <s v="Amazon"/>
    <d v="2024-06-15T00:00:00"/>
    <d v="2024-01-01T00:00:00"/>
    <n v="3298.7966000000001"/>
    <n v="1170804"/>
    <s v="LY"/>
    <x v="3"/>
  </r>
  <r>
    <s v="Biolage"/>
    <x v="7"/>
    <s v="Display"/>
    <s v="Amazon"/>
    <s v="Amazon"/>
    <d v="2024-06-22T00:00:00"/>
    <d v="2024-01-01T00:00:00"/>
    <n v="3829.0717000000009"/>
    <n v="1238798"/>
    <s v="LY"/>
    <x v="3"/>
  </r>
  <r>
    <s v="Biolage"/>
    <x v="7"/>
    <s v="Display"/>
    <s v="Amazon"/>
    <s v="Amazon"/>
    <d v="2024-06-29T00:00:00"/>
    <d v="2024-01-01T00:00:00"/>
    <n v="4193.6985000000004"/>
    <n v="1258506"/>
    <s v="LY"/>
    <x v="3"/>
  </r>
  <r>
    <s v="Biolage"/>
    <x v="7"/>
    <s v="Display"/>
    <s v="Amazon"/>
    <s v="Amazon"/>
    <d v="2024-07-06T00:00:00"/>
    <d v="2024-01-01T00:00:00"/>
    <n v="3390.5334999999991"/>
    <n v="1091897"/>
    <s v="LY"/>
    <x v="3"/>
  </r>
  <r>
    <s v="Biolage"/>
    <x v="7"/>
    <s v="Display"/>
    <s v="Amazon"/>
    <s v="Amazon"/>
    <d v="2024-07-13T00:00:00"/>
    <d v="2024-01-01T00:00:00"/>
    <n v="3508.3649"/>
    <n v="1100044"/>
    <s v="TTM"/>
    <x v="3"/>
  </r>
  <r>
    <s v="Biolage"/>
    <x v="7"/>
    <s v="Display"/>
    <s v="Amazon"/>
    <s v="Amazon"/>
    <d v="2024-07-20T00:00:00"/>
    <d v="2024-01-01T00:00:00"/>
    <n v="2499.0062000000003"/>
    <n v="741311"/>
    <s v="TTM"/>
    <x v="3"/>
  </r>
  <r>
    <s v="Biolage"/>
    <x v="7"/>
    <s v="Display"/>
    <s v="Amazon"/>
    <s v="Amazon"/>
    <d v="2024-07-27T00:00:00"/>
    <d v="2024-01-01T00:00:00"/>
    <n v="4269.8576000000003"/>
    <n v="1120944"/>
    <s v="TTM"/>
    <x v="3"/>
  </r>
  <r>
    <s v="Biolage"/>
    <x v="7"/>
    <s v="Display"/>
    <s v="Amazon"/>
    <s v="Amazon"/>
    <d v="2024-08-03T00:00:00"/>
    <d v="2024-01-01T00:00:00"/>
    <n v="3838.9439999999995"/>
    <n v="939534"/>
    <s v="TTM"/>
    <x v="3"/>
  </r>
  <r>
    <s v="Biolage"/>
    <x v="7"/>
    <s v="Display"/>
    <s v="Amazon"/>
    <s v="Amazon"/>
    <d v="2024-08-10T00:00:00"/>
    <d v="2024-01-01T00:00:00"/>
    <n v="3406.9060999999992"/>
    <n v="818180"/>
    <s v="TTM"/>
    <x v="3"/>
  </r>
  <r>
    <s v="Biolage"/>
    <x v="7"/>
    <s v="Display"/>
    <s v="Amazon"/>
    <s v="Amazon"/>
    <d v="2024-08-17T00:00:00"/>
    <d v="2024-01-01T00:00:00"/>
    <n v="3695.0268999999985"/>
    <n v="961822"/>
    <s v="TTM"/>
    <x v="3"/>
  </r>
  <r>
    <s v="Biolage"/>
    <x v="7"/>
    <s v="Display"/>
    <s v="Amazon"/>
    <s v="Amazon"/>
    <d v="2024-08-24T00:00:00"/>
    <d v="2024-01-01T00:00:00"/>
    <n v="3621.1738999999989"/>
    <n v="1644643"/>
    <s v="TTM"/>
    <x v="3"/>
  </r>
  <r>
    <s v="Biolage"/>
    <x v="7"/>
    <s v="Display"/>
    <s v="Amazon"/>
    <s v="Amazon"/>
    <d v="2024-08-31T00:00:00"/>
    <d v="2024-01-01T00:00:00"/>
    <n v="3450.5375999999983"/>
    <n v="1446050"/>
    <s v="TTM"/>
    <x v="3"/>
  </r>
  <r>
    <s v="Biolage"/>
    <x v="7"/>
    <s v="Display"/>
    <s v="Amazon"/>
    <s v="Amazon"/>
    <d v="2024-09-07T00:00:00"/>
    <d v="2024-01-01T00:00:00"/>
    <n v="3667.9390000000008"/>
    <n v="1140795"/>
    <s v="TTM"/>
    <x v="3"/>
  </r>
  <r>
    <s v="Biolage"/>
    <x v="7"/>
    <s v="Display"/>
    <s v="Amazon"/>
    <s v="Amazon"/>
    <d v="2024-09-14T00:00:00"/>
    <d v="2024-01-01T00:00:00"/>
    <n v="3018.0008000000003"/>
    <n v="1072510"/>
    <s v="TTM"/>
    <x v="3"/>
  </r>
  <r>
    <s v="Biolage"/>
    <x v="7"/>
    <s v="Display"/>
    <s v="Amazon"/>
    <s v="Amazon"/>
    <d v="2024-09-21T00:00:00"/>
    <d v="2024-01-01T00:00:00"/>
    <n v="3157.5508000000009"/>
    <n v="858830"/>
    <s v="TTM"/>
    <x v="3"/>
  </r>
  <r>
    <s v="Biolage"/>
    <x v="7"/>
    <s v="Display"/>
    <s v="Amazon"/>
    <s v="Amazon"/>
    <d v="2024-09-28T00:00:00"/>
    <d v="2024-01-01T00:00:00"/>
    <n v="3784.5102999999995"/>
    <n v="937069"/>
    <s v="TTM"/>
    <x v="3"/>
  </r>
  <r>
    <s v="Biolage"/>
    <x v="7"/>
    <s v="Display"/>
    <s v="Amazon"/>
    <s v="Amazon"/>
    <d v="2024-10-05T00:00:00"/>
    <d v="2024-01-01T00:00:00"/>
    <n v="4553.0021999999999"/>
    <n v="1104548"/>
    <s v="TTM"/>
    <x v="3"/>
  </r>
  <r>
    <s v="Biolage"/>
    <x v="7"/>
    <s v="Display"/>
    <s v="Amazon"/>
    <s v="Amazon"/>
    <d v="2024-10-12T00:00:00"/>
    <d v="2024-01-01T00:00:00"/>
    <n v="4905.4888000000019"/>
    <n v="1063801"/>
    <s v="TTM"/>
    <x v="3"/>
  </r>
  <r>
    <s v="Biolage"/>
    <x v="7"/>
    <s v="Display"/>
    <s v="Amazon"/>
    <s v="Amazon"/>
    <d v="2024-10-19T00:00:00"/>
    <d v="2024-01-01T00:00:00"/>
    <n v="5335.3124000000043"/>
    <n v="1299186"/>
    <s v="TTM"/>
    <x v="3"/>
  </r>
  <r>
    <s v="Biolage"/>
    <x v="7"/>
    <s v="Display"/>
    <s v="Amazon"/>
    <s v="Amazon"/>
    <d v="2024-10-26T00:00:00"/>
    <d v="2024-01-01T00:00:00"/>
    <n v="4363.1986000000015"/>
    <n v="878832"/>
    <s v="TTM"/>
    <x v="3"/>
  </r>
  <r>
    <s v="Biolage"/>
    <x v="7"/>
    <s v="Display"/>
    <s v="Amazon"/>
    <s v="Amazon"/>
    <d v="2024-11-02T00:00:00"/>
    <d v="2024-01-01T00:00:00"/>
    <n v="3558.5428000000011"/>
    <n v="828885"/>
    <s v="TTM"/>
    <x v="3"/>
  </r>
  <r>
    <s v="Biolage"/>
    <x v="7"/>
    <s v="Display"/>
    <s v="Amazon"/>
    <s v="Amazon"/>
    <d v="2024-11-09T00:00:00"/>
    <d v="2024-01-01T00:00:00"/>
    <n v="3767.9559000000004"/>
    <n v="1029107"/>
    <s v="TTM"/>
    <x v="3"/>
  </r>
  <r>
    <s v="Biolage"/>
    <x v="7"/>
    <s v="Display"/>
    <s v="Amazon"/>
    <s v="Amazon"/>
    <d v="2024-11-16T00:00:00"/>
    <d v="2024-01-01T00:00:00"/>
    <n v="3365.7590999999989"/>
    <n v="1034909"/>
    <s v="TTM"/>
    <x v="3"/>
  </r>
  <r>
    <s v="Biolage"/>
    <x v="7"/>
    <s v="Display"/>
    <s v="Amazon"/>
    <s v="Amazon"/>
    <d v="2024-11-23T00:00:00"/>
    <d v="2024-01-01T00:00:00"/>
    <n v="4868.1485000000011"/>
    <n v="977663"/>
    <s v="TTM"/>
    <x v="3"/>
  </r>
  <r>
    <s v="Biolage"/>
    <x v="7"/>
    <s v="Display"/>
    <s v="Amazon"/>
    <s v="Amazon"/>
    <d v="2024-11-30T00:00:00"/>
    <d v="2024-01-01T00:00:00"/>
    <n v="4792.5894000000008"/>
    <n v="780701"/>
    <s v="TTM"/>
    <x v="3"/>
  </r>
  <r>
    <s v="Biolage"/>
    <x v="7"/>
    <s v="Display"/>
    <s v="Amazon"/>
    <s v="Amazon"/>
    <d v="2024-12-07T00:00:00"/>
    <d v="2024-01-01T00:00:00"/>
    <n v="5170.7367000000013"/>
    <n v="1539811"/>
    <s v="TTM"/>
    <x v="3"/>
  </r>
  <r>
    <s v="Biolage"/>
    <x v="7"/>
    <s v="Display"/>
    <s v="Amazon"/>
    <s v="Amazon"/>
    <d v="2024-12-14T00:00:00"/>
    <d v="2024-01-01T00:00:00"/>
    <n v="5542.3283999999985"/>
    <n v="2331114"/>
    <s v="TTM"/>
    <x v="3"/>
  </r>
  <r>
    <s v="Biolage"/>
    <x v="7"/>
    <s v="Display"/>
    <s v="Amazon"/>
    <s v="Amazon"/>
    <d v="2024-12-21T00:00:00"/>
    <d v="2024-01-01T00:00:00"/>
    <n v="5530.4045999999998"/>
    <n v="2347985"/>
    <s v="TTM"/>
    <x v="3"/>
  </r>
  <r>
    <s v="Biolage"/>
    <x v="7"/>
    <s v="Display"/>
    <s v="Amazon"/>
    <s v="Amazon"/>
    <d v="2024-12-28T00:00:00"/>
    <d v="2024-01-01T00:00:00"/>
    <n v="5686.5534000000025"/>
    <n v="2327755"/>
    <s v="TTM"/>
    <x v="3"/>
  </r>
  <r>
    <s v="Biolage"/>
    <x v="7"/>
    <s v="Display"/>
    <s v="Amazon"/>
    <s v="Amazon"/>
    <d v="2025-01-04T00:00:00"/>
    <d v="2024-01-01T00:00:00"/>
    <n v="2009.1769999999999"/>
    <n v="652767"/>
    <s v="TTM"/>
    <x v="3"/>
  </r>
  <r>
    <s v="Biolage"/>
    <x v="7"/>
    <s v="Display"/>
    <s v="Amazon"/>
    <s v="Amazon"/>
    <d v="2025-01-04T00:00:00"/>
    <d v="2025-01-01T00:00:00"/>
    <n v="3347.6236999999996"/>
    <n v="1259206"/>
    <s v="TTM"/>
    <x v="3"/>
  </r>
  <r>
    <s v="Biolage"/>
    <x v="7"/>
    <s v="Display"/>
    <s v="Amazon"/>
    <s v="Amazon"/>
    <d v="2025-01-11T00:00:00"/>
    <d v="2025-01-01T00:00:00"/>
    <n v="5952.5456999999988"/>
    <n v="2909633"/>
    <s v="TTM"/>
    <x v="3"/>
  </r>
  <r>
    <s v="Biolage"/>
    <x v="7"/>
    <s v="Display"/>
    <s v="Amazon"/>
    <s v="Amazon"/>
    <d v="2025-01-18T00:00:00"/>
    <d v="2025-01-01T00:00:00"/>
    <n v="5895.195200000001"/>
    <n v="2523138"/>
    <s v="TTM"/>
    <x v="3"/>
  </r>
  <r>
    <s v="Biolage"/>
    <x v="7"/>
    <s v="Display"/>
    <s v="Amazon"/>
    <s v="Amazon"/>
    <d v="2025-01-25T00:00:00"/>
    <d v="2025-01-01T00:00:00"/>
    <n v="6050.2441999999974"/>
    <n v="2517272"/>
    <s v="TTM"/>
    <x v="3"/>
  </r>
  <r>
    <s v="Biolage"/>
    <x v="7"/>
    <s v="Display"/>
    <s v="Amazon"/>
    <s v="Amazon"/>
    <d v="2025-02-01T00:00:00"/>
    <d v="2025-01-01T00:00:00"/>
    <n v="5448.7428"/>
    <n v="2284187"/>
    <s v="TTM"/>
    <x v="3"/>
  </r>
  <r>
    <s v="Biolage"/>
    <x v="7"/>
    <s v="Display"/>
    <s v="Amazon"/>
    <s v="Amazon"/>
    <d v="2025-02-08T00:00:00"/>
    <d v="2025-01-01T00:00:00"/>
    <n v="7088.3945000000012"/>
    <n v="2878351"/>
    <s v="TTM"/>
    <x v="3"/>
  </r>
  <r>
    <s v="Biolage"/>
    <x v="7"/>
    <s v="Display"/>
    <s v="Amazon"/>
    <s v="Amazon"/>
    <d v="2025-02-15T00:00:00"/>
    <d v="2025-01-01T00:00:00"/>
    <n v="7235.3378000000002"/>
    <n v="2779387"/>
    <s v="TTM"/>
    <x v="3"/>
  </r>
  <r>
    <s v="Biolage"/>
    <x v="7"/>
    <s v="Display"/>
    <s v="Amazon"/>
    <s v="Amazon"/>
    <d v="2025-02-22T00:00:00"/>
    <d v="2025-01-01T00:00:00"/>
    <n v="6757.6293999999998"/>
    <n v="2736418"/>
    <s v="TTM"/>
    <x v="3"/>
  </r>
  <r>
    <s v="Biolage"/>
    <x v="7"/>
    <s v="Display"/>
    <s v="Amazon"/>
    <s v="Amazon"/>
    <d v="2025-03-01T00:00:00"/>
    <d v="2025-01-01T00:00:00"/>
    <n v="6705.1400000000012"/>
    <n v="2627144"/>
    <s v="TTM"/>
    <x v="3"/>
  </r>
  <r>
    <s v="Biolage"/>
    <x v="7"/>
    <s v="Display"/>
    <s v="Amazon"/>
    <s v="Amazon"/>
    <d v="2025-03-08T00:00:00"/>
    <d v="2025-01-01T00:00:00"/>
    <n v="6131.3653999999988"/>
    <n v="3012539"/>
    <s v="TTM"/>
    <x v="3"/>
  </r>
  <r>
    <s v="Biolage"/>
    <x v="7"/>
    <s v="Display"/>
    <s v="Amazon"/>
    <s v="Amazon"/>
    <d v="2025-03-15T00:00:00"/>
    <d v="2025-01-01T00:00:00"/>
    <n v="6477.2156999999988"/>
    <n v="2651959"/>
    <s v="TTM"/>
    <x v="3"/>
  </r>
  <r>
    <s v="Biolage"/>
    <x v="7"/>
    <s v="Display"/>
    <s v="Amazon"/>
    <s v="Amazon"/>
    <d v="2025-03-22T00:00:00"/>
    <d v="2025-01-01T00:00:00"/>
    <n v="6327.8667999999989"/>
    <n v="2321712"/>
    <s v="TTM"/>
    <x v="3"/>
  </r>
  <r>
    <s v="Biolage"/>
    <x v="7"/>
    <s v="Display"/>
    <s v="Amazon"/>
    <s v="Amazon"/>
    <d v="2025-03-29T00:00:00"/>
    <d v="2025-01-01T00:00:00"/>
    <n v="6269.0170000000007"/>
    <n v="2232030"/>
    <s v="TTM"/>
    <x v="3"/>
  </r>
  <r>
    <s v="Biolage"/>
    <x v="7"/>
    <s v="Display"/>
    <s v="Amazon"/>
    <s v="Amazon"/>
    <d v="2025-04-05T00:00:00"/>
    <d v="2025-01-01T00:00:00"/>
    <n v="5841.7979999999989"/>
    <n v="1995757"/>
    <s v="TTM"/>
    <x v="3"/>
  </r>
  <r>
    <s v="Biolage"/>
    <x v="7"/>
    <s v="Display"/>
    <s v="Amazon"/>
    <s v="Amazon"/>
    <d v="2025-04-12T00:00:00"/>
    <d v="2025-01-01T00:00:00"/>
    <n v="6214.7729000000018"/>
    <n v="1984605"/>
    <s v="TTM"/>
    <x v="3"/>
  </r>
  <r>
    <s v="Biolage"/>
    <x v="7"/>
    <s v="Display"/>
    <s v="Amazon"/>
    <s v="Amazon"/>
    <d v="2025-04-19T00:00:00"/>
    <d v="2025-01-01T00:00:00"/>
    <n v="6216.9302000000007"/>
    <n v="2042814"/>
    <s v="TTM"/>
    <x v="3"/>
  </r>
  <r>
    <s v="Biolage"/>
    <x v="7"/>
    <s v="Display"/>
    <s v="Amazon"/>
    <s v="Amazon"/>
    <d v="2025-04-26T00:00:00"/>
    <d v="2025-01-01T00:00:00"/>
    <n v="6159.4135000000006"/>
    <n v="1991466"/>
    <s v="TTM"/>
    <x v="3"/>
  </r>
  <r>
    <s v="Biolage"/>
    <x v="7"/>
    <s v="Display"/>
    <s v="Amazon"/>
    <s v="Amazon"/>
    <d v="2025-05-03T00:00:00"/>
    <d v="2025-01-01T00:00:00"/>
    <n v="5433.8285999999998"/>
    <n v="1600027"/>
    <s v="TTM"/>
    <x v="3"/>
  </r>
  <r>
    <s v="Biolage"/>
    <x v="7"/>
    <s v="Display"/>
    <s v="Amazon"/>
    <s v="Amazon"/>
    <d v="2025-05-10T00:00:00"/>
    <d v="2025-01-01T00:00:00"/>
    <n v="5672.4155000000028"/>
    <n v="1651281"/>
    <s v="TTM"/>
    <x v="3"/>
  </r>
  <r>
    <s v="Biolage"/>
    <x v="7"/>
    <s v="Display"/>
    <s v="Amazon"/>
    <s v="Amazon"/>
    <d v="2025-05-17T00:00:00"/>
    <d v="2025-01-01T00:00:00"/>
    <n v="5726.5898000000016"/>
    <n v="1699015"/>
    <s v="TTM"/>
    <x v="3"/>
  </r>
  <r>
    <s v="Biolage"/>
    <x v="7"/>
    <s v="Display"/>
    <s v="Amazon"/>
    <s v="Amazon"/>
    <d v="2025-05-24T00:00:00"/>
    <d v="2025-01-01T00:00:00"/>
    <n v="5762.631800000001"/>
    <n v="1955709"/>
    <s v="TTM"/>
    <x v="3"/>
  </r>
  <r>
    <s v="Biolage"/>
    <x v="7"/>
    <s v="Display"/>
    <s v="Amazon"/>
    <s v="Amazon"/>
    <d v="2025-05-31T00:00:00"/>
    <d v="2025-01-01T00:00:00"/>
    <n v="5237.7758000000003"/>
    <n v="2042748"/>
    <s v="TTM"/>
    <x v="3"/>
  </r>
  <r>
    <s v="Biolage"/>
    <x v="7"/>
    <s v="Display"/>
    <s v="Amazon"/>
    <s v="Amazon"/>
    <d v="2025-06-07T00:00:00"/>
    <d v="2025-01-01T00:00:00"/>
    <n v="7503.4612999999972"/>
    <n v="3165898"/>
    <s v="TTM"/>
    <x v="3"/>
  </r>
  <r>
    <s v="Biolage"/>
    <x v="7"/>
    <s v="Display"/>
    <s v="Amazon"/>
    <s v="Amazon"/>
    <d v="2025-06-14T00:00:00"/>
    <d v="2025-01-01T00:00:00"/>
    <n v="8188.6156000000019"/>
    <n v="3162570"/>
    <s v="TTM"/>
    <x v="3"/>
  </r>
  <r>
    <s v="Biolage"/>
    <x v="7"/>
    <s v="Display"/>
    <s v="Amazon"/>
    <s v="Amazon"/>
    <d v="2025-06-21T00:00:00"/>
    <d v="2025-01-01T00:00:00"/>
    <n v="8045.3532999999989"/>
    <n v="3034864"/>
    <s v="TTM"/>
    <x v="3"/>
  </r>
  <r>
    <s v="Biolage"/>
    <x v="7"/>
    <s v="Display"/>
    <s v="Amazon"/>
    <s v="Amazon"/>
    <d v="2025-06-28T00:00:00"/>
    <d v="2025-01-01T00:00:00"/>
    <n v="6786.2874999999985"/>
    <n v="2609058"/>
    <s v="TTM"/>
    <x v="3"/>
  </r>
  <r>
    <s v="Biolage"/>
    <x v="7"/>
    <s v="OTT"/>
    <s v="Amazon"/>
    <s v="Amazon"/>
    <d v="2024-06-15T00:00:00"/>
    <d v="2024-01-01T00:00:00"/>
    <n v="1145.9955"/>
    <n v="134823"/>
    <s v="LY"/>
    <x v="5"/>
  </r>
  <r>
    <s v="Biolage"/>
    <x v="7"/>
    <s v="OTT"/>
    <s v="Amazon"/>
    <s v="Amazon"/>
    <d v="2024-06-22T00:00:00"/>
    <d v="2024-01-01T00:00:00"/>
    <n v="9252.5305000000008"/>
    <n v="1088533"/>
    <s v="LY"/>
    <x v="5"/>
  </r>
  <r>
    <s v="Biolage"/>
    <x v="7"/>
    <s v="OTT"/>
    <s v="Amazon"/>
    <s v="Amazon"/>
    <d v="2024-06-29T00:00:00"/>
    <d v="2024-01-01T00:00:00"/>
    <n v="9142.0049999999992"/>
    <n v="1075530"/>
    <s v="LY"/>
    <x v="5"/>
  </r>
  <r>
    <s v="Biolage"/>
    <x v="7"/>
    <s v="OTT"/>
    <s v="Amazon"/>
    <s v="Amazon"/>
    <d v="2024-07-06T00:00:00"/>
    <d v="2024-01-01T00:00:00"/>
    <n v="9097.1504999999997"/>
    <n v="1070253"/>
    <s v="LY"/>
    <x v="5"/>
  </r>
  <r>
    <s v="Biolage"/>
    <x v="7"/>
    <s v="OTT"/>
    <s v="Amazon"/>
    <s v="Amazon"/>
    <d v="2024-07-13T00:00:00"/>
    <d v="2024-01-01T00:00:00"/>
    <n v="8831.6785"/>
    <n v="1039021"/>
    <s v="TTM"/>
    <x v="5"/>
  </r>
  <r>
    <s v="Biolage"/>
    <x v="7"/>
    <s v="OTT"/>
    <s v="Amazon"/>
    <s v="Amazon"/>
    <d v="2024-07-20T00:00:00"/>
    <d v="2024-01-01T00:00:00"/>
    <n v="8527.2424999999985"/>
    <n v="1003205"/>
    <s v="TTM"/>
    <x v="5"/>
  </r>
  <r>
    <s v="Biolage"/>
    <x v="7"/>
    <s v="OTT"/>
    <s v="Amazon"/>
    <s v="Amazon"/>
    <d v="2024-07-27T00:00:00"/>
    <d v="2024-01-01T00:00:00"/>
    <n v="7994.8110000000006"/>
    <n v="940566"/>
    <s v="TTM"/>
    <x v="5"/>
  </r>
  <r>
    <s v="Biolage"/>
    <x v="7"/>
    <s v="OTT"/>
    <s v="Amazon"/>
    <s v="Amazon"/>
    <d v="2024-08-03T00:00:00"/>
    <d v="2024-01-01T00:00:00"/>
    <n v="4125.3389999999999"/>
    <n v="485334"/>
    <s v="TTM"/>
    <x v="5"/>
  </r>
  <r>
    <s v="Biolage"/>
    <x v="7"/>
    <s v="Search"/>
    <s v="Amazon"/>
    <s v="Amazon"/>
    <d v="2023-07-01T00:00:00"/>
    <d v="2023-01-01T00:00:00"/>
    <n v="269.72000000000003"/>
    <n v="41339"/>
    <s v="PY"/>
    <x v="4"/>
  </r>
  <r>
    <s v="Biolage"/>
    <x v="7"/>
    <s v="Search"/>
    <s v="Amazon"/>
    <s v="Amazon"/>
    <d v="2023-07-08T00:00:00"/>
    <d v="2023-01-01T00:00:00"/>
    <n v="1622.5500000000002"/>
    <n v="437318"/>
    <s v="PY"/>
    <x v="4"/>
  </r>
  <r>
    <s v="Biolage"/>
    <x v="7"/>
    <s v="Search"/>
    <s v="Amazon"/>
    <s v="Amazon"/>
    <d v="2023-07-15T00:00:00"/>
    <d v="2023-01-01T00:00:00"/>
    <n v="3261.69"/>
    <n v="329693"/>
    <s v="LY"/>
    <x v="4"/>
  </r>
  <r>
    <s v="Biolage"/>
    <x v="7"/>
    <s v="Search"/>
    <s v="Amazon"/>
    <s v="Amazon"/>
    <d v="2023-09-30T00:00:00"/>
    <d v="2023-01-01T00:00:00"/>
    <n v="829.62"/>
    <n v="129636"/>
    <s v="LY"/>
    <x v="4"/>
  </r>
  <r>
    <s v="Biolage"/>
    <x v="7"/>
    <s v="Search"/>
    <s v="Amazon"/>
    <s v="Amazon"/>
    <d v="2023-10-07T00:00:00"/>
    <d v="2023-01-01T00:00:00"/>
    <n v="1675.3"/>
    <n v="292335"/>
    <s v="LY"/>
    <x v="4"/>
  </r>
  <r>
    <s v="Biolage"/>
    <x v="7"/>
    <s v="Search"/>
    <s v="Amazon"/>
    <s v="Amazon"/>
    <d v="2023-10-14T00:00:00"/>
    <d v="2023-01-01T00:00:00"/>
    <n v="1787.6399999999996"/>
    <n v="347874"/>
    <s v="LY"/>
    <x v="4"/>
  </r>
  <r>
    <s v="Biolage"/>
    <x v="7"/>
    <s v="Search"/>
    <s v="Amazon"/>
    <s v="Amazon"/>
    <d v="2023-10-21T00:00:00"/>
    <d v="2023-01-01T00:00:00"/>
    <n v="1174.5999999999997"/>
    <n v="177033"/>
    <s v="LY"/>
    <x v="4"/>
  </r>
  <r>
    <s v="Biolage"/>
    <x v="7"/>
    <s v="Search"/>
    <s v="Amazon"/>
    <s v="Amazon"/>
    <d v="2023-10-28T00:00:00"/>
    <d v="2023-01-01T00:00:00"/>
    <n v="1057.8399999999999"/>
    <n v="189556"/>
    <s v="LY"/>
    <x v="4"/>
  </r>
  <r>
    <s v="Biolage"/>
    <x v="7"/>
    <s v="Search"/>
    <s v="Amazon"/>
    <s v="Amazon"/>
    <d v="2023-11-04T00:00:00"/>
    <d v="2023-01-01T00:00:00"/>
    <n v="1358.0600000000004"/>
    <n v="252797"/>
    <s v="LY"/>
    <x v="4"/>
  </r>
  <r>
    <s v="Biolage"/>
    <x v="7"/>
    <s v="Search"/>
    <s v="Amazon"/>
    <s v="Amazon"/>
    <d v="2023-11-11T00:00:00"/>
    <d v="2023-01-01T00:00:00"/>
    <n v="2021.11"/>
    <n v="423271"/>
    <s v="LY"/>
    <x v="4"/>
  </r>
  <r>
    <s v="Biolage"/>
    <x v="7"/>
    <s v="Search"/>
    <s v="Amazon"/>
    <s v="Amazon"/>
    <d v="2023-11-18T00:00:00"/>
    <d v="2023-01-01T00:00:00"/>
    <n v="1929.7500000000005"/>
    <n v="333865"/>
    <s v="LY"/>
    <x v="4"/>
  </r>
  <r>
    <s v="Biolage"/>
    <x v="7"/>
    <s v="Search"/>
    <s v="Amazon"/>
    <s v="Amazon"/>
    <d v="2023-11-25T00:00:00"/>
    <d v="2023-01-01T00:00:00"/>
    <n v="2718.3199999999993"/>
    <n v="393806"/>
    <s v="LY"/>
    <x v="4"/>
  </r>
  <r>
    <s v="Biolage"/>
    <x v="7"/>
    <s v="Search"/>
    <s v="Amazon"/>
    <s v="Amazon"/>
    <d v="2023-12-02T00:00:00"/>
    <d v="2023-01-01T00:00:00"/>
    <n v="6997.6299999999992"/>
    <n v="525114"/>
    <s v="LY"/>
    <x v="4"/>
  </r>
  <r>
    <s v="Biolage"/>
    <x v="7"/>
    <s v="Search"/>
    <s v="Amazon"/>
    <s v="Amazon"/>
    <d v="2023-12-09T00:00:00"/>
    <d v="2023-01-01T00:00:00"/>
    <n v="4816.2599999999984"/>
    <n v="537528"/>
    <s v="LY"/>
    <x v="4"/>
  </r>
  <r>
    <s v="Biolage"/>
    <x v="7"/>
    <s v="Search"/>
    <s v="Amazon"/>
    <s v="Amazon"/>
    <d v="2023-12-16T00:00:00"/>
    <d v="2023-01-01T00:00:00"/>
    <n v="2556.5"/>
    <n v="255153"/>
    <s v="LY"/>
    <x v="4"/>
  </r>
  <r>
    <s v="Biolage"/>
    <x v="7"/>
    <s v="Search"/>
    <s v="Amazon"/>
    <s v="Amazon"/>
    <d v="2023-12-23T00:00:00"/>
    <d v="2023-01-01T00:00:00"/>
    <n v="1922.0600000000006"/>
    <n v="256165"/>
    <s v="LY"/>
    <x v="4"/>
  </r>
  <r>
    <s v="Biolage"/>
    <x v="7"/>
    <s v="Search"/>
    <s v="Amazon"/>
    <s v="Amazon"/>
    <d v="2023-12-30T00:00:00"/>
    <d v="2023-01-01T00:00:00"/>
    <n v="2220.9299999999994"/>
    <n v="304091"/>
    <s v="LY"/>
    <x v="4"/>
  </r>
  <r>
    <s v="Biolage"/>
    <x v="7"/>
    <s v="Search"/>
    <s v="Amazon"/>
    <s v="Amazon"/>
    <d v="2024-01-06T00:00:00"/>
    <d v="2024-01-01T00:00:00"/>
    <n v="1665.0299999999988"/>
    <n v="263630"/>
    <s v="LY"/>
    <x v="4"/>
  </r>
  <r>
    <s v="Biolage"/>
    <x v="7"/>
    <s v="Search"/>
    <s v="Amazon"/>
    <s v="Amazon"/>
    <d v="2024-01-13T00:00:00"/>
    <d v="2024-01-01T00:00:00"/>
    <n v="2360.3199999999997"/>
    <n v="318039"/>
    <s v="LY"/>
    <x v="4"/>
  </r>
  <r>
    <s v="Biolage"/>
    <x v="7"/>
    <s v="Search"/>
    <s v="Amazon"/>
    <s v="Amazon"/>
    <d v="2024-01-20T00:00:00"/>
    <d v="2024-01-01T00:00:00"/>
    <n v="786.84"/>
    <n v="98119"/>
    <s v="LY"/>
    <x v="4"/>
  </r>
  <r>
    <s v="Biolage"/>
    <x v="7"/>
    <s v="Search"/>
    <s v="Amazon"/>
    <s v="Amazon"/>
    <d v="2024-03-02T00:00:00"/>
    <d v="2024-01-01T00:00:00"/>
    <n v="418.27000000000004"/>
    <n v="73187"/>
    <s v="LY"/>
    <x v="4"/>
  </r>
  <r>
    <s v="Biolage"/>
    <x v="7"/>
    <s v="Search"/>
    <s v="Amazon"/>
    <s v="Amazon"/>
    <d v="2024-03-09T00:00:00"/>
    <d v="2024-01-01T00:00:00"/>
    <n v="2997.8999999999992"/>
    <n v="499971"/>
    <s v="LY"/>
    <x v="4"/>
  </r>
  <r>
    <s v="Biolage"/>
    <x v="7"/>
    <s v="Search"/>
    <s v="Amazon"/>
    <s v="Amazon"/>
    <d v="2024-03-16T00:00:00"/>
    <d v="2024-01-01T00:00:00"/>
    <n v="3792.0300000000007"/>
    <n v="606598"/>
    <s v="LY"/>
    <x v="4"/>
  </r>
  <r>
    <s v="Biolage"/>
    <x v="7"/>
    <s v="Search"/>
    <s v="Amazon"/>
    <s v="Amazon"/>
    <d v="2024-03-23T00:00:00"/>
    <d v="2024-01-01T00:00:00"/>
    <n v="4486.43"/>
    <n v="842260"/>
    <s v="LY"/>
    <x v="4"/>
  </r>
  <r>
    <s v="Biolage"/>
    <x v="7"/>
    <s v="Search"/>
    <s v="Amazon"/>
    <s v="Amazon"/>
    <d v="2024-03-30T00:00:00"/>
    <d v="2024-01-01T00:00:00"/>
    <n v="4345.4100000000008"/>
    <n v="811978"/>
    <s v="LY"/>
    <x v="4"/>
  </r>
  <r>
    <s v="Biolage"/>
    <x v="7"/>
    <s v="Search"/>
    <s v="Amazon"/>
    <s v="Amazon"/>
    <d v="2024-04-06T00:00:00"/>
    <d v="2024-01-01T00:00:00"/>
    <n v="4155.57"/>
    <n v="751857"/>
    <s v="LY"/>
    <x v="4"/>
  </r>
  <r>
    <s v="Biolage"/>
    <x v="7"/>
    <s v="Search"/>
    <s v="Amazon"/>
    <s v="Amazon"/>
    <d v="2024-04-13T00:00:00"/>
    <d v="2024-01-01T00:00:00"/>
    <n v="3106.690000000001"/>
    <n v="588058"/>
    <s v="LY"/>
    <x v="4"/>
  </r>
  <r>
    <s v="Biolage"/>
    <x v="7"/>
    <s v="Search"/>
    <s v="Amazon"/>
    <s v="Amazon"/>
    <d v="2024-04-20T00:00:00"/>
    <d v="2024-01-01T00:00:00"/>
    <n v="4104.7600000000011"/>
    <n v="666701"/>
    <s v="LY"/>
    <x v="4"/>
  </r>
  <r>
    <s v="Biolage"/>
    <x v="7"/>
    <s v="Search"/>
    <s v="Amazon"/>
    <s v="Amazon"/>
    <d v="2024-04-27T00:00:00"/>
    <d v="2024-01-01T00:00:00"/>
    <n v="4492.22"/>
    <n v="845776"/>
    <s v="LY"/>
    <x v="4"/>
  </r>
  <r>
    <s v="Biolage"/>
    <x v="7"/>
    <s v="Search"/>
    <s v="Amazon"/>
    <s v="Amazon"/>
    <d v="2024-05-04T00:00:00"/>
    <d v="2024-01-01T00:00:00"/>
    <n v="5087.5300000000034"/>
    <n v="974305"/>
    <s v="LY"/>
    <x v="4"/>
  </r>
  <r>
    <s v="Biolage"/>
    <x v="7"/>
    <s v="Search"/>
    <s v="Amazon"/>
    <s v="Amazon"/>
    <d v="2024-05-11T00:00:00"/>
    <d v="2024-01-01T00:00:00"/>
    <n v="6758.97"/>
    <n v="933182"/>
    <s v="LY"/>
    <x v="4"/>
  </r>
  <r>
    <s v="Biolage"/>
    <x v="7"/>
    <s v="Search"/>
    <s v="Amazon"/>
    <s v="Amazon"/>
    <d v="2024-05-18T00:00:00"/>
    <d v="2024-01-01T00:00:00"/>
    <n v="6920.71"/>
    <n v="1002736"/>
    <s v="LY"/>
    <x v="4"/>
  </r>
  <r>
    <s v="Biolage"/>
    <x v="7"/>
    <s v="Search"/>
    <s v="Amazon"/>
    <s v="Amazon"/>
    <d v="2024-05-25T00:00:00"/>
    <d v="2024-01-01T00:00:00"/>
    <n v="6829.7499999999991"/>
    <n v="1087076"/>
    <s v="LY"/>
    <x v="4"/>
  </r>
  <r>
    <s v="Biolage"/>
    <x v="7"/>
    <s v="Search"/>
    <s v="Amazon"/>
    <s v="Amazon"/>
    <d v="2024-06-01T00:00:00"/>
    <d v="2024-01-01T00:00:00"/>
    <n v="5670.5800000000008"/>
    <n v="1004577"/>
    <s v="LY"/>
    <x v="4"/>
  </r>
  <r>
    <s v="Biolage"/>
    <x v="7"/>
    <s v="Search"/>
    <s v="Amazon"/>
    <s v="Amazon"/>
    <d v="2024-06-08T00:00:00"/>
    <d v="2024-01-01T00:00:00"/>
    <n v="5022.3199999999988"/>
    <n v="933871"/>
    <s v="LY"/>
    <x v="4"/>
  </r>
  <r>
    <s v="Biolage"/>
    <x v="7"/>
    <s v="Search"/>
    <s v="Amazon"/>
    <s v="Amazon"/>
    <d v="2024-06-15T00:00:00"/>
    <d v="2024-01-01T00:00:00"/>
    <n v="5112.46"/>
    <n v="905616"/>
    <s v="LY"/>
    <x v="4"/>
  </r>
  <r>
    <s v="Biolage"/>
    <x v="7"/>
    <s v="Search"/>
    <s v="Amazon"/>
    <s v="Amazon"/>
    <d v="2024-06-22T00:00:00"/>
    <d v="2024-01-01T00:00:00"/>
    <n v="7463.21"/>
    <n v="893473"/>
    <s v="LY"/>
    <x v="4"/>
  </r>
  <r>
    <s v="Biolage"/>
    <x v="7"/>
    <s v="Search"/>
    <s v="Amazon"/>
    <s v="Amazon"/>
    <d v="2024-06-29T00:00:00"/>
    <d v="2024-01-01T00:00:00"/>
    <n v="6932.7299999999968"/>
    <n v="965223"/>
    <s v="LY"/>
    <x v="4"/>
  </r>
  <r>
    <s v="Biolage"/>
    <x v="7"/>
    <s v="Search"/>
    <s v="Amazon"/>
    <s v="Amazon"/>
    <d v="2024-07-06T00:00:00"/>
    <d v="2024-01-01T00:00:00"/>
    <n v="5869.0500000000011"/>
    <n v="819212"/>
    <s v="LY"/>
    <x v="4"/>
  </r>
  <r>
    <s v="Biolage"/>
    <x v="7"/>
    <s v="Search"/>
    <s v="Amazon"/>
    <s v="Amazon"/>
    <d v="2024-07-13T00:00:00"/>
    <d v="2024-01-01T00:00:00"/>
    <n v="6438.6699999999973"/>
    <n v="966813"/>
    <s v="TTM"/>
    <x v="4"/>
  </r>
  <r>
    <s v="Biolage"/>
    <x v="7"/>
    <s v="Search"/>
    <s v="Amazon"/>
    <s v="Amazon"/>
    <d v="2024-07-20T00:00:00"/>
    <d v="2024-01-01T00:00:00"/>
    <n v="30519.24"/>
    <n v="2059122"/>
    <s v="TTM"/>
    <x v="4"/>
  </r>
  <r>
    <s v="Biolage"/>
    <x v="7"/>
    <s v="Search"/>
    <s v="Amazon"/>
    <s v="Amazon"/>
    <d v="2024-07-27T00:00:00"/>
    <d v="2024-01-01T00:00:00"/>
    <n v="4945.88"/>
    <n v="481010"/>
    <s v="TTM"/>
    <x v="4"/>
  </r>
  <r>
    <s v="Biolage"/>
    <x v="7"/>
    <s v="Search"/>
    <s v="Amazon"/>
    <s v="Amazon"/>
    <d v="2024-08-03T00:00:00"/>
    <d v="2024-01-01T00:00:00"/>
    <n v="4503.3800000000028"/>
    <n v="562318"/>
    <s v="TTM"/>
    <x v="4"/>
  </r>
  <r>
    <s v="Biolage"/>
    <x v="7"/>
    <s v="Search"/>
    <s v="Amazon"/>
    <s v="Amazon"/>
    <d v="2024-08-10T00:00:00"/>
    <d v="2024-01-01T00:00:00"/>
    <n v="4359.6099999999997"/>
    <n v="497694"/>
    <s v="TTM"/>
    <x v="4"/>
  </r>
  <r>
    <s v="Biolage"/>
    <x v="7"/>
    <s v="Search"/>
    <s v="Amazon"/>
    <s v="Amazon"/>
    <d v="2024-08-17T00:00:00"/>
    <d v="2024-01-01T00:00:00"/>
    <n v="4768.68"/>
    <n v="486479"/>
    <s v="TTM"/>
    <x v="4"/>
  </r>
  <r>
    <s v="Biolage"/>
    <x v="7"/>
    <s v="Search"/>
    <s v="Amazon"/>
    <s v="Amazon"/>
    <d v="2024-08-24T00:00:00"/>
    <d v="2024-01-01T00:00:00"/>
    <n v="5476.369999999999"/>
    <n v="503556"/>
    <s v="TTM"/>
    <x v="4"/>
  </r>
  <r>
    <s v="Biolage"/>
    <x v="7"/>
    <s v="Search"/>
    <s v="Amazon"/>
    <s v="Amazon"/>
    <d v="2024-08-31T00:00:00"/>
    <d v="2024-01-01T00:00:00"/>
    <n v="6522.79"/>
    <n v="534392"/>
    <s v="TTM"/>
    <x v="4"/>
  </r>
  <r>
    <s v="Biolage"/>
    <x v="7"/>
    <s v="Search"/>
    <s v="Amazon"/>
    <s v="Amazon"/>
    <d v="2024-09-07T00:00:00"/>
    <d v="2024-01-01T00:00:00"/>
    <n v="6625.4800000000023"/>
    <n v="582904"/>
    <s v="TTM"/>
    <x v="4"/>
  </r>
  <r>
    <s v="Biolage"/>
    <x v="7"/>
    <s v="Search"/>
    <s v="Amazon"/>
    <s v="Amazon"/>
    <d v="2024-09-14T00:00:00"/>
    <d v="2024-01-01T00:00:00"/>
    <n v="6395.7199999999975"/>
    <n v="615905"/>
    <s v="TTM"/>
    <x v="4"/>
  </r>
  <r>
    <s v="Biolage"/>
    <x v="7"/>
    <s v="Search"/>
    <s v="Amazon"/>
    <s v="Amazon"/>
    <d v="2024-09-21T00:00:00"/>
    <d v="2024-01-01T00:00:00"/>
    <n v="6068.2100000000019"/>
    <n v="590185"/>
    <s v="TTM"/>
    <x v="4"/>
  </r>
  <r>
    <s v="Biolage"/>
    <x v="7"/>
    <s v="Search"/>
    <s v="Amazon"/>
    <s v="Amazon"/>
    <d v="2024-09-28T00:00:00"/>
    <d v="2024-01-01T00:00:00"/>
    <n v="6193.1699999999992"/>
    <n v="646076"/>
    <s v="TTM"/>
    <x v="4"/>
  </r>
  <r>
    <s v="Biolage"/>
    <x v="7"/>
    <s v="Search"/>
    <s v="Amazon"/>
    <s v="Amazon"/>
    <d v="2024-10-05T00:00:00"/>
    <d v="2024-01-01T00:00:00"/>
    <n v="6412.2899999999991"/>
    <n v="614601"/>
    <s v="TTM"/>
    <x v="4"/>
  </r>
  <r>
    <s v="Biolage"/>
    <x v="7"/>
    <s v="Search"/>
    <s v="Amazon"/>
    <s v="Amazon"/>
    <d v="2024-10-12T00:00:00"/>
    <d v="2024-01-01T00:00:00"/>
    <n v="8111.369999999999"/>
    <n v="773479"/>
    <s v="TTM"/>
    <x v="4"/>
  </r>
  <r>
    <s v="Biolage"/>
    <x v="7"/>
    <s v="Search"/>
    <s v="Amazon"/>
    <s v="Amazon"/>
    <d v="2024-10-19T00:00:00"/>
    <d v="2024-01-01T00:00:00"/>
    <n v="5024.3799999999992"/>
    <n v="421034"/>
    <s v="TTM"/>
    <x v="4"/>
  </r>
  <r>
    <s v="Biolage"/>
    <x v="7"/>
    <s v="Search"/>
    <s v="Amazon"/>
    <s v="Amazon"/>
    <d v="2024-10-26T00:00:00"/>
    <d v="2024-01-01T00:00:00"/>
    <n v="6690.9200000000019"/>
    <n v="593485"/>
    <s v="TTM"/>
    <x v="4"/>
  </r>
  <r>
    <s v="Biolage"/>
    <x v="7"/>
    <s v="Search"/>
    <s v="Amazon"/>
    <s v="Amazon"/>
    <d v="2024-11-02T00:00:00"/>
    <d v="2024-01-01T00:00:00"/>
    <n v="9600.7599999999966"/>
    <n v="856842"/>
    <s v="TTM"/>
    <x v="4"/>
  </r>
  <r>
    <s v="Biolage"/>
    <x v="7"/>
    <s v="Search"/>
    <s v="Amazon"/>
    <s v="Amazon"/>
    <d v="2024-11-09T00:00:00"/>
    <d v="2024-01-01T00:00:00"/>
    <n v="9393.4300000000021"/>
    <n v="851441"/>
    <s v="TTM"/>
    <x v="4"/>
  </r>
  <r>
    <s v="Biolage"/>
    <x v="7"/>
    <s v="Search"/>
    <s v="Amazon"/>
    <s v="Amazon"/>
    <d v="2024-11-16T00:00:00"/>
    <d v="2024-01-01T00:00:00"/>
    <n v="13987.599999999995"/>
    <n v="998877"/>
    <s v="TTM"/>
    <x v="4"/>
  </r>
  <r>
    <s v="Biolage"/>
    <x v="7"/>
    <s v="Search"/>
    <s v="Amazon"/>
    <s v="Amazon"/>
    <d v="2024-11-23T00:00:00"/>
    <d v="2024-01-01T00:00:00"/>
    <n v="13914.049999999997"/>
    <n v="997019"/>
    <s v="TTM"/>
    <x v="4"/>
  </r>
  <r>
    <s v="Biolage"/>
    <x v="7"/>
    <s v="Search"/>
    <s v="Amazon"/>
    <s v="Amazon"/>
    <d v="2024-11-30T00:00:00"/>
    <d v="2024-01-01T00:00:00"/>
    <n v="42614.03"/>
    <n v="2334889"/>
    <s v="TTM"/>
    <x v="4"/>
  </r>
  <r>
    <s v="Biolage"/>
    <x v="7"/>
    <s v="Search"/>
    <s v="Amazon"/>
    <s v="Amazon"/>
    <d v="2024-12-07T00:00:00"/>
    <d v="2024-01-01T00:00:00"/>
    <n v="27772.419999999995"/>
    <n v="1725121"/>
    <s v="TTM"/>
    <x v="4"/>
  </r>
  <r>
    <s v="Biolage"/>
    <x v="7"/>
    <s v="Search"/>
    <s v="Amazon"/>
    <s v="Amazon"/>
    <d v="2024-12-14T00:00:00"/>
    <d v="2024-01-01T00:00:00"/>
    <n v="11692.640000000003"/>
    <n v="1160825"/>
    <s v="TTM"/>
    <x v="4"/>
  </r>
  <r>
    <s v="Biolage"/>
    <x v="7"/>
    <s v="Search"/>
    <s v="Amazon"/>
    <s v="Amazon"/>
    <d v="2024-12-21T00:00:00"/>
    <d v="2024-01-01T00:00:00"/>
    <n v="10373.900000000003"/>
    <n v="1235199"/>
    <s v="TTM"/>
    <x v="4"/>
  </r>
  <r>
    <s v="Biolage"/>
    <x v="7"/>
    <s v="Search"/>
    <s v="Amazon"/>
    <s v="Amazon"/>
    <d v="2024-12-28T00:00:00"/>
    <d v="2024-01-01T00:00:00"/>
    <n v="11004.139999999994"/>
    <n v="1035656"/>
    <s v="TTM"/>
    <x v="4"/>
  </r>
  <r>
    <s v="Biolage"/>
    <x v="7"/>
    <s v="Search"/>
    <s v="Amazon"/>
    <s v="Amazon"/>
    <d v="2025-01-04T00:00:00"/>
    <d v="2024-01-01T00:00:00"/>
    <n v="3268.47"/>
    <n v="282577"/>
    <s v="TTM"/>
    <x v="4"/>
  </r>
  <r>
    <s v="Biolage"/>
    <x v="7"/>
    <s v="Search"/>
    <s v="Amazon"/>
    <s v="Amazon"/>
    <d v="2025-01-04T00:00:00"/>
    <d v="2025-01-01T00:00:00"/>
    <n v="3626.8399999999997"/>
    <n v="383873"/>
    <s v="TTM"/>
    <x v="4"/>
  </r>
  <r>
    <s v="Biolage"/>
    <x v="7"/>
    <s v="Search"/>
    <s v="Amazon"/>
    <s v="Amazon"/>
    <d v="2025-01-11T00:00:00"/>
    <d v="2025-01-01T00:00:00"/>
    <n v="6542.8199999999988"/>
    <n v="647820"/>
    <s v="TTM"/>
    <x v="4"/>
  </r>
  <r>
    <s v="Biolage"/>
    <x v="7"/>
    <s v="Search"/>
    <s v="Amazon"/>
    <s v="Amazon"/>
    <d v="2025-01-18T00:00:00"/>
    <d v="2025-01-01T00:00:00"/>
    <n v="6656.6100000000015"/>
    <n v="695609"/>
    <s v="TTM"/>
    <x v="4"/>
  </r>
  <r>
    <s v="Biolage"/>
    <x v="7"/>
    <s v="Search"/>
    <s v="Amazon"/>
    <s v="Amazon"/>
    <d v="2025-01-25T00:00:00"/>
    <d v="2025-01-01T00:00:00"/>
    <n v="6550.2799999999988"/>
    <n v="674739"/>
    <s v="TTM"/>
    <x v="4"/>
  </r>
  <r>
    <s v="Biolage"/>
    <x v="7"/>
    <s v="Search"/>
    <s v="Amazon"/>
    <s v="Amazon"/>
    <d v="2025-02-01T00:00:00"/>
    <d v="2025-01-01T00:00:00"/>
    <n v="12131.689999999993"/>
    <n v="1081496"/>
    <s v="TTM"/>
    <x v="4"/>
  </r>
  <r>
    <s v="Biolage"/>
    <x v="7"/>
    <s v="Search"/>
    <s v="Amazon"/>
    <s v="Amazon"/>
    <d v="2025-02-08T00:00:00"/>
    <d v="2025-01-01T00:00:00"/>
    <n v="15144.279999999997"/>
    <n v="1274106"/>
    <s v="TTM"/>
    <x v="4"/>
  </r>
  <r>
    <s v="Biolage"/>
    <x v="7"/>
    <s v="Search"/>
    <s v="Amazon"/>
    <s v="Amazon"/>
    <d v="2025-02-15T00:00:00"/>
    <d v="2025-01-01T00:00:00"/>
    <n v="10918.710000000005"/>
    <n v="1032067"/>
    <s v="TTM"/>
    <x v="4"/>
  </r>
  <r>
    <s v="Biolage"/>
    <x v="7"/>
    <s v="Search"/>
    <s v="Amazon"/>
    <s v="Amazon"/>
    <d v="2025-02-22T00:00:00"/>
    <d v="2025-01-01T00:00:00"/>
    <n v="9980.2199999999993"/>
    <n v="1287822"/>
    <s v="TTM"/>
    <x v="4"/>
  </r>
  <r>
    <s v="Biolage"/>
    <x v="7"/>
    <s v="Search"/>
    <s v="Amazon"/>
    <s v="Amazon"/>
    <d v="2025-03-01T00:00:00"/>
    <d v="2025-01-01T00:00:00"/>
    <n v="8337.6399999999976"/>
    <n v="1125513"/>
    <s v="TTM"/>
    <x v="4"/>
  </r>
  <r>
    <s v="Biolage"/>
    <x v="7"/>
    <s v="Search"/>
    <s v="Amazon"/>
    <s v="Amazon"/>
    <d v="2025-03-08T00:00:00"/>
    <d v="2025-01-01T00:00:00"/>
    <n v="9833.7699999999986"/>
    <n v="1218589"/>
    <s v="TTM"/>
    <x v="4"/>
  </r>
  <r>
    <s v="Biolage"/>
    <x v="7"/>
    <s v="Search"/>
    <s v="Amazon"/>
    <s v="Amazon"/>
    <d v="2025-03-15T00:00:00"/>
    <d v="2025-01-01T00:00:00"/>
    <n v="10403.389999999996"/>
    <n v="1315053"/>
    <s v="TTM"/>
    <x v="4"/>
  </r>
  <r>
    <s v="Biolage"/>
    <x v="7"/>
    <s v="Search"/>
    <s v="Amazon"/>
    <s v="Amazon"/>
    <d v="2025-03-22T00:00:00"/>
    <d v="2025-01-01T00:00:00"/>
    <n v="9522.8599999999988"/>
    <n v="1533291"/>
    <s v="TTM"/>
    <x v="4"/>
  </r>
  <r>
    <s v="Biolage"/>
    <x v="7"/>
    <s v="Search"/>
    <s v="Amazon"/>
    <s v="Amazon"/>
    <d v="2025-03-29T00:00:00"/>
    <d v="2025-01-01T00:00:00"/>
    <n v="7047.7100000000028"/>
    <n v="1220603"/>
    <s v="TTM"/>
    <x v="4"/>
  </r>
  <r>
    <s v="Biolage"/>
    <x v="7"/>
    <s v="Search"/>
    <s v="Amazon"/>
    <s v="Amazon"/>
    <d v="2025-04-05T00:00:00"/>
    <d v="2025-01-01T00:00:00"/>
    <n v="3827.4199999999996"/>
    <n v="979614"/>
    <s v="TTM"/>
    <x v="4"/>
  </r>
  <r>
    <s v="Biolage"/>
    <x v="7"/>
    <s v="Search"/>
    <s v="Amazon"/>
    <s v="Amazon"/>
    <d v="2025-04-12T00:00:00"/>
    <d v="2025-01-01T00:00:00"/>
    <n v="3990.9199999999996"/>
    <n v="656607"/>
    <s v="TTM"/>
    <x v="4"/>
  </r>
  <r>
    <s v="Biolage"/>
    <x v="7"/>
    <s v="Search"/>
    <s v="Amazon"/>
    <s v="Amazon"/>
    <d v="2025-04-19T00:00:00"/>
    <d v="2025-01-01T00:00:00"/>
    <n v="4831.3300000000008"/>
    <n v="720939"/>
    <s v="TTM"/>
    <x v="4"/>
  </r>
  <r>
    <s v="Biolage"/>
    <x v="7"/>
    <s v="Search"/>
    <s v="Amazon"/>
    <s v="Amazon"/>
    <d v="2025-04-26T00:00:00"/>
    <d v="2025-01-01T00:00:00"/>
    <n v="4236.9599999999991"/>
    <n v="649349"/>
    <s v="TTM"/>
    <x v="4"/>
  </r>
  <r>
    <s v="Biolage"/>
    <x v="7"/>
    <s v="Search"/>
    <s v="Amazon"/>
    <s v="Amazon"/>
    <d v="2025-05-03T00:00:00"/>
    <d v="2025-01-01T00:00:00"/>
    <n v="3745.2"/>
    <n v="592822"/>
    <s v="TTM"/>
    <x v="4"/>
  </r>
  <r>
    <s v="Biolage"/>
    <x v="7"/>
    <s v="Search"/>
    <s v="Amazon"/>
    <s v="Amazon"/>
    <d v="2025-05-10T00:00:00"/>
    <d v="2025-01-01T00:00:00"/>
    <n v="3084.9799999999996"/>
    <n v="607753"/>
    <s v="TTM"/>
    <x v="4"/>
  </r>
  <r>
    <s v="Biolage"/>
    <x v="7"/>
    <s v="Search"/>
    <s v="Amazon"/>
    <s v="Amazon"/>
    <d v="2025-05-17T00:00:00"/>
    <d v="2025-01-01T00:00:00"/>
    <n v="2678.1899999999991"/>
    <n v="675526"/>
    <s v="TTM"/>
    <x v="4"/>
  </r>
  <r>
    <s v="Biolage"/>
    <x v="7"/>
    <s v="Search"/>
    <s v="Amazon"/>
    <s v="Amazon"/>
    <d v="2025-05-24T00:00:00"/>
    <d v="2025-01-01T00:00:00"/>
    <n v="2704.1"/>
    <n v="595901"/>
    <s v="TTM"/>
    <x v="4"/>
  </r>
  <r>
    <s v="Biolage"/>
    <x v="7"/>
    <s v="Search"/>
    <s v="Amazon"/>
    <s v="Amazon"/>
    <d v="2025-05-31T00:00:00"/>
    <d v="2025-01-01T00:00:00"/>
    <n v="2360.1700000000005"/>
    <n v="472228"/>
    <s v="TTM"/>
    <x v="4"/>
  </r>
  <r>
    <s v="Biolage"/>
    <x v="7"/>
    <s v="Search"/>
    <s v="Amazon"/>
    <s v="Amazon"/>
    <d v="2025-06-07T00:00:00"/>
    <d v="2025-01-01T00:00:00"/>
    <n v="6263.8899999999994"/>
    <n v="581785"/>
    <s v="TTM"/>
    <x v="4"/>
  </r>
  <r>
    <s v="Biolage"/>
    <x v="7"/>
    <s v="Search"/>
    <s v="Amazon"/>
    <s v="Amazon"/>
    <d v="2025-06-14T00:00:00"/>
    <d v="2025-01-01T00:00:00"/>
    <n v="7316.0799999999972"/>
    <n v="601357"/>
    <s v="TTM"/>
    <x v="4"/>
  </r>
  <r>
    <s v="Biolage"/>
    <x v="7"/>
    <s v="Search"/>
    <s v="Amazon"/>
    <s v="Amazon"/>
    <d v="2025-06-21T00:00:00"/>
    <d v="2025-01-01T00:00:00"/>
    <n v="6248.5999999999976"/>
    <n v="437105"/>
    <s v="TTM"/>
    <x v="4"/>
  </r>
  <r>
    <s v="Biolage"/>
    <x v="7"/>
    <s v="Search"/>
    <s v="Amazon"/>
    <s v="Amazon"/>
    <d v="2025-06-28T00:00:00"/>
    <d v="2025-01-01T00:00:00"/>
    <n v="2274"/>
    <n v="135518"/>
    <s v="TTM"/>
    <x v="4"/>
  </r>
  <r>
    <s v="Biolage"/>
    <x v="10"/>
    <s v="Display"/>
    <s v="Amazon"/>
    <s v="Amazon"/>
    <d v="2023-10-14T00:00:00"/>
    <d v="2023-01-01T00:00:00"/>
    <n v="7503.6812000000009"/>
    <n v="1225004"/>
    <s v="LY"/>
    <x v="3"/>
  </r>
  <r>
    <s v="Biolage"/>
    <x v="10"/>
    <s v="Display"/>
    <s v="Amazon"/>
    <s v="Amazon"/>
    <d v="2023-10-21T00:00:00"/>
    <d v="2023-01-01T00:00:00"/>
    <n v="8358.2550999999985"/>
    <n v="1721403"/>
    <s v="LY"/>
    <x v="3"/>
  </r>
  <r>
    <s v="Biolage"/>
    <x v="10"/>
    <s v="Display"/>
    <s v="Amazon"/>
    <s v="Amazon"/>
    <d v="2023-10-28T00:00:00"/>
    <d v="2023-01-01T00:00:00"/>
    <n v="6579.054199999995"/>
    <n v="1316700"/>
    <s v="LY"/>
    <x v="3"/>
  </r>
  <r>
    <s v="Biolage"/>
    <x v="10"/>
    <s v="Display"/>
    <s v="Amazon"/>
    <s v="Amazon"/>
    <d v="2023-11-04T00:00:00"/>
    <d v="2023-01-01T00:00:00"/>
    <n v="5564.260000000002"/>
    <n v="1342118"/>
    <s v="LY"/>
    <x v="3"/>
  </r>
  <r>
    <s v="Biolage"/>
    <x v="10"/>
    <s v="Display"/>
    <s v="Amazon"/>
    <s v="Amazon"/>
    <d v="2023-11-11T00:00:00"/>
    <d v="2023-01-01T00:00:00"/>
    <n v="6428.2969999999987"/>
    <n v="1338314"/>
    <s v="LY"/>
    <x v="3"/>
  </r>
  <r>
    <s v="Biolage"/>
    <x v="10"/>
    <s v="Display"/>
    <s v="Amazon"/>
    <s v="Amazon"/>
    <d v="2023-11-18T00:00:00"/>
    <d v="2023-01-01T00:00:00"/>
    <n v="5451.5549999999976"/>
    <n v="1484085"/>
    <s v="LY"/>
    <x v="3"/>
  </r>
  <r>
    <s v="Biolage"/>
    <x v="10"/>
    <s v="Display"/>
    <s v="Amazon"/>
    <s v="Amazon"/>
    <d v="2023-11-25T00:00:00"/>
    <d v="2023-01-01T00:00:00"/>
    <n v="5480.5802999999987"/>
    <n v="1624262"/>
    <s v="LY"/>
    <x v="3"/>
  </r>
  <r>
    <s v="Biolage"/>
    <x v="10"/>
    <s v="Display"/>
    <s v="Amazon"/>
    <s v="Amazon"/>
    <d v="2023-12-02T00:00:00"/>
    <d v="2023-01-01T00:00:00"/>
    <n v="2460.2745999999997"/>
    <n v="733828"/>
    <s v="LY"/>
    <x v="3"/>
  </r>
  <r>
    <s v="Biolage"/>
    <x v="10"/>
    <s v="Display"/>
    <s v="Amazon"/>
    <s v="Amazon"/>
    <d v="2023-12-09T00:00:00"/>
    <d v="2023-01-01T00:00:00"/>
    <n v="3633.7894999999994"/>
    <n v="956175"/>
    <s v="LY"/>
    <x v="3"/>
  </r>
  <r>
    <s v="Biolage"/>
    <x v="10"/>
    <s v="Display"/>
    <s v="Amazon"/>
    <s v="Amazon"/>
    <d v="2023-12-16T00:00:00"/>
    <d v="2023-01-01T00:00:00"/>
    <n v="3208.7271999999998"/>
    <n v="968443"/>
    <s v="LY"/>
    <x v="3"/>
  </r>
  <r>
    <s v="Biolage"/>
    <x v="10"/>
    <s v="Display"/>
    <s v="Amazon"/>
    <s v="Amazon"/>
    <d v="2023-12-23T00:00:00"/>
    <d v="2023-01-01T00:00:00"/>
    <n v="3229.1633000000015"/>
    <n v="806510"/>
    <s v="LY"/>
    <x v="3"/>
  </r>
  <r>
    <s v="Biolage"/>
    <x v="10"/>
    <s v="Display"/>
    <s v="Amazon"/>
    <s v="Amazon"/>
    <d v="2023-12-30T00:00:00"/>
    <d v="2023-01-01T00:00:00"/>
    <n v="2306.4244000000008"/>
    <n v="706844"/>
    <s v="LY"/>
    <x v="3"/>
  </r>
  <r>
    <s v="Biolage"/>
    <x v="10"/>
    <s v="Display"/>
    <s v="Amazon"/>
    <s v="Amazon"/>
    <d v="2024-01-06T00:00:00"/>
    <d v="2023-01-01T00:00:00"/>
    <n v="11.425700000000001"/>
    <n v="4996"/>
    <s v="LY"/>
    <x v="3"/>
  </r>
  <r>
    <s v="Biolage"/>
    <x v="10"/>
    <s v="Display"/>
    <s v="Amazon"/>
    <s v="Amazon"/>
    <d v="2024-01-06T00:00:00"/>
    <d v="2024-01-01T00:00:00"/>
    <n v="3678.3125999999997"/>
    <n v="1191826"/>
    <s v="LY"/>
    <x v="3"/>
  </r>
  <r>
    <s v="Biolage"/>
    <x v="10"/>
    <s v="Display"/>
    <s v="Amazon"/>
    <s v="Amazon"/>
    <d v="2024-01-13T00:00:00"/>
    <d v="2024-01-01T00:00:00"/>
    <n v="5888.7072999999946"/>
    <n v="2069240"/>
    <s v="LY"/>
    <x v="3"/>
  </r>
  <r>
    <s v="Biolage"/>
    <x v="10"/>
    <s v="Display"/>
    <s v="Amazon"/>
    <s v="Amazon"/>
    <d v="2024-01-20T00:00:00"/>
    <d v="2024-01-01T00:00:00"/>
    <n v="5913.5929000000033"/>
    <n v="2297687"/>
    <s v="LY"/>
    <x v="3"/>
  </r>
  <r>
    <s v="Biolage"/>
    <x v="10"/>
    <s v="Display"/>
    <s v="Amazon"/>
    <s v="Amazon"/>
    <d v="2024-01-27T00:00:00"/>
    <d v="2024-01-01T00:00:00"/>
    <n v="5812.2397999999976"/>
    <n v="2071989"/>
    <s v="LY"/>
    <x v="3"/>
  </r>
  <r>
    <s v="Biolage"/>
    <x v="10"/>
    <s v="Display"/>
    <s v="Amazon"/>
    <s v="Amazon"/>
    <d v="2024-02-03T00:00:00"/>
    <d v="2024-01-01T00:00:00"/>
    <n v="3491.8388000000009"/>
    <n v="1040801"/>
    <s v="LY"/>
    <x v="3"/>
  </r>
  <r>
    <s v="Biolage"/>
    <x v="10"/>
    <s v="Display"/>
    <s v="Amazon"/>
    <s v="Amazon"/>
    <d v="2024-02-10T00:00:00"/>
    <d v="2024-01-01T00:00:00"/>
    <n v="5259.0863999999974"/>
    <n v="1420923"/>
    <s v="LY"/>
    <x v="3"/>
  </r>
  <r>
    <s v="Biolage"/>
    <x v="10"/>
    <s v="Display"/>
    <s v="Amazon"/>
    <s v="Amazon"/>
    <d v="2024-02-17T00:00:00"/>
    <d v="2024-01-01T00:00:00"/>
    <n v="5385.9901"/>
    <n v="1490333"/>
    <s v="LY"/>
    <x v="3"/>
  </r>
  <r>
    <s v="Biolage"/>
    <x v="10"/>
    <s v="Display"/>
    <s v="Amazon"/>
    <s v="Amazon"/>
    <d v="2024-02-24T00:00:00"/>
    <d v="2024-01-01T00:00:00"/>
    <n v="5672.9356999999991"/>
    <n v="1889345"/>
    <s v="LY"/>
    <x v="3"/>
  </r>
  <r>
    <s v="Biolage"/>
    <x v="10"/>
    <s v="Display"/>
    <s v="Amazon"/>
    <s v="Amazon"/>
    <d v="2024-03-02T00:00:00"/>
    <d v="2024-01-01T00:00:00"/>
    <n v="3832.5696000000007"/>
    <n v="1293320"/>
    <s v="LY"/>
    <x v="3"/>
  </r>
  <r>
    <s v="Biolage"/>
    <x v="10"/>
    <s v="Display"/>
    <s v="Amazon"/>
    <s v="Amazon"/>
    <d v="2024-03-09T00:00:00"/>
    <d v="2024-01-01T00:00:00"/>
    <n v="4281.5677999999989"/>
    <n v="1313468"/>
    <s v="LY"/>
    <x v="3"/>
  </r>
  <r>
    <s v="Biolage"/>
    <x v="10"/>
    <s v="Display"/>
    <s v="Amazon"/>
    <s v="Amazon"/>
    <d v="2024-03-16T00:00:00"/>
    <d v="2024-01-01T00:00:00"/>
    <n v="4409.5598000000009"/>
    <n v="1013031"/>
    <s v="LY"/>
    <x v="3"/>
  </r>
  <r>
    <s v="Biolage"/>
    <x v="10"/>
    <s v="Display"/>
    <s v="Amazon"/>
    <s v="Amazon"/>
    <d v="2024-03-23T00:00:00"/>
    <d v="2024-01-01T00:00:00"/>
    <n v="4459.3438999999989"/>
    <n v="1238874"/>
    <s v="LY"/>
    <x v="3"/>
  </r>
  <r>
    <s v="Biolage"/>
    <x v="10"/>
    <s v="Display"/>
    <s v="Amazon"/>
    <s v="Amazon"/>
    <d v="2024-03-30T00:00:00"/>
    <d v="2024-01-01T00:00:00"/>
    <n v="3677.6730000000002"/>
    <n v="1090677"/>
    <s v="LY"/>
    <x v="3"/>
  </r>
  <r>
    <s v="Biolage"/>
    <x v="10"/>
    <s v="Display"/>
    <s v="Amazon"/>
    <s v="Amazon"/>
    <d v="2024-04-06T00:00:00"/>
    <d v="2024-01-01T00:00:00"/>
    <n v="3065.2410000000004"/>
    <n v="904477"/>
    <s v="LY"/>
    <x v="3"/>
  </r>
  <r>
    <s v="Biolage"/>
    <x v="10"/>
    <s v="Display"/>
    <s v="Amazon"/>
    <s v="Amazon"/>
    <d v="2024-04-13T00:00:00"/>
    <d v="2024-01-01T00:00:00"/>
    <n v="5856.3028999999988"/>
    <n v="1512999"/>
    <s v="LY"/>
    <x v="3"/>
  </r>
  <r>
    <s v="Biolage"/>
    <x v="10"/>
    <s v="Display"/>
    <s v="Amazon"/>
    <s v="Amazon"/>
    <d v="2024-04-20T00:00:00"/>
    <d v="2024-01-01T00:00:00"/>
    <n v="2361.0650000000001"/>
    <n v="695775"/>
    <s v="LY"/>
    <x v="3"/>
  </r>
  <r>
    <s v="Biolage"/>
    <x v="10"/>
    <s v="Display"/>
    <s v="Amazon"/>
    <s v="Amazon"/>
    <d v="2024-04-27T00:00:00"/>
    <d v="2024-01-01T00:00:00"/>
    <n v="1117.6423999999995"/>
    <n v="243966"/>
    <s v="LY"/>
    <x v="3"/>
  </r>
  <r>
    <s v="Biolage"/>
    <x v="10"/>
    <s v="Display"/>
    <s v="Amazon"/>
    <s v="Amazon"/>
    <d v="2024-05-04T00:00:00"/>
    <d v="2024-01-01T00:00:00"/>
    <n v="2014.6624000000002"/>
    <n v="638522"/>
    <s v="LY"/>
    <x v="3"/>
  </r>
  <r>
    <s v="Biolage"/>
    <x v="10"/>
    <s v="Display"/>
    <s v="Amazon"/>
    <s v="Amazon"/>
    <d v="2024-05-11T00:00:00"/>
    <d v="2024-01-01T00:00:00"/>
    <n v="3074.0080999999996"/>
    <n v="909045"/>
    <s v="LY"/>
    <x v="3"/>
  </r>
  <r>
    <s v="Biolage"/>
    <x v="10"/>
    <s v="Display"/>
    <s v="Amazon"/>
    <s v="Amazon"/>
    <d v="2024-05-18T00:00:00"/>
    <d v="2024-01-01T00:00:00"/>
    <n v="2959.0874000000003"/>
    <n v="800880"/>
    <s v="LY"/>
    <x v="3"/>
  </r>
  <r>
    <s v="Biolage"/>
    <x v="10"/>
    <s v="Display"/>
    <s v="Amazon"/>
    <s v="Amazon"/>
    <d v="2024-05-25T00:00:00"/>
    <d v="2024-01-01T00:00:00"/>
    <n v="3054.2692000000006"/>
    <n v="762287"/>
    <s v="LY"/>
    <x v="3"/>
  </r>
  <r>
    <s v="Biolage"/>
    <x v="10"/>
    <s v="Display"/>
    <s v="Amazon"/>
    <s v="Amazon"/>
    <d v="2024-06-01T00:00:00"/>
    <d v="2024-01-01T00:00:00"/>
    <n v="2861.6305000000011"/>
    <n v="819812"/>
    <s v="LY"/>
    <x v="3"/>
  </r>
  <r>
    <s v="Biolage"/>
    <x v="10"/>
    <s v="Display"/>
    <s v="Amazon"/>
    <s v="Amazon"/>
    <d v="2024-06-08T00:00:00"/>
    <d v="2024-01-01T00:00:00"/>
    <n v="2746.2931000000008"/>
    <n v="830174"/>
    <s v="LY"/>
    <x v="3"/>
  </r>
  <r>
    <s v="Biolage"/>
    <x v="10"/>
    <s v="Display"/>
    <s v="Amazon"/>
    <s v="Amazon"/>
    <d v="2024-06-15T00:00:00"/>
    <d v="2024-01-01T00:00:00"/>
    <n v="2781.3281999999986"/>
    <n v="871949"/>
    <s v="LY"/>
    <x v="3"/>
  </r>
  <r>
    <s v="Biolage"/>
    <x v="10"/>
    <s v="Display"/>
    <s v="Amazon"/>
    <s v="Amazon"/>
    <d v="2024-06-22T00:00:00"/>
    <d v="2024-01-01T00:00:00"/>
    <n v="2760.5767000000014"/>
    <n v="768774"/>
    <s v="LY"/>
    <x v="3"/>
  </r>
  <r>
    <s v="Biolage"/>
    <x v="10"/>
    <s v="Display"/>
    <s v="Amazon"/>
    <s v="Amazon"/>
    <d v="2024-06-29T00:00:00"/>
    <d v="2024-01-01T00:00:00"/>
    <n v="2651.1025000000009"/>
    <n v="731691"/>
    <s v="LY"/>
    <x v="3"/>
  </r>
  <r>
    <s v="Biolage"/>
    <x v="10"/>
    <s v="Display"/>
    <s v="Amazon"/>
    <s v="Amazon"/>
    <d v="2024-07-06T00:00:00"/>
    <d v="2024-01-01T00:00:00"/>
    <n v="2202.7001999999998"/>
    <n v="769107"/>
    <s v="LY"/>
    <x v="3"/>
  </r>
  <r>
    <s v="Biolage"/>
    <x v="10"/>
    <s v="Display"/>
    <s v="Amazon"/>
    <s v="Amazon"/>
    <d v="2024-07-13T00:00:00"/>
    <d v="2024-01-01T00:00:00"/>
    <n v="2265.7084000000004"/>
    <n v="712468"/>
    <s v="TTM"/>
    <x v="3"/>
  </r>
  <r>
    <s v="Biolage"/>
    <x v="10"/>
    <s v="Display"/>
    <s v="Amazon"/>
    <s v="Amazon"/>
    <d v="2024-07-20T00:00:00"/>
    <d v="2024-01-01T00:00:00"/>
    <n v="1556.7872999999997"/>
    <n v="381910"/>
    <s v="TTM"/>
    <x v="3"/>
  </r>
  <r>
    <s v="Biolage"/>
    <x v="10"/>
    <s v="Display"/>
    <s v="Amazon"/>
    <s v="Amazon"/>
    <d v="2024-07-27T00:00:00"/>
    <d v="2024-01-01T00:00:00"/>
    <n v="2646.5654000000009"/>
    <n v="690583"/>
    <s v="TTM"/>
    <x v="3"/>
  </r>
  <r>
    <s v="Biolage"/>
    <x v="10"/>
    <s v="Display"/>
    <s v="Amazon"/>
    <s v="Amazon"/>
    <d v="2024-08-03T00:00:00"/>
    <d v="2024-01-01T00:00:00"/>
    <n v="2501.0246000000002"/>
    <n v="780990"/>
    <s v="TTM"/>
    <x v="3"/>
  </r>
  <r>
    <s v="Biolage"/>
    <x v="10"/>
    <s v="Display"/>
    <s v="Amazon"/>
    <s v="Amazon"/>
    <d v="2024-08-10T00:00:00"/>
    <d v="2024-01-01T00:00:00"/>
    <n v="2264.2832000000008"/>
    <n v="656603"/>
    <s v="TTM"/>
    <x v="3"/>
  </r>
  <r>
    <s v="Biolage"/>
    <x v="10"/>
    <s v="Display"/>
    <s v="Amazon"/>
    <s v="Amazon"/>
    <d v="2024-08-17T00:00:00"/>
    <d v="2024-01-01T00:00:00"/>
    <n v="2168.7584999999999"/>
    <n v="569411"/>
    <s v="TTM"/>
    <x v="3"/>
  </r>
  <r>
    <s v="Biolage"/>
    <x v="10"/>
    <s v="Display"/>
    <s v="Amazon"/>
    <s v="Amazon"/>
    <d v="2024-08-24T00:00:00"/>
    <d v="2024-01-01T00:00:00"/>
    <n v="2380.976099999999"/>
    <n v="589375"/>
    <s v="TTM"/>
    <x v="3"/>
  </r>
  <r>
    <s v="Biolage"/>
    <x v="10"/>
    <s v="Display"/>
    <s v="Amazon"/>
    <s v="Amazon"/>
    <d v="2024-08-31T00:00:00"/>
    <d v="2024-01-01T00:00:00"/>
    <n v="2286.9296999999997"/>
    <n v="583763"/>
    <s v="TTM"/>
    <x v="3"/>
  </r>
  <r>
    <s v="Biolage"/>
    <x v="10"/>
    <s v="Display"/>
    <s v="Amazon"/>
    <s v="Amazon"/>
    <d v="2024-09-07T00:00:00"/>
    <d v="2024-01-01T00:00:00"/>
    <n v="2325.6322999999988"/>
    <n v="829198"/>
    <s v="TTM"/>
    <x v="3"/>
  </r>
  <r>
    <s v="Biolage"/>
    <x v="10"/>
    <s v="Display"/>
    <s v="Amazon"/>
    <s v="Amazon"/>
    <d v="2024-09-14T00:00:00"/>
    <d v="2024-01-01T00:00:00"/>
    <n v="2378.3753999999999"/>
    <n v="1085556"/>
    <s v="TTM"/>
    <x v="3"/>
  </r>
  <r>
    <s v="Biolage"/>
    <x v="10"/>
    <s v="Display"/>
    <s v="Amazon"/>
    <s v="Amazon"/>
    <d v="2024-09-21T00:00:00"/>
    <d v="2024-01-01T00:00:00"/>
    <n v="2364.7366999999999"/>
    <n v="616532"/>
    <s v="TTM"/>
    <x v="3"/>
  </r>
  <r>
    <s v="Biolage"/>
    <x v="10"/>
    <s v="Display"/>
    <s v="Amazon"/>
    <s v="Amazon"/>
    <d v="2024-09-28T00:00:00"/>
    <d v="2024-01-01T00:00:00"/>
    <n v="2424.9718000000007"/>
    <n v="501566"/>
    <s v="TTM"/>
    <x v="3"/>
  </r>
  <r>
    <s v="Biolage"/>
    <x v="10"/>
    <s v="Display"/>
    <s v="Amazon"/>
    <s v="Amazon"/>
    <d v="2024-10-05T00:00:00"/>
    <d v="2024-01-01T00:00:00"/>
    <n v="3167.9745000000003"/>
    <n v="739529"/>
    <s v="TTM"/>
    <x v="3"/>
  </r>
  <r>
    <s v="Biolage"/>
    <x v="10"/>
    <s v="Display"/>
    <s v="Amazon"/>
    <s v="Amazon"/>
    <d v="2024-10-12T00:00:00"/>
    <d v="2024-01-01T00:00:00"/>
    <n v="3468.343800000001"/>
    <n v="714763"/>
    <s v="TTM"/>
    <x v="3"/>
  </r>
  <r>
    <s v="Biolage"/>
    <x v="10"/>
    <s v="Display"/>
    <s v="Amazon"/>
    <s v="Amazon"/>
    <d v="2024-10-19T00:00:00"/>
    <d v="2024-01-01T00:00:00"/>
    <n v="3766.4814000000006"/>
    <n v="879059"/>
    <s v="TTM"/>
    <x v="3"/>
  </r>
  <r>
    <s v="Biolage"/>
    <x v="10"/>
    <s v="Display"/>
    <s v="Amazon"/>
    <s v="Amazon"/>
    <d v="2024-10-26T00:00:00"/>
    <d v="2024-01-01T00:00:00"/>
    <n v="3743.6561000000029"/>
    <n v="740019"/>
    <s v="TTM"/>
    <x v="3"/>
  </r>
  <r>
    <s v="Biolage"/>
    <x v="10"/>
    <s v="Display"/>
    <s v="Amazon"/>
    <s v="Amazon"/>
    <d v="2024-11-02T00:00:00"/>
    <d v="2024-01-01T00:00:00"/>
    <n v="3198.5328000000004"/>
    <n v="676264"/>
    <s v="TTM"/>
    <x v="3"/>
  </r>
  <r>
    <s v="Biolage"/>
    <x v="10"/>
    <s v="Display"/>
    <s v="Amazon"/>
    <s v="Amazon"/>
    <d v="2024-11-09T00:00:00"/>
    <d v="2024-01-01T00:00:00"/>
    <n v="2784.8767000000007"/>
    <n v="706741"/>
    <s v="TTM"/>
    <x v="3"/>
  </r>
  <r>
    <s v="Biolage"/>
    <x v="10"/>
    <s v="Display"/>
    <s v="Amazon"/>
    <s v="Amazon"/>
    <d v="2024-11-16T00:00:00"/>
    <d v="2024-01-01T00:00:00"/>
    <n v="2704.6030999999998"/>
    <n v="746774"/>
    <s v="TTM"/>
    <x v="3"/>
  </r>
  <r>
    <s v="Biolage"/>
    <x v="10"/>
    <s v="Display"/>
    <s v="Amazon"/>
    <s v="Amazon"/>
    <d v="2024-11-23T00:00:00"/>
    <d v="2024-01-01T00:00:00"/>
    <n v="2760.1479000000004"/>
    <n v="618551"/>
    <s v="TTM"/>
    <x v="3"/>
  </r>
  <r>
    <s v="Biolage"/>
    <x v="10"/>
    <s v="Display"/>
    <s v="Amazon"/>
    <s v="Amazon"/>
    <d v="2024-11-30T00:00:00"/>
    <d v="2024-01-01T00:00:00"/>
    <n v="2573.301100000002"/>
    <n v="452365"/>
    <s v="TTM"/>
    <x v="3"/>
  </r>
  <r>
    <s v="Biolage"/>
    <x v="10"/>
    <s v="Display"/>
    <s v="Amazon"/>
    <s v="Amazon"/>
    <d v="2024-12-07T00:00:00"/>
    <d v="2024-01-01T00:00:00"/>
    <n v="2210.8127999999997"/>
    <n v="497445"/>
    <s v="TTM"/>
    <x v="3"/>
  </r>
  <r>
    <s v="Biolage"/>
    <x v="10"/>
    <s v="Display"/>
    <s v="Amazon"/>
    <s v="Amazon"/>
    <d v="2024-12-14T00:00:00"/>
    <d v="2024-01-01T00:00:00"/>
    <n v="1813.6373000000003"/>
    <n v="378041"/>
    <s v="TTM"/>
    <x v="3"/>
  </r>
  <r>
    <s v="Biolage"/>
    <x v="10"/>
    <s v="Display"/>
    <s v="Amazon"/>
    <s v="Amazon"/>
    <d v="2024-12-21T00:00:00"/>
    <d v="2024-01-01T00:00:00"/>
    <n v="2344.6086999999998"/>
    <n v="583140"/>
    <s v="TTM"/>
    <x v="3"/>
  </r>
  <r>
    <s v="Biolage"/>
    <x v="10"/>
    <s v="Display"/>
    <s v="Amazon"/>
    <s v="Amazon"/>
    <d v="2024-12-28T00:00:00"/>
    <d v="2024-01-01T00:00:00"/>
    <n v="4298.9947999999995"/>
    <n v="1258402"/>
    <s v="TTM"/>
    <x v="3"/>
  </r>
  <r>
    <s v="Biolage"/>
    <x v="10"/>
    <s v="Display"/>
    <s v="Amazon"/>
    <s v="Amazon"/>
    <d v="2025-01-04T00:00:00"/>
    <d v="2024-01-01T00:00:00"/>
    <n v="1616.8164000000002"/>
    <n v="413468"/>
    <s v="TTM"/>
    <x v="3"/>
  </r>
  <r>
    <s v="Biolage"/>
    <x v="10"/>
    <s v="Display"/>
    <s v="Amazon"/>
    <s v="Amazon"/>
    <d v="2025-01-04T00:00:00"/>
    <d v="2025-01-01T00:00:00"/>
    <n v="0.30299999999999999"/>
    <n v="196"/>
    <s v="TTM"/>
    <x v="3"/>
  </r>
  <r>
    <s v="Biolage"/>
    <x v="10"/>
    <s v="Search"/>
    <s v="Amazon"/>
    <s v="Amazon"/>
    <d v="2023-09-30T00:00:00"/>
    <d v="2023-01-01T00:00:00"/>
    <n v="871.51"/>
    <n v="264343"/>
    <s v="LY"/>
    <x v="4"/>
  </r>
  <r>
    <s v="Biolage"/>
    <x v="10"/>
    <s v="Search"/>
    <s v="Amazon"/>
    <s v="Amazon"/>
    <d v="2023-10-07T00:00:00"/>
    <d v="2023-01-01T00:00:00"/>
    <n v="2987.19"/>
    <n v="891471"/>
    <s v="LY"/>
    <x v="4"/>
  </r>
  <r>
    <s v="Biolage"/>
    <x v="10"/>
    <s v="Search"/>
    <s v="Amazon"/>
    <s v="Amazon"/>
    <d v="2023-10-14T00:00:00"/>
    <d v="2023-01-01T00:00:00"/>
    <n v="4198.76"/>
    <n v="1077295"/>
    <s v="LY"/>
    <x v="4"/>
  </r>
  <r>
    <s v="Biolage"/>
    <x v="10"/>
    <s v="Search"/>
    <s v="Amazon"/>
    <s v="Amazon"/>
    <d v="2023-10-21T00:00:00"/>
    <d v="2023-01-01T00:00:00"/>
    <n v="3473.7000000000003"/>
    <n v="742582"/>
    <s v="LY"/>
    <x v="4"/>
  </r>
  <r>
    <s v="Biolage"/>
    <x v="10"/>
    <s v="Search"/>
    <s v="Amazon"/>
    <s v="Amazon"/>
    <d v="2023-10-28T00:00:00"/>
    <d v="2023-01-01T00:00:00"/>
    <n v="2817.05"/>
    <n v="733337"/>
    <s v="LY"/>
    <x v="4"/>
  </r>
  <r>
    <s v="Biolage"/>
    <x v="10"/>
    <s v="Search"/>
    <s v="Amazon"/>
    <s v="Amazon"/>
    <d v="2023-11-04T00:00:00"/>
    <d v="2023-01-01T00:00:00"/>
    <n v="2040.8999999999999"/>
    <n v="694448"/>
    <s v="LY"/>
    <x v="4"/>
  </r>
  <r>
    <s v="Biolage"/>
    <x v="10"/>
    <s v="Search"/>
    <s v="Amazon"/>
    <s v="Amazon"/>
    <d v="2023-11-11T00:00:00"/>
    <d v="2023-01-01T00:00:00"/>
    <n v="1945.96"/>
    <n v="563525"/>
    <s v="LY"/>
    <x v="4"/>
  </r>
  <r>
    <s v="Biolage"/>
    <x v="10"/>
    <s v="Search"/>
    <s v="Amazon"/>
    <s v="Amazon"/>
    <d v="2023-11-18T00:00:00"/>
    <d v="2023-01-01T00:00:00"/>
    <n v="1857.8100000000002"/>
    <n v="598579"/>
    <s v="LY"/>
    <x v="4"/>
  </r>
  <r>
    <s v="Biolage"/>
    <x v="10"/>
    <s v="Search"/>
    <s v="Amazon"/>
    <s v="Amazon"/>
    <d v="2023-11-25T00:00:00"/>
    <d v="2023-01-01T00:00:00"/>
    <n v="3679.1300000000024"/>
    <n v="1018566"/>
    <s v="LY"/>
    <x v="4"/>
  </r>
  <r>
    <s v="Biolage"/>
    <x v="10"/>
    <s v="Search"/>
    <s v="Amazon"/>
    <s v="Amazon"/>
    <d v="2023-12-02T00:00:00"/>
    <d v="2023-01-01T00:00:00"/>
    <n v="4054.1899999999996"/>
    <n v="1223371"/>
    <s v="LY"/>
    <x v="4"/>
  </r>
  <r>
    <s v="Biolage"/>
    <x v="10"/>
    <s v="Search"/>
    <s v="Amazon"/>
    <s v="Amazon"/>
    <d v="2023-12-09T00:00:00"/>
    <d v="2023-01-01T00:00:00"/>
    <n v="2573.6300000000006"/>
    <n v="562133"/>
    <s v="LY"/>
    <x v="4"/>
  </r>
  <r>
    <s v="Biolage"/>
    <x v="10"/>
    <s v="Search"/>
    <s v="Amazon"/>
    <s v="Amazon"/>
    <d v="2023-12-16T00:00:00"/>
    <d v="2023-01-01T00:00:00"/>
    <n v="1848.9099999999999"/>
    <n v="331332"/>
    <s v="LY"/>
    <x v="4"/>
  </r>
  <r>
    <s v="Biolage"/>
    <x v="10"/>
    <s v="Search"/>
    <s v="Amazon"/>
    <s v="Amazon"/>
    <d v="2023-12-23T00:00:00"/>
    <d v="2023-01-01T00:00:00"/>
    <n v="1676.5199999999993"/>
    <n v="346105"/>
    <s v="LY"/>
    <x v="4"/>
  </r>
  <r>
    <s v="Biolage"/>
    <x v="10"/>
    <s v="Search"/>
    <s v="Amazon"/>
    <s v="Amazon"/>
    <d v="2023-12-30T00:00:00"/>
    <d v="2023-01-01T00:00:00"/>
    <n v="2054.0100000000002"/>
    <n v="384176"/>
    <s v="LY"/>
    <x v="4"/>
  </r>
  <r>
    <s v="Biolage"/>
    <x v="10"/>
    <s v="Search"/>
    <s v="Amazon"/>
    <s v="Amazon"/>
    <d v="2024-01-06T00:00:00"/>
    <d v="2024-01-01T00:00:00"/>
    <n v="1785.6299999999994"/>
    <n v="351747"/>
    <s v="LY"/>
    <x v="4"/>
  </r>
  <r>
    <s v="Biolage"/>
    <x v="10"/>
    <s v="Search"/>
    <s v="Amazon"/>
    <s v="Amazon"/>
    <d v="2024-01-13T00:00:00"/>
    <d v="2024-01-01T00:00:00"/>
    <n v="2811.84"/>
    <n v="482996"/>
    <s v="LY"/>
    <x v="4"/>
  </r>
  <r>
    <s v="Biolage"/>
    <x v="10"/>
    <s v="Search"/>
    <s v="Amazon"/>
    <s v="Amazon"/>
    <d v="2024-01-20T00:00:00"/>
    <d v="2024-01-01T00:00:00"/>
    <n v="3629.809999999999"/>
    <n v="775806"/>
    <s v="LY"/>
    <x v="4"/>
  </r>
  <r>
    <s v="Biolage"/>
    <x v="10"/>
    <s v="Search"/>
    <s v="Amazon"/>
    <s v="Amazon"/>
    <d v="2024-01-27T00:00:00"/>
    <d v="2024-01-01T00:00:00"/>
    <n v="4012.35"/>
    <n v="891968"/>
    <s v="LY"/>
    <x v="4"/>
  </r>
  <r>
    <s v="Biolage"/>
    <x v="10"/>
    <s v="Search"/>
    <s v="Amazon"/>
    <s v="Amazon"/>
    <d v="2024-02-03T00:00:00"/>
    <d v="2024-01-01T00:00:00"/>
    <n v="3562.9399999999987"/>
    <n v="769861"/>
    <s v="LY"/>
    <x v="4"/>
  </r>
  <r>
    <s v="Biolage"/>
    <x v="10"/>
    <s v="Search"/>
    <s v="Amazon"/>
    <s v="Amazon"/>
    <d v="2024-02-10T00:00:00"/>
    <d v="2024-01-01T00:00:00"/>
    <n v="3836.3200000000015"/>
    <n v="686710"/>
    <s v="LY"/>
    <x v="4"/>
  </r>
  <r>
    <s v="Biolage"/>
    <x v="10"/>
    <s v="Search"/>
    <s v="Amazon"/>
    <s v="Amazon"/>
    <d v="2024-02-17T00:00:00"/>
    <d v="2024-01-01T00:00:00"/>
    <n v="3157.05"/>
    <n v="644036"/>
    <s v="LY"/>
    <x v="4"/>
  </r>
  <r>
    <s v="Biolage"/>
    <x v="10"/>
    <s v="Search"/>
    <s v="Amazon"/>
    <s v="Amazon"/>
    <d v="2024-02-24T00:00:00"/>
    <d v="2024-01-01T00:00:00"/>
    <n v="3033.5299999999993"/>
    <n v="719018"/>
    <s v="LY"/>
    <x v="4"/>
  </r>
  <r>
    <s v="Biolage"/>
    <x v="10"/>
    <s v="Search"/>
    <s v="Amazon"/>
    <s v="Amazon"/>
    <d v="2024-03-02T00:00:00"/>
    <d v="2024-01-01T00:00:00"/>
    <n v="2913.8199999999983"/>
    <n v="841990"/>
    <s v="LY"/>
    <x v="4"/>
  </r>
  <r>
    <s v="Biolage"/>
    <x v="10"/>
    <s v="Search"/>
    <s v="Amazon"/>
    <s v="Amazon"/>
    <d v="2024-03-09T00:00:00"/>
    <d v="2024-01-01T00:00:00"/>
    <n v="2831.1999999999989"/>
    <n v="694958"/>
    <s v="LY"/>
    <x v="4"/>
  </r>
  <r>
    <s v="Biolage"/>
    <x v="10"/>
    <s v="Search"/>
    <s v="Amazon"/>
    <s v="Amazon"/>
    <d v="2024-03-16T00:00:00"/>
    <d v="2024-01-01T00:00:00"/>
    <n v="2529.3700000000003"/>
    <n v="729320"/>
    <s v="LY"/>
    <x v="4"/>
  </r>
  <r>
    <s v="Biolage"/>
    <x v="10"/>
    <s v="Search"/>
    <s v="Amazon"/>
    <s v="Amazon"/>
    <d v="2024-03-23T00:00:00"/>
    <d v="2024-01-01T00:00:00"/>
    <n v="3274.1199999999994"/>
    <n v="898608"/>
    <s v="LY"/>
    <x v="4"/>
  </r>
  <r>
    <s v="Biolage"/>
    <x v="10"/>
    <s v="Search"/>
    <s v="Amazon"/>
    <s v="Amazon"/>
    <d v="2024-03-30T00:00:00"/>
    <d v="2024-01-01T00:00:00"/>
    <n v="3937.3800000000006"/>
    <n v="1020919"/>
    <s v="LY"/>
    <x v="4"/>
  </r>
  <r>
    <s v="Biolage"/>
    <x v="10"/>
    <s v="Search"/>
    <s v="Amazon"/>
    <s v="Amazon"/>
    <d v="2024-04-06T00:00:00"/>
    <d v="2024-01-01T00:00:00"/>
    <n v="5528.7300000000041"/>
    <n v="1295296"/>
    <s v="LY"/>
    <x v="4"/>
  </r>
  <r>
    <s v="Biolage"/>
    <x v="10"/>
    <s v="Search"/>
    <s v="Amazon"/>
    <s v="Amazon"/>
    <d v="2024-04-13T00:00:00"/>
    <d v="2024-01-01T00:00:00"/>
    <n v="4823.760000000002"/>
    <n v="1077695"/>
    <s v="LY"/>
    <x v="4"/>
  </r>
  <r>
    <s v="Biolage"/>
    <x v="10"/>
    <s v="Search"/>
    <s v="Amazon"/>
    <s v="Amazon"/>
    <d v="2024-04-20T00:00:00"/>
    <d v="2024-01-01T00:00:00"/>
    <n v="4359.4999999999991"/>
    <n v="1978229"/>
    <s v="LY"/>
    <x v="4"/>
  </r>
  <r>
    <s v="Biolage"/>
    <x v="10"/>
    <s v="Search"/>
    <s v="Amazon"/>
    <s v="Amazon"/>
    <d v="2024-04-27T00:00:00"/>
    <d v="2024-01-01T00:00:00"/>
    <n v="3387.7199999999993"/>
    <n v="1075832"/>
    <s v="LY"/>
    <x v="4"/>
  </r>
  <r>
    <s v="Biolage"/>
    <x v="10"/>
    <s v="Search"/>
    <s v="Amazon"/>
    <s v="Amazon"/>
    <d v="2024-05-04T00:00:00"/>
    <d v="2024-01-01T00:00:00"/>
    <n v="2160.1899999999996"/>
    <n v="827872"/>
    <s v="LY"/>
    <x v="4"/>
  </r>
  <r>
    <s v="Biolage"/>
    <x v="10"/>
    <s v="Search"/>
    <s v="Amazon"/>
    <s v="Amazon"/>
    <d v="2024-05-11T00:00:00"/>
    <d v="2024-01-01T00:00:00"/>
    <n v="2152.96"/>
    <n v="715702"/>
    <s v="LY"/>
    <x v="4"/>
  </r>
  <r>
    <s v="Biolage"/>
    <x v="10"/>
    <s v="Search"/>
    <s v="Amazon"/>
    <s v="Amazon"/>
    <d v="2024-05-18T00:00:00"/>
    <d v="2024-01-01T00:00:00"/>
    <n v="3255.8899999999994"/>
    <n v="745288"/>
    <s v="LY"/>
    <x v="4"/>
  </r>
  <r>
    <s v="Biolage"/>
    <x v="10"/>
    <s v="Search"/>
    <s v="Amazon"/>
    <s v="Amazon"/>
    <d v="2024-05-25T00:00:00"/>
    <d v="2024-01-01T00:00:00"/>
    <n v="3858.7699999999995"/>
    <n v="621288"/>
    <s v="LY"/>
    <x v="4"/>
  </r>
  <r>
    <s v="Biolage"/>
    <x v="10"/>
    <s v="Search"/>
    <s v="Amazon"/>
    <s v="Amazon"/>
    <d v="2024-06-01T00:00:00"/>
    <d v="2024-01-01T00:00:00"/>
    <n v="3279.5999999999995"/>
    <n v="740847"/>
    <s v="LY"/>
    <x v="4"/>
  </r>
  <r>
    <s v="Biolage"/>
    <x v="10"/>
    <s v="Search"/>
    <s v="Amazon"/>
    <s v="Amazon"/>
    <d v="2024-06-08T00:00:00"/>
    <d v="2024-01-01T00:00:00"/>
    <n v="3180.4"/>
    <n v="765209"/>
    <s v="LY"/>
    <x v="4"/>
  </r>
  <r>
    <s v="Biolage"/>
    <x v="10"/>
    <s v="Search"/>
    <s v="Amazon"/>
    <s v="Amazon"/>
    <d v="2024-06-15T00:00:00"/>
    <d v="2024-01-01T00:00:00"/>
    <n v="3285.2799999999997"/>
    <n v="741637"/>
    <s v="LY"/>
    <x v="4"/>
  </r>
  <r>
    <s v="Biolage"/>
    <x v="10"/>
    <s v="Search"/>
    <s v="Amazon"/>
    <s v="Amazon"/>
    <d v="2024-06-22T00:00:00"/>
    <d v="2024-01-01T00:00:00"/>
    <n v="3462.05"/>
    <n v="612956"/>
    <s v="LY"/>
    <x v="4"/>
  </r>
  <r>
    <s v="Biolage"/>
    <x v="10"/>
    <s v="Search"/>
    <s v="Amazon"/>
    <s v="Amazon"/>
    <d v="2024-06-29T00:00:00"/>
    <d v="2024-01-01T00:00:00"/>
    <n v="3965.1499999999992"/>
    <n v="627005"/>
    <s v="LY"/>
    <x v="4"/>
  </r>
  <r>
    <s v="Biolage"/>
    <x v="10"/>
    <s v="Search"/>
    <s v="Amazon"/>
    <s v="Amazon"/>
    <d v="2024-07-06T00:00:00"/>
    <d v="2024-01-01T00:00:00"/>
    <n v="4526.9799999999996"/>
    <n v="640468"/>
    <s v="LY"/>
    <x v="4"/>
  </r>
  <r>
    <s v="Biolage"/>
    <x v="10"/>
    <s v="Search"/>
    <s v="Amazon"/>
    <s v="Amazon"/>
    <d v="2024-07-13T00:00:00"/>
    <d v="2024-01-01T00:00:00"/>
    <n v="4142.4400000000014"/>
    <n v="568981"/>
    <s v="TTM"/>
    <x v="4"/>
  </r>
  <r>
    <s v="Biolage"/>
    <x v="10"/>
    <s v="Search"/>
    <s v="Amazon"/>
    <s v="Amazon"/>
    <d v="2024-07-20T00:00:00"/>
    <d v="2024-01-01T00:00:00"/>
    <n v="4099.0800000000008"/>
    <n v="941940"/>
    <s v="TTM"/>
    <x v="4"/>
  </r>
  <r>
    <s v="Biolage"/>
    <x v="10"/>
    <s v="Search"/>
    <s v="Amazon"/>
    <s v="Amazon"/>
    <d v="2024-07-27T00:00:00"/>
    <d v="2024-01-01T00:00:00"/>
    <n v="2149.37"/>
    <n v="335371"/>
    <s v="TTM"/>
    <x v="4"/>
  </r>
  <r>
    <s v="Biolage"/>
    <x v="10"/>
    <s v="Search"/>
    <s v="Amazon"/>
    <s v="Amazon"/>
    <d v="2024-08-03T00:00:00"/>
    <d v="2024-01-01T00:00:00"/>
    <n v="2473.4399999999996"/>
    <n v="299878"/>
    <s v="TTM"/>
    <x v="4"/>
  </r>
  <r>
    <s v="Biolage"/>
    <x v="10"/>
    <s v="Search"/>
    <s v="Amazon"/>
    <s v="Amazon"/>
    <d v="2024-08-10T00:00:00"/>
    <d v="2024-01-01T00:00:00"/>
    <n v="2448.4599999999996"/>
    <n v="286686"/>
    <s v="TTM"/>
    <x v="4"/>
  </r>
  <r>
    <s v="Biolage"/>
    <x v="10"/>
    <s v="Search"/>
    <s v="Amazon"/>
    <s v="Amazon"/>
    <d v="2024-08-17T00:00:00"/>
    <d v="2024-01-01T00:00:00"/>
    <n v="1951.6999999999996"/>
    <n v="273564"/>
    <s v="TTM"/>
    <x v="4"/>
  </r>
  <r>
    <s v="Biolage"/>
    <x v="10"/>
    <s v="Search"/>
    <s v="Amazon"/>
    <s v="Amazon"/>
    <d v="2024-08-24T00:00:00"/>
    <d v="2024-01-01T00:00:00"/>
    <n v="1932.4700000000003"/>
    <n v="262949"/>
    <s v="TTM"/>
    <x v="4"/>
  </r>
  <r>
    <s v="Biolage"/>
    <x v="10"/>
    <s v="Search"/>
    <s v="Amazon"/>
    <s v="Amazon"/>
    <d v="2024-08-31T00:00:00"/>
    <d v="2024-01-01T00:00:00"/>
    <n v="1613.36"/>
    <n v="301632"/>
    <s v="TTM"/>
    <x v="4"/>
  </r>
  <r>
    <s v="Biolage"/>
    <x v="10"/>
    <s v="Search"/>
    <s v="Amazon"/>
    <s v="Amazon"/>
    <d v="2024-09-07T00:00:00"/>
    <d v="2024-01-01T00:00:00"/>
    <n v="1821.7199999999996"/>
    <n v="288304"/>
    <s v="TTM"/>
    <x v="4"/>
  </r>
  <r>
    <s v="Biolage"/>
    <x v="10"/>
    <s v="Search"/>
    <s v="Amazon"/>
    <s v="Amazon"/>
    <d v="2024-09-14T00:00:00"/>
    <d v="2024-01-01T00:00:00"/>
    <n v="1891.5600000000006"/>
    <n v="295106"/>
    <s v="TTM"/>
    <x v="4"/>
  </r>
  <r>
    <s v="Biolage"/>
    <x v="10"/>
    <s v="Search"/>
    <s v="Amazon"/>
    <s v="Amazon"/>
    <d v="2024-09-21T00:00:00"/>
    <d v="2024-01-01T00:00:00"/>
    <n v="2145.5999999999985"/>
    <n v="348307"/>
    <s v="TTM"/>
    <x v="4"/>
  </r>
  <r>
    <s v="Biolage"/>
    <x v="10"/>
    <s v="Search"/>
    <s v="Amazon"/>
    <s v="Amazon"/>
    <d v="2024-09-28T00:00:00"/>
    <d v="2024-01-01T00:00:00"/>
    <n v="3532.6999999999994"/>
    <n v="870706"/>
    <s v="TTM"/>
    <x v="4"/>
  </r>
  <r>
    <s v="Biolage"/>
    <x v="10"/>
    <s v="Search"/>
    <s v="Amazon"/>
    <s v="Amazon"/>
    <d v="2024-10-05T00:00:00"/>
    <d v="2024-01-01T00:00:00"/>
    <n v="3670.6900000000005"/>
    <n v="1198239"/>
    <s v="TTM"/>
    <x v="4"/>
  </r>
  <r>
    <s v="Biolage"/>
    <x v="10"/>
    <s v="Search"/>
    <s v="Amazon"/>
    <s v="Amazon"/>
    <d v="2024-10-12T00:00:00"/>
    <d v="2024-01-01T00:00:00"/>
    <n v="3259.0299999999993"/>
    <n v="1719998"/>
    <s v="TTM"/>
    <x v="4"/>
  </r>
  <r>
    <s v="Biolage"/>
    <x v="10"/>
    <s v="Search"/>
    <s v="Amazon"/>
    <s v="Amazon"/>
    <d v="2024-10-19T00:00:00"/>
    <d v="2024-01-01T00:00:00"/>
    <n v="2063.4899999999998"/>
    <n v="871709"/>
    <s v="TTM"/>
    <x v="4"/>
  </r>
  <r>
    <s v="Biolage"/>
    <x v="10"/>
    <s v="Search"/>
    <s v="Amazon"/>
    <s v="Amazon"/>
    <d v="2024-10-26T00:00:00"/>
    <d v="2024-01-01T00:00:00"/>
    <n v="2314.9099999999985"/>
    <n v="956263"/>
    <s v="TTM"/>
    <x v="4"/>
  </r>
  <r>
    <s v="Biolage"/>
    <x v="10"/>
    <s v="Search"/>
    <s v="Amazon"/>
    <s v="Amazon"/>
    <d v="2024-11-02T00:00:00"/>
    <d v="2024-01-01T00:00:00"/>
    <n v="2544.9700000000003"/>
    <n v="930529"/>
    <s v="TTM"/>
    <x v="4"/>
  </r>
  <r>
    <s v="Biolage"/>
    <x v="10"/>
    <s v="Search"/>
    <s v="Amazon"/>
    <s v="Amazon"/>
    <d v="2024-11-09T00:00:00"/>
    <d v="2024-01-01T00:00:00"/>
    <n v="2018.9900000000002"/>
    <n v="812587"/>
    <s v="TTM"/>
    <x v="4"/>
  </r>
  <r>
    <s v="Biolage"/>
    <x v="10"/>
    <s v="Search"/>
    <s v="Amazon"/>
    <s v="Amazon"/>
    <d v="2024-11-16T00:00:00"/>
    <d v="2024-01-01T00:00:00"/>
    <n v="2226.7500000000005"/>
    <n v="830782"/>
    <s v="TTM"/>
    <x v="4"/>
  </r>
  <r>
    <s v="Biolage"/>
    <x v="10"/>
    <s v="Search"/>
    <s v="Amazon"/>
    <s v="Amazon"/>
    <d v="2024-11-23T00:00:00"/>
    <d v="2024-01-01T00:00:00"/>
    <n v="2105.27"/>
    <n v="713861"/>
    <s v="TTM"/>
    <x v="4"/>
  </r>
  <r>
    <s v="Biolage"/>
    <x v="10"/>
    <s v="Search"/>
    <s v="Amazon"/>
    <s v="Amazon"/>
    <d v="2024-11-30T00:00:00"/>
    <d v="2024-01-01T00:00:00"/>
    <n v="12679.189999999997"/>
    <n v="2522021"/>
    <s v="TTM"/>
    <x v="4"/>
  </r>
  <r>
    <s v="Biolage"/>
    <x v="10"/>
    <s v="Search"/>
    <s v="Amazon"/>
    <s v="Amazon"/>
    <d v="2024-12-07T00:00:00"/>
    <d v="2024-01-01T00:00:00"/>
    <n v="5730.3500000000013"/>
    <n v="1252452"/>
    <s v="TTM"/>
    <x v="4"/>
  </r>
  <r>
    <s v="Biolage"/>
    <x v="10"/>
    <s v="Search"/>
    <s v="Amazon"/>
    <s v="Amazon"/>
    <d v="2024-12-14T00:00:00"/>
    <d v="2024-01-01T00:00:00"/>
    <n v="2402.5099999999998"/>
    <n v="1058642"/>
    <s v="TTM"/>
    <x v="4"/>
  </r>
  <r>
    <s v="Biolage"/>
    <x v="10"/>
    <s v="Search"/>
    <s v="Amazon"/>
    <s v="Amazon"/>
    <d v="2024-12-21T00:00:00"/>
    <d v="2024-01-01T00:00:00"/>
    <n v="1155.71"/>
    <n v="635074"/>
    <s v="TTM"/>
    <x v="4"/>
  </r>
  <r>
    <s v="Biolage"/>
    <x v="2"/>
    <s v="Display"/>
    <s v="Amazon"/>
    <s v="Amazon"/>
    <d v="2024-02-03T00:00:00"/>
    <d v="2024-01-01T00:00:00"/>
    <n v="1253.1614"/>
    <n v="300755"/>
    <s v="LY"/>
    <x v="3"/>
  </r>
  <r>
    <s v="Biolage"/>
    <x v="2"/>
    <s v="Display"/>
    <s v="Amazon"/>
    <s v="Amazon"/>
    <d v="2024-02-10T00:00:00"/>
    <d v="2024-01-01T00:00:00"/>
    <n v="3203.4206000000004"/>
    <n v="1070884"/>
    <s v="LY"/>
    <x v="3"/>
  </r>
  <r>
    <s v="Biolage"/>
    <x v="2"/>
    <s v="Display"/>
    <s v="Amazon"/>
    <s v="Amazon"/>
    <d v="2024-02-17T00:00:00"/>
    <d v="2024-01-01T00:00:00"/>
    <n v="3105.331900000001"/>
    <n v="903244"/>
    <s v="LY"/>
    <x v="3"/>
  </r>
  <r>
    <s v="Biolage"/>
    <x v="2"/>
    <s v="Display"/>
    <s v="Amazon"/>
    <s v="Amazon"/>
    <d v="2024-02-24T00:00:00"/>
    <d v="2024-01-01T00:00:00"/>
    <n v="3196.7196999999996"/>
    <n v="1337408"/>
    <s v="LY"/>
    <x v="3"/>
  </r>
  <r>
    <s v="Biolage"/>
    <x v="2"/>
    <s v="Display"/>
    <s v="Amazon"/>
    <s v="Amazon"/>
    <d v="2024-03-02T00:00:00"/>
    <d v="2024-01-01T00:00:00"/>
    <n v="1976.8982999999998"/>
    <n v="708695"/>
    <s v="LY"/>
    <x v="3"/>
  </r>
  <r>
    <s v="Biolage"/>
    <x v="2"/>
    <s v="Display"/>
    <s v="Amazon"/>
    <s v="Amazon"/>
    <d v="2024-03-09T00:00:00"/>
    <d v="2024-01-01T00:00:00"/>
    <n v="2282.0040000000004"/>
    <n v="1006170"/>
    <s v="LY"/>
    <x v="3"/>
  </r>
  <r>
    <s v="Biolage"/>
    <x v="2"/>
    <s v="Display"/>
    <s v="Amazon"/>
    <s v="Amazon"/>
    <d v="2024-03-16T00:00:00"/>
    <d v="2024-01-01T00:00:00"/>
    <n v="2297.9643999999998"/>
    <n v="819374"/>
    <s v="LY"/>
    <x v="3"/>
  </r>
  <r>
    <s v="Biolage"/>
    <x v="2"/>
    <s v="Display"/>
    <s v="Amazon"/>
    <s v="Amazon"/>
    <d v="2024-03-23T00:00:00"/>
    <d v="2024-01-01T00:00:00"/>
    <n v="2275.3664999999992"/>
    <n v="753534"/>
    <s v="LY"/>
    <x v="3"/>
  </r>
  <r>
    <s v="Biolage"/>
    <x v="2"/>
    <s v="Display"/>
    <s v="Amazon"/>
    <s v="Amazon"/>
    <d v="2024-03-30T00:00:00"/>
    <d v="2024-01-01T00:00:00"/>
    <n v="1870.5889999999999"/>
    <n v="562759"/>
    <s v="LY"/>
    <x v="3"/>
  </r>
  <r>
    <s v="Biolage"/>
    <x v="2"/>
    <s v="Display"/>
    <s v="Amazon"/>
    <s v="Amazon"/>
    <d v="2024-04-06T00:00:00"/>
    <d v="2024-01-01T00:00:00"/>
    <n v="125.91149999999999"/>
    <n v="55427"/>
    <s v="LY"/>
    <x v="3"/>
  </r>
  <r>
    <s v="Biolage"/>
    <x v="2"/>
    <s v="Search"/>
    <s v="Amazon"/>
    <s v="Amazon"/>
    <d v="2023-09-30T00:00:00"/>
    <d v="2023-01-01T00:00:00"/>
    <n v="385.07"/>
    <n v="44814"/>
    <s v="LY"/>
    <x v="4"/>
  </r>
  <r>
    <s v="Biolage"/>
    <x v="2"/>
    <s v="Search"/>
    <s v="Amazon"/>
    <s v="Amazon"/>
    <d v="2023-10-07T00:00:00"/>
    <d v="2023-01-01T00:00:00"/>
    <n v="510.67999999999995"/>
    <n v="89232"/>
    <s v="LY"/>
    <x v="4"/>
  </r>
  <r>
    <s v="Biolage"/>
    <x v="2"/>
    <s v="Search"/>
    <s v="Amazon"/>
    <s v="Amazon"/>
    <d v="2023-10-14T00:00:00"/>
    <d v="2023-01-01T00:00:00"/>
    <n v="247.92000000000002"/>
    <n v="55210"/>
    <s v="LY"/>
    <x v="4"/>
  </r>
  <r>
    <s v="Biolage"/>
    <x v="2"/>
    <s v="Search"/>
    <s v="Amazon"/>
    <s v="Amazon"/>
    <d v="2023-10-21T00:00:00"/>
    <d v="2023-01-01T00:00:00"/>
    <n v="147.04000000000002"/>
    <n v="24936"/>
    <s v="LY"/>
    <x v="4"/>
  </r>
  <r>
    <s v="Biolage"/>
    <x v="2"/>
    <s v="Search"/>
    <s v="Amazon"/>
    <s v="Amazon"/>
    <d v="2023-10-28T00:00:00"/>
    <d v="2023-01-01T00:00:00"/>
    <n v="190.35999999999993"/>
    <n v="21779"/>
    <s v="LY"/>
    <x v="4"/>
  </r>
  <r>
    <s v="Biolage"/>
    <x v="2"/>
    <s v="Search"/>
    <s v="Amazon"/>
    <s v="Amazon"/>
    <d v="2023-11-04T00:00:00"/>
    <d v="2023-01-01T00:00:00"/>
    <n v="235.16000000000005"/>
    <n v="35481"/>
    <s v="LY"/>
    <x v="4"/>
  </r>
  <r>
    <s v="Biolage"/>
    <x v="2"/>
    <s v="Search"/>
    <s v="Amazon"/>
    <s v="Amazon"/>
    <d v="2023-11-11T00:00:00"/>
    <d v="2023-01-01T00:00:00"/>
    <n v="306.25999999999988"/>
    <n v="29358"/>
    <s v="LY"/>
    <x v="4"/>
  </r>
  <r>
    <s v="Biolage"/>
    <x v="2"/>
    <s v="Search"/>
    <s v="Amazon"/>
    <s v="Amazon"/>
    <d v="2023-11-18T00:00:00"/>
    <d v="2023-01-01T00:00:00"/>
    <n v="320.93"/>
    <n v="19443"/>
    <s v="LY"/>
    <x v="4"/>
  </r>
  <r>
    <s v="Biolage"/>
    <x v="2"/>
    <s v="Search"/>
    <s v="Amazon"/>
    <s v="Amazon"/>
    <d v="2023-11-25T00:00:00"/>
    <d v="2023-01-01T00:00:00"/>
    <n v="5082.62"/>
    <n v="407408"/>
    <s v="LY"/>
    <x v="4"/>
  </r>
  <r>
    <s v="Biolage"/>
    <x v="2"/>
    <s v="Search"/>
    <s v="Amazon"/>
    <s v="Amazon"/>
    <d v="2023-12-02T00:00:00"/>
    <d v="2023-01-01T00:00:00"/>
    <n v="3591.6400000000008"/>
    <n v="678119"/>
    <s v="LY"/>
    <x v="4"/>
  </r>
  <r>
    <s v="Biolage"/>
    <x v="2"/>
    <s v="Search"/>
    <s v="Amazon"/>
    <s v="Amazon"/>
    <d v="2023-12-09T00:00:00"/>
    <d v="2023-01-01T00:00:00"/>
    <n v="1163.2000000000003"/>
    <n v="129196"/>
    <s v="LY"/>
    <x v="4"/>
  </r>
  <r>
    <s v="Biolage"/>
    <x v="2"/>
    <s v="Search"/>
    <s v="Amazon"/>
    <s v="Amazon"/>
    <d v="2023-12-16T00:00:00"/>
    <d v="2023-01-01T00:00:00"/>
    <n v="783.71999999999991"/>
    <n v="66236"/>
    <s v="LY"/>
    <x v="4"/>
  </r>
  <r>
    <s v="Biolage"/>
    <x v="2"/>
    <s v="Search"/>
    <s v="Amazon"/>
    <s v="Amazon"/>
    <d v="2023-12-23T00:00:00"/>
    <d v="2023-01-01T00:00:00"/>
    <n v="656.9799999999999"/>
    <n v="74942"/>
    <s v="LY"/>
    <x v="4"/>
  </r>
  <r>
    <s v="Biolage"/>
    <x v="2"/>
    <s v="Search"/>
    <s v="Amazon"/>
    <s v="Amazon"/>
    <d v="2023-12-30T00:00:00"/>
    <d v="2023-01-01T00:00:00"/>
    <n v="834.4"/>
    <n v="109160"/>
    <s v="LY"/>
    <x v="4"/>
  </r>
  <r>
    <s v="Biolage"/>
    <x v="2"/>
    <s v="Search"/>
    <s v="Amazon"/>
    <s v="Amazon"/>
    <d v="2024-01-06T00:00:00"/>
    <d v="2023-01-01T00:00:00"/>
    <n v="7.72"/>
    <n v="76"/>
    <s v="LY"/>
    <x v="4"/>
  </r>
  <r>
    <s v="Biolage"/>
    <x v="2"/>
    <s v="Search"/>
    <s v="Amazon"/>
    <s v="Amazon"/>
    <d v="2024-01-06T00:00:00"/>
    <d v="2024-01-01T00:00:00"/>
    <n v="858.87000000000012"/>
    <n v="124078"/>
    <s v="LY"/>
    <x v="4"/>
  </r>
  <r>
    <s v="Biolage"/>
    <x v="2"/>
    <s v="Search"/>
    <s v="Amazon"/>
    <s v="Amazon"/>
    <d v="2024-01-13T00:00:00"/>
    <d v="2024-01-01T00:00:00"/>
    <n v="912.7199999999998"/>
    <n v="139558"/>
    <s v="LY"/>
    <x v="4"/>
  </r>
  <r>
    <s v="Biolage"/>
    <x v="2"/>
    <s v="Search"/>
    <s v="Amazon"/>
    <s v="Amazon"/>
    <d v="2024-01-20T00:00:00"/>
    <d v="2024-01-01T00:00:00"/>
    <n v="1378.6"/>
    <n v="198343"/>
    <s v="LY"/>
    <x v="4"/>
  </r>
  <r>
    <s v="Biolage"/>
    <x v="2"/>
    <s v="Search"/>
    <s v="Amazon"/>
    <s v="Amazon"/>
    <d v="2024-01-27T00:00:00"/>
    <d v="2024-01-01T00:00:00"/>
    <n v="2334.13"/>
    <n v="288444"/>
    <s v="LY"/>
    <x v="4"/>
  </r>
  <r>
    <s v="Biolage"/>
    <x v="2"/>
    <s v="Search"/>
    <s v="Amazon"/>
    <s v="Amazon"/>
    <d v="2024-02-03T00:00:00"/>
    <d v="2024-01-01T00:00:00"/>
    <n v="1843.3400000000006"/>
    <n v="284188"/>
    <s v="LY"/>
    <x v="4"/>
  </r>
  <r>
    <s v="Biolage"/>
    <x v="2"/>
    <s v="Search"/>
    <s v="Amazon"/>
    <s v="Amazon"/>
    <d v="2024-02-10T00:00:00"/>
    <d v="2024-01-01T00:00:00"/>
    <n v="2253.2000000000003"/>
    <n v="374587"/>
    <s v="LY"/>
    <x v="4"/>
  </r>
  <r>
    <s v="Biolage"/>
    <x v="2"/>
    <s v="Search"/>
    <s v="Amazon"/>
    <s v="Amazon"/>
    <d v="2024-02-17T00:00:00"/>
    <d v="2024-01-01T00:00:00"/>
    <n v="1465.4899999999998"/>
    <n v="309820"/>
    <s v="LY"/>
    <x v="4"/>
  </r>
  <r>
    <s v="Biolage"/>
    <x v="2"/>
    <s v="Search"/>
    <s v="Amazon"/>
    <s v="Amazon"/>
    <d v="2024-02-24T00:00:00"/>
    <d v="2024-01-01T00:00:00"/>
    <n v="768.31000000000006"/>
    <n v="249641"/>
    <s v="LY"/>
    <x v="4"/>
  </r>
  <r>
    <s v="Biolage"/>
    <x v="2"/>
    <s v="Search"/>
    <s v="Amazon"/>
    <s v="Amazon"/>
    <d v="2024-03-02T00:00:00"/>
    <d v="2024-01-01T00:00:00"/>
    <n v="665.07"/>
    <n v="263103"/>
    <s v="LY"/>
    <x v="4"/>
  </r>
  <r>
    <s v="Biolage"/>
    <x v="2"/>
    <s v="Search"/>
    <s v="Amazon"/>
    <s v="Amazon"/>
    <d v="2024-03-09T00:00:00"/>
    <d v="2024-01-01T00:00:00"/>
    <n v="801.31999999999982"/>
    <n v="284700"/>
    <s v="LY"/>
    <x v="4"/>
  </r>
  <r>
    <s v="Biolage"/>
    <x v="2"/>
    <s v="Search"/>
    <s v="Amazon"/>
    <s v="Amazon"/>
    <d v="2024-03-16T00:00:00"/>
    <d v="2024-01-01T00:00:00"/>
    <n v="787.84000000000015"/>
    <n v="251088"/>
    <s v="LY"/>
    <x v="4"/>
  </r>
  <r>
    <s v="Biolage"/>
    <x v="2"/>
    <s v="Search"/>
    <s v="Amazon"/>
    <s v="Amazon"/>
    <d v="2024-03-23T00:00:00"/>
    <d v="2024-01-01T00:00:00"/>
    <n v="499.90999999999997"/>
    <n v="136258"/>
    <s v="LY"/>
    <x v="4"/>
  </r>
  <r>
    <s v="Biolage"/>
    <x v="11"/>
    <s v="Search"/>
    <s v="Amazon"/>
    <s v="Amazon"/>
    <d v="2023-07-29T00:00:00"/>
    <d v="2023-01-01T00:00:00"/>
    <n v="141.92000000000002"/>
    <n v="32353"/>
    <s v="LY"/>
    <x v="4"/>
  </r>
  <r>
    <s v="Biolage"/>
    <x v="11"/>
    <s v="Search"/>
    <s v="Amazon"/>
    <s v="Amazon"/>
    <d v="2023-08-05T00:00:00"/>
    <d v="2023-01-01T00:00:00"/>
    <n v="90.8"/>
    <n v="35542"/>
    <s v="LY"/>
    <x v="4"/>
  </r>
  <r>
    <s v="Biolage"/>
    <x v="11"/>
    <s v="Search"/>
    <s v="Amazon"/>
    <s v="Amazon"/>
    <d v="2023-08-12T00:00:00"/>
    <d v="2023-01-01T00:00:00"/>
    <n v="29.840000000000003"/>
    <n v="17713"/>
    <s v="LY"/>
    <x v="4"/>
  </r>
  <r>
    <s v="Biolage"/>
    <x v="11"/>
    <s v="Search"/>
    <s v="Amazon"/>
    <s v="Amazon"/>
    <d v="2023-08-19T00:00:00"/>
    <d v="2023-01-01T00:00:00"/>
    <n v="10.809999999999999"/>
    <n v="10665"/>
    <s v="LY"/>
    <x v="4"/>
  </r>
  <r>
    <s v="Biolage"/>
    <x v="11"/>
    <s v="Search"/>
    <s v="Amazon"/>
    <s v="Amazon"/>
    <d v="2023-08-26T00:00:00"/>
    <d v="2023-01-01T00:00:00"/>
    <n v="14.78"/>
    <n v="18598"/>
    <s v="LY"/>
    <x v="4"/>
  </r>
  <r>
    <s v="Biolage"/>
    <x v="11"/>
    <s v="Search"/>
    <s v="Amazon"/>
    <s v="Amazon"/>
    <d v="2023-09-02T00:00:00"/>
    <d v="2023-01-01T00:00:00"/>
    <n v="33.820000000000007"/>
    <n v="25234"/>
    <s v="LY"/>
    <x v="4"/>
  </r>
  <r>
    <s v="Biolage"/>
    <x v="11"/>
    <s v="Search"/>
    <s v="Amazon"/>
    <s v="Amazon"/>
    <d v="2023-09-09T00:00:00"/>
    <d v="2023-01-01T00:00:00"/>
    <n v="5.69"/>
    <n v="6391"/>
    <s v="LY"/>
    <x v="4"/>
  </r>
  <r>
    <s v="Biolage"/>
    <x v="11"/>
    <s v="Search"/>
    <s v="Amazon"/>
    <s v="Amazon"/>
    <d v="2023-09-16T00:00:00"/>
    <d v="2023-01-01T00:00:00"/>
    <n v="0.26"/>
    <n v="72"/>
    <s v="LY"/>
    <x v="4"/>
  </r>
  <r>
    <s v="Biolage"/>
    <x v="11"/>
    <s v="Search"/>
    <s v="Amazon"/>
    <s v="Amazon"/>
    <d v="2023-09-23T00:00:00"/>
    <d v="2023-01-01T00:00:00"/>
    <n v="0.65"/>
    <n v="232"/>
    <s v="LY"/>
    <x v="4"/>
  </r>
  <r>
    <s v="Biolage"/>
    <x v="11"/>
    <s v="Search"/>
    <s v="Amazon"/>
    <s v="Amazon"/>
    <d v="2023-09-30T00:00:00"/>
    <d v="2023-01-01T00:00:00"/>
    <n v="0.26"/>
    <n v="65"/>
    <s v="LY"/>
    <x v="4"/>
  </r>
  <r>
    <s v="Biolage"/>
    <x v="11"/>
    <s v="Search"/>
    <s v="Amazon"/>
    <s v="Amazon"/>
    <d v="2023-10-21T00:00:00"/>
    <d v="2023-01-01T00:00:00"/>
    <n v="0.26"/>
    <n v="36"/>
    <s v="LY"/>
    <x v="4"/>
  </r>
  <r>
    <s v="Biolage"/>
    <x v="11"/>
    <s v="Search"/>
    <s v="Amazon"/>
    <s v="Amazon"/>
    <d v="2024-01-06T00:00:00"/>
    <d v="2024-01-01T00:00:00"/>
    <n v="0.76"/>
    <n v="331"/>
    <s v="LY"/>
    <x v="4"/>
  </r>
  <r>
    <s v="Biolage"/>
    <x v="11"/>
    <s v="Search"/>
    <s v="Amazon"/>
    <s v="Amazon"/>
    <d v="2024-01-13T00:00:00"/>
    <d v="2024-01-01T00:00:00"/>
    <n v="0.37"/>
    <n v="274"/>
    <s v="LY"/>
    <x v="4"/>
  </r>
  <r>
    <s v="Biolage"/>
    <x v="11"/>
    <s v="Search"/>
    <s v="Amazon"/>
    <s v="Amazon"/>
    <d v="2024-01-20T00:00:00"/>
    <d v="2024-01-01T00:00:00"/>
    <n v="1.1099999999999999"/>
    <n v="3652"/>
    <s v="LY"/>
    <x v="4"/>
  </r>
  <r>
    <s v="Biolage"/>
    <x v="11"/>
    <s v="Search"/>
    <s v="Amazon"/>
    <s v="Amazon"/>
    <d v="2024-01-27T00:00:00"/>
    <d v="2024-01-01T00:00:00"/>
    <n v="1.23"/>
    <n v="3069"/>
    <s v="LY"/>
    <x v="4"/>
  </r>
  <r>
    <s v="Biolage"/>
    <x v="11"/>
    <s v="Search"/>
    <s v="Amazon"/>
    <s v="Amazon"/>
    <d v="2024-02-03T00:00:00"/>
    <d v="2024-01-01T00:00:00"/>
    <n v="1.1099999999999999"/>
    <n v="1217"/>
    <s v="LY"/>
    <x v="4"/>
  </r>
  <r>
    <s v="Biolage"/>
    <x v="11"/>
    <s v="Search"/>
    <s v="Amazon"/>
    <s v="Amazon"/>
    <d v="2024-02-10T00:00:00"/>
    <d v="2024-01-01T00:00:00"/>
    <n v="0.37"/>
    <n v="357"/>
    <s v="LY"/>
    <x v="4"/>
  </r>
  <r>
    <s v="Biolage"/>
    <x v="11"/>
    <s v="Search"/>
    <s v="Amazon"/>
    <s v="Amazon"/>
    <d v="2024-02-17T00:00:00"/>
    <d v="2024-01-01T00:00:00"/>
    <n v="0.37"/>
    <n v="391"/>
    <s v="LY"/>
    <x v="4"/>
  </r>
  <r>
    <s v="Biolage"/>
    <x v="11"/>
    <s v="Search"/>
    <s v="Amazon"/>
    <s v="Amazon"/>
    <d v="2024-03-02T00:00:00"/>
    <d v="2024-01-01T00:00:00"/>
    <n v="0.74"/>
    <n v="970"/>
    <s v="LY"/>
    <x v="4"/>
  </r>
  <r>
    <s v="Biolage"/>
    <x v="11"/>
    <s v="Search"/>
    <s v="Amazon"/>
    <s v="Amazon"/>
    <d v="2024-03-09T00:00:00"/>
    <d v="2024-01-01T00:00:00"/>
    <n v="1.1099999999999999"/>
    <n v="2695"/>
    <s v="LY"/>
    <x v="4"/>
  </r>
  <r>
    <s v="Biolage"/>
    <x v="11"/>
    <s v="Search"/>
    <s v="Amazon"/>
    <s v="Amazon"/>
    <d v="2024-03-16T00:00:00"/>
    <d v="2024-01-01T00:00:00"/>
    <n v="0.37"/>
    <n v="646"/>
    <s v="LY"/>
    <x v="4"/>
  </r>
  <r>
    <s v="Biolage"/>
    <x v="11"/>
    <s v="Search"/>
    <s v="Amazon"/>
    <s v="Amazon"/>
    <d v="2024-03-30T00:00:00"/>
    <d v="2024-01-01T00:00:00"/>
    <n v="0.37"/>
    <n v="1437"/>
    <s v="LY"/>
    <x v="4"/>
  </r>
  <r>
    <s v="Biolage"/>
    <x v="11"/>
    <s v="Search"/>
    <s v="Amazon"/>
    <s v="Amazon"/>
    <d v="2024-04-06T00:00:00"/>
    <d v="2024-01-01T00:00:00"/>
    <n v="0.77"/>
    <n v="3586"/>
    <s v="LY"/>
    <x v="4"/>
  </r>
  <r>
    <s v="Biolage"/>
    <x v="11"/>
    <s v="Search"/>
    <s v="Amazon"/>
    <s v="Amazon"/>
    <d v="2024-04-13T00:00:00"/>
    <d v="2024-01-01T00:00:00"/>
    <n v="0.37"/>
    <n v="2051"/>
    <s v="LY"/>
    <x v="4"/>
  </r>
  <r>
    <s v="Biolage"/>
    <x v="11"/>
    <s v="Search"/>
    <s v="Amazon"/>
    <s v="Amazon"/>
    <d v="2024-05-04T00:00:00"/>
    <d v="2024-01-01T00:00:00"/>
    <n v="0.74"/>
    <n v="438"/>
    <s v="LY"/>
    <x v="4"/>
  </r>
  <r>
    <s v="Biolage"/>
    <x v="11"/>
    <s v="Search"/>
    <s v="Amazon"/>
    <s v="Amazon"/>
    <d v="2024-05-11T00:00:00"/>
    <d v="2024-01-01T00:00:00"/>
    <n v="1.1099999999999999"/>
    <n v="760"/>
    <s v="LY"/>
    <x v="4"/>
  </r>
  <r>
    <s v="Biolage"/>
    <x v="11"/>
    <s v="Search"/>
    <s v="Amazon"/>
    <s v="Amazon"/>
    <d v="2024-06-01T00:00:00"/>
    <d v="2024-01-01T00:00:00"/>
    <n v="0.37"/>
    <n v="1797"/>
    <s v="LY"/>
    <x v="4"/>
  </r>
  <r>
    <s v="Biolage"/>
    <x v="11"/>
    <s v="Search"/>
    <s v="Amazon"/>
    <s v="Amazon"/>
    <d v="2024-06-08T00:00:00"/>
    <d v="2024-01-01T00:00:00"/>
    <n v="0.37"/>
    <n v="2199"/>
    <s v="LY"/>
    <x v="4"/>
  </r>
  <r>
    <s v="Biolage"/>
    <x v="11"/>
    <s v="Search"/>
    <s v="Amazon"/>
    <s v="Amazon"/>
    <d v="2024-06-15T00:00:00"/>
    <d v="2024-01-01T00:00:00"/>
    <n v="0.37"/>
    <n v="428"/>
    <s v="LY"/>
    <x v="4"/>
  </r>
  <r>
    <s v="Biolage"/>
    <x v="11"/>
    <s v="Search"/>
    <s v="Amazon"/>
    <s v="Amazon"/>
    <d v="2024-07-20T00:00:00"/>
    <d v="2024-01-01T00:00:00"/>
    <n v="0.74"/>
    <n v="730"/>
    <s v="TTM"/>
    <x v="4"/>
  </r>
  <r>
    <s v="Biolage"/>
    <x v="11"/>
    <s v="Search"/>
    <s v="Amazon"/>
    <s v="Amazon"/>
    <d v="2024-07-27T00:00:00"/>
    <d v="2024-01-01T00:00:00"/>
    <n v="0.37"/>
    <n v="571"/>
    <s v="TTM"/>
    <x v="4"/>
  </r>
  <r>
    <s v="Biolage"/>
    <x v="11"/>
    <s v="Search"/>
    <s v="Amazon"/>
    <s v="Amazon"/>
    <d v="2024-08-03T00:00:00"/>
    <d v="2024-01-01T00:00:00"/>
    <n v="0.37"/>
    <n v="683"/>
    <s v="TTM"/>
    <x v="4"/>
  </r>
  <r>
    <s v="Biolage"/>
    <x v="11"/>
    <s v="Search"/>
    <s v="Amazon"/>
    <s v="Amazon"/>
    <d v="2024-08-24T00:00:00"/>
    <d v="2024-01-01T00:00:00"/>
    <n v="0.37"/>
    <n v="227"/>
    <s v="TTM"/>
    <x v="4"/>
  </r>
  <r>
    <s v="Biolage"/>
    <x v="11"/>
    <s v="Search"/>
    <s v="Amazon"/>
    <s v="Amazon"/>
    <d v="2024-08-31T00:00:00"/>
    <d v="2024-01-01T00:00:00"/>
    <n v="0.37"/>
    <n v="1586"/>
    <s v="TTM"/>
    <x v="4"/>
  </r>
  <r>
    <s v="Biolage"/>
    <x v="11"/>
    <s v="Search"/>
    <s v="Amazon"/>
    <s v="Amazon"/>
    <d v="2024-09-07T00:00:00"/>
    <d v="2024-01-01T00:00:00"/>
    <n v="1.48"/>
    <n v="3938"/>
    <s v="TTM"/>
    <x v="4"/>
  </r>
  <r>
    <s v="Biolage"/>
    <x v="11"/>
    <s v="Search"/>
    <s v="Amazon"/>
    <s v="Amazon"/>
    <d v="2024-09-14T00:00:00"/>
    <d v="2024-01-01T00:00:00"/>
    <n v="0.37"/>
    <n v="1010"/>
    <s v="TTM"/>
    <x v="4"/>
  </r>
  <r>
    <s v="Biolage"/>
    <x v="11"/>
    <s v="Search"/>
    <s v="Amazon"/>
    <s v="Amazon"/>
    <d v="2024-09-21T00:00:00"/>
    <d v="2024-01-01T00:00:00"/>
    <n v="0.37"/>
    <n v="826"/>
    <s v="TTM"/>
    <x v="4"/>
  </r>
  <r>
    <s v="Biolage"/>
    <x v="11"/>
    <s v="Search"/>
    <s v="Amazon"/>
    <s v="Amazon"/>
    <d v="2024-09-28T00:00:00"/>
    <d v="2024-01-01T00:00:00"/>
    <n v="0.28999999999999998"/>
    <n v="1128"/>
    <s v="TTM"/>
    <x v="4"/>
  </r>
  <r>
    <s v="Biolage"/>
    <x v="11"/>
    <s v="Search"/>
    <s v="Amazon"/>
    <s v="Amazon"/>
    <d v="2024-10-05T00:00:00"/>
    <d v="2024-01-01T00:00:00"/>
    <n v="0.37"/>
    <n v="776"/>
    <s v="TTM"/>
    <x v="4"/>
  </r>
  <r>
    <s v="Biolage"/>
    <x v="11"/>
    <s v="Search"/>
    <s v="Amazon"/>
    <s v="Amazon"/>
    <d v="2024-10-12T00:00:00"/>
    <d v="2024-01-01T00:00:00"/>
    <n v="0.37"/>
    <n v="891"/>
    <s v="TTM"/>
    <x v="4"/>
  </r>
  <r>
    <s v="Biolage"/>
    <x v="11"/>
    <s v="Search"/>
    <s v="Amazon"/>
    <s v="Amazon"/>
    <d v="2024-10-19T00:00:00"/>
    <d v="2024-01-01T00:00:00"/>
    <n v="0.74"/>
    <n v="2054"/>
    <s v="TTM"/>
    <x v="4"/>
  </r>
  <r>
    <s v="Biolage"/>
    <x v="11"/>
    <s v="Search"/>
    <s v="Amazon"/>
    <s v="Amazon"/>
    <d v="2024-11-23T00:00:00"/>
    <d v="2024-01-01T00:00:00"/>
    <n v="0.35"/>
    <n v="138"/>
    <s v="TTM"/>
    <x v="4"/>
  </r>
  <r>
    <s v="Biolage"/>
    <x v="11"/>
    <s v="Search"/>
    <s v="Amazon"/>
    <s v="Amazon"/>
    <d v="2025-01-04T00:00:00"/>
    <d v="2025-01-01T00:00:00"/>
    <n v="0.37"/>
    <n v="261"/>
    <s v="TTM"/>
    <x v="4"/>
  </r>
  <r>
    <s v="Biolage"/>
    <x v="11"/>
    <s v="Search"/>
    <s v="Amazon"/>
    <s v="Amazon"/>
    <d v="2025-01-18T00:00:00"/>
    <d v="2025-01-01T00:00:00"/>
    <n v="0.74"/>
    <n v="48"/>
    <s v="TTM"/>
    <x v="4"/>
  </r>
  <r>
    <s v="Biolage"/>
    <x v="11"/>
    <s v="Search"/>
    <s v="Amazon"/>
    <s v="Amazon"/>
    <d v="2025-01-25T00:00:00"/>
    <d v="2025-01-01T00:00:00"/>
    <n v="0.37"/>
    <n v="104"/>
    <s v="TTM"/>
    <x v="4"/>
  </r>
  <r>
    <s v="Biolage"/>
    <x v="11"/>
    <s v="Search"/>
    <s v="Amazon"/>
    <s v="Amazon"/>
    <d v="2025-02-22T00:00:00"/>
    <d v="2025-01-01T00:00:00"/>
    <n v="0.37"/>
    <n v="94"/>
    <s v="TTM"/>
    <x v="4"/>
  </r>
  <r>
    <s v="Biolage"/>
    <x v="11"/>
    <s v="Search"/>
    <s v="Amazon"/>
    <s v="Amazon"/>
    <d v="2025-06-14T00:00:00"/>
    <d v="2025-01-01T00:00:00"/>
    <n v="9.91"/>
    <n v="8085"/>
    <s v="TTM"/>
    <x v="4"/>
  </r>
  <r>
    <s v="Biolage"/>
    <x v="11"/>
    <s v="Search"/>
    <s v="Amazon"/>
    <s v="Amazon"/>
    <d v="2025-06-21T00:00:00"/>
    <d v="2025-01-01T00:00:00"/>
    <n v="2.99"/>
    <n v="5268"/>
    <s v="TTM"/>
    <x v="4"/>
  </r>
  <r>
    <s v="Biolage"/>
    <x v="11"/>
    <s v="Search"/>
    <s v="Amazon"/>
    <s v="Amazon"/>
    <d v="2025-06-28T00:00:00"/>
    <d v="2025-01-01T00:00:00"/>
    <n v="2.16"/>
    <n v="3389"/>
    <s v="TTM"/>
    <x v="4"/>
  </r>
  <r>
    <s v="Biolage"/>
    <x v="12"/>
    <s v="Search"/>
    <s v="Google"/>
    <s v="Biolage"/>
    <d v="2023-09-30T00:00:00"/>
    <d v="2023-01-01T00:00:00"/>
    <n v="120.74000000000001"/>
    <n v="392"/>
    <s v="LY"/>
    <x v="6"/>
  </r>
  <r>
    <s v="Biolage"/>
    <x v="12"/>
    <s v="Search"/>
    <s v="Google"/>
    <s v="Biolage"/>
    <d v="2023-10-07T00:00:00"/>
    <d v="2023-01-01T00:00:00"/>
    <n v="131.97"/>
    <n v="441"/>
    <s v="LY"/>
    <x v="6"/>
  </r>
  <r>
    <s v="Biolage"/>
    <x v="12"/>
    <s v="Search"/>
    <s v="Google"/>
    <s v="Biolage"/>
    <d v="2023-10-14T00:00:00"/>
    <d v="2023-01-01T00:00:00"/>
    <n v="106.57"/>
    <n v="394"/>
    <s v="LY"/>
    <x v="6"/>
  </r>
  <r>
    <s v="Biolage"/>
    <x v="12"/>
    <s v="Search"/>
    <s v="Google"/>
    <s v="Biolage"/>
    <d v="2023-10-21T00:00:00"/>
    <d v="2023-01-01T00:00:00"/>
    <n v="129.69999999999999"/>
    <n v="604"/>
    <s v="LY"/>
    <x v="6"/>
  </r>
  <r>
    <s v="Biolage"/>
    <x v="12"/>
    <s v="Search"/>
    <s v="Google"/>
    <s v="Biolage"/>
    <d v="2023-10-28T00:00:00"/>
    <d v="2023-01-01T00:00:00"/>
    <n v="104.4"/>
    <n v="463"/>
    <s v="LY"/>
    <x v="6"/>
  </r>
  <r>
    <s v="Biolage"/>
    <x v="12"/>
    <s v="Search"/>
    <s v="Google"/>
    <s v="Biolage"/>
    <d v="2023-11-04T00:00:00"/>
    <d v="2023-01-01T00:00:00"/>
    <n v="122.03999999999999"/>
    <n v="439"/>
    <s v="LY"/>
    <x v="6"/>
  </r>
  <r>
    <s v="Biolage"/>
    <x v="12"/>
    <s v="Search"/>
    <s v="Google"/>
    <s v="Biolage"/>
    <d v="2023-11-11T00:00:00"/>
    <d v="2023-01-01T00:00:00"/>
    <n v="145.9"/>
    <n v="492"/>
    <s v="LY"/>
    <x v="6"/>
  </r>
  <r>
    <s v="Biolage"/>
    <x v="12"/>
    <s v="Search"/>
    <s v="Google"/>
    <s v="Biolage"/>
    <d v="2023-11-18T00:00:00"/>
    <d v="2023-01-01T00:00:00"/>
    <n v="123.50999999999999"/>
    <n v="431"/>
    <s v="LY"/>
    <x v="6"/>
  </r>
  <r>
    <s v="Biolage"/>
    <x v="12"/>
    <s v="Search"/>
    <s v="Google"/>
    <s v="Biolage"/>
    <d v="2023-11-25T00:00:00"/>
    <d v="2023-01-01T00:00:00"/>
    <n v="141.13999999999999"/>
    <n v="412"/>
    <s v="LY"/>
    <x v="6"/>
  </r>
  <r>
    <s v="Biolage"/>
    <x v="12"/>
    <s v="Search"/>
    <s v="Google"/>
    <s v="Biolage"/>
    <d v="2023-12-02T00:00:00"/>
    <d v="2023-01-01T00:00:00"/>
    <n v="60.36"/>
    <n v="375"/>
    <s v="LY"/>
    <x v="6"/>
  </r>
  <r>
    <s v="Biolage"/>
    <x v="12"/>
    <s v="Search"/>
    <s v="Google"/>
    <s v="Biolage"/>
    <d v="2023-12-09T00:00:00"/>
    <d v="2023-01-01T00:00:00"/>
    <n v="103.17999999999999"/>
    <n v="390"/>
    <s v="LY"/>
    <x v="6"/>
  </r>
  <r>
    <s v="Biolage"/>
    <x v="12"/>
    <s v="Search"/>
    <s v="Google"/>
    <s v="Biolage"/>
    <d v="2023-12-16T00:00:00"/>
    <d v="2023-01-01T00:00:00"/>
    <n v="142.57999999999998"/>
    <n v="452"/>
    <s v="LY"/>
    <x v="6"/>
  </r>
  <r>
    <s v="Biolage"/>
    <x v="12"/>
    <s v="Search"/>
    <s v="Google"/>
    <s v="Biolage"/>
    <d v="2023-12-23T00:00:00"/>
    <d v="2023-01-01T00:00:00"/>
    <n v="167.07"/>
    <n v="533"/>
    <s v="LY"/>
    <x v="6"/>
  </r>
  <r>
    <s v="Biolage"/>
    <x v="12"/>
    <s v="Search"/>
    <s v="Google"/>
    <s v="Biolage"/>
    <d v="2023-12-30T00:00:00"/>
    <d v="2023-01-01T00:00:00"/>
    <n v="137.16999999999999"/>
    <n v="351"/>
    <s v="LY"/>
    <x v="6"/>
  </r>
  <r>
    <s v="Biolage"/>
    <x v="12"/>
    <s v="Search"/>
    <s v="Google"/>
    <s v="Biolage"/>
    <d v="2024-01-06T00:00:00"/>
    <d v="2024-01-01T00:00:00"/>
    <n v="74.27"/>
    <n v="301"/>
    <s v="LY"/>
    <x v="6"/>
  </r>
  <r>
    <s v="Biolage"/>
    <x v="12"/>
    <s v="Search"/>
    <s v="Google"/>
    <s v="Biolage"/>
    <d v="2024-01-13T00:00:00"/>
    <d v="2024-01-01T00:00:00"/>
    <n v="55.88"/>
    <n v="347"/>
    <s v="LY"/>
    <x v="6"/>
  </r>
  <r>
    <s v="Biolage"/>
    <x v="12"/>
    <s v="Search"/>
    <s v="Google"/>
    <s v="Biolage"/>
    <d v="2024-01-20T00:00:00"/>
    <d v="2024-01-01T00:00:00"/>
    <n v="52.760000000000005"/>
    <n v="263"/>
    <s v="LY"/>
    <x v="6"/>
  </r>
  <r>
    <s v="Biolage"/>
    <x v="12"/>
    <s v="Search"/>
    <s v="Google"/>
    <s v="Biolage"/>
    <d v="2024-01-27T00:00:00"/>
    <d v="2024-01-01T00:00:00"/>
    <n v="45.43"/>
    <n v="294"/>
    <s v="LY"/>
    <x v="6"/>
  </r>
  <r>
    <s v="Biolage"/>
    <x v="12"/>
    <s v="Search"/>
    <s v="Google"/>
    <s v="Biolage"/>
    <d v="2024-02-03T00:00:00"/>
    <d v="2024-01-01T00:00:00"/>
    <n v="54.76"/>
    <n v="277"/>
    <s v="LY"/>
    <x v="6"/>
  </r>
  <r>
    <s v="Biolage"/>
    <x v="12"/>
    <s v="Search"/>
    <s v="Google"/>
    <s v="Biolage"/>
    <d v="2024-02-10T00:00:00"/>
    <d v="2024-01-01T00:00:00"/>
    <n v="46.79"/>
    <n v="271"/>
    <s v="LY"/>
    <x v="6"/>
  </r>
  <r>
    <s v="Biolage"/>
    <x v="12"/>
    <s v="Search"/>
    <s v="Google"/>
    <s v="Biolage"/>
    <d v="2024-02-17T00:00:00"/>
    <d v="2024-01-01T00:00:00"/>
    <n v="57.47"/>
    <n v="265"/>
    <s v="LY"/>
    <x v="6"/>
  </r>
  <r>
    <s v="Biolage"/>
    <x v="12"/>
    <s v="Search"/>
    <s v="Google"/>
    <s v="Biolage"/>
    <d v="2024-02-24T00:00:00"/>
    <d v="2024-01-01T00:00:00"/>
    <n v="72.95"/>
    <n v="322"/>
    <s v="LY"/>
    <x v="6"/>
  </r>
  <r>
    <s v="Biolage"/>
    <x v="12"/>
    <s v="Search"/>
    <s v="Google"/>
    <s v="Biolage"/>
    <d v="2024-03-02T00:00:00"/>
    <d v="2024-01-01T00:00:00"/>
    <n v="78.69"/>
    <n v="398"/>
    <s v="LY"/>
    <x v="6"/>
  </r>
  <r>
    <s v="Biolage"/>
    <x v="12"/>
    <s v="Search"/>
    <s v="Google"/>
    <s v="Biolage"/>
    <d v="2024-03-09T00:00:00"/>
    <d v="2024-01-01T00:00:00"/>
    <n v="93.210000000000008"/>
    <n v="419"/>
    <s v="LY"/>
    <x v="6"/>
  </r>
  <r>
    <s v="Biolage"/>
    <x v="12"/>
    <s v="Search"/>
    <s v="Google"/>
    <s v="Biolage"/>
    <d v="2024-03-16T00:00:00"/>
    <d v="2024-01-01T00:00:00"/>
    <n v="107.19"/>
    <n v="409"/>
    <s v="LY"/>
    <x v="6"/>
  </r>
  <r>
    <s v="Biolage"/>
    <x v="12"/>
    <s v="Search"/>
    <s v="Google"/>
    <s v="Biolage"/>
    <d v="2024-03-23T00:00:00"/>
    <d v="2024-01-01T00:00:00"/>
    <n v="120.44"/>
    <n v="563"/>
    <s v="LY"/>
    <x v="6"/>
  </r>
  <r>
    <s v="Biolage"/>
    <x v="12"/>
    <s v="Search"/>
    <s v="Google"/>
    <s v="Biolage"/>
    <d v="2024-03-30T00:00:00"/>
    <d v="2024-01-01T00:00:00"/>
    <n v="91.12"/>
    <n v="408"/>
    <s v="LY"/>
    <x v="6"/>
  </r>
  <r>
    <s v="Biolage"/>
    <x v="12"/>
    <s v="Search"/>
    <s v="Google"/>
    <s v="Biolage"/>
    <d v="2024-04-06T00:00:00"/>
    <d v="2024-01-01T00:00:00"/>
    <n v="100.25999999999999"/>
    <n v="418"/>
    <s v="LY"/>
    <x v="6"/>
  </r>
  <r>
    <s v="Biolage"/>
    <x v="12"/>
    <s v="Search"/>
    <s v="Google"/>
    <s v="Biolage"/>
    <d v="2024-04-13T00:00:00"/>
    <d v="2024-01-01T00:00:00"/>
    <n v="81.94"/>
    <n v="358"/>
    <s v="LY"/>
    <x v="6"/>
  </r>
  <r>
    <s v="Biolage"/>
    <x v="12"/>
    <s v="Search"/>
    <s v="Google"/>
    <s v="Biolage"/>
    <d v="2024-04-20T00:00:00"/>
    <d v="2024-01-01T00:00:00"/>
    <n v="86.32"/>
    <n v="374"/>
    <s v="LY"/>
    <x v="6"/>
  </r>
  <r>
    <s v="Biolage"/>
    <x v="12"/>
    <s v="Search"/>
    <s v="Google"/>
    <s v="Biolage"/>
    <d v="2024-04-27T00:00:00"/>
    <d v="2024-01-01T00:00:00"/>
    <n v="81.53"/>
    <n v="451"/>
    <s v="LY"/>
    <x v="6"/>
  </r>
  <r>
    <s v="Biolage"/>
    <x v="12"/>
    <s v="Search"/>
    <s v="Google"/>
    <s v="Biolage"/>
    <d v="2024-05-04T00:00:00"/>
    <d v="2024-01-01T00:00:00"/>
    <n v="72.64"/>
    <n v="336"/>
    <s v="LY"/>
    <x v="6"/>
  </r>
  <r>
    <s v="Biolage"/>
    <x v="12"/>
    <s v="Search"/>
    <s v="Google"/>
    <s v="Biolage"/>
    <d v="2024-05-11T00:00:00"/>
    <d v="2024-01-01T00:00:00"/>
    <n v="87.11"/>
    <n v="373"/>
    <s v="LY"/>
    <x v="6"/>
  </r>
  <r>
    <s v="Biolage"/>
    <x v="12"/>
    <s v="Search"/>
    <s v="Google"/>
    <s v="Biolage"/>
    <d v="2024-05-18T00:00:00"/>
    <d v="2024-01-01T00:00:00"/>
    <n v="84.06"/>
    <n v="389"/>
    <s v="LY"/>
    <x v="6"/>
  </r>
  <r>
    <s v="Biolage"/>
    <x v="12"/>
    <s v="Search"/>
    <s v="Google"/>
    <s v="Biolage"/>
    <d v="2024-05-25T00:00:00"/>
    <d v="2024-01-01T00:00:00"/>
    <n v="104.11999999999999"/>
    <n v="377"/>
    <s v="LY"/>
    <x v="6"/>
  </r>
  <r>
    <s v="Biolage"/>
    <x v="12"/>
    <s v="Search"/>
    <s v="Google"/>
    <s v="Biolage"/>
    <d v="2024-06-01T00:00:00"/>
    <d v="2024-01-01T00:00:00"/>
    <n v="91.31"/>
    <n v="384"/>
    <s v="LY"/>
    <x v="6"/>
  </r>
  <r>
    <s v="Biolage"/>
    <x v="12"/>
    <s v="Search"/>
    <s v="Google"/>
    <s v="Biolage"/>
    <d v="2024-06-08T00:00:00"/>
    <d v="2024-01-01T00:00:00"/>
    <n v="65.91"/>
    <n v="397"/>
    <s v="LY"/>
    <x v="6"/>
  </r>
  <r>
    <s v="Biolage"/>
    <x v="12"/>
    <s v="Search"/>
    <s v="Google"/>
    <s v="Biolage"/>
    <d v="2024-06-15T00:00:00"/>
    <d v="2024-01-01T00:00:00"/>
    <n v="90.35"/>
    <n v="420"/>
    <s v="LY"/>
    <x v="6"/>
  </r>
  <r>
    <s v="Biolage"/>
    <x v="12"/>
    <s v="Search"/>
    <s v="Google"/>
    <s v="Biolage"/>
    <d v="2024-06-22T00:00:00"/>
    <d v="2024-01-01T00:00:00"/>
    <n v="83.34"/>
    <n v="437"/>
    <s v="LY"/>
    <x v="6"/>
  </r>
  <r>
    <s v="Biolage"/>
    <x v="12"/>
    <s v="Search"/>
    <s v="Google"/>
    <s v="Biolage"/>
    <d v="2024-06-29T00:00:00"/>
    <d v="2024-01-01T00:00:00"/>
    <n v="92.91"/>
    <n v="386"/>
    <s v="LY"/>
    <x v="6"/>
  </r>
  <r>
    <s v="Biolage"/>
    <x v="12"/>
    <s v="Search"/>
    <s v="Google"/>
    <s v="Biolage"/>
    <d v="2024-07-06T00:00:00"/>
    <d v="2024-01-01T00:00:00"/>
    <n v="91.100000000000009"/>
    <n v="395"/>
    <s v="LY"/>
    <x v="6"/>
  </r>
  <r>
    <s v="Biolage"/>
    <x v="12"/>
    <s v="Search"/>
    <s v="Google"/>
    <s v="Biolage"/>
    <d v="2024-07-13T00:00:00"/>
    <d v="2024-01-01T00:00:00"/>
    <n v="105.24838699999999"/>
    <n v="476"/>
    <s v="TTM"/>
    <x v="6"/>
  </r>
  <r>
    <s v="Biolage"/>
    <x v="12"/>
    <s v="Search"/>
    <s v="Google"/>
    <s v="Biolage"/>
    <d v="2024-07-20T00:00:00"/>
    <d v="2024-01-01T00:00:00"/>
    <n v="68.720000000000013"/>
    <n v="360"/>
    <s v="TTM"/>
    <x v="6"/>
  </r>
  <r>
    <s v="Biolage"/>
    <x v="12"/>
    <s v="Search"/>
    <s v="Google"/>
    <s v="Biolage"/>
    <d v="2024-07-27T00:00:00"/>
    <d v="2024-01-01T00:00:00"/>
    <n v="77.050000000000011"/>
    <n v="349"/>
    <s v="TTM"/>
    <x v="6"/>
  </r>
  <r>
    <s v="Biolage"/>
    <x v="12"/>
    <s v="Search"/>
    <s v="Google"/>
    <s v="Biolage"/>
    <d v="2024-08-03T00:00:00"/>
    <d v="2024-01-01T00:00:00"/>
    <n v="72.12"/>
    <n v="380"/>
    <s v="TTM"/>
    <x v="6"/>
  </r>
  <r>
    <s v="Biolage"/>
    <x v="12"/>
    <s v="Search"/>
    <s v="Google"/>
    <s v="Biolage"/>
    <d v="2024-08-10T00:00:00"/>
    <d v="2024-01-01T00:00:00"/>
    <n v="61.610000000000007"/>
    <n v="315"/>
    <s v="TTM"/>
    <x v="6"/>
  </r>
  <r>
    <s v="Biolage"/>
    <x v="12"/>
    <s v="Search"/>
    <s v="Google"/>
    <s v="Biolage"/>
    <d v="2024-08-17T00:00:00"/>
    <d v="2024-01-01T00:00:00"/>
    <n v="55.86"/>
    <n v="317"/>
    <s v="TTM"/>
    <x v="6"/>
  </r>
  <r>
    <s v="Biolage"/>
    <x v="12"/>
    <s v="Search"/>
    <s v="Google"/>
    <s v="Biolage"/>
    <d v="2024-08-24T00:00:00"/>
    <d v="2024-01-01T00:00:00"/>
    <n v="49.84"/>
    <n v="319"/>
    <s v="TTM"/>
    <x v="6"/>
  </r>
  <r>
    <s v="Biolage"/>
    <x v="12"/>
    <s v="Search"/>
    <s v="Google"/>
    <s v="Biolage"/>
    <d v="2024-08-31T00:00:00"/>
    <d v="2024-01-01T00:00:00"/>
    <n v="40.71"/>
    <n v="278"/>
    <s v="TTM"/>
    <x v="6"/>
  </r>
  <r>
    <s v="Biolage"/>
    <x v="12"/>
    <s v="Search"/>
    <s v="Google"/>
    <s v="Biolage"/>
    <d v="2024-09-07T00:00:00"/>
    <d v="2024-01-01T00:00:00"/>
    <n v="54.79"/>
    <n v="298"/>
    <s v="TTM"/>
    <x v="6"/>
  </r>
  <r>
    <s v="Biolage"/>
    <x v="12"/>
    <s v="Search"/>
    <s v="Google"/>
    <s v="Biolage"/>
    <d v="2024-09-14T00:00:00"/>
    <d v="2024-01-01T00:00:00"/>
    <n v="59.901908999999996"/>
    <n v="353"/>
    <s v="TTM"/>
    <x v="6"/>
  </r>
  <r>
    <s v="Biolage"/>
    <x v="12"/>
    <s v="Search"/>
    <s v="Google"/>
    <s v="Biolage"/>
    <d v="2024-09-21T00:00:00"/>
    <d v="2024-01-01T00:00:00"/>
    <n v="51.759999999999991"/>
    <n v="297"/>
    <s v="TTM"/>
    <x v="6"/>
  </r>
  <r>
    <s v="Biolage"/>
    <x v="12"/>
    <s v="Search"/>
    <s v="Google"/>
    <s v="Biolage"/>
    <d v="2024-09-28T00:00:00"/>
    <d v="2024-01-01T00:00:00"/>
    <n v="95.990000000000009"/>
    <n v="338"/>
    <s v="TTM"/>
    <x v="6"/>
  </r>
  <r>
    <s v="Biolage"/>
    <x v="12"/>
    <s v="Search"/>
    <s v="Google"/>
    <s v="Biolage"/>
    <d v="2024-10-05T00:00:00"/>
    <d v="2024-01-01T00:00:00"/>
    <n v="68.37"/>
    <n v="288"/>
    <s v="TTM"/>
    <x v="6"/>
  </r>
  <r>
    <s v="Biolage"/>
    <x v="12"/>
    <s v="Search"/>
    <s v="Google"/>
    <s v="Biolage"/>
    <d v="2024-10-12T00:00:00"/>
    <d v="2024-01-01T00:00:00"/>
    <n v="63.019999999999996"/>
    <n v="306"/>
    <s v="TTM"/>
    <x v="6"/>
  </r>
  <r>
    <s v="Biolage"/>
    <x v="12"/>
    <s v="Search"/>
    <s v="Google"/>
    <s v="Biolage"/>
    <d v="2024-10-19T00:00:00"/>
    <d v="2024-01-01T00:00:00"/>
    <n v="55.777752000000007"/>
    <n v="305"/>
    <s v="TTM"/>
    <x v="6"/>
  </r>
  <r>
    <s v="Biolage"/>
    <x v="12"/>
    <s v="Search"/>
    <s v="Google"/>
    <s v="Biolage"/>
    <d v="2024-10-26T00:00:00"/>
    <d v="2024-01-01T00:00:00"/>
    <n v="55.084246000000007"/>
    <n v="322"/>
    <s v="TTM"/>
    <x v="6"/>
  </r>
  <r>
    <s v="Biolage"/>
    <x v="12"/>
    <s v="Search"/>
    <s v="Google"/>
    <s v="Biolage"/>
    <d v="2024-11-02T00:00:00"/>
    <d v="2024-01-01T00:00:00"/>
    <n v="68.84"/>
    <n v="346"/>
    <s v="TTM"/>
    <x v="6"/>
  </r>
  <r>
    <s v="Biolage"/>
    <x v="12"/>
    <s v="Search"/>
    <s v="Google"/>
    <s v="Biolage"/>
    <d v="2024-11-09T00:00:00"/>
    <d v="2024-01-01T00:00:00"/>
    <n v="43.464940999999996"/>
    <n v="302"/>
    <s v="TTM"/>
    <x v="6"/>
  </r>
  <r>
    <s v="Biolage"/>
    <x v="12"/>
    <s v="Search"/>
    <s v="Google"/>
    <s v="Biolage"/>
    <d v="2024-11-16T00:00:00"/>
    <d v="2024-01-01T00:00:00"/>
    <n v="48.651818000000006"/>
    <n v="386"/>
    <s v="TTM"/>
    <x v="6"/>
  </r>
  <r>
    <s v="Biolage"/>
    <x v="12"/>
    <s v="Search"/>
    <s v="Google"/>
    <s v="Biolage"/>
    <d v="2024-11-23T00:00:00"/>
    <d v="2024-01-01T00:00:00"/>
    <n v="38.562568000000006"/>
    <n v="321"/>
    <s v="TTM"/>
    <x v="6"/>
  </r>
  <r>
    <s v="Biolage"/>
    <x v="12"/>
    <s v="Search"/>
    <s v="Google"/>
    <s v="Biolage"/>
    <d v="2024-11-30T00:00:00"/>
    <d v="2024-01-01T00:00:00"/>
    <n v="47"/>
    <n v="384"/>
    <s v="TTM"/>
    <x v="6"/>
  </r>
  <r>
    <s v="Biolage"/>
    <x v="12"/>
    <s v="Search"/>
    <s v="Google"/>
    <s v="Biolage"/>
    <d v="2024-12-07T00:00:00"/>
    <d v="2024-01-01T00:00:00"/>
    <n v="32.662573999999999"/>
    <n v="361"/>
    <s v="TTM"/>
    <x v="6"/>
  </r>
  <r>
    <s v="Biolage"/>
    <x v="12"/>
    <s v="Search"/>
    <s v="Google"/>
    <s v="Biolage"/>
    <d v="2024-12-14T00:00:00"/>
    <d v="2024-01-01T00:00:00"/>
    <n v="30.387562000000003"/>
    <n v="337"/>
    <s v="TTM"/>
    <x v="6"/>
  </r>
  <r>
    <s v="Biolage"/>
    <x v="12"/>
    <s v="Search"/>
    <s v="Google"/>
    <s v="Biolage"/>
    <d v="2024-12-21T00:00:00"/>
    <d v="2024-01-01T00:00:00"/>
    <n v="20.59"/>
    <n v="280"/>
    <s v="TTM"/>
    <x v="6"/>
  </r>
  <r>
    <s v="Biolage"/>
    <x v="12"/>
    <s v="Search"/>
    <s v="Google"/>
    <s v="Biolage"/>
    <d v="2024-12-28T00:00:00"/>
    <d v="2024-01-01T00:00:00"/>
    <n v="16.75"/>
    <n v="273"/>
    <s v="TTM"/>
    <x v="6"/>
  </r>
  <r>
    <s v="Biolage"/>
    <x v="12"/>
    <s v="Search"/>
    <s v="Google"/>
    <s v="Biolage"/>
    <d v="2025-01-04T00:00:00"/>
    <d v="2024-01-01T00:00:00"/>
    <n v="3.75"/>
    <n v="37"/>
    <s v="TTM"/>
    <x v="6"/>
  </r>
  <r>
    <s v="Biolage"/>
    <x v="2"/>
    <s v="Search"/>
    <s v="Google"/>
    <s v="Biolage"/>
    <d v="2023-09-30T00:00:00"/>
    <d v="2023-01-01T00:00:00"/>
    <n v="10.97"/>
    <n v="138"/>
    <s v="LY"/>
    <x v="6"/>
  </r>
  <r>
    <s v="Biolage"/>
    <x v="2"/>
    <s v="Search"/>
    <s v="Google"/>
    <s v="Biolage"/>
    <d v="2023-10-07T00:00:00"/>
    <d v="2023-01-01T00:00:00"/>
    <n v="23.72"/>
    <n v="309"/>
    <s v="LY"/>
    <x v="6"/>
  </r>
  <r>
    <s v="Biolage"/>
    <x v="2"/>
    <s v="Search"/>
    <s v="Google"/>
    <s v="Biolage"/>
    <d v="2023-10-14T00:00:00"/>
    <d v="2023-01-01T00:00:00"/>
    <n v="102.97"/>
    <n v="520"/>
    <s v="LY"/>
    <x v="6"/>
  </r>
  <r>
    <s v="Biolage"/>
    <x v="2"/>
    <s v="Search"/>
    <s v="Google"/>
    <s v="Biolage"/>
    <d v="2023-10-21T00:00:00"/>
    <d v="2023-01-01T00:00:00"/>
    <n v="135.86000000000001"/>
    <n v="612"/>
    <s v="LY"/>
    <x v="6"/>
  </r>
  <r>
    <s v="Biolage"/>
    <x v="2"/>
    <s v="Search"/>
    <s v="Google"/>
    <s v="Biolage"/>
    <d v="2023-10-28T00:00:00"/>
    <d v="2023-01-01T00:00:00"/>
    <n v="116.83"/>
    <n v="471"/>
    <s v="LY"/>
    <x v="6"/>
  </r>
  <r>
    <s v="Biolage"/>
    <x v="2"/>
    <s v="Search"/>
    <s v="Google"/>
    <s v="Biolage"/>
    <d v="2023-11-04T00:00:00"/>
    <d v="2023-01-01T00:00:00"/>
    <n v="198.61"/>
    <n v="609"/>
    <s v="LY"/>
    <x v="6"/>
  </r>
  <r>
    <s v="Biolage"/>
    <x v="2"/>
    <s v="Search"/>
    <s v="Google"/>
    <s v="Biolage"/>
    <d v="2023-11-11T00:00:00"/>
    <d v="2023-01-01T00:00:00"/>
    <n v="238.77"/>
    <n v="708"/>
    <s v="LY"/>
    <x v="6"/>
  </r>
  <r>
    <s v="Biolage"/>
    <x v="2"/>
    <s v="Search"/>
    <s v="Google"/>
    <s v="Biolage"/>
    <d v="2023-11-18T00:00:00"/>
    <d v="2023-01-01T00:00:00"/>
    <n v="310.64"/>
    <n v="742"/>
    <s v="LY"/>
    <x v="6"/>
  </r>
  <r>
    <s v="Biolage"/>
    <x v="2"/>
    <s v="Search"/>
    <s v="Google"/>
    <s v="Biolage"/>
    <d v="2023-11-25T00:00:00"/>
    <d v="2023-01-01T00:00:00"/>
    <n v="223.60999999999999"/>
    <n v="867"/>
    <s v="LY"/>
    <x v="6"/>
  </r>
  <r>
    <s v="Biolage"/>
    <x v="2"/>
    <s v="Search"/>
    <s v="Google"/>
    <s v="Biolage"/>
    <d v="2023-12-02T00:00:00"/>
    <d v="2023-01-01T00:00:00"/>
    <n v="216.18"/>
    <n v="696"/>
    <s v="LY"/>
    <x v="6"/>
  </r>
  <r>
    <s v="Biolage"/>
    <x v="2"/>
    <s v="Search"/>
    <s v="Google"/>
    <s v="Biolage"/>
    <d v="2023-12-09T00:00:00"/>
    <d v="2023-01-01T00:00:00"/>
    <n v="239.89999999999998"/>
    <n v="664"/>
    <s v="LY"/>
    <x v="6"/>
  </r>
  <r>
    <s v="Biolage"/>
    <x v="2"/>
    <s v="Search"/>
    <s v="Google"/>
    <s v="Biolage"/>
    <d v="2023-12-16T00:00:00"/>
    <d v="2023-01-01T00:00:00"/>
    <n v="327.62"/>
    <n v="820"/>
    <s v="LY"/>
    <x v="6"/>
  </r>
  <r>
    <s v="Biolage"/>
    <x v="2"/>
    <s v="Search"/>
    <s v="Google"/>
    <s v="Biolage"/>
    <d v="2023-12-23T00:00:00"/>
    <d v="2023-01-01T00:00:00"/>
    <n v="464.76"/>
    <n v="940"/>
    <s v="LY"/>
    <x v="6"/>
  </r>
  <r>
    <s v="Biolage"/>
    <x v="2"/>
    <s v="Search"/>
    <s v="Google"/>
    <s v="Biolage"/>
    <d v="2023-12-30T00:00:00"/>
    <d v="2023-01-01T00:00:00"/>
    <n v="359.56000000000006"/>
    <n v="870"/>
    <s v="LY"/>
    <x v="6"/>
  </r>
  <r>
    <s v="Biolage"/>
    <x v="2"/>
    <s v="Search"/>
    <s v="Google"/>
    <s v="Biolage"/>
    <d v="2024-01-06T00:00:00"/>
    <d v="2024-01-01T00:00:00"/>
    <n v="136.52000000000001"/>
    <n v="492"/>
    <s v="LY"/>
    <x v="6"/>
  </r>
  <r>
    <s v="Biolage"/>
    <x v="2"/>
    <s v="Search"/>
    <s v="Google"/>
    <s v="Biolage"/>
    <d v="2024-01-13T00:00:00"/>
    <d v="2024-01-01T00:00:00"/>
    <n v="144.15"/>
    <n v="536"/>
    <s v="LY"/>
    <x v="6"/>
  </r>
  <r>
    <s v="Biolage"/>
    <x v="2"/>
    <s v="Search"/>
    <s v="Google"/>
    <s v="Biolage"/>
    <d v="2024-01-20T00:00:00"/>
    <d v="2024-01-01T00:00:00"/>
    <n v="68.63"/>
    <n v="395"/>
    <s v="LY"/>
    <x v="6"/>
  </r>
  <r>
    <s v="Biolage"/>
    <x v="2"/>
    <s v="Search"/>
    <s v="Google"/>
    <s v="Biolage"/>
    <d v="2024-01-27T00:00:00"/>
    <d v="2024-01-01T00:00:00"/>
    <n v="76.309999999999988"/>
    <n v="397"/>
    <s v="LY"/>
    <x v="6"/>
  </r>
  <r>
    <s v="Biolage"/>
    <x v="2"/>
    <s v="Search"/>
    <s v="Google"/>
    <s v="Biolage"/>
    <d v="2024-02-03T00:00:00"/>
    <d v="2024-01-01T00:00:00"/>
    <n v="71.83"/>
    <n v="342"/>
    <s v="LY"/>
    <x v="6"/>
  </r>
  <r>
    <s v="Biolage"/>
    <x v="2"/>
    <s v="Search"/>
    <s v="Google"/>
    <s v="Biolage"/>
    <d v="2024-02-10T00:00:00"/>
    <d v="2024-01-01T00:00:00"/>
    <n v="75.5"/>
    <n v="304"/>
    <s v="LY"/>
    <x v="6"/>
  </r>
  <r>
    <s v="Biolage"/>
    <x v="2"/>
    <s v="Search"/>
    <s v="Google"/>
    <s v="Biolage"/>
    <d v="2024-02-17T00:00:00"/>
    <d v="2024-01-01T00:00:00"/>
    <n v="64.72999999999999"/>
    <n v="271"/>
    <s v="LY"/>
    <x v="6"/>
  </r>
  <r>
    <s v="Biolage"/>
    <x v="2"/>
    <s v="Search"/>
    <s v="Google"/>
    <s v="Biolage"/>
    <d v="2024-02-24T00:00:00"/>
    <d v="2024-01-01T00:00:00"/>
    <n v="51.449999999999996"/>
    <n v="283"/>
    <s v="LY"/>
    <x v="6"/>
  </r>
  <r>
    <s v="Biolage"/>
    <x v="2"/>
    <s v="Search"/>
    <s v="Google"/>
    <s v="Biolage"/>
    <d v="2024-03-02T00:00:00"/>
    <d v="2024-01-01T00:00:00"/>
    <n v="62.41"/>
    <n v="258"/>
    <s v="LY"/>
    <x v="6"/>
  </r>
  <r>
    <s v="Biolage"/>
    <x v="2"/>
    <s v="Search"/>
    <s v="Google"/>
    <s v="Biolage"/>
    <d v="2024-03-09T00:00:00"/>
    <d v="2024-01-01T00:00:00"/>
    <n v="51.309999999999995"/>
    <n v="258"/>
    <s v="LY"/>
    <x v="6"/>
  </r>
  <r>
    <s v="Biolage"/>
    <x v="2"/>
    <s v="Search"/>
    <s v="Google"/>
    <s v="Biolage"/>
    <d v="2024-03-16T00:00:00"/>
    <d v="2024-01-01T00:00:00"/>
    <n v="49.679999999999993"/>
    <n v="255"/>
    <s v="LY"/>
    <x v="6"/>
  </r>
  <r>
    <s v="Biolage"/>
    <x v="2"/>
    <s v="Search"/>
    <s v="Google"/>
    <s v="Biolage"/>
    <d v="2024-03-23T00:00:00"/>
    <d v="2024-01-01T00:00:00"/>
    <n v="43.539999999999992"/>
    <n v="266"/>
    <s v="LY"/>
    <x v="6"/>
  </r>
  <r>
    <s v="Biolage"/>
    <x v="2"/>
    <s v="Search"/>
    <s v="Google"/>
    <s v="Biolage"/>
    <d v="2024-03-30T00:00:00"/>
    <d v="2024-01-01T00:00:00"/>
    <n v="45.699999999999996"/>
    <n v="277"/>
    <s v="LY"/>
    <x v="6"/>
  </r>
  <r>
    <s v="Biolage"/>
    <x v="2"/>
    <s v="Search"/>
    <s v="Google"/>
    <s v="Biolage"/>
    <d v="2024-04-06T00:00:00"/>
    <d v="2024-01-01T00:00:00"/>
    <n v="44.11"/>
    <n v="211"/>
    <s v="LY"/>
    <x v="6"/>
  </r>
  <r>
    <s v="Biolage"/>
    <x v="2"/>
    <s v="Search"/>
    <s v="Google"/>
    <s v="Biolage"/>
    <d v="2024-04-13T00:00:00"/>
    <d v="2024-01-01T00:00:00"/>
    <n v="32.639999999999993"/>
    <n v="168"/>
    <s v="LY"/>
    <x v="6"/>
  </r>
  <r>
    <s v="Biolage"/>
    <x v="2"/>
    <s v="Search"/>
    <s v="Google"/>
    <s v="Biolage"/>
    <d v="2024-04-20T00:00:00"/>
    <d v="2024-01-01T00:00:00"/>
    <n v="37.520000000000003"/>
    <n v="220"/>
    <s v="LY"/>
    <x v="6"/>
  </r>
  <r>
    <s v="Biolage"/>
    <x v="2"/>
    <s v="Search"/>
    <s v="Google"/>
    <s v="Biolage"/>
    <d v="2024-04-27T00:00:00"/>
    <d v="2024-01-01T00:00:00"/>
    <n v="37.949999999999996"/>
    <n v="231"/>
    <s v="LY"/>
    <x v="6"/>
  </r>
  <r>
    <s v="Biolage"/>
    <x v="2"/>
    <s v="Search"/>
    <s v="Google"/>
    <s v="Biolage"/>
    <d v="2024-05-04T00:00:00"/>
    <d v="2024-01-01T00:00:00"/>
    <n v="38.14"/>
    <n v="226"/>
    <s v="LY"/>
    <x v="6"/>
  </r>
  <r>
    <s v="Biolage"/>
    <x v="2"/>
    <s v="Search"/>
    <s v="Google"/>
    <s v="Biolage"/>
    <d v="2024-05-11T00:00:00"/>
    <d v="2024-01-01T00:00:00"/>
    <n v="47.24"/>
    <n v="217"/>
    <s v="LY"/>
    <x v="6"/>
  </r>
  <r>
    <s v="Biolage"/>
    <x v="2"/>
    <s v="Search"/>
    <s v="Google"/>
    <s v="Biolage"/>
    <d v="2024-05-18T00:00:00"/>
    <d v="2024-01-01T00:00:00"/>
    <n v="48.15"/>
    <n v="236"/>
    <s v="LY"/>
    <x v="6"/>
  </r>
  <r>
    <s v="Biolage"/>
    <x v="2"/>
    <s v="Search"/>
    <s v="Google"/>
    <s v="Biolage"/>
    <d v="2024-05-25T00:00:00"/>
    <d v="2024-01-01T00:00:00"/>
    <n v="50.089999999999996"/>
    <n v="215"/>
    <s v="LY"/>
    <x v="6"/>
  </r>
  <r>
    <s v="Biolage"/>
    <x v="2"/>
    <s v="Search"/>
    <s v="Google"/>
    <s v="Biolage"/>
    <d v="2024-06-01T00:00:00"/>
    <d v="2024-01-01T00:00:00"/>
    <n v="51.63000000000001"/>
    <n v="218"/>
    <s v="LY"/>
    <x v="6"/>
  </r>
  <r>
    <s v="Biolage"/>
    <x v="2"/>
    <s v="Search"/>
    <s v="Google"/>
    <s v="Biolage"/>
    <d v="2024-06-08T00:00:00"/>
    <d v="2024-01-01T00:00:00"/>
    <n v="26.209999999999997"/>
    <n v="117"/>
    <s v="LY"/>
    <x v="6"/>
  </r>
  <r>
    <s v="Biolage"/>
    <x v="2"/>
    <s v="Search"/>
    <s v="Google"/>
    <s v="Biolage"/>
    <d v="2024-06-15T00:00:00"/>
    <d v="2024-01-01T00:00:00"/>
    <n v="22.130000000000003"/>
    <n v="120"/>
    <s v="LY"/>
    <x v="6"/>
  </r>
  <r>
    <s v="Biolage"/>
    <x v="2"/>
    <s v="Search"/>
    <s v="Google"/>
    <s v="Biolage"/>
    <d v="2024-06-22T00:00:00"/>
    <d v="2024-01-01T00:00:00"/>
    <n v="43.59"/>
    <n v="221"/>
    <s v="LY"/>
    <x v="6"/>
  </r>
  <r>
    <s v="Biolage"/>
    <x v="2"/>
    <s v="Search"/>
    <s v="Google"/>
    <s v="Biolage"/>
    <d v="2024-06-29T00:00:00"/>
    <d v="2024-01-01T00:00:00"/>
    <n v="28.740000000000002"/>
    <n v="246"/>
    <s v="LY"/>
    <x v="6"/>
  </r>
  <r>
    <s v="Biolage"/>
    <x v="2"/>
    <s v="Search"/>
    <s v="Google"/>
    <s v="Biolage"/>
    <d v="2024-07-06T00:00:00"/>
    <d v="2024-01-01T00:00:00"/>
    <n v="42.28"/>
    <n v="238"/>
    <s v="LY"/>
    <x v="6"/>
  </r>
  <r>
    <s v="Biolage"/>
    <x v="2"/>
    <s v="Search"/>
    <s v="Google"/>
    <s v="Biolage"/>
    <d v="2024-07-13T00:00:00"/>
    <d v="2024-01-01T00:00:00"/>
    <n v="52.083331999999992"/>
    <n v="282"/>
    <s v="TTM"/>
    <x v="6"/>
  </r>
  <r>
    <s v="Biolage"/>
    <x v="2"/>
    <s v="Search"/>
    <s v="Google"/>
    <s v="Biolage"/>
    <d v="2024-07-20T00:00:00"/>
    <d v="2024-01-01T00:00:00"/>
    <n v="45.66"/>
    <n v="217"/>
    <s v="TTM"/>
    <x v="6"/>
  </r>
  <r>
    <s v="Biolage"/>
    <x v="2"/>
    <s v="Search"/>
    <s v="Google"/>
    <s v="Biolage"/>
    <d v="2024-07-27T00:00:00"/>
    <d v="2024-01-01T00:00:00"/>
    <n v="37.28"/>
    <n v="195"/>
    <s v="TTM"/>
    <x v="6"/>
  </r>
  <r>
    <s v="Biolage"/>
    <x v="2"/>
    <s v="Search"/>
    <s v="Google"/>
    <s v="Biolage"/>
    <d v="2024-08-03T00:00:00"/>
    <d v="2024-01-01T00:00:00"/>
    <n v="38.06"/>
    <n v="175"/>
    <s v="TTM"/>
    <x v="6"/>
  </r>
  <r>
    <s v="Biolage"/>
    <x v="2"/>
    <s v="Search"/>
    <s v="Google"/>
    <s v="Biolage"/>
    <d v="2024-08-10T00:00:00"/>
    <d v="2024-01-01T00:00:00"/>
    <n v="31.65"/>
    <n v="133"/>
    <s v="TTM"/>
    <x v="6"/>
  </r>
  <r>
    <s v="Biolage"/>
    <x v="2"/>
    <s v="Search"/>
    <s v="Google"/>
    <s v="Biolage"/>
    <d v="2024-08-17T00:00:00"/>
    <d v="2024-01-01T00:00:00"/>
    <n v="41.949999999999996"/>
    <n v="225"/>
    <s v="TTM"/>
    <x v="6"/>
  </r>
  <r>
    <s v="Biolage"/>
    <x v="2"/>
    <s v="Search"/>
    <s v="Google"/>
    <s v="Biolage"/>
    <d v="2024-08-24T00:00:00"/>
    <d v="2024-01-01T00:00:00"/>
    <n v="35.31"/>
    <n v="180"/>
    <s v="TTM"/>
    <x v="6"/>
  </r>
  <r>
    <s v="Biolage"/>
    <x v="2"/>
    <s v="Search"/>
    <s v="Google"/>
    <s v="Biolage"/>
    <d v="2024-08-31T00:00:00"/>
    <d v="2024-01-01T00:00:00"/>
    <n v="39.36"/>
    <n v="161"/>
    <s v="TTM"/>
    <x v="6"/>
  </r>
  <r>
    <s v="Biolage"/>
    <x v="2"/>
    <s v="Search"/>
    <s v="Google"/>
    <s v="Biolage"/>
    <d v="2024-09-07T00:00:00"/>
    <d v="2024-01-01T00:00:00"/>
    <n v="34.620000000000005"/>
    <n v="178"/>
    <s v="TTM"/>
    <x v="6"/>
  </r>
  <r>
    <s v="Biolage"/>
    <x v="2"/>
    <s v="Search"/>
    <s v="Google"/>
    <s v="Biolage"/>
    <d v="2024-09-14T00:00:00"/>
    <d v="2024-01-01T00:00:00"/>
    <n v="33.76"/>
    <n v="189"/>
    <s v="TTM"/>
    <x v="6"/>
  </r>
  <r>
    <s v="Biolage"/>
    <x v="2"/>
    <s v="Search"/>
    <s v="Google"/>
    <s v="Biolage"/>
    <d v="2024-09-21T00:00:00"/>
    <d v="2024-01-01T00:00:00"/>
    <n v="52.783485999999996"/>
    <n v="186"/>
    <s v="TTM"/>
    <x v="6"/>
  </r>
  <r>
    <s v="Biolage"/>
    <x v="2"/>
    <s v="Search"/>
    <s v="Google"/>
    <s v="Biolage"/>
    <d v="2024-09-28T00:00:00"/>
    <d v="2024-01-01T00:00:00"/>
    <n v="34.49"/>
    <n v="178"/>
    <s v="TTM"/>
    <x v="6"/>
  </r>
  <r>
    <s v="Biolage"/>
    <x v="2"/>
    <s v="Search"/>
    <s v="Google"/>
    <s v="Biolage"/>
    <d v="2024-10-05T00:00:00"/>
    <d v="2024-01-01T00:00:00"/>
    <n v="44.86"/>
    <n v="166"/>
    <s v="TTM"/>
    <x v="6"/>
  </r>
  <r>
    <s v="Biolage"/>
    <x v="2"/>
    <s v="Search"/>
    <s v="Google"/>
    <s v="Biolage"/>
    <d v="2024-10-12T00:00:00"/>
    <d v="2024-01-01T00:00:00"/>
    <n v="35.120000000000005"/>
    <n v="224"/>
    <s v="TTM"/>
    <x v="6"/>
  </r>
  <r>
    <s v="Biolage"/>
    <x v="2"/>
    <s v="Search"/>
    <s v="Google"/>
    <s v="Biolage"/>
    <d v="2024-10-19T00:00:00"/>
    <d v="2024-01-01T00:00:00"/>
    <n v="72.504999999999995"/>
    <n v="373"/>
    <s v="TTM"/>
    <x v="6"/>
  </r>
  <r>
    <s v="Biolage"/>
    <x v="2"/>
    <s v="Search"/>
    <s v="Google"/>
    <s v="Biolage"/>
    <d v="2024-10-26T00:00:00"/>
    <d v="2024-01-01T00:00:00"/>
    <n v="69.736086"/>
    <n v="480"/>
    <s v="TTM"/>
    <x v="6"/>
  </r>
  <r>
    <s v="Biolage"/>
    <x v="2"/>
    <s v="Search"/>
    <s v="Google"/>
    <s v="Biolage"/>
    <d v="2024-11-02T00:00:00"/>
    <d v="2024-01-01T00:00:00"/>
    <n v="57.22"/>
    <n v="462"/>
    <s v="TTM"/>
    <x v="6"/>
  </r>
  <r>
    <s v="Biolage"/>
    <x v="2"/>
    <s v="Search"/>
    <s v="Google"/>
    <s v="Biolage"/>
    <d v="2024-11-09T00:00:00"/>
    <d v="2024-01-01T00:00:00"/>
    <n v="46.52"/>
    <n v="354"/>
    <s v="TTM"/>
    <x v="6"/>
  </r>
  <r>
    <s v="Biolage"/>
    <x v="2"/>
    <s v="Search"/>
    <s v="Google"/>
    <s v="Biolage"/>
    <d v="2024-11-16T00:00:00"/>
    <d v="2024-01-01T00:00:00"/>
    <n v="36.323284000000001"/>
    <n v="300"/>
    <s v="TTM"/>
    <x v="6"/>
  </r>
  <r>
    <s v="Biolage"/>
    <x v="2"/>
    <s v="Search"/>
    <s v="Google"/>
    <s v="Biolage"/>
    <d v="2024-11-23T00:00:00"/>
    <d v="2024-01-01T00:00:00"/>
    <n v="19.939999999999998"/>
    <n v="299"/>
    <s v="TTM"/>
    <x v="6"/>
  </r>
  <r>
    <s v="Biolage"/>
    <x v="2"/>
    <s v="Search"/>
    <s v="Google"/>
    <s v="Biolage"/>
    <d v="2024-11-30T00:00:00"/>
    <d v="2024-01-01T00:00:00"/>
    <n v="18.880000000000003"/>
    <n v="293"/>
    <s v="TTM"/>
    <x v="6"/>
  </r>
  <r>
    <s v="Biolage"/>
    <x v="2"/>
    <s v="Search"/>
    <s v="Google"/>
    <s v="Biolage"/>
    <d v="2024-12-07T00:00:00"/>
    <d v="2024-01-01T00:00:00"/>
    <n v="25.383335000000002"/>
    <n v="289"/>
    <s v="TTM"/>
    <x v="6"/>
  </r>
  <r>
    <s v="Biolage"/>
    <x v="2"/>
    <s v="Search"/>
    <s v="Google"/>
    <s v="Biolage"/>
    <d v="2024-12-14T00:00:00"/>
    <d v="2024-01-01T00:00:00"/>
    <n v="29.844419000000002"/>
    <n v="295"/>
    <s v="TTM"/>
    <x v="6"/>
  </r>
  <r>
    <s v="Biolage"/>
    <x v="2"/>
    <s v="Search"/>
    <s v="Google"/>
    <s v="Biolage"/>
    <d v="2024-12-21T00:00:00"/>
    <d v="2024-01-01T00:00:00"/>
    <n v="11.520000000000001"/>
    <n v="238"/>
    <s v="TTM"/>
    <x v="6"/>
  </r>
  <r>
    <s v="Biolage"/>
    <x v="2"/>
    <s v="Search"/>
    <s v="Google"/>
    <s v="Biolage"/>
    <d v="2024-12-28T00:00:00"/>
    <d v="2024-01-01T00:00:00"/>
    <n v="10.8"/>
    <n v="247"/>
    <s v="TTM"/>
    <x v="6"/>
  </r>
  <r>
    <s v="Biolage"/>
    <x v="2"/>
    <s v="Search"/>
    <s v="Google"/>
    <s v="Biolage"/>
    <d v="2025-01-04T00:00:00"/>
    <d v="2024-01-01T00:00:00"/>
    <n v="1.29"/>
    <n v="22"/>
    <s v="TTM"/>
    <x v="6"/>
  </r>
  <r>
    <s v="Biolage"/>
    <x v="0"/>
    <s v="Search"/>
    <s v="Google"/>
    <s v="Biolage"/>
    <d v="2023-07-01T00:00:00"/>
    <d v="2023-01-01T00:00:00"/>
    <n v="1767.83"/>
    <n v="6136"/>
    <s v="PY"/>
    <x v="6"/>
  </r>
  <r>
    <s v="Biolage"/>
    <x v="0"/>
    <s v="Search"/>
    <s v="Google"/>
    <s v="Biolage"/>
    <d v="2023-07-08T00:00:00"/>
    <d v="2023-01-01T00:00:00"/>
    <n v="12810.929999999998"/>
    <n v="42285"/>
    <s v="PY"/>
    <x v="6"/>
  </r>
  <r>
    <s v="Biolage"/>
    <x v="0"/>
    <s v="Search"/>
    <s v="Google"/>
    <s v="Biolage"/>
    <d v="2023-07-15T00:00:00"/>
    <d v="2023-01-01T00:00:00"/>
    <n v="12360.560000000001"/>
    <n v="46045"/>
    <s v="LY"/>
    <x v="6"/>
  </r>
  <r>
    <s v="Biolage"/>
    <x v="0"/>
    <s v="Search"/>
    <s v="Google"/>
    <s v="Biolage"/>
    <d v="2023-07-22T00:00:00"/>
    <d v="2023-01-01T00:00:00"/>
    <n v="12450.269999999999"/>
    <n v="49655"/>
    <s v="LY"/>
    <x v="6"/>
  </r>
  <r>
    <s v="Biolage"/>
    <x v="0"/>
    <s v="Search"/>
    <s v="Google"/>
    <s v="Biolage"/>
    <d v="2023-07-29T00:00:00"/>
    <d v="2023-01-01T00:00:00"/>
    <n v="13948.090000000004"/>
    <n v="50953"/>
    <s v="LY"/>
    <x v="6"/>
  </r>
  <r>
    <s v="Biolage"/>
    <x v="0"/>
    <s v="Search"/>
    <s v="Google"/>
    <s v="Biolage"/>
    <d v="2023-08-05T00:00:00"/>
    <d v="2023-01-01T00:00:00"/>
    <n v="15258.67"/>
    <n v="46242"/>
    <s v="LY"/>
    <x v="6"/>
  </r>
  <r>
    <s v="Biolage"/>
    <x v="0"/>
    <s v="Search"/>
    <s v="Google"/>
    <s v="Biolage"/>
    <d v="2023-08-12T00:00:00"/>
    <d v="2023-01-01T00:00:00"/>
    <n v="13302.56"/>
    <n v="41698"/>
    <s v="LY"/>
    <x v="6"/>
  </r>
  <r>
    <s v="Biolage"/>
    <x v="0"/>
    <s v="Search"/>
    <s v="Google"/>
    <s v="Biolage"/>
    <d v="2023-08-19T00:00:00"/>
    <d v="2023-01-01T00:00:00"/>
    <n v="13178.14"/>
    <n v="42774"/>
    <s v="LY"/>
    <x v="6"/>
  </r>
  <r>
    <s v="Biolage"/>
    <x v="0"/>
    <s v="Search"/>
    <s v="Google"/>
    <s v="Biolage"/>
    <d v="2023-08-26T00:00:00"/>
    <d v="2023-01-01T00:00:00"/>
    <n v="13218.169999999998"/>
    <n v="40784"/>
    <s v="LY"/>
    <x v="6"/>
  </r>
  <r>
    <s v="Biolage"/>
    <x v="0"/>
    <s v="Search"/>
    <s v="Google"/>
    <s v="Biolage"/>
    <d v="2023-09-02T00:00:00"/>
    <d v="2023-01-01T00:00:00"/>
    <n v="12602.690000000002"/>
    <n v="39432"/>
    <s v="LY"/>
    <x v="6"/>
  </r>
  <r>
    <s v="Biolage"/>
    <x v="0"/>
    <s v="Search"/>
    <s v="Google"/>
    <s v="Biolage"/>
    <d v="2023-09-09T00:00:00"/>
    <d v="2023-01-01T00:00:00"/>
    <n v="13193.209999999997"/>
    <n v="39833"/>
    <s v="LY"/>
    <x v="6"/>
  </r>
  <r>
    <s v="Biolage"/>
    <x v="0"/>
    <s v="Search"/>
    <s v="Google"/>
    <s v="Biolage"/>
    <d v="2023-09-16T00:00:00"/>
    <d v="2023-01-01T00:00:00"/>
    <n v="13804.890000000003"/>
    <n v="45241"/>
    <s v="LY"/>
    <x v="6"/>
  </r>
  <r>
    <s v="Biolage"/>
    <x v="0"/>
    <s v="Search"/>
    <s v="Google"/>
    <s v="Biolage"/>
    <d v="2023-09-23T00:00:00"/>
    <d v="2023-01-01T00:00:00"/>
    <n v="12584.519999999997"/>
    <n v="47040"/>
    <s v="LY"/>
    <x v="6"/>
  </r>
  <r>
    <s v="Biolage"/>
    <x v="0"/>
    <s v="Search"/>
    <s v="Google"/>
    <s v="Biolage"/>
    <d v="2023-09-30T00:00:00"/>
    <d v="2023-01-01T00:00:00"/>
    <n v="13169.369999999995"/>
    <n v="43559"/>
    <s v="LY"/>
    <x v="6"/>
  </r>
  <r>
    <s v="Biolage"/>
    <x v="0"/>
    <s v="Search"/>
    <s v="Google"/>
    <s v="Biolage"/>
    <d v="2023-10-07T00:00:00"/>
    <d v="2023-01-01T00:00:00"/>
    <n v="11897.369999999997"/>
    <n v="35878"/>
    <s v="LY"/>
    <x v="6"/>
  </r>
  <r>
    <s v="Biolage"/>
    <x v="0"/>
    <s v="Search"/>
    <s v="Google"/>
    <s v="Biolage"/>
    <d v="2023-10-14T00:00:00"/>
    <d v="2023-01-01T00:00:00"/>
    <n v="11142.99"/>
    <n v="35327"/>
    <s v="LY"/>
    <x v="6"/>
  </r>
  <r>
    <s v="Biolage"/>
    <x v="0"/>
    <s v="Search"/>
    <s v="Google"/>
    <s v="Biolage"/>
    <d v="2023-10-21T00:00:00"/>
    <d v="2023-01-01T00:00:00"/>
    <n v="10666.300000000001"/>
    <n v="34035"/>
    <s v="LY"/>
    <x v="6"/>
  </r>
  <r>
    <s v="Biolage"/>
    <x v="0"/>
    <s v="Search"/>
    <s v="Google"/>
    <s v="Biolage"/>
    <d v="2023-10-28T00:00:00"/>
    <d v="2023-01-01T00:00:00"/>
    <n v="10283.220000000003"/>
    <n v="30983"/>
    <s v="LY"/>
    <x v="6"/>
  </r>
  <r>
    <s v="Biolage"/>
    <x v="0"/>
    <s v="Search"/>
    <s v="Google"/>
    <s v="Biolage"/>
    <d v="2023-11-04T00:00:00"/>
    <d v="2023-01-01T00:00:00"/>
    <n v="10427.290000000001"/>
    <n v="31655"/>
    <s v="LY"/>
    <x v="6"/>
  </r>
  <r>
    <s v="Biolage"/>
    <x v="0"/>
    <s v="Search"/>
    <s v="Google"/>
    <s v="Biolage"/>
    <d v="2023-11-11T00:00:00"/>
    <d v="2023-01-01T00:00:00"/>
    <n v="10886.180000000004"/>
    <n v="33892"/>
    <s v="LY"/>
    <x v="6"/>
  </r>
  <r>
    <s v="Biolage"/>
    <x v="0"/>
    <s v="Search"/>
    <s v="Google"/>
    <s v="Biolage"/>
    <d v="2023-11-18T00:00:00"/>
    <d v="2023-01-01T00:00:00"/>
    <n v="10939.359999999999"/>
    <n v="35079"/>
    <s v="LY"/>
    <x v="6"/>
  </r>
  <r>
    <s v="Biolage"/>
    <x v="0"/>
    <s v="Search"/>
    <s v="Google"/>
    <s v="Biolage"/>
    <d v="2023-11-25T00:00:00"/>
    <d v="2023-01-01T00:00:00"/>
    <n v="13519.650000000001"/>
    <n v="40639"/>
    <s v="LY"/>
    <x v="6"/>
  </r>
  <r>
    <s v="Biolage"/>
    <x v="0"/>
    <s v="Search"/>
    <s v="Google"/>
    <s v="Biolage"/>
    <d v="2023-12-02T00:00:00"/>
    <d v="2023-01-01T00:00:00"/>
    <n v="11610.16"/>
    <n v="37004"/>
    <s v="LY"/>
    <x v="6"/>
  </r>
  <r>
    <s v="Biolage"/>
    <x v="0"/>
    <s v="Search"/>
    <s v="Google"/>
    <s v="Biolage"/>
    <d v="2023-12-09T00:00:00"/>
    <d v="2023-01-01T00:00:00"/>
    <n v="11144.380000000003"/>
    <n v="34334"/>
    <s v="LY"/>
    <x v="6"/>
  </r>
  <r>
    <s v="Biolage"/>
    <x v="0"/>
    <s v="Search"/>
    <s v="Google"/>
    <s v="Biolage"/>
    <d v="2023-12-16T00:00:00"/>
    <d v="2023-01-01T00:00:00"/>
    <n v="10440.119999999999"/>
    <n v="34174"/>
    <s v="LY"/>
    <x v="6"/>
  </r>
  <r>
    <s v="Biolage"/>
    <x v="0"/>
    <s v="Search"/>
    <s v="Google"/>
    <s v="Biolage"/>
    <d v="2023-12-23T00:00:00"/>
    <d v="2023-01-01T00:00:00"/>
    <n v="10128.700000000001"/>
    <n v="34349"/>
    <s v="LY"/>
    <x v="6"/>
  </r>
  <r>
    <s v="Biolage"/>
    <x v="0"/>
    <s v="Search"/>
    <s v="Google"/>
    <s v="Biolage"/>
    <d v="2023-12-30T00:00:00"/>
    <d v="2023-01-01T00:00:00"/>
    <n v="9479.6699999999964"/>
    <n v="32506"/>
    <s v="LY"/>
    <x v="6"/>
  </r>
  <r>
    <s v="Biolage"/>
    <x v="0"/>
    <s v="Search"/>
    <s v="Google"/>
    <s v="Biolage"/>
    <d v="2024-01-06T00:00:00"/>
    <d v="2024-01-01T00:00:00"/>
    <n v="7709.69"/>
    <n v="29967"/>
    <s v="LY"/>
    <x v="6"/>
  </r>
  <r>
    <s v="Biolage"/>
    <x v="0"/>
    <s v="Search"/>
    <s v="Google"/>
    <s v="Biolage"/>
    <d v="2024-01-13T00:00:00"/>
    <d v="2024-01-01T00:00:00"/>
    <n v="7988.2700000000013"/>
    <n v="32465"/>
    <s v="LY"/>
    <x v="6"/>
  </r>
  <r>
    <s v="Biolage"/>
    <x v="0"/>
    <s v="Search"/>
    <s v="Google"/>
    <s v="Biolage"/>
    <d v="2024-01-20T00:00:00"/>
    <d v="2024-01-01T00:00:00"/>
    <n v="8106.3899999999994"/>
    <n v="30879"/>
    <s v="LY"/>
    <x v="6"/>
  </r>
  <r>
    <s v="Biolage"/>
    <x v="0"/>
    <s v="Search"/>
    <s v="Google"/>
    <s v="Biolage"/>
    <d v="2024-01-27T00:00:00"/>
    <d v="2024-01-01T00:00:00"/>
    <n v="8009.6"/>
    <n v="31409"/>
    <s v="LY"/>
    <x v="6"/>
  </r>
  <r>
    <s v="Biolage"/>
    <x v="0"/>
    <s v="Search"/>
    <s v="Google"/>
    <s v="Biolage"/>
    <d v="2024-02-03T00:00:00"/>
    <d v="2024-01-01T00:00:00"/>
    <n v="8366.81"/>
    <n v="32149"/>
    <s v="LY"/>
    <x v="6"/>
  </r>
  <r>
    <s v="Biolage"/>
    <x v="0"/>
    <s v="Search"/>
    <s v="Google"/>
    <s v="Biolage"/>
    <d v="2024-02-10T00:00:00"/>
    <d v="2024-01-01T00:00:00"/>
    <n v="8124.1500000000015"/>
    <n v="30715"/>
    <s v="LY"/>
    <x v="6"/>
  </r>
  <r>
    <s v="Biolage"/>
    <x v="0"/>
    <s v="Search"/>
    <s v="Google"/>
    <s v="Biolage"/>
    <d v="2024-02-17T00:00:00"/>
    <d v="2024-01-01T00:00:00"/>
    <n v="7805.8300000000027"/>
    <n v="29342"/>
    <s v="LY"/>
    <x v="6"/>
  </r>
  <r>
    <s v="Biolage"/>
    <x v="0"/>
    <s v="Search"/>
    <s v="Google"/>
    <s v="Biolage"/>
    <d v="2024-02-24T00:00:00"/>
    <d v="2024-01-01T00:00:00"/>
    <n v="7890.0800000000008"/>
    <n v="30672"/>
    <s v="LY"/>
    <x v="6"/>
  </r>
  <r>
    <s v="Biolage"/>
    <x v="0"/>
    <s v="Search"/>
    <s v="Google"/>
    <s v="Biolage"/>
    <d v="2024-03-02T00:00:00"/>
    <d v="2024-01-01T00:00:00"/>
    <n v="8644.5400000000009"/>
    <n v="31488"/>
    <s v="LY"/>
    <x v="6"/>
  </r>
  <r>
    <s v="Biolage"/>
    <x v="0"/>
    <s v="Search"/>
    <s v="Google"/>
    <s v="Biolage"/>
    <d v="2024-03-09T00:00:00"/>
    <d v="2024-01-01T00:00:00"/>
    <n v="10337.749999999996"/>
    <n v="34045"/>
    <s v="LY"/>
    <x v="6"/>
  </r>
  <r>
    <s v="Biolage"/>
    <x v="0"/>
    <s v="Search"/>
    <s v="Google"/>
    <s v="Biolage"/>
    <d v="2024-03-16T00:00:00"/>
    <d v="2024-01-01T00:00:00"/>
    <n v="9065.41"/>
    <n v="31472"/>
    <s v="LY"/>
    <x v="6"/>
  </r>
  <r>
    <s v="Biolage"/>
    <x v="0"/>
    <s v="Search"/>
    <s v="Google"/>
    <s v="Biolage"/>
    <d v="2024-03-23T00:00:00"/>
    <d v="2024-01-01T00:00:00"/>
    <n v="8387.0299999999988"/>
    <n v="30896"/>
    <s v="LY"/>
    <x v="6"/>
  </r>
  <r>
    <s v="Biolage"/>
    <x v="0"/>
    <s v="Search"/>
    <s v="Google"/>
    <s v="Biolage"/>
    <d v="2024-03-30T00:00:00"/>
    <d v="2024-01-01T00:00:00"/>
    <n v="8325.8722969999999"/>
    <n v="29542"/>
    <s v="LY"/>
    <x v="6"/>
  </r>
  <r>
    <s v="Biolage"/>
    <x v="0"/>
    <s v="Search"/>
    <s v="Google"/>
    <s v="Biolage"/>
    <d v="2024-04-06T00:00:00"/>
    <d v="2024-01-01T00:00:00"/>
    <n v="8505.9989580000001"/>
    <n v="31858"/>
    <s v="LY"/>
    <x v="6"/>
  </r>
  <r>
    <s v="Biolage"/>
    <x v="0"/>
    <s v="Search"/>
    <s v="Google"/>
    <s v="Biolage"/>
    <d v="2024-04-13T00:00:00"/>
    <d v="2024-01-01T00:00:00"/>
    <n v="8947.6126199999981"/>
    <n v="35254"/>
    <s v="LY"/>
    <x v="6"/>
  </r>
  <r>
    <s v="Biolage"/>
    <x v="0"/>
    <s v="Search"/>
    <s v="Google"/>
    <s v="Biolage"/>
    <d v="2024-04-20T00:00:00"/>
    <d v="2024-01-01T00:00:00"/>
    <n v="8529.7832739999994"/>
    <n v="34096"/>
    <s v="LY"/>
    <x v="6"/>
  </r>
  <r>
    <s v="Biolage"/>
    <x v="0"/>
    <s v="Search"/>
    <s v="Google"/>
    <s v="Biolage"/>
    <d v="2024-04-27T00:00:00"/>
    <d v="2024-01-01T00:00:00"/>
    <n v="8844.1343230000002"/>
    <n v="34039"/>
    <s v="LY"/>
    <x v="6"/>
  </r>
  <r>
    <s v="Biolage"/>
    <x v="0"/>
    <s v="Search"/>
    <s v="Google"/>
    <s v="Biolage"/>
    <d v="2024-05-04T00:00:00"/>
    <d v="2024-01-01T00:00:00"/>
    <n v="7562.0014150000006"/>
    <n v="28414"/>
    <s v="LY"/>
    <x v="6"/>
  </r>
  <r>
    <s v="Biolage"/>
    <x v="0"/>
    <s v="Search"/>
    <s v="Google"/>
    <s v="Biolage"/>
    <d v="2024-05-11T00:00:00"/>
    <d v="2024-01-01T00:00:00"/>
    <n v="7276.1032540000006"/>
    <n v="28780"/>
    <s v="LY"/>
    <x v="6"/>
  </r>
  <r>
    <s v="Biolage"/>
    <x v="0"/>
    <s v="Search"/>
    <s v="Google"/>
    <s v="Biolage"/>
    <d v="2024-05-18T00:00:00"/>
    <d v="2024-01-01T00:00:00"/>
    <n v="7417.0357950000007"/>
    <n v="28131"/>
    <s v="LY"/>
    <x v="6"/>
  </r>
  <r>
    <s v="Biolage"/>
    <x v="0"/>
    <s v="Search"/>
    <s v="Google"/>
    <s v="Biolage"/>
    <d v="2024-05-25T00:00:00"/>
    <d v="2024-01-01T00:00:00"/>
    <n v="7676.6573399999997"/>
    <n v="28716"/>
    <s v="LY"/>
    <x v="6"/>
  </r>
  <r>
    <s v="Biolage"/>
    <x v="0"/>
    <s v="Search"/>
    <s v="Google"/>
    <s v="Biolage"/>
    <d v="2024-06-01T00:00:00"/>
    <d v="2024-01-01T00:00:00"/>
    <n v="7090.7125310000019"/>
    <n v="27124"/>
    <s v="LY"/>
    <x v="6"/>
  </r>
  <r>
    <s v="Biolage"/>
    <x v="0"/>
    <s v="Search"/>
    <s v="Google"/>
    <s v="Biolage"/>
    <d v="2024-06-08T00:00:00"/>
    <d v="2024-01-01T00:00:00"/>
    <n v="7568.6398499999968"/>
    <n v="29159"/>
    <s v="LY"/>
    <x v="6"/>
  </r>
  <r>
    <s v="Biolage"/>
    <x v="0"/>
    <s v="Search"/>
    <s v="Google"/>
    <s v="Biolage"/>
    <d v="2024-06-15T00:00:00"/>
    <d v="2024-01-01T00:00:00"/>
    <n v="7170.3243610000036"/>
    <n v="28180"/>
    <s v="LY"/>
    <x v="6"/>
  </r>
  <r>
    <s v="Biolage"/>
    <x v="0"/>
    <s v="Search"/>
    <s v="Google"/>
    <s v="Biolage"/>
    <d v="2024-06-22T00:00:00"/>
    <d v="2024-01-01T00:00:00"/>
    <n v="7559.404070999999"/>
    <n v="30597"/>
    <s v="LY"/>
    <x v="6"/>
  </r>
  <r>
    <s v="Biolage"/>
    <x v="0"/>
    <s v="Search"/>
    <s v="Google"/>
    <s v="Biolage"/>
    <d v="2024-06-29T00:00:00"/>
    <d v="2024-01-01T00:00:00"/>
    <n v="8182.6840920000004"/>
    <n v="32600"/>
    <s v="LY"/>
    <x v="6"/>
  </r>
  <r>
    <s v="Biolage"/>
    <x v="0"/>
    <s v="Search"/>
    <s v="Google"/>
    <s v="Biolage"/>
    <d v="2024-07-06T00:00:00"/>
    <d v="2024-01-01T00:00:00"/>
    <n v="7285.5753510000022"/>
    <n v="29725"/>
    <s v="LY"/>
    <x v="6"/>
  </r>
  <r>
    <s v="Biolage"/>
    <x v="0"/>
    <s v="Search"/>
    <s v="Google"/>
    <s v="Biolage"/>
    <d v="2024-07-13T00:00:00"/>
    <d v="2024-01-01T00:00:00"/>
    <n v="8017.4743689999987"/>
    <n v="31157"/>
    <s v="TTM"/>
    <x v="6"/>
  </r>
  <r>
    <s v="Biolage"/>
    <x v="0"/>
    <s v="Search"/>
    <s v="Google"/>
    <s v="Biolage"/>
    <d v="2024-07-20T00:00:00"/>
    <d v="2024-01-01T00:00:00"/>
    <n v="8550.2894309999992"/>
    <n v="31677"/>
    <s v="TTM"/>
    <x v="6"/>
  </r>
  <r>
    <s v="Biolage"/>
    <x v="0"/>
    <s v="Search"/>
    <s v="Google"/>
    <s v="Biolage"/>
    <d v="2024-07-27T00:00:00"/>
    <d v="2024-01-01T00:00:00"/>
    <n v="7946.35"/>
    <n v="28503"/>
    <s v="TTM"/>
    <x v="6"/>
  </r>
  <r>
    <s v="Biolage"/>
    <x v="0"/>
    <s v="Search"/>
    <s v="Google"/>
    <s v="Biolage"/>
    <d v="2024-08-03T00:00:00"/>
    <d v="2024-01-01T00:00:00"/>
    <n v="7854.9873459999981"/>
    <n v="28637"/>
    <s v="TTM"/>
    <x v="6"/>
  </r>
  <r>
    <s v="Biolage"/>
    <x v="0"/>
    <s v="Search"/>
    <s v="Google"/>
    <s v="Biolage"/>
    <d v="2024-08-10T00:00:00"/>
    <d v="2024-01-01T00:00:00"/>
    <n v="8705.2033069999998"/>
    <n v="28461"/>
    <s v="TTM"/>
    <x v="6"/>
  </r>
  <r>
    <s v="Biolage"/>
    <x v="0"/>
    <s v="Search"/>
    <s v="Google"/>
    <s v="Biolage"/>
    <d v="2024-08-17T00:00:00"/>
    <d v="2024-01-01T00:00:00"/>
    <n v="8149.8167180000028"/>
    <n v="27641"/>
    <s v="TTM"/>
    <x v="6"/>
  </r>
  <r>
    <s v="Biolage"/>
    <x v="0"/>
    <s v="Search"/>
    <s v="Google"/>
    <s v="Biolage"/>
    <d v="2024-08-24T00:00:00"/>
    <d v="2024-01-01T00:00:00"/>
    <n v="7863.9839549999997"/>
    <n v="27921"/>
    <s v="TTM"/>
    <x v="6"/>
  </r>
  <r>
    <s v="Biolage"/>
    <x v="0"/>
    <s v="Search"/>
    <s v="Google"/>
    <s v="Biolage"/>
    <d v="2024-08-31T00:00:00"/>
    <d v="2024-01-01T00:00:00"/>
    <n v="7572.2157110000016"/>
    <n v="27751"/>
    <s v="TTM"/>
    <x v="6"/>
  </r>
  <r>
    <s v="Biolage"/>
    <x v="0"/>
    <s v="Search"/>
    <s v="Google"/>
    <s v="Biolage"/>
    <d v="2024-09-07T00:00:00"/>
    <d v="2024-01-01T00:00:00"/>
    <n v="8309.7273860000023"/>
    <n v="28438"/>
    <s v="TTM"/>
    <x v="6"/>
  </r>
  <r>
    <s v="Biolage"/>
    <x v="0"/>
    <s v="Search"/>
    <s v="Google"/>
    <s v="Biolage"/>
    <d v="2024-09-14T00:00:00"/>
    <d v="2024-01-01T00:00:00"/>
    <n v="7845.6329089999981"/>
    <n v="28662"/>
    <s v="TTM"/>
    <x v="6"/>
  </r>
  <r>
    <s v="Biolage"/>
    <x v="0"/>
    <s v="Search"/>
    <s v="Google"/>
    <s v="Biolage"/>
    <d v="2024-09-21T00:00:00"/>
    <d v="2024-01-01T00:00:00"/>
    <n v="7409.6000650000005"/>
    <n v="26753"/>
    <s v="TTM"/>
    <x v="6"/>
  </r>
  <r>
    <s v="Biolage"/>
    <x v="0"/>
    <s v="Search"/>
    <s v="Google"/>
    <s v="Biolage"/>
    <d v="2024-09-28T00:00:00"/>
    <d v="2024-01-01T00:00:00"/>
    <n v="7337.6632870000012"/>
    <n v="26010"/>
    <s v="TTM"/>
    <x v="6"/>
  </r>
  <r>
    <s v="Biolage"/>
    <x v="0"/>
    <s v="Search"/>
    <s v="Google"/>
    <s v="Biolage"/>
    <d v="2024-10-05T00:00:00"/>
    <d v="2024-01-01T00:00:00"/>
    <n v="7478.167991999997"/>
    <n v="27862"/>
    <s v="TTM"/>
    <x v="6"/>
  </r>
  <r>
    <s v="Biolage"/>
    <x v="0"/>
    <s v="Search"/>
    <s v="Google"/>
    <s v="Biolage"/>
    <d v="2024-10-12T00:00:00"/>
    <d v="2024-01-01T00:00:00"/>
    <n v="7942.8542799999996"/>
    <n v="28983"/>
    <s v="TTM"/>
    <x v="6"/>
  </r>
  <r>
    <s v="Biolage"/>
    <x v="0"/>
    <s v="Search"/>
    <s v="Google"/>
    <s v="Biolage"/>
    <d v="2024-10-19T00:00:00"/>
    <d v="2024-01-01T00:00:00"/>
    <n v="7460.5304850000011"/>
    <n v="26814"/>
    <s v="TTM"/>
    <x v="6"/>
  </r>
  <r>
    <s v="Biolage"/>
    <x v="0"/>
    <s v="Search"/>
    <s v="Google"/>
    <s v="Biolage"/>
    <d v="2024-10-26T00:00:00"/>
    <d v="2024-01-01T00:00:00"/>
    <n v="7298.9189140000008"/>
    <n v="26507"/>
    <s v="TTM"/>
    <x v="6"/>
  </r>
  <r>
    <s v="Biolage"/>
    <x v="0"/>
    <s v="Search"/>
    <s v="Google"/>
    <s v="Biolage"/>
    <d v="2024-11-02T00:00:00"/>
    <d v="2024-01-01T00:00:00"/>
    <n v="7330.3361070000001"/>
    <n v="26953"/>
    <s v="TTM"/>
    <x v="6"/>
  </r>
  <r>
    <s v="Biolage"/>
    <x v="0"/>
    <s v="Search"/>
    <s v="Google"/>
    <s v="Biolage"/>
    <d v="2024-11-09T00:00:00"/>
    <d v="2024-01-01T00:00:00"/>
    <n v="7784.2208510000019"/>
    <n v="29251"/>
    <s v="TTM"/>
    <x v="6"/>
  </r>
  <r>
    <s v="Biolage"/>
    <x v="0"/>
    <s v="Search"/>
    <s v="Google"/>
    <s v="Biolage"/>
    <d v="2024-11-16T00:00:00"/>
    <d v="2024-01-01T00:00:00"/>
    <n v="7491.2811920000013"/>
    <n v="32107"/>
    <s v="TTM"/>
    <x v="6"/>
  </r>
  <r>
    <s v="Biolage"/>
    <x v="0"/>
    <s v="Search"/>
    <s v="Google"/>
    <s v="Biolage"/>
    <d v="2024-11-23T00:00:00"/>
    <d v="2024-01-01T00:00:00"/>
    <n v="7821.3770779999995"/>
    <n v="35009"/>
    <s v="TTM"/>
    <x v="6"/>
  </r>
  <r>
    <s v="Biolage"/>
    <x v="0"/>
    <s v="Search"/>
    <s v="Google"/>
    <s v="Biolage"/>
    <d v="2024-11-30T00:00:00"/>
    <d v="2024-01-01T00:00:00"/>
    <n v="9968.3266860000003"/>
    <n v="37782"/>
    <s v="TTM"/>
    <x v="6"/>
  </r>
  <r>
    <s v="Biolage"/>
    <x v="0"/>
    <s v="Search"/>
    <s v="Google"/>
    <s v="Biolage"/>
    <d v="2024-12-07T00:00:00"/>
    <d v="2024-01-01T00:00:00"/>
    <n v="8362.8175480000009"/>
    <n v="34005"/>
    <s v="TTM"/>
    <x v="6"/>
  </r>
  <r>
    <s v="Biolage"/>
    <x v="0"/>
    <s v="Search"/>
    <s v="Google"/>
    <s v="Biolage"/>
    <d v="2024-12-14T00:00:00"/>
    <d v="2024-01-01T00:00:00"/>
    <n v="5944.3401189999986"/>
    <n v="31775"/>
    <s v="TTM"/>
    <x v="6"/>
  </r>
  <r>
    <s v="Biolage"/>
    <x v="0"/>
    <s v="Search"/>
    <s v="Google"/>
    <s v="Biolage"/>
    <d v="2024-12-21T00:00:00"/>
    <d v="2024-01-01T00:00:00"/>
    <n v="5878.1084860000001"/>
    <n v="29548"/>
    <s v="TTM"/>
    <x v="6"/>
  </r>
  <r>
    <s v="Biolage"/>
    <x v="0"/>
    <s v="Search"/>
    <s v="Google"/>
    <s v="Biolage"/>
    <d v="2024-12-28T00:00:00"/>
    <d v="2024-01-01T00:00:00"/>
    <n v="5590.1406300000008"/>
    <n v="26381"/>
    <s v="TTM"/>
    <x v="6"/>
  </r>
  <r>
    <s v="Biolage"/>
    <x v="0"/>
    <s v="Search"/>
    <s v="Google"/>
    <s v="Biolage"/>
    <d v="2025-01-04T00:00:00"/>
    <d v="2024-01-01T00:00:00"/>
    <n v="702.84051900000009"/>
    <n v="3018"/>
    <s v="TTM"/>
    <x v="6"/>
  </r>
  <r>
    <s v="Biolage"/>
    <x v="0"/>
    <s v="Search"/>
    <s v="Google"/>
    <s v="Biolage"/>
    <d v="2025-03-01T00:00:00"/>
    <d v="2025-01-01T00:00:00"/>
    <n v="2.9959999999999997E-2"/>
    <n v="23"/>
    <s v="TTM"/>
    <x v="6"/>
  </r>
  <r>
    <s v="Biolage"/>
    <x v="0"/>
    <s v="Search"/>
    <s v="Google"/>
    <s v="Biolage"/>
    <d v="2025-03-08T00:00:00"/>
    <d v="2025-01-01T00:00:00"/>
    <n v="0.01"/>
    <n v="2"/>
    <s v="TTM"/>
    <x v="6"/>
  </r>
  <r>
    <s v="Biolage"/>
    <x v="3"/>
    <s v="Search"/>
    <s v="Google"/>
    <s v="Biolage"/>
    <d v="2023-09-30T00:00:00"/>
    <d v="2023-01-01T00:00:00"/>
    <n v="118.06"/>
    <n v="837"/>
    <s v="LY"/>
    <x v="6"/>
  </r>
  <r>
    <s v="Biolage"/>
    <x v="3"/>
    <s v="Search"/>
    <s v="Google"/>
    <s v="Biolage"/>
    <d v="2023-10-07T00:00:00"/>
    <d v="2023-01-01T00:00:00"/>
    <n v="161.30000000000001"/>
    <n v="1024"/>
    <s v="LY"/>
    <x v="6"/>
  </r>
  <r>
    <s v="Biolage"/>
    <x v="3"/>
    <s v="Search"/>
    <s v="Google"/>
    <s v="Biolage"/>
    <d v="2023-10-14T00:00:00"/>
    <d v="2023-01-01T00:00:00"/>
    <n v="172.49"/>
    <n v="988"/>
    <s v="LY"/>
    <x v="6"/>
  </r>
  <r>
    <s v="Biolage"/>
    <x v="3"/>
    <s v="Search"/>
    <s v="Google"/>
    <s v="Biolage"/>
    <d v="2023-10-21T00:00:00"/>
    <d v="2023-01-01T00:00:00"/>
    <n v="195.31"/>
    <n v="1105"/>
    <s v="LY"/>
    <x v="6"/>
  </r>
  <r>
    <s v="Biolage"/>
    <x v="3"/>
    <s v="Search"/>
    <s v="Google"/>
    <s v="Biolage"/>
    <d v="2023-10-28T00:00:00"/>
    <d v="2023-01-01T00:00:00"/>
    <n v="274.41000000000003"/>
    <n v="1157"/>
    <s v="LY"/>
    <x v="6"/>
  </r>
  <r>
    <s v="Biolage"/>
    <x v="3"/>
    <s v="Search"/>
    <s v="Google"/>
    <s v="Biolage"/>
    <d v="2023-11-04T00:00:00"/>
    <d v="2023-01-01T00:00:00"/>
    <n v="276.95"/>
    <n v="1181"/>
    <s v="LY"/>
    <x v="6"/>
  </r>
  <r>
    <s v="Biolage"/>
    <x v="3"/>
    <s v="Search"/>
    <s v="Google"/>
    <s v="Biolage"/>
    <d v="2023-11-11T00:00:00"/>
    <d v="2023-01-01T00:00:00"/>
    <n v="197.03000000000003"/>
    <n v="1267"/>
    <s v="LY"/>
    <x v="6"/>
  </r>
  <r>
    <s v="Biolage"/>
    <x v="3"/>
    <s v="Search"/>
    <s v="Google"/>
    <s v="Biolage"/>
    <d v="2023-11-18T00:00:00"/>
    <d v="2023-01-01T00:00:00"/>
    <n v="229.60999999999996"/>
    <n v="1342"/>
    <s v="LY"/>
    <x v="6"/>
  </r>
  <r>
    <s v="Biolage"/>
    <x v="3"/>
    <s v="Search"/>
    <s v="Google"/>
    <s v="Biolage"/>
    <d v="2023-11-25T00:00:00"/>
    <d v="2023-01-01T00:00:00"/>
    <n v="182.08"/>
    <n v="1061"/>
    <s v="LY"/>
    <x v="6"/>
  </r>
  <r>
    <s v="Biolage"/>
    <x v="3"/>
    <s v="Search"/>
    <s v="Google"/>
    <s v="Biolage"/>
    <d v="2023-12-02T00:00:00"/>
    <d v="2023-01-01T00:00:00"/>
    <n v="180.03"/>
    <n v="1068"/>
    <s v="LY"/>
    <x v="6"/>
  </r>
  <r>
    <s v="Biolage"/>
    <x v="3"/>
    <s v="Search"/>
    <s v="Google"/>
    <s v="Biolage"/>
    <d v="2023-12-09T00:00:00"/>
    <d v="2023-01-01T00:00:00"/>
    <n v="199.23999999999998"/>
    <n v="1196"/>
    <s v="LY"/>
    <x v="6"/>
  </r>
  <r>
    <s v="Biolage"/>
    <x v="3"/>
    <s v="Search"/>
    <s v="Google"/>
    <s v="Biolage"/>
    <d v="2023-12-16T00:00:00"/>
    <d v="2023-01-01T00:00:00"/>
    <n v="241.23000000000002"/>
    <n v="1288"/>
    <s v="LY"/>
    <x v="6"/>
  </r>
  <r>
    <s v="Biolage"/>
    <x v="3"/>
    <s v="Search"/>
    <s v="Google"/>
    <s v="Biolage"/>
    <d v="2023-12-23T00:00:00"/>
    <d v="2023-01-01T00:00:00"/>
    <n v="212.78999999999996"/>
    <n v="1080"/>
    <s v="LY"/>
    <x v="6"/>
  </r>
  <r>
    <s v="Biolage"/>
    <x v="3"/>
    <s v="Search"/>
    <s v="Google"/>
    <s v="Biolage"/>
    <d v="2023-12-30T00:00:00"/>
    <d v="2023-01-01T00:00:00"/>
    <n v="108.99999999999999"/>
    <n v="762"/>
    <s v="LY"/>
    <x v="6"/>
  </r>
  <r>
    <s v="Biolage"/>
    <x v="3"/>
    <s v="Search"/>
    <s v="Google"/>
    <s v="Biolage"/>
    <d v="2024-01-06T00:00:00"/>
    <d v="2024-01-01T00:00:00"/>
    <n v="94.61999999999999"/>
    <n v="733"/>
    <s v="LY"/>
    <x v="6"/>
  </r>
  <r>
    <s v="Biolage"/>
    <x v="3"/>
    <s v="Search"/>
    <s v="Google"/>
    <s v="Biolage"/>
    <d v="2024-01-13T00:00:00"/>
    <d v="2024-01-01T00:00:00"/>
    <n v="105.29"/>
    <n v="718"/>
    <s v="LY"/>
    <x v="6"/>
  </r>
  <r>
    <s v="Biolage"/>
    <x v="3"/>
    <s v="Search"/>
    <s v="Google"/>
    <s v="Biolage"/>
    <d v="2024-01-20T00:00:00"/>
    <d v="2024-01-01T00:00:00"/>
    <n v="58.02"/>
    <n v="529"/>
    <s v="LY"/>
    <x v="6"/>
  </r>
  <r>
    <s v="Biolage"/>
    <x v="3"/>
    <s v="Search"/>
    <s v="Google"/>
    <s v="Biolage"/>
    <d v="2024-01-27T00:00:00"/>
    <d v="2024-01-01T00:00:00"/>
    <n v="70.81"/>
    <n v="599"/>
    <s v="LY"/>
    <x v="6"/>
  </r>
  <r>
    <s v="Biolage"/>
    <x v="3"/>
    <s v="Search"/>
    <s v="Google"/>
    <s v="Biolage"/>
    <d v="2024-02-03T00:00:00"/>
    <d v="2024-01-01T00:00:00"/>
    <n v="72.069999999999993"/>
    <n v="547"/>
    <s v="LY"/>
    <x v="6"/>
  </r>
  <r>
    <s v="Biolage"/>
    <x v="3"/>
    <s v="Search"/>
    <s v="Google"/>
    <s v="Biolage"/>
    <d v="2024-02-10T00:00:00"/>
    <d v="2024-01-01T00:00:00"/>
    <n v="70.88"/>
    <n v="611"/>
    <s v="LY"/>
    <x v="6"/>
  </r>
  <r>
    <s v="Biolage"/>
    <x v="3"/>
    <s v="Search"/>
    <s v="Google"/>
    <s v="Biolage"/>
    <d v="2024-02-17T00:00:00"/>
    <d v="2024-01-01T00:00:00"/>
    <n v="63.28"/>
    <n v="462"/>
    <s v="LY"/>
    <x v="6"/>
  </r>
  <r>
    <s v="Biolage"/>
    <x v="3"/>
    <s v="Search"/>
    <s v="Google"/>
    <s v="Biolage"/>
    <d v="2024-02-24T00:00:00"/>
    <d v="2024-01-01T00:00:00"/>
    <n v="64.680000000000007"/>
    <n v="515"/>
    <s v="LY"/>
    <x v="6"/>
  </r>
  <r>
    <s v="Biolage"/>
    <x v="3"/>
    <s v="Search"/>
    <s v="Google"/>
    <s v="Biolage"/>
    <d v="2024-03-02T00:00:00"/>
    <d v="2024-01-01T00:00:00"/>
    <n v="106.41999999999999"/>
    <n v="644"/>
    <s v="LY"/>
    <x v="6"/>
  </r>
  <r>
    <s v="Biolage"/>
    <x v="3"/>
    <s v="Search"/>
    <s v="Google"/>
    <s v="Biolage"/>
    <d v="2024-03-09T00:00:00"/>
    <d v="2024-01-01T00:00:00"/>
    <n v="88.039999999999992"/>
    <n v="673"/>
    <s v="LY"/>
    <x v="6"/>
  </r>
  <r>
    <s v="Biolage"/>
    <x v="3"/>
    <s v="Search"/>
    <s v="Google"/>
    <s v="Biolage"/>
    <d v="2024-03-16T00:00:00"/>
    <d v="2024-01-01T00:00:00"/>
    <n v="81.11"/>
    <n v="664"/>
    <s v="LY"/>
    <x v="6"/>
  </r>
  <r>
    <s v="Biolage"/>
    <x v="3"/>
    <s v="Search"/>
    <s v="Google"/>
    <s v="Biolage"/>
    <d v="2024-03-23T00:00:00"/>
    <d v="2024-01-01T00:00:00"/>
    <n v="74.859999999999985"/>
    <n v="755"/>
    <s v="LY"/>
    <x v="6"/>
  </r>
  <r>
    <s v="Biolage"/>
    <x v="3"/>
    <s v="Search"/>
    <s v="Google"/>
    <s v="Biolage"/>
    <d v="2024-03-30T00:00:00"/>
    <d v="2024-01-01T00:00:00"/>
    <n v="102.71000000000001"/>
    <n v="836"/>
    <s v="LY"/>
    <x v="6"/>
  </r>
  <r>
    <s v="Biolage"/>
    <x v="3"/>
    <s v="Search"/>
    <s v="Google"/>
    <s v="Biolage"/>
    <d v="2024-04-06T00:00:00"/>
    <d v="2024-01-01T00:00:00"/>
    <n v="102.03999999999999"/>
    <n v="941"/>
    <s v="LY"/>
    <x v="6"/>
  </r>
  <r>
    <s v="Biolage"/>
    <x v="3"/>
    <s v="Search"/>
    <s v="Google"/>
    <s v="Biolage"/>
    <d v="2024-04-13T00:00:00"/>
    <d v="2024-01-01T00:00:00"/>
    <n v="105.71000000000001"/>
    <n v="942"/>
    <s v="LY"/>
    <x v="6"/>
  </r>
  <r>
    <s v="Biolage"/>
    <x v="3"/>
    <s v="Search"/>
    <s v="Google"/>
    <s v="Biolage"/>
    <d v="2024-04-20T00:00:00"/>
    <d v="2024-01-01T00:00:00"/>
    <n v="116.16"/>
    <n v="813"/>
    <s v="LY"/>
    <x v="6"/>
  </r>
  <r>
    <s v="Biolage"/>
    <x v="3"/>
    <s v="Search"/>
    <s v="Google"/>
    <s v="Biolage"/>
    <d v="2024-04-27T00:00:00"/>
    <d v="2024-01-01T00:00:00"/>
    <n v="113.38999999999999"/>
    <n v="939"/>
    <s v="LY"/>
    <x v="6"/>
  </r>
  <r>
    <s v="Biolage"/>
    <x v="3"/>
    <s v="Search"/>
    <s v="Google"/>
    <s v="Biolage"/>
    <d v="2024-05-04T00:00:00"/>
    <d v="2024-01-01T00:00:00"/>
    <n v="117.46"/>
    <n v="918"/>
    <s v="LY"/>
    <x v="6"/>
  </r>
  <r>
    <s v="Biolage"/>
    <x v="3"/>
    <s v="Search"/>
    <s v="Google"/>
    <s v="Biolage"/>
    <d v="2024-05-11T00:00:00"/>
    <d v="2024-01-01T00:00:00"/>
    <n v="96.050000000000011"/>
    <n v="889"/>
    <s v="LY"/>
    <x v="6"/>
  </r>
  <r>
    <s v="Biolage"/>
    <x v="3"/>
    <s v="Search"/>
    <s v="Google"/>
    <s v="Biolage"/>
    <d v="2024-05-18T00:00:00"/>
    <d v="2024-01-01T00:00:00"/>
    <n v="128.62"/>
    <n v="890"/>
    <s v="LY"/>
    <x v="6"/>
  </r>
  <r>
    <s v="Biolage"/>
    <x v="3"/>
    <s v="Search"/>
    <s v="Google"/>
    <s v="Biolage"/>
    <d v="2024-05-25T00:00:00"/>
    <d v="2024-01-01T00:00:00"/>
    <n v="83.481572999999997"/>
    <n v="852"/>
    <s v="LY"/>
    <x v="6"/>
  </r>
  <r>
    <s v="Biolage"/>
    <x v="3"/>
    <s v="Search"/>
    <s v="Google"/>
    <s v="Biolage"/>
    <d v="2024-06-01T00:00:00"/>
    <d v="2024-01-01T00:00:00"/>
    <n v="101.01"/>
    <n v="896"/>
    <s v="LY"/>
    <x v="6"/>
  </r>
  <r>
    <s v="Biolage"/>
    <x v="3"/>
    <s v="Search"/>
    <s v="Google"/>
    <s v="Biolage"/>
    <d v="2024-06-08T00:00:00"/>
    <d v="2024-01-01T00:00:00"/>
    <n v="111.30999999999999"/>
    <n v="922"/>
    <s v="LY"/>
    <x v="6"/>
  </r>
  <r>
    <s v="Biolage"/>
    <x v="3"/>
    <s v="Search"/>
    <s v="Google"/>
    <s v="Biolage"/>
    <d v="2024-06-15T00:00:00"/>
    <d v="2024-01-01T00:00:00"/>
    <n v="106.74"/>
    <n v="981"/>
    <s v="LY"/>
    <x v="6"/>
  </r>
  <r>
    <s v="Biolage"/>
    <x v="3"/>
    <s v="Search"/>
    <s v="Google"/>
    <s v="Biolage"/>
    <d v="2024-06-22T00:00:00"/>
    <d v="2024-01-01T00:00:00"/>
    <n v="136.72999999999999"/>
    <n v="996"/>
    <s v="LY"/>
    <x v="6"/>
  </r>
  <r>
    <s v="Biolage"/>
    <x v="3"/>
    <s v="Search"/>
    <s v="Google"/>
    <s v="Biolage"/>
    <d v="2024-06-29T00:00:00"/>
    <d v="2024-01-01T00:00:00"/>
    <n v="130.30000000000001"/>
    <n v="1111"/>
    <s v="LY"/>
    <x v="6"/>
  </r>
  <r>
    <s v="Biolage"/>
    <x v="3"/>
    <s v="Search"/>
    <s v="Google"/>
    <s v="Biolage"/>
    <d v="2024-07-06T00:00:00"/>
    <d v="2024-01-01T00:00:00"/>
    <n v="130.28297800000001"/>
    <n v="962"/>
    <s v="LY"/>
    <x v="6"/>
  </r>
  <r>
    <s v="Biolage"/>
    <x v="3"/>
    <s v="Search"/>
    <s v="Google"/>
    <s v="Biolage"/>
    <d v="2024-07-13T00:00:00"/>
    <d v="2024-01-01T00:00:00"/>
    <n v="119.52000000000001"/>
    <n v="960"/>
    <s v="TTM"/>
    <x v="6"/>
  </r>
  <r>
    <s v="Biolage"/>
    <x v="3"/>
    <s v="Search"/>
    <s v="Google"/>
    <s v="Biolage"/>
    <d v="2024-07-20T00:00:00"/>
    <d v="2024-01-01T00:00:00"/>
    <n v="134.274237"/>
    <n v="928"/>
    <s v="TTM"/>
    <x v="6"/>
  </r>
  <r>
    <s v="Biolage"/>
    <x v="3"/>
    <s v="Search"/>
    <s v="Google"/>
    <s v="Biolage"/>
    <d v="2024-07-27T00:00:00"/>
    <d v="2024-01-01T00:00:00"/>
    <n v="77.240000000000009"/>
    <n v="848"/>
    <s v="TTM"/>
    <x v="6"/>
  </r>
  <r>
    <s v="Biolage"/>
    <x v="3"/>
    <s v="Search"/>
    <s v="Google"/>
    <s v="Biolage"/>
    <d v="2024-08-03T00:00:00"/>
    <d v="2024-01-01T00:00:00"/>
    <n v="155.60999999999999"/>
    <n v="1035"/>
    <s v="TTM"/>
    <x v="6"/>
  </r>
  <r>
    <s v="Biolage"/>
    <x v="3"/>
    <s v="Search"/>
    <s v="Google"/>
    <s v="Biolage"/>
    <d v="2024-08-10T00:00:00"/>
    <d v="2024-01-01T00:00:00"/>
    <n v="74.52"/>
    <n v="772"/>
    <s v="TTM"/>
    <x v="6"/>
  </r>
  <r>
    <s v="Biolage"/>
    <x v="3"/>
    <s v="Search"/>
    <s v="Google"/>
    <s v="Biolage"/>
    <d v="2024-08-17T00:00:00"/>
    <d v="2024-01-01T00:00:00"/>
    <n v="114.97000000000001"/>
    <n v="809"/>
    <s v="TTM"/>
    <x v="6"/>
  </r>
  <r>
    <s v="Biolage"/>
    <x v="3"/>
    <s v="Search"/>
    <s v="Google"/>
    <s v="Biolage"/>
    <d v="2024-08-24T00:00:00"/>
    <d v="2024-01-01T00:00:00"/>
    <n v="135.33530300000001"/>
    <n v="866"/>
    <s v="TTM"/>
    <x v="6"/>
  </r>
  <r>
    <s v="Biolage"/>
    <x v="3"/>
    <s v="Search"/>
    <s v="Google"/>
    <s v="Biolage"/>
    <d v="2024-08-31T00:00:00"/>
    <d v="2024-01-01T00:00:00"/>
    <n v="139.58421000000001"/>
    <n v="904"/>
    <s v="TTM"/>
    <x v="6"/>
  </r>
  <r>
    <s v="Biolage"/>
    <x v="3"/>
    <s v="Search"/>
    <s v="Google"/>
    <s v="Biolage"/>
    <d v="2024-09-07T00:00:00"/>
    <d v="2024-01-01T00:00:00"/>
    <n v="147.71"/>
    <n v="905"/>
    <s v="TTM"/>
    <x v="6"/>
  </r>
  <r>
    <s v="Biolage"/>
    <x v="3"/>
    <s v="Search"/>
    <s v="Google"/>
    <s v="Biolage"/>
    <d v="2024-09-14T00:00:00"/>
    <d v="2024-01-01T00:00:00"/>
    <n v="158.94999999999999"/>
    <n v="889"/>
    <s v="TTM"/>
    <x v="6"/>
  </r>
  <r>
    <s v="Biolage"/>
    <x v="3"/>
    <s v="Search"/>
    <s v="Google"/>
    <s v="Biolage"/>
    <d v="2024-09-21T00:00:00"/>
    <d v="2024-01-01T00:00:00"/>
    <n v="138.24"/>
    <n v="1011"/>
    <s v="TTM"/>
    <x v="6"/>
  </r>
  <r>
    <s v="Biolage"/>
    <x v="3"/>
    <s v="Search"/>
    <s v="Google"/>
    <s v="Biolage"/>
    <d v="2024-09-28T00:00:00"/>
    <d v="2024-01-01T00:00:00"/>
    <n v="113.14000000000001"/>
    <n v="847"/>
    <s v="TTM"/>
    <x v="6"/>
  </r>
  <r>
    <s v="Biolage"/>
    <x v="3"/>
    <s v="Search"/>
    <s v="Google"/>
    <s v="Biolage"/>
    <d v="2024-10-05T00:00:00"/>
    <d v="2024-01-01T00:00:00"/>
    <n v="136.31"/>
    <n v="993"/>
    <s v="TTM"/>
    <x v="6"/>
  </r>
  <r>
    <s v="Biolage"/>
    <x v="3"/>
    <s v="Search"/>
    <s v="Google"/>
    <s v="Biolage"/>
    <d v="2024-10-12T00:00:00"/>
    <d v="2024-01-01T00:00:00"/>
    <n v="149.38547800000001"/>
    <n v="986"/>
    <s v="TTM"/>
    <x v="6"/>
  </r>
  <r>
    <s v="Biolage"/>
    <x v="3"/>
    <s v="Search"/>
    <s v="Google"/>
    <s v="Biolage"/>
    <d v="2024-10-19T00:00:00"/>
    <d v="2024-01-01T00:00:00"/>
    <n v="170.16177999999999"/>
    <n v="978"/>
    <s v="TTM"/>
    <x v="6"/>
  </r>
  <r>
    <s v="Biolage"/>
    <x v="3"/>
    <s v="Search"/>
    <s v="Google"/>
    <s v="Biolage"/>
    <d v="2024-10-26T00:00:00"/>
    <d v="2024-01-01T00:00:00"/>
    <n v="119.38872599999999"/>
    <n v="1115"/>
    <s v="TTM"/>
    <x v="6"/>
  </r>
  <r>
    <s v="Biolage"/>
    <x v="3"/>
    <s v="Search"/>
    <s v="Google"/>
    <s v="Biolage"/>
    <d v="2024-11-02T00:00:00"/>
    <d v="2024-01-01T00:00:00"/>
    <n v="171.67296299999998"/>
    <n v="1007"/>
    <s v="TTM"/>
    <x v="6"/>
  </r>
  <r>
    <s v="Biolage"/>
    <x v="3"/>
    <s v="Search"/>
    <s v="Google"/>
    <s v="Biolage"/>
    <d v="2024-11-09T00:00:00"/>
    <d v="2024-01-01T00:00:00"/>
    <n v="123.94999999999999"/>
    <n v="1069"/>
    <s v="TTM"/>
    <x v="6"/>
  </r>
  <r>
    <s v="Biolage"/>
    <x v="3"/>
    <s v="Search"/>
    <s v="Google"/>
    <s v="Biolage"/>
    <d v="2024-11-16T00:00:00"/>
    <d v="2024-01-01T00:00:00"/>
    <n v="123.517662"/>
    <n v="1006"/>
    <s v="TTM"/>
    <x v="6"/>
  </r>
  <r>
    <s v="Biolage"/>
    <x v="3"/>
    <s v="Search"/>
    <s v="Google"/>
    <s v="Biolage"/>
    <d v="2024-11-23T00:00:00"/>
    <d v="2024-01-01T00:00:00"/>
    <n v="99.500647999999998"/>
    <n v="1104"/>
    <s v="TTM"/>
    <x v="6"/>
  </r>
  <r>
    <s v="Biolage"/>
    <x v="3"/>
    <s v="Search"/>
    <s v="Google"/>
    <s v="Biolage"/>
    <d v="2024-11-30T00:00:00"/>
    <d v="2024-01-01T00:00:00"/>
    <n v="70.333105000000003"/>
    <n v="1031"/>
    <s v="TTM"/>
    <x v="6"/>
  </r>
  <r>
    <s v="Biolage"/>
    <x v="3"/>
    <s v="Search"/>
    <s v="Google"/>
    <s v="Biolage"/>
    <d v="2024-12-07T00:00:00"/>
    <d v="2024-01-01T00:00:00"/>
    <n v="45.412084"/>
    <n v="790"/>
    <s v="TTM"/>
    <x v="6"/>
  </r>
  <r>
    <s v="Biolage"/>
    <x v="3"/>
    <s v="Search"/>
    <s v="Google"/>
    <s v="Biolage"/>
    <d v="2024-12-14T00:00:00"/>
    <d v="2024-01-01T00:00:00"/>
    <n v="66.362295000000017"/>
    <n v="728"/>
    <s v="TTM"/>
    <x v="6"/>
  </r>
  <r>
    <s v="Biolage"/>
    <x v="3"/>
    <s v="Search"/>
    <s v="Google"/>
    <s v="Biolage"/>
    <d v="2024-12-21T00:00:00"/>
    <d v="2024-01-01T00:00:00"/>
    <n v="27.937821"/>
    <n v="656"/>
    <s v="TTM"/>
    <x v="6"/>
  </r>
  <r>
    <s v="Biolage"/>
    <x v="3"/>
    <s v="Search"/>
    <s v="Google"/>
    <s v="Biolage"/>
    <d v="2024-12-28T00:00:00"/>
    <d v="2024-01-01T00:00:00"/>
    <n v="25.570698"/>
    <n v="470"/>
    <s v="TTM"/>
    <x v="6"/>
  </r>
  <r>
    <s v="Biolage"/>
    <x v="3"/>
    <s v="Search"/>
    <s v="Google"/>
    <s v="Biolage"/>
    <d v="2025-01-04T00:00:00"/>
    <d v="2024-01-01T00:00:00"/>
    <n v="2.0699999999999998"/>
    <n v="52"/>
    <s v="TTM"/>
    <x v="6"/>
  </r>
  <r>
    <s v="Biolage"/>
    <x v="13"/>
    <s v="Search"/>
    <s v="Google"/>
    <s v="Biolage"/>
    <d v="2023-09-30T00:00:00"/>
    <d v="2023-01-01T00:00:00"/>
    <n v="9.6300000000000008"/>
    <n v="13"/>
    <s v="LY"/>
    <x v="6"/>
  </r>
  <r>
    <s v="Biolage"/>
    <x v="13"/>
    <s v="Search"/>
    <s v="Google"/>
    <s v="Biolage"/>
    <d v="2023-10-07T00:00:00"/>
    <d v="2023-01-01T00:00:00"/>
    <n v="70"/>
    <n v="306"/>
    <s v="LY"/>
    <x v="6"/>
  </r>
  <r>
    <s v="Biolage"/>
    <x v="13"/>
    <s v="Search"/>
    <s v="Google"/>
    <s v="Biolage"/>
    <d v="2023-10-14T00:00:00"/>
    <d v="2023-01-01T00:00:00"/>
    <n v="11.56"/>
    <n v="31"/>
    <s v="LY"/>
    <x v="6"/>
  </r>
  <r>
    <s v="Biolage"/>
    <x v="13"/>
    <s v="Search"/>
    <s v="Google"/>
    <s v="Biolage"/>
    <d v="2023-10-21T00:00:00"/>
    <d v="2023-01-01T00:00:00"/>
    <n v="23.09"/>
    <n v="86"/>
    <s v="LY"/>
    <x v="6"/>
  </r>
  <r>
    <s v="Biolage"/>
    <x v="13"/>
    <s v="Search"/>
    <s v="Google"/>
    <s v="Biolage"/>
    <d v="2023-10-28T00:00:00"/>
    <d v="2023-01-01T00:00:00"/>
    <n v="20.2"/>
    <n v="87"/>
    <s v="LY"/>
    <x v="6"/>
  </r>
  <r>
    <s v="Biolage"/>
    <x v="13"/>
    <s v="Search"/>
    <s v="Google"/>
    <s v="Biolage"/>
    <d v="2023-11-04T00:00:00"/>
    <d v="2023-01-01T00:00:00"/>
    <n v="20.97"/>
    <n v="51"/>
    <s v="LY"/>
    <x v="6"/>
  </r>
  <r>
    <s v="Biolage"/>
    <x v="13"/>
    <s v="Search"/>
    <s v="Google"/>
    <s v="Biolage"/>
    <d v="2023-11-11T00:00:00"/>
    <d v="2023-01-01T00:00:00"/>
    <n v="21.03"/>
    <n v="135"/>
    <s v="LY"/>
    <x v="6"/>
  </r>
  <r>
    <s v="Biolage"/>
    <x v="13"/>
    <s v="Search"/>
    <s v="Google"/>
    <s v="Biolage"/>
    <d v="2023-11-18T00:00:00"/>
    <d v="2023-01-01T00:00:00"/>
    <n v="25.89"/>
    <n v="76"/>
    <s v="LY"/>
    <x v="6"/>
  </r>
  <r>
    <s v="Biolage"/>
    <x v="13"/>
    <s v="Search"/>
    <s v="Google"/>
    <s v="Biolage"/>
    <d v="2023-11-25T00:00:00"/>
    <d v="2023-01-01T00:00:00"/>
    <n v="22.259999999999998"/>
    <n v="89"/>
    <s v="LY"/>
    <x v="6"/>
  </r>
  <r>
    <s v="Biolage"/>
    <x v="13"/>
    <s v="Search"/>
    <s v="Google"/>
    <s v="Biolage"/>
    <d v="2023-12-02T00:00:00"/>
    <d v="2023-01-01T00:00:00"/>
    <n v="38.57"/>
    <n v="134"/>
    <s v="LY"/>
    <x v="6"/>
  </r>
  <r>
    <s v="Biolage"/>
    <x v="13"/>
    <s v="Search"/>
    <s v="Google"/>
    <s v="Biolage"/>
    <d v="2023-12-09T00:00:00"/>
    <d v="2023-01-01T00:00:00"/>
    <n v="27.549999999999997"/>
    <n v="94"/>
    <s v="LY"/>
    <x v="6"/>
  </r>
  <r>
    <s v="Biolage"/>
    <x v="13"/>
    <s v="Search"/>
    <s v="Google"/>
    <s v="Biolage"/>
    <d v="2023-12-16T00:00:00"/>
    <d v="2023-01-01T00:00:00"/>
    <n v="12.08"/>
    <n v="59"/>
    <s v="LY"/>
    <x v="6"/>
  </r>
  <r>
    <s v="Biolage"/>
    <x v="13"/>
    <s v="Search"/>
    <s v="Google"/>
    <s v="Biolage"/>
    <d v="2023-12-23T00:00:00"/>
    <d v="2023-01-01T00:00:00"/>
    <n v="36.78"/>
    <n v="72"/>
    <s v="LY"/>
    <x v="6"/>
  </r>
  <r>
    <s v="Biolage"/>
    <x v="13"/>
    <s v="Search"/>
    <s v="Google"/>
    <s v="Biolage"/>
    <d v="2023-12-30T00:00:00"/>
    <d v="2023-01-01T00:00:00"/>
    <n v="8.85"/>
    <n v="8"/>
    <s v="LY"/>
    <x v="6"/>
  </r>
  <r>
    <s v="Biolage"/>
    <x v="13"/>
    <s v="Search"/>
    <s v="Google"/>
    <s v="Biolage"/>
    <d v="2024-01-06T00:00:00"/>
    <d v="2024-01-01T00:00:00"/>
    <n v="12.65"/>
    <n v="42"/>
    <s v="LY"/>
    <x v="6"/>
  </r>
  <r>
    <s v="Biolage"/>
    <x v="13"/>
    <s v="Search"/>
    <s v="Google"/>
    <s v="Biolage"/>
    <d v="2024-01-13T00:00:00"/>
    <d v="2024-01-01T00:00:00"/>
    <n v="1.55"/>
    <n v="2"/>
    <s v="LY"/>
    <x v="6"/>
  </r>
  <r>
    <s v="Biolage"/>
    <x v="13"/>
    <s v="Search"/>
    <s v="Google"/>
    <s v="Biolage"/>
    <d v="2024-01-20T00:00:00"/>
    <d v="2024-01-01T00:00:00"/>
    <n v="1.91"/>
    <n v="1"/>
    <s v="LY"/>
    <x v="6"/>
  </r>
  <r>
    <s v="Biolage"/>
    <x v="13"/>
    <s v="Search"/>
    <s v="Google"/>
    <s v="Biolage"/>
    <d v="2024-01-27T00:00:00"/>
    <d v="2024-01-01T00:00:00"/>
    <n v="7.92"/>
    <n v="32"/>
    <s v="LY"/>
    <x v="6"/>
  </r>
  <r>
    <s v="Biolage"/>
    <x v="13"/>
    <s v="Search"/>
    <s v="Google"/>
    <s v="Biolage"/>
    <d v="2024-02-03T00:00:00"/>
    <d v="2024-01-01T00:00:00"/>
    <n v="20.65"/>
    <n v="64"/>
    <s v="LY"/>
    <x v="6"/>
  </r>
  <r>
    <s v="Biolage"/>
    <x v="13"/>
    <s v="Search"/>
    <s v="Google"/>
    <s v="Biolage"/>
    <d v="2024-02-10T00:00:00"/>
    <d v="2024-01-01T00:00:00"/>
    <n v="24.880000000000003"/>
    <n v="83"/>
    <s v="LY"/>
    <x v="6"/>
  </r>
  <r>
    <s v="Biolage"/>
    <x v="13"/>
    <s v="Search"/>
    <s v="Google"/>
    <s v="Biolage"/>
    <d v="2024-02-17T00:00:00"/>
    <d v="2024-01-01T00:00:00"/>
    <n v="1.97"/>
    <n v="14"/>
    <s v="LY"/>
    <x v="6"/>
  </r>
  <r>
    <s v="Biolage"/>
    <x v="13"/>
    <s v="Search"/>
    <s v="Google"/>
    <s v="Biolage"/>
    <d v="2024-02-24T00:00:00"/>
    <d v="2024-01-01T00:00:00"/>
    <n v="4.42"/>
    <n v="20"/>
    <s v="LY"/>
    <x v="6"/>
  </r>
  <r>
    <s v="Biolage"/>
    <x v="13"/>
    <s v="Search"/>
    <s v="Google"/>
    <s v="Biolage"/>
    <d v="2024-03-02T00:00:00"/>
    <d v="2024-01-01T00:00:00"/>
    <n v="13.99"/>
    <n v="16"/>
    <s v="LY"/>
    <x v="6"/>
  </r>
  <r>
    <s v="Biolage"/>
    <x v="13"/>
    <s v="Search"/>
    <s v="Google"/>
    <s v="Biolage"/>
    <d v="2024-03-09T00:00:00"/>
    <d v="2024-01-01T00:00:00"/>
    <n v="3.26"/>
    <n v="11"/>
    <s v="LY"/>
    <x v="6"/>
  </r>
  <r>
    <s v="Biolage"/>
    <x v="13"/>
    <s v="Search"/>
    <s v="Google"/>
    <s v="Biolage"/>
    <d v="2024-03-16T00:00:00"/>
    <d v="2024-01-01T00:00:00"/>
    <n v="9.16"/>
    <n v="49"/>
    <s v="LY"/>
    <x v="6"/>
  </r>
  <r>
    <s v="Biolage"/>
    <x v="13"/>
    <s v="Search"/>
    <s v="Google"/>
    <s v="Biolage"/>
    <d v="2024-03-23T00:00:00"/>
    <d v="2024-01-01T00:00:00"/>
    <n v="16.79"/>
    <n v="24"/>
    <s v="LY"/>
    <x v="6"/>
  </r>
  <r>
    <s v="Biolage"/>
    <x v="13"/>
    <s v="Search"/>
    <s v="Google"/>
    <s v="Biolage"/>
    <d v="2024-03-30T00:00:00"/>
    <d v="2024-01-01T00:00:00"/>
    <n v="15.669999999999998"/>
    <n v="69"/>
    <s v="LY"/>
    <x v="6"/>
  </r>
  <r>
    <s v="Biolage"/>
    <x v="13"/>
    <s v="Search"/>
    <s v="Google"/>
    <s v="Biolage"/>
    <d v="2024-04-06T00:00:00"/>
    <d v="2024-01-01T00:00:00"/>
    <n v="339.32320599999997"/>
    <n v="668"/>
    <s v="LY"/>
    <x v="6"/>
  </r>
  <r>
    <s v="Biolage"/>
    <x v="13"/>
    <s v="Search"/>
    <s v="Google"/>
    <s v="Biolage"/>
    <d v="2024-04-13T00:00:00"/>
    <d v="2024-01-01T00:00:00"/>
    <n v="244.45272600000001"/>
    <n v="590"/>
    <s v="LY"/>
    <x v="6"/>
  </r>
  <r>
    <s v="Biolage"/>
    <x v="13"/>
    <s v="Search"/>
    <s v="Google"/>
    <s v="Biolage"/>
    <d v="2024-04-20T00:00:00"/>
    <d v="2024-01-01T00:00:00"/>
    <n v="178.73999999999998"/>
    <n v="412"/>
    <s v="LY"/>
    <x v="6"/>
  </r>
  <r>
    <s v="Biolage"/>
    <x v="13"/>
    <s v="Search"/>
    <s v="Google"/>
    <s v="Biolage"/>
    <d v="2024-04-27T00:00:00"/>
    <d v="2024-01-01T00:00:00"/>
    <n v="212.01000000000002"/>
    <n v="454"/>
    <s v="LY"/>
    <x v="6"/>
  </r>
  <r>
    <s v="Biolage"/>
    <x v="13"/>
    <s v="Search"/>
    <s v="Google"/>
    <s v="Biolage"/>
    <d v="2024-05-04T00:00:00"/>
    <d v="2024-01-01T00:00:00"/>
    <n v="209.54000000000002"/>
    <n v="501"/>
    <s v="LY"/>
    <x v="6"/>
  </r>
  <r>
    <s v="Biolage"/>
    <x v="13"/>
    <s v="Search"/>
    <s v="Google"/>
    <s v="Biolage"/>
    <d v="2024-05-11T00:00:00"/>
    <d v="2024-01-01T00:00:00"/>
    <n v="160.833035"/>
    <n v="361"/>
    <s v="LY"/>
    <x v="6"/>
  </r>
  <r>
    <s v="Biolage"/>
    <x v="13"/>
    <s v="Search"/>
    <s v="Google"/>
    <s v="Biolage"/>
    <d v="2024-05-18T00:00:00"/>
    <d v="2024-01-01T00:00:00"/>
    <n v="73.709859000000009"/>
    <n v="176"/>
    <s v="LY"/>
    <x v="6"/>
  </r>
  <r>
    <s v="Biolage"/>
    <x v="13"/>
    <s v="Search"/>
    <s v="Google"/>
    <s v="Biolage"/>
    <d v="2024-05-25T00:00:00"/>
    <d v="2024-01-01T00:00:00"/>
    <n v="70.27"/>
    <n v="162"/>
    <s v="LY"/>
    <x v="6"/>
  </r>
  <r>
    <s v="Biolage"/>
    <x v="13"/>
    <s v="Search"/>
    <s v="Google"/>
    <s v="Biolage"/>
    <d v="2024-06-01T00:00:00"/>
    <d v="2024-01-01T00:00:00"/>
    <n v="60.43"/>
    <n v="166"/>
    <s v="LY"/>
    <x v="6"/>
  </r>
  <r>
    <s v="Biolage"/>
    <x v="13"/>
    <s v="Search"/>
    <s v="Google"/>
    <s v="Biolage"/>
    <d v="2024-06-08T00:00:00"/>
    <d v="2024-01-01T00:00:00"/>
    <n v="181.3"/>
    <n v="434"/>
    <s v="LY"/>
    <x v="6"/>
  </r>
  <r>
    <s v="Biolage"/>
    <x v="13"/>
    <s v="Search"/>
    <s v="Google"/>
    <s v="Biolage"/>
    <d v="2024-06-15T00:00:00"/>
    <d v="2024-01-01T00:00:00"/>
    <n v="209.37258299999999"/>
    <n v="472"/>
    <s v="LY"/>
    <x v="6"/>
  </r>
  <r>
    <s v="Biolage"/>
    <x v="13"/>
    <s v="Search"/>
    <s v="Google"/>
    <s v="Biolage"/>
    <d v="2024-06-22T00:00:00"/>
    <d v="2024-01-01T00:00:00"/>
    <n v="155.60000000000002"/>
    <n v="280"/>
    <s v="LY"/>
    <x v="6"/>
  </r>
  <r>
    <s v="Biolage"/>
    <x v="13"/>
    <s v="Search"/>
    <s v="Google"/>
    <s v="Biolage"/>
    <d v="2024-06-29T00:00:00"/>
    <d v="2024-01-01T00:00:00"/>
    <n v="190.91000000000003"/>
    <n v="383"/>
    <s v="LY"/>
    <x v="6"/>
  </r>
  <r>
    <s v="Biolage"/>
    <x v="13"/>
    <s v="Search"/>
    <s v="Google"/>
    <s v="Biolage"/>
    <d v="2024-07-06T00:00:00"/>
    <d v="2024-01-01T00:00:00"/>
    <n v="160.31211399999998"/>
    <n v="383"/>
    <s v="LY"/>
    <x v="6"/>
  </r>
  <r>
    <s v="Biolage"/>
    <x v="13"/>
    <s v="Search"/>
    <s v="Google"/>
    <s v="Biolage"/>
    <d v="2024-07-13T00:00:00"/>
    <d v="2024-01-01T00:00:00"/>
    <n v="316.50627500000002"/>
    <n v="734"/>
    <s v="TTM"/>
    <x v="6"/>
  </r>
  <r>
    <s v="Biolage"/>
    <x v="13"/>
    <s v="Search"/>
    <s v="Google"/>
    <s v="Biolage"/>
    <d v="2024-07-20T00:00:00"/>
    <d v="2024-01-01T00:00:00"/>
    <n v="93.72"/>
    <n v="289"/>
    <s v="TTM"/>
    <x v="6"/>
  </r>
  <r>
    <s v="Biolage"/>
    <x v="13"/>
    <s v="Search"/>
    <s v="Google"/>
    <s v="Biolage"/>
    <d v="2024-07-27T00:00:00"/>
    <d v="2024-01-01T00:00:00"/>
    <n v="83.02"/>
    <n v="192"/>
    <s v="TTM"/>
    <x v="6"/>
  </r>
  <r>
    <s v="Biolage"/>
    <x v="13"/>
    <s v="Search"/>
    <s v="Google"/>
    <s v="Biolage"/>
    <d v="2024-08-03T00:00:00"/>
    <d v="2024-01-01T00:00:00"/>
    <n v="50.860000000000007"/>
    <n v="102"/>
    <s v="TTM"/>
    <x v="6"/>
  </r>
  <r>
    <s v="Biolage"/>
    <x v="13"/>
    <s v="Search"/>
    <s v="Google"/>
    <s v="Biolage"/>
    <d v="2024-08-10T00:00:00"/>
    <d v="2024-01-01T00:00:00"/>
    <n v="165.457516"/>
    <n v="340"/>
    <s v="TTM"/>
    <x v="6"/>
  </r>
  <r>
    <s v="Biolage"/>
    <x v="13"/>
    <s v="Search"/>
    <s v="Google"/>
    <s v="Biolage"/>
    <d v="2024-08-17T00:00:00"/>
    <d v="2024-01-01T00:00:00"/>
    <n v="168.64000000000001"/>
    <n v="346"/>
    <s v="TTM"/>
    <x v="6"/>
  </r>
  <r>
    <s v="Biolage"/>
    <x v="13"/>
    <s v="Search"/>
    <s v="Google"/>
    <s v="Biolage"/>
    <d v="2024-08-24T00:00:00"/>
    <d v="2024-01-01T00:00:00"/>
    <n v="149.03"/>
    <n v="352"/>
    <s v="TTM"/>
    <x v="6"/>
  </r>
  <r>
    <s v="Biolage"/>
    <x v="13"/>
    <s v="Search"/>
    <s v="Google"/>
    <s v="Biolage"/>
    <d v="2024-08-31T00:00:00"/>
    <d v="2024-01-01T00:00:00"/>
    <n v="135.61000000000001"/>
    <n v="325"/>
    <s v="TTM"/>
    <x v="6"/>
  </r>
  <r>
    <s v="Biolage"/>
    <x v="13"/>
    <s v="Search"/>
    <s v="Google"/>
    <s v="Biolage"/>
    <d v="2024-09-07T00:00:00"/>
    <d v="2024-01-01T00:00:00"/>
    <n v="304.61570899999998"/>
    <n v="557"/>
    <s v="TTM"/>
    <x v="6"/>
  </r>
  <r>
    <s v="Biolage"/>
    <x v="13"/>
    <s v="Search"/>
    <s v="Google"/>
    <s v="Biolage"/>
    <d v="2024-09-14T00:00:00"/>
    <d v="2024-01-01T00:00:00"/>
    <n v="242.417393"/>
    <n v="577"/>
    <s v="TTM"/>
    <x v="6"/>
  </r>
  <r>
    <s v="Biolage"/>
    <x v="13"/>
    <s v="Search"/>
    <s v="Google"/>
    <s v="Biolage"/>
    <d v="2024-09-21T00:00:00"/>
    <d v="2024-01-01T00:00:00"/>
    <n v="248.51185600000002"/>
    <n v="568"/>
    <s v="TTM"/>
    <x v="6"/>
  </r>
  <r>
    <s v="Biolage"/>
    <x v="13"/>
    <s v="Search"/>
    <s v="Google"/>
    <s v="Biolage"/>
    <d v="2024-09-28T00:00:00"/>
    <d v="2024-01-01T00:00:00"/>
    <n v="272.107957"/>
    <n v="642"/>
    <s v="TTM"/>
    <x v="6"/>
  </r>
  <r>
    <s v="Biolage"/>
    <x v="13"/>
    <s v="Search"/>
    <s v="Google"/>
    <s v="Biolage"/>
    <d v="2024-10-05T00:00:00"/>
    <d v="2024-01-01T00:00:00"/>
    <n v="143.65325300000003"/>
    <n v="383"/>
    <s v="TTM"/>
    <x v="6"/>
  </r>
  <r>
    <s v="Biolage"/>
    <x v="13"/>
    <s v="Search"/>
    <s v="Google"/>
    <s v="Biolage"/>
    <d v="2024-10-12T00:00:00"/>
    <d v="2024-01-01T00:00:00"/>
    <n v="162.98157600000002"/>
    <n v="330"/>
    <s v="TTM"/>
    <x v="6"/>
  </r>
  <r>
    <s v="Biolage"/>
    <x v="13"/>
    <s v="Search"/>
    <s v="Google"/>
    <s v="Biolage"/>
    <d v="2024-10-19T00:00:00"/>
    <d v="2024-01-01T00:00:00"/>
    <n v="250.96888500000003"/>
    <n v="498"/>
    <s v="TTM"/>
    <x v="6"/>
  </r>
  <r>
    <s v="Biolage"/>
    <x v="13"/>
    <s v="Search"/>
    <s v="Google"/>
    <s v="Biolage"/>
    <d v="2024-10-26T00:00:00"/>
    <d v="2024-01-01T00:00:00"/>
    <n v="294.96133199999997"/>
    <n v="497"/>
    <s v="TTM"/>
    <x v="6"/>
  </r>
  <r>
    <s v="Biolage"/>
    <x v="13"/>
    <s v="Search"/>
    <s v="Google"/>
    <s v="Biolage"/>
    <d v="2024-11-02T00:00:00"/>
    <d v="2024-01-01T00:00:00"/>
    <n v="360.38432399999999"/>
    <n v="687"/>
    <s v="TTM"/>
    <x v="6"/>
  </r>
  <r>
    <s v="Biolage"/>
    <x v="13"/>
    <s v="Search"/>
    <s v="Google"/>
    <s v="Biolage"/>
    <d v="2024-11-09T00:00:00"/>
    <d v="2024-01-01T00:00:00"/>
    <n v="480.06163800000002"/>
    <n v="858"/>
    <s v="TTM"/>
    <x v="6"/>
  </r>
  <r>
    <s v="Biolage"/>
    <x v="13"/>
    <s v="Search"/>
    <s v="Google"/>
    <s v="Biolage"/>
    <d v="2024-11-16T00:00:00"/>
    <d v="2024-01-01T00:00:00"/>
    <n v="721.70197699999994"/>
    <n v="1091"/>
    <s v="TTM"/>
    <x v="6"/>
  </r>
  <r>
    <s v="Biolage"/>
    <x v="13"/>
    <s v="Search"/>
    <s v="Google"/>
    <s v="Biolage"/>
    <d v="2024-11-23T00:00:00"/>
    <d v="2024-01-01T00:00:00"/>
    <n v="505.62255099999999"/>
    <n v="898"/>
    <s v="TTM"/>
    <x v="6"/>
  </r>
  <r>
    <s v="Biolage"/>
    <x v="13"/>
    <s v="Search"/>
    <s v="Google"/>
    <s v="Biolage"/>
    <d v="2024-11-30T00:00:00"/>
    <d v="2024-01-01T00:00:00"/>
    <n v="222.29488199999997"/>
    <n v="580"/>
    <s v="TTM"/>
    <x v="6"/>
  </r>
  <r>
    <s v="Biolage"/>
    <x v="13"/>
    <s v="Search"/>
    <s v="Google"/>
    <s v="Biolage"/>
    <d v="2024-12-07T00:00:00"/>
    <d v="2024-01-01T00:00:00"/>
    <n v="293.75953299999998"/>
    <n v="651"/>
    <s v="TTM"/>
    <x v="6"/>
  </r>
  <r>
    <s v="Biolage"/>
    <x v="13"/>
    <s v="Search"/>
    <s v="Google"/>
    <s v="Biolage"/>
    <d v="2024-12-14T00:00:00"/>
    <d v="2024-01-01T00:00:00"/>
    <n v="199.70383100000001"/>
    <n v="508"/>
    <s v="TTM"/>
    <x v="6"/>
  </r>
  <r>
    <s v="Biolage"/>
    <x v="13"/>
    <s v="Search"/>
    <s v="Google"/>
    <s v="Biolage"/>
    <d v="2024-12-21T00:00:00"/>
    <d v="2024-01-01T00:00:00"/>
    <n v="181.09162900000001"/>
    <n v="606"/>
    <s v="TTM"/>
    <x v="6"/>
  </r>
  <r>
    <s v="Biolage"/>
    <x v="13"/>
    <s v="Search"/>
    <s v="Google"/>
    <s v="Biolage"/>
    <d v="2024-12-28T00:00:00"/>
    <d v="2024-01-01T00:00:00"/>
    <n v="206.814886"/>
    <n v="543"/>
    <s v="TTM"/>
    <x v="6"/>
  </r>
  <r>
    <s v="Biolage"/>
    <x v="13"/>
    <s v="Search"/>
    <s v="Google"/>
    <s v="Biolage"/>
    <d v="2025-01-04T00:00:00"/>
    <d v="2024-01-01T00:00:00"/>
    <n v="35.556491000000001"/>
    <n v="63"/>
    <s v="TTM"/>
    <x v="6"/>
  </r>
  <r>
    <s v="Biolage"/>
    <x v="5"/>
    <s v="Search"/>
    <s v="Google"/>
    <s v="Biolage"/>
    <d v="2023-09-30T00:00:00"/>
    <d v="2023-01-01T00:00:00"/>
    <n v="232.94000000000003"/>
    <n v="1152"/>
    <s v="LY"/>
    <x v="6"/>
  </r>
  <r>
    <s v="Biolage"/>
    <x v="5"/>
    <s v="Search"/>
    <s v="Google"/>
    <s v="Biolage"/>
    <d v="2023-10-07T00:00:00"/>
    <d v="2023-01-01T00:00:00"/>
    <n v="278.21999999999997"/>
    <n v="1317"/>
    <s v="LY"/>
    <x v="6"/>
  </r>
  <r>
    <s v="Biolage"/>
    <x v="5"/>
    <s v="Search"/>
    <s v="Google"/>
    <s v="Biolage"/>
    <d v="2023-10-14T00:00:00"/>
    <d v="2023-01-01T00:00:00"/>
    <n v="343.06000000000006"/>
    <n v="1346"/>
    <s v="LY"/>
    <x v="6"/>
  </r>
  <r>
    <s v="Biolage"/>
    <x v="5"/>
    <s v="Search"/>
    <s v="Google"/>
    <s v="Biolage"/>
    <d v="2023-10-21T00:00:00"/>
    <d v="2023-01-01T00:00:00"/>
    <n v="321.90000000000009"/>
    <n v="1494"/>
    <s v="LY"/>
    <x v="6"/>
  </r>
  <r>
    <s v="Biolage"/>
    <x v="5"/>
    <s v="Search"/>
    <s v="Google"/>
    <s v="Biolage"/>
    <d v="2023-10-28T00:00:00"/>
    <d v="2023-01-01T00:00:00"/>
    <n v="334.8"/>
    <n v="1448"/>
    <s v="LY"/>
    <x v="6"/>
  </r>
  <r>
    <s v="Biolage"/>
    <x v="5"/>
    <s v="Search"/>
    <s v="Google"/>
    <s v="Biolage"/>
    <d v="2023-11-04T00:00:00"/>
    <d v="2023-01-01T00:00:00"/>
    <n v="390.37999999999994"/>
    <n v="1670"/>
    <s v="LY"/>
    <x v="6"/>
  </r>
  <r>
    <s v="Biolage"/>
    <x v="5"/>
    <s v="Search"/>
    <s v="Google"/>
    <s v="Biolage"/>
    <d v="2023-11-11T00:00:00"/>
    <d v="2023-01-01T00:00:00"/>
    <n v="407.21999999999997"/>
    <n v="1706"/>
    <s v="LY"/>
    <x v="6"/>
  </r>
  <r>
    <s v="Biolage"/>
    <x v="5"/>
    <s v="Search"/>
    <s v="Google"/>
    <s v="Biolage"/>
    <d v="2023-11-18T00:00:00"/>
    <d v="2023-01-01T00:00:00"/>
    <n v="316.80000000000007"/>
    <n v="1621"/>
    <s v="LY"/>
    <x v="6"/>
  </r>
  <r>
    <s v="Biolage"/>
    <x v="5"/>
    <s v="Search"/>
    <s v="Google"/>
    <s v="Biolage"/>
    <d v="2023-11-25T00:00:00"/>
    <d v="2023-01-01T00:00:00"/>
    <n v="316.3"/>
    <n v="1649"/>
    <s v="LY"/>
    <x v="6"/>
  </r>
  <r>
    <s v="Biolage"/>
    <x v="5"/>
    <s v="Search"/>
    <s v="Google"/>
    <s v="Biolage"/>
    <d v="2023-12-02T00:00:00"/>
    <d v="2023-01-01T00:00:00"/>
    <n v="433.03"/>
    <n v="1811"/>
    <s v="LY"/>
    <x v="6"/>
  </r>
  <r>
    <s v="Biolage"/>
    <x v="5"/>
    <s v="Search"/>
    <s v="Google"/>
    <s v="Biolage"/>
    <d v="2023-12-09T00:00:00"/>
    <d v="2023-01-01T00:00:00"/>
    <n v="384.03"/>
    <n v="1853"/>
    <s v="LY"/>
    <x v="6"/>
  </r>
  <r>
    <s v="Biolage"/>
    <x v="5"/>
    <s v="Search"/>
    <s v="Google"/>
    <s v="Biolage"/>
    <d v="2023-12-16T00:00:00"/>
    <d v="2023-01-01T00:00:00"/>
    <n v="375.72"/>
    <n v="1849"/>
    <s v="LY"/>
    <x v="6"/>
  </r>
  <r>
    <s v="Biolage"/>
    <x v="5"/>
    <s v="Search"/>
    <s v="Google"/>
    <s v="Biolage"/>
    <d v="2023-12-23T00:00:00"/>
    <d v="2023-01-01T00:00:00"/>
    <n v="389.46000000000004"/>
    <n v="1741"/>
    <s v="LY"/>
    <x v="6"/>
  </r>
  <r>
    <s v="Biolage"/>
    <x v="5"/>
    <s v="Search"/>
    <s v="Google"/>
    <s v="Biolage"/>
    <d v="2023-12-30T00:00:00"/>
    <d v="2023-01-01T00:00:00"/>
    <n v="263.13"/>
    <n v="1275"/>
    <s v="LY"/>
    <x v="6"/>
  </r>
  <r>
    <s v="Biolage"/>
    <x v="5"/>
    <s v="Search"/>
    <s v="Google"/>
    <s v="Biolage"/>
    <d v="2024-01-06T00:00:00"/>
    <d v="2024-01-01T00:00:00"/>
    <n v="198.4"/>
    <n v="1172"/>
    <s v="LY"/>
    <x v="6"/>
  </r>
  <r>
    <s v="Biolage"/>
    <x v="5"/>
    <s v="Search"/>
    <s v="Google"/>
    <s v="Biolage"/>
    <d v="2024-01-13T00:00:00"/>
    <d v="2024-01-01T00:00:00"/>
    <n v="187.42000000000002"/>
    <n v="1331"/>
    <s v="LY"/>
    <x v="6"/>
  </r>
  <r>
    <s v="Biolage"/>
    <x v="5"/>
    <s v="Search"/>
    <s v="Google"/>
    <s v="Biolage"/>
    <d v="2024-01-20T00:00:00"/>
    <d v="2024-01-01T00:00:00"/>
    <n v="159.89999999999998"/>
    <n v="1257"/>
    <s v="LY"/>
    <x v="6"/>
  </r>
  <r>
    <s v="Biolage"/>
    <x v="5"/>
    <s v="Search"/>
    <s v="Google"/>
    <s v="Biolage"/>
    <d v="2024-01-27T00:00:00"/>
    <d v="2024-01-01T00:00:00"/>
    <n v="224.19000000000003"/>
    <n v="1588"/>
    <s v="LY"/>
    <x v="6"/>
  </r>
  <r>
    <s v="Biolage"/>
    <x v="5"/>
    <s v="Search"/>
    <s v="Google"/>
    <s v="Biolage"/>
    <d v="2024-02-03T00:00:00"/>
    <d v="2024-01-01T00:00:00"/>
    <n v="205.63"/>
    <n v="1420"/>
    <s v="LY"/>
    <x v="6"/>
  </r>
  <r>
    <s v="Biolage"/>
    <x v="5"/>
    <s v="Search"/>
    <s v="Google"/>
    <s v="Biolage"/>
    <d v="2024-02-10T00:00:00"/>
    <d v="2024-01-01T00:00:00"/>
    <n v="172.73999999999995"/>
    <n v="1295"/>
    <s v="LY"/>
    <x v="6"/>
  </r>
  <r>
    <s v="Biolage"/>
    <x v="5"/>
    <s v="Search"/>
    <s v="Google"/>
    <s v="Biolage"/>
    <d v="2024-02-17T00:00:00"/>
    <d v="2024-01-01T00:00:00"/>
    <n v="245.51"/>
    <n v="1499"/>
    <s v="LY"/>
    <x v="6"/>
  </r>
  <r>
    <s v="Biolage"/>
    <x v="5"/>
    <s v="Search"/>
    <s v="Google"/>
    <s v="Biolage"/>
    <d v="2024-02-24T00:00:00"/>
    <d v="2024-01-01T00:00:00"/>
    <n v="214.01"/>
    <n v="1488"/>
    <s v="LY"/>
    <x v="6"/>
  </r>
  <r>
    <s v="Biolage"/>
    <x v="5"/>
    <s v="Search"/>
    <s v="Google"/>
    <s v="Biolage"/>
    <d v="2024-03-02T00:00:00"/>
    <d v="2024-01-01T00:00:00"/>
    <n v="260.14999999999998"/>
    <n v="1553"/>
    <s v="LY"/>
    <x v="6"/>
  </r>
  <r>
    <s v="Biolage"/>
    <x v="5"/>
    <s v="Search"/>
    <s v="Google"/>
    <s v="Biolage"/>
    <d v="2024-03-09T00:00:00"/>
    <d v="2024-01-01T00:00:00"/>
    <n v="270.65999999999997"/>
    <n v="1732"/>
    <s v="LY"/>
    <x v="6"/>
  </r>
  <r>
    <s v="Biolage"/>
    <x v="5"/>
    <s v="Search"/>
    <s v="Google"/>
    <s v="Biolage"/>
    <d v="2024-03-16T00:00:00"/>
    <d v="2024-01-01T00:00:00"/>
    <n v="237.32000000000002"/>
    <n v="1572"/>
    <s v="LY"/>
    <x v="6"/>
  </r>
  <r>
    <s v="Biolage"/>
    <x v="5"/>
    <s v="Search"/>
    <s v="Google"/>
    <s v="Biolage"/>
    <d v="2024-03-23T00:00:00"/>
    <d v="2024-01-01T00:00:00"/>
    <n v="275.60000000000002"/>
    <n v="1708"/>
    <s v="LY"/>
    <x v="6"/>
  </r>
  <r>
    <s v="Biolage"/>
    <x v="5"/>
    <s v="Search"/>
    <s v="Google"/>
    <s v="Biolage"/>
    <d v="2024-03-30T00:00:00"/>
    <d v="2024-01-01T00:00:00"/>
    <n v="201.87000000000003"/>
    <n v="1636"/>
    <s v="LY"/>
    <x v="6"/>
  </r>
  <r>
    <s v="Biolage"/>
    <x v="5"/>
    <s v="Search"/>
    <s v="Google"/>
    <s v="Biolage"/>
    <d v="2024-04-06T00:00:00"/>
    <d v="2024-01-01T00:00:00"/>
    <n v="235.44117900000001"/>
    <n v="1668"/>
    <s v="LY"/>
    <x v="6"/>
  </r>
  <r>
    <s v="Biolage"/>
    <x v="5"/>
    <s v="Search"/>
    <s v="Google"/>
    <s v="Biolage"/>
    <d v="2024-04-13T00:00:00"/>
    <d v="2024-01-01T00:00:00"/>
    <n v="245.91000000000003"/>
    <n v="1765"/>
    <s v="LY"/>
    <x v="6"/>
  </r>
  <r>
    <s v="Biolage"/>
    <x v="5"/>
    <s v="Search"/>
    <s v="Google"/>
    <s v="Biolage"/>
    <d v="2024-04-20T00:00:00"/>
    <d v="2024-01-01T00:00:00"/>
    <n v="251.88"/>
    <n v="1907"/>
    <s v="LY"/>
    <x v="6"/>
  </r>
  <r>
    <s v="Biolage"/>
    <x v="5"/>
    <s v="Search"/>
    <s v="Google"/>
    <s v="Biolage"/>
    <d v="2024-04-27T00:00:00"/>
    <d v="2024-01-01T00:00:00"/>
    <n v="318.74319200000002"/>
    <n v="2095"/>
    <s v="LY"/>
    <x v="6"/>
  </r>
  <r>
    <s v="Biolage"/>
    <x v="5"/>
    <s v="Search"/>
    <s v="Google"/>
    <s v="Biolage"/>
    <d v="2024-05-04T00:00:00"/>
    <d v="2024-01-01T00:00:00"/>
    <n v="264.5"/>
    <n v="2040"/>
    <s v="LY"/>
    <x v="6"/>
  </r>
  <r>
    <s v="Biolage"/>
    <x v="5"/>
    <s v="Search"/>
    <s v="Google"/>
    <s v="Biolage"/>
    <d v="2024-05-11T00:00:00"/>
    <d v="2024-01-01T00:00:00"/>
    <n v="324.72999999999996"/>
    <n v="2079"/>
    <s v="LY"/>
    <x v="6"/>
  </r>
  <r>
    <s v="Biolage"/>
    <x v="5"/>
    <s v="Search"/>
    <s v="Google"/>
    <s v="Biolage"/>
    <d v="2024-05-18T00:00:00"/>
    <d v="2024-01-01T00:00:00"/>
    <n v="336.73058000000003"/>
    <n v="2027"/>
    <s v="LY"/>
    <x v="6"/>
  </r>
  <r>
    <s v="Biolage"/>
    <x v="5"/>
    <s v="Search"/>
    <s v="Google"/>
    <s v="Biolage"/>
    <d v="2024-05-25T00:00:00"/>
    <d v="2024-01-01T00:00:00"/>
    <n v="313.89256699999999"/>
    <n v="2193"/>
    <s v="LY"/>
    <x v="6"/>
  </r>
  <r>
    <s v="Biolage"/>
    <x v="5"/>
    <s v="Search"/>
    <s v="Google"/>
    <s v="Biolage"/>
    <d v="2024-06-01T00:00:00"/>
    <d v="2024-01-01T00:00:00"/>
    <n v="287.28968100000003"/>
    <n v="2159"/>
    <s v="LY"/>
    <x v="6"/>
  </r>
  <r>
    <s v="Biolage"/>
    <x v="5"/>
    <s v="Search"/>
    <s v="Google"/>
    <s v="Biolage"/>
    <d v="2024-06-08T00:00:00"/>
    <d v="2024-01-01T00:00:00"/>
    <n v="421.96999999999991"/>
    <n v="2496"/>
    <s v="LY"/>
    <x v="6"/>
  </r>
  <r>
    <s v="Biolage"/>
    <x v="5"/>
    <s v="Search"/>
    <s v="Google"/>
    <s v="Biolage"/>
    <d v="2024-06-15T00:00:00"/>
    <d v="2024-01-01T00:00:00"/>
    <n v="342.05000000000007"/>
    <n v="2338"/>
    <s v="LY"/>
    <x v="6"/>
  </r>
  <r>
    <s v="Biolage"/>
    <x v="5"/>
    <s v="Search"/>
    <s v="Google"/>
    <s v="Biolage"/>
    <d v="2024-06-22T00:00:00"/>
    <d v="2024-01-01T00:00:00"/>
    <n v="401.50379299999997"/>
    <n v="2432"/>
    <s v="LY"/>
    <x v="6"/>
  </r>
  <r>
    <s v="Biolage"/>
    <x v="5"/>
    <s v="Search"/>
    <s v="Google"/>
    <s v="Biolage"/>
    <d v="2024-06-29T00:00:00"/>
    <d v="2024-01-01T00:00:00"/>
    <n v="330.78000000000003"/>
    <n v="2503"/>
    <s v="LY"/>
    <x v="6"/>
  </r>
  <r>
    <s v="Biolage"/>
    <x v="5"/>
    <s v="Search"/>
    <s v="Google"/>
    <s v="Biolage"/>
    <d v="2024-07-06T00:00:00"/>
    <d v="2024-01-01T00:00:00"/>
    <n v="349.07157699999999"/>
    <n v="2323"/>
    <s v="LY"/>
    <x v="6"/>
  </r>
  <r>
    <s v="Biolage"/>
    <x v="5"/>
    <s v="Search"/>
    <s v="Google"/>
    <s v="Biolage"/>
    <d v="2024-07-13T00:00:00"/>
    <d v="2024-01-01T00:00:00"/>
    <n v="355"/>
    <n v="2502"/>
    <s v="TTM"/>
    <x v="6"/>
  </r>
  <r>
    <s v="Biolage"/>
    <x v="5"/>
    <s v="Search"/>
    <s v="Google"/>
    <s v="Biolage"/>
    <d v="2024-07-20T00:00:00"/>
    <d v="2024-01-01T00:00:00"/>
    <n v="355.05"/>
    <n v="2468"/>
    <s v="TTM"/>
    <x v="6"/>
  </r>
  <r>
    <s v="Biolage"/>
    <x v="5"/>
    <s v="Search"/>
    <s v="Google"/>
    <s v="Biolage"/>
    <d v="2024-07-27T00:00:00"/>
    <d v="2024-01-01T00:00:00"/>
    <n v="353.15"/>
    <n v="2137"/>
    <s v="TTM"/>
    <x v="6"/>
  </r>
  <r>
    <s v="Biolage"/>
    <x v="5"/>
    <s v="Search"/>
    <s v="Google"/>
    <s v="Biolage"/>
    <d v="2024-08-03T00:00:00"/>
    <d v="2024-01-01T00:00:00"/>
    <n v="291.97173399999997"/>
    <n v="2171"/>
    <s v="TTM"/>
    <x v="6"/>
  </r>
  <r>
    <s v="Biolage"/>
    <x v="5"/>
    <s v="Search"/>
    <s v="Google"/>
    <s v="Biolage"/>
    <d v="2024-08-10T00:00:00"/>
    <d v="2024-01-01T00:00:00"/>
    <n v="270.67"/>
    <n v="1863"/>
    <s v="TTM"/>
    <x v="6"/>
  </r>
  <r>
    <s v="Biolage"/>
    <x v="5"/>
    <s v="Search"/>
    <s v="Google"/>
    <s v="Biolage"/>
    <d v="2024-08-17T00:00:00"/>
    <d v="2024-01-01T00:00:00"/>
    <n v="286.55"/>
    <n v="2041"/>
    <s v="TTM"/>
    <x v="6"/>
  </r>
  <r>
    <s v="Biolage"/>
    <x v="5"/>
    <s v="Search"/>
    <s v="Google"/>
    <s v="Biolage"/>
    <d v="2024-08-24T00:00:00"/>
    <d v="2024-01-01T00:00:00"/>
    <n v="340.71"/>
    <n v="2226"/>
    <s v="TTM"/>
    <x v="6"/>
  </r>
  <r>
    <s v="Biolage"/>
    <x v="5"/>
    <s v="Search"/>
    <s v="Google"/>
    <s v="Biolage"/>
    <d v="2024-08-31T00:00:00"/>
    <d v="2024-01-01T00:00:00"/>
    <n v="248.67"/>
    <n v="1841"/>
    <s v="TTM"/>
    <x v="6"/>
  </r>
  <r>
    <s v="Biolage"/>
    <x v="5"/>
    <s v="Search"/>
    <s v="Google"/>
    <s v="Biolage"/>
    <d v="2024-09-07T00:00:00"/>
    <d v="2024-01-01T00:00:00"/>
    <n v="305.01"/>
    <n v="1975"/>
    <s v="TTM"/>
    <x v="6"/>
  </r>
  <r>
    <s v="Biolage"/>
    <x v="5"/>
    <s v="Search"/>
    <s v="Google"/>
    <s v="Biolage"/>
    <d v="2024-09-14T00:00:00"/>
    <d v="2024-01-01T00:00:00"/>
    <n v="360.53261299999997"/>
    <n v="2278"/>
    <s v="TTM"/>
    <x v="6"/>
  </r>
  <r>
    <s v="Biolage"/>
    <x v="5"/>
    <s v="Search"/>
    <s v="Google"/>
    <s v="Biolage"/>
    <d v="2024-09-21T00:00:00"/>
    <d v="2024-01-01T00:00:00"/>
    <n v="445.71481200000005"/>
    <n v="2400"/>
    <s v="TTM"/>
    <x v="6"/>
  </r>
  <r>
    <s v="Biolage"/>
    <x v="5"/>
    <s v="Search"/>
    <s v="Google"/>
    <s v="Biolage"/>
    <d v="2024-09-28T00:00:00"/>
    <d v="2024-01-01T00:00:00"/>
    <n v="328.30767900000001"/>
    <n v="2101"/>
    <s v="TTM"/>
    <x v="6"/>
  </r>
  <r>
    <s v="Biolage"/>
    <x v="5"/>
    <s v="Search"/>
    <s v="Google"/>
    <s v="Biolage"/>
    <d v="2024-10-05T00:00:00"/>
    <d v="2024-01-01T00:00:00"/>
    <n v="328.36"/>
    <n v="2058"/>
    <s v="TTM"/>
    <x v="6"/>
  </r>
  <r>
    <s v="Biolage"/>
    <x v="5"/>
    <s v="Search"/>
    <s v="Google"/>
    <s v="Biolage"/>
    <d v="2024-10-12T00:00:00"/>
    <d v="2024-01-01T00:00:00"/>
    <n v="332.88945900000004"/>
    <n v="2044"/>
    <s v="TTM"/>
    <x v="6"/>
  </r>
  <r>
    <s v="Biolage"/>
    <x v="5"/>
    <s v="Search"/>
    <s v="Google"/>
    <s v="Biolage"/>
    <d v="2024-10-19T00:00:00"/>
    <d v="2024-01-01T00:00:00"/>
    <n v="377.384004"/>
    <n v="2359"/>
    <s v="TTM"/>
    <x v="6"/>
  </r>
  <r>
    <s v="Biolage"/>
    <x v="5"/>
    <s v="Search"/>
    <s v="Google"/>
    <s v="Biolage"/>
    <d v="2024-10-26T00:00:00"/>
    <d v="2024-01-01T00:00:00"/>
    <n v="283.639951"/>
    <n v="2290"/>
    <s v="TTM"/>
    <x v="6"/>
  </r>
  <r>
    <s v="Biolage"/>
    <x v="5"/>
    <s v="Search"/>
    <s v="Google"/>
    <s v="Biolage"/>
    <d v="2024-11-02T00:00:00"/>
    <d v="2024-01-01T00:00:00"/>
    <n v="298.525149"/>
    <n v="2079"/>
    <s v="TTM"/>
    <x v="6"/>
  </r>
  <r>
    <s v="Biolage"/>
    <x v="5"/>
    <s v="Search"/>
    <s v="Google"/>
    <s v="Biolage"/>
    <d v="2024-11-09T00:00:00"/>
    <d v="2024-01-01T00:00:00"/>
    <n v="238.181422"/>
    <n v="2050"/>
    <s v="TTM"/>
    <x v="6"/>
  </r>
  <r>
    <s v="Biolage"/>
    <x v="5"/>
    <s v="Search"/>
    <s v="Google"/>
    <s v="Biolage"/>
    <d v="2024-11-16T00:00:00"/>
    <d v="2024-01-01T00:00:00"/>
    <n v="223.80964299999999"/>
    <n v="2228"/>
    <s v="TTM"/>
    <x v="6"/>
  </r>
  <r>
    <s v="Biolage"/>
    <x v="5"/>
    <s v="Search"/>
    <s v="Google"/>
    <s v="Biolage"/>
    <d v="2024-11-23T00:00:00"/>
    <d v="2024-01-01T00:00:00"/>
    <n v="207.82541799999996"/>
    <n v="2235"/>
    <s v="TTM"/>
    <x v="6"/>
  </r>
  <r>
    <s v="Biolage"/>
    <x v="5"/>
    <s v="Search"/>
    <s v="Google"/>
    <s v="Biolage"/>
    <d v="2024-11-30T00:00:00"/>
    <d v="2024-01-01T00:00:00"/>
    <n v="230.04836700000001"/>
    <n v="2520"/>
    <s v="TTM"/>
    <x v="6"/>
  </r>
  <r>
    <s v="Biolage"/>
    <x v="5"/>
    <s v="Search"/>
    <s v="Google"/>
    <s v="Biolage"/>
    <d v="2024-12-07T00:00:00"/>
    <d v="2024-01-01T00:00:00"/>
    <n v="168.56552099999999"/>
    <n v="1987"/>
    <s v="TTM"/>
    <x v="6"/>
  </r>
  <r>
    <s v="Biolage"/>
    <x v="5"/>
    <s v="Search"/>
    <s v="Google"/>
    <s v="Biolage"/>
    <d v="2024-12-14T00:00:00"/>
    <d v="2024-01-01T00:00:00"/>
    <n v="121.40880700000001"/>
    <n v="1958"/>
    <s v="TTM"/>
    <x v="6"/>
  </r>
  <r>
    <s v="Biolage"/>
    <x v="5"/>
    <s v="Search"/>
    <s v="Google"/>
    <s v="Biolage"/>
    <d v="2024-12-21T00:00:00"/>
    <d v="2024-01-01T00:00:00"/>
    <n v="129.65206000000003"/>
    <n v="1760"/>
    <s v="TTM"/>
    <x v="6"/>
  </r>
  <r>
    <s v="Biolage"/>
    <x v="5"/>
    <s v="Search"/>
    <s v="Google"/>
    <s v="Biolage"/>
    <d v="2024-12-28T00:00:00"/>
    <d v="2024-01-01T00:00:00"/>
    <n v="97.554154999999994"/>
    <n v="1488"/>
    <s v="TTM"/>
    <x v="6"/>
  </r>
  <r>
    <s v="Biolage"/>
    <x v="5"/>
    <s v="Search"/>
    <s v="Google"/>
    <s v="Biolage"/>
    <d v="2025-01-04T00:00:00"/>
    <d v="2024-01-01T00:00:00"/>
    <n v="2.86"/>
    <n v="132"/>
    <s v="TTM"/>
    <x v="6"/>
  </r>
  <r>
    <s v="Biolage"/>
    <x v="5"/>
    <s v="Search"/>
    <s v="Google"/>
    <s v="Biolage"/>
    <d v="2025-03-01T00:00:00"/>
    <d v="2025-01-01T00:00:00"/>
    <n v="0.96"/>
    <n v="1"/>
    <s v="TTM"/>
    <x v="6"/>
  </r>
  <r>
    <s v="Biolage"/>
    <x v="7"/>
    <s v="Search"/>
    <s v="Google"/>
    <s v="Biolage"/>
    <d v="2023-09-30T00:00:00"/>
    <d v="2023-01-01T00:00:00"/>
    <n v="116.12"/>
    <n v="547"/>
    <s v="LY"/>
    <x v="6"/>
  </r>
  <r>
    <s v="Biolage"/>
    <x v="7"/>
    <s v="Search"/>
    <s v="Google"/>
    <s v="Biolage"/>
    <d v="2023-10-07T00:00:00"/>
    <d v="2023-01-01T00:00:00"/>
    <n v="155.5"/>
    <n v="707"/>
    <s v="LY"/>
    <x v="6"/>
  </r>
  <r>
    <s v="Biolage"/>
    <x v="7"/>
    <s v="Search"/>
    <s v="Google"/>
    <s v="Biolage"/>
    <d v="2023-10-14T00:00:00"/>
    <d v="2023-01-01T00:00:00"/>
    <n v="163.03"/>
    <n v="769"/>
    <s v="LY"/>
    <x v="6"/>
  </r>
  <r>
    <s v="Biolage"/>
    <x v="7"/>
    <s v="Search"/>
    <s v="Google"/>
    <s v="Biolage"/>
    <d v="2023-10-21T00:00:00"/>
    <d v="2023-01-01T00:00:00"/>
    <n v="141.34"/>
    <n v="794"/>
    <s v="LY"/>
    <x v="6"/>
  </r>
  <r>
    <s v="Biolage"/>
    <x v="7"/>
    <s v="Search"/>
    <s v="Google"/>
    <s v="Biolage"/>
    <d v="2023-10-28T00:00:00"/>
    <d v="2023-01-01T00:00:00"/>
    <n v="180.89"/>
    <n v="812"/>
    <s v="LY"/>
    <x v="6"/>
  </r>
  <r>
    <s v="Biolage"/>
    <x v="7"/>
    <s v="Search"/>
    <s v="Google"/>
    <s v="Biolage"/>
    <d v="2023-11-04T00:00:00"/>
    <d v="2023-01-01T00:00:00"/>
    <n v="256.22000000000003"/>
    <n v="907"/>
    <s v="LY"/>
    <x v="6"/>
  </r>
  <r>
    <s v="Biolage"/>
    <x v="7"/>
    <s v="Search"/>
    <s v="Google"/>
    <s v="Biolage"/>
    <d v="2023-11-11T00:00:00"/>
    <d v="2023-01-01T00:00:00"/>
    <n v="279.95000000000005"/>
    <n v="927"/>
    <s v="LY"/>
    <x v="6"/>
  </r>
  <r>
    <s v="Biolage"/>
    <x v="7"/>
    <s v="Search"/>
    <s v="Google"/>
    <s v="Biolage"/>
    <d v="2023-11-18T00:00:00"/>
    <d v="2023-01-01T00:00:00"/>
    <n v="253.53"/>
    <n v="997"/>
    <s v="LY"/>
    <x v="6"/>
  </r>
  <r>
    <s v="Biolage"/>
    <x v="7"/>
    <s v="Search"/>
    <s v="Google"/>
    <s v="Biolage"/>
    <d v="2023-11-25T00:00:00"/>
    <d v="2023-01-01T00:00:00"/>
    <n v="262.56"/>
    <n v="963"/>
    <s v="LY"/>
    <x v="6"/>
  </r>
  <r>
    <s v="Biolage"/>
    <x v="7"/>
    <s v="Search"/>
    <s v="Google"/>
    <s v="Biolage"/>
    <d v="2023-12-02T00:00:00"/>
    <d v="2023-01-01T00:00:00"/>
    <n v="231.67999999999995"/>
    <n v="919"/>
    <s v="LY"/>
    <x v="6"/>
  </r>
  <r>
    <s v="Biolage"/>
    <x v="7"/>
    <s v="Search"/>
    <s v="Google"/>
    <s v="Biolage"/>
    <d v="2023-12-09T00:00:00"/>
    <d v="2023-01-01T00:00:00"/>
    <n v="246.56"/>
    <n v="924"/>
    <s v="LY"/>
    <x v="6"/>
  </r>
  <r>
    <s v="Biolage"/>
    <x v="7"/>
    <s v="Search"/>
    <s v="Google"/>
    <s v="Biolage"/>
    <d v="2023-12-16T00:00:00"/>
    <d v="2023-01-01T00:00:00"/>
    <n v="297.20000000000005"/>
    <n v="1066"/>
    <s v="LY"/>
    <x v="6"/>
  </r>
  <r>
    <s v="Biolage"/>
    <x v="7"/>
    <s v="Search"/>
    <s v="Google"/>
    <s v="Biolage"/>
    <d v="2023-12-23T00:00:00"/>
    <d v="2023-01-01T00:00:00"/>
    <n v="331.7"/>
    <n v="1030"/>
    <s v="LY"/>
    <x v="6"/>
  </r>
  <r>
    <s v="Biolage"/>
    <x v="7"/>
    <s v="Search"/>
    <s v="Google"/>
    <s v="Biolage"/>
    <d v="2023-12-30T00:00:00"/>
    <d v="2023-01-01T00:00:00"/>
    <n v="300.01"/>
    <n v="1032"/>
    <s v="LY"/>
    <x v="6"/>
  </r>
  <r>
    <s v="Biolage"/>
    <x v="7"/>
    <s v="Search"/>
    <s v="Google"/>
    <s v="Biolage"/>
    <d v="2024-01-06T00:00:00"/>
    <d v="2024-01-01T00:00:00"/>
    <n v="262.31"/>
    <n v="990"/>
    <s v="LY"/>
    <x v="6"/>
  </r>
  <r>
    <s v="Biolage"/>
    <x v="7"/>
    <s v="Search"/>
    <s v="Google"/>
    <s v="Biolage"/>
    <d v="2024-01-13T00:00:00"/>
    <d v="2024-01-01T00:00:00"/>
    <n v="265.98"/>
    <n v="1162"/>
    <s v="LY"/>
    <x v="6"/>
  </r>
  <r>
    <s v="Biolage"/>
    <x v="7"/>
    <s v="Search"/>
    <s v="Google"/>
    <s v="Biolage"/>
    <d v="2024-01-20T00:00:00"/>
    <d v="2024-01-01T00:00:00"/>
    <n v="354.86999999999995"/>
    <n v="1366"/>
    <s v="LY"/>
    <x v="6"/>
  </r>
  <r>
    <s v="Biolage"/>
    <x v="7"/>
    <s v="Search"/>
    <s v="Google"/>
    <s v="Biolage"/>
    <d v="2024-01-27T00:00:00"/>
    <d v="2024-01-01T00:00:00"/>
    <n v="550.13000000000011"/>
    <n v="1674"/>
    <s v="LY"/>
    <x v="6"/>
  </r>
  <r>
    <s v="Biolage"/>
    <x v="7"/>
    <s v="Search"/>
    <s v="Google"/>
    <s v="Biolage"/>
    <d v="2024-02-03T00:00:00"/>
    <d v="2024-01-01T00:00:00"/>
    <n v="428.61"/>
    <n v="1502"/>
    <s v="LY"/>
    <x v="6"/>
  </r>
  <r>
    <s v="Biolage"/>
    <x v="7"/>
    <s v="Search"/>
    <s v="Google"/>
    <s v="Biolage"/>
    <d v="2024-02-10T00:00:00"/>
    <d v="2024-01-01T00:00:00"/>
    <n v="512.18000000000006"/>
    <n v="1609"/>
    <s v="LY"/>
    <x v="6"/>
  </r>
  <r>
    <s v="Biolage"/>
    <x v="7"/>
    <s v="Search"/>
    <s v="Google"/>
    <s v="Biolage"/>
    <d v="2024-02-17T00:00:00"/>
    <d v="2024-01-01T00:00:00"/>
    <n v="523.76"/>
    <n v="1459"/>
    <s v="LY"/>
    <x v="6"/>
  </r>
  <r>
    <s v="Biolage"/>
    <x v="7"/>
    <s v="Search"/>
    <s v="Google"/>
    <s v="Biolage"/>
    <d v="2024-02-24T00:00:00"/>
    <d v="2024-01-01T00:00:00"/>
    <n v="342.75"/>
    <n v="1283"/>
    <s v="LY"/>
    <x v="6"/>
  </r>
  <r>
    <s v="Biolage"/>
    <x v="7"/>
    <s v="Search"/>
    <s v="Google"/>
    <s v="Biolage"/>
    <d v="2024-03-02T00:00:00"/>
    <d v="2024-01-01T00:00:00"/>
    <n v="300.64999999999998"/>
    <n v="1061"/>
    <s v="LY"/>
    <x v="6"/>
  </r>
  <r>
    <s v="Biolage"/>
    <x v="7"/>
    <s v="Search"/>
    <s v="Google"/>
    <s v="Biolage"/>
    <d v="2024-03-09T00:00:00"/>
    <d v="2024-01-01T00:00:00"/>
    <n v="459.98"/>
    <n v="1785"/>
    <s v="LY"/>
    <x v="6"/>
  </r>
  <r>
    <s v="Biolage"/>
    <x v="7"/>
    <s v="Search"/>
    <s v="Google"/>
    <s v="Biolage"/>
    <d v="2024-03-16T00:00:00"/>
    <d v="2024-01-01T00:00:00"/>
    <n v="434.56"/>
    <n v="1963"/>
    <s v="LY"/>
    <x v="6"/>
  </r>
  <r>
    <s v="Biolage"/>
    <x v="7"/>
    <s v="Search"/>
    <s v="Google"/>
    <s v="Biolage"/>
    <d v="2024-03-23T00:00:00"/>
    <d v="2024-01-01T00:00:00"/>
    <n v="429.36"/>
    <n v="2131"/>
    <s v="LY"/>
    <x v="6"/>
  </r>
  <r>
    <s v="Biolage"/>
    <x v="7"/>
    <s v="Search"/>
    <s v="Google"/>
    <s v="Biolage"/>
    <d v="2024-03-30T00:00:00"/>
    <d v="2024-01-01T00:00:00"/>
    <n v="341.88999999999993"/>
    <n v="2248"/>
    <s v="LY"/>
    <x v="6"/>
  </r>
  <r>
    <s v="Biolage"/>
    <x v="7"/>
    <s v="Search"/>
    <s v="Google"/>
    <s v="Biolage"/>
    <d v="2024-04-06T00:00:00"/>
    <d v="2024-01-01T00:00:00"/>
    <n v="291.04181799999998"/>
    <n v="2100"/>
    <s v="LY"/>
    <x v="6"/>
  </r>
  <r>
    <s v="Biolage"/>
    <x v="7"/>
    <s v="Search"/>
    <s v="Google"/>
    <s v="Biolage"/>
    <d v="2024-04-13T00:00:00"/>
    <d v="2024-01-01T00:00:00"/>
    <n v="315.5"/>
    <n v="2218"/>
    <s v="LY"/>
    <x v="6"/>
  </r>
  <r>
    <s v="Biolage"/>
    <x v="7"/>
    <s v="Search"/>
    <s v="Google"/>
    <s v="Biolage"/>
    <d v="2024-04-20T00:00:00"/>
    <d v="2024-01-01T00:00:00"/>
    <n v="370.21399999999994"/>
    <n v="2324"/>
    <s v="LY"/>
    <x v="6"/>
  </r>
  <r>
    <s v="Biolage"/>
    <x v="7"/>
    <s v="Search"/>
    <s v="Google"/>
    <s v="Biolage"/>
    <d v="2024-04-27T00:00:00"/>
    <d v="2024-01-01T00:00:00"/>
    <n v="318.80999999999995"/>
    <n v="2130"/>
    <s v="LY"/>
    <x v="6"/>
  </r>
  <r>
    <s v="Biolage"/>
    <x v="7"/>
    <s v="Search"/>
    <s v="Google"/>
    <s v="Biolage"/>
    <d v="2024-05-04T00:00:00"/>
    <d v="2024-01-01T00:00:00"/>
    <n v="310.85999999999996"/>
    <n v="2084"/>
    <s v="LY"/>
    <x v="6"/>
  </r>
  <r>
    <s v="Biolage"/>
    <x v="7"/>
    <s v="Search"/>
    <s v="Google"/>
    <s v="Biolage"/>
    <d v="2024-05-11T00:00:00"/>
    <d v="2024-01-01T00:00:00"/>
    <n v="312.11999999999995"/>
    <n v="2108"/>
    <s v="LY"/>
    <x v="6"/>
  </r>
  <r>
    <s v="Biolage"/>
    <x v="7"/>
    <s v="Search"/>
    <s v="Google"/>
    <s v="Biolage"/>
    <d v="2024-05-18T00:00:00"/>
    <d v="2024-01-01T00:00:00"/>
    <n v="327.36949100000004"/>
    <n v="1964"/>
    <s v="LY"/>
    <x v="6"/>
  </r>
  <r>
    <s v="Biolage"/>
    <x v="7"/>
    <s v="Search"/>
    <s v="Google"/>
    <s v="Biolage"/>
    <d v="2024-05-25T00:00:00"/>
    <d v="2024-01-01T00:00:00"/>
    <n v="295"/>
    <n v="1918"/>
    <s v="LY"/>
    <x v="6"/>
  </r>
  <r>
    <s v="Biolage"/>
    <x v="7"/>
    <s v="Search"/>
    <s v="Google"/>
    <s v="Biolage"/>
    <d v="2024-06-01T00:00:00"/>
    <d v="2024-01-01T00:00:00"/>
    <n v="232.47"/>
    <n v="1836"/>
    <s v="LY"/>
    <x v="6"/>
  </r>
  <r>
    <s v="Biolage"/>
    <x v="7"/>
    <s v="Search"/>
    <s v="Google"/>
    <s v="Biolage"/>
    <d v="2024-06-08T00:00:00"/>
    <d v="2024-01-01T00:00:00"/>
    <n v="228.45"/>
    <n v="1653"/>
    <s v="LY"/>
    <x v="6"/>
  </r>
  <r>
    <s v="Biolage"/>
    <x v="7"/>
    <s v="Search"/>
    <s v="Google"/>
    <s v="Biolage"/>
    <d v="2024-06-15T00:00:00"/>
    <d v="2024-01-01T00:00:00"/>
    <n v="222.14933900000003"/>
    <n v="1811"/>
    <s v="LY"/>
    <x v="6"/>
  </r>
  <r>
    <s v="Biolage"/>
    <x v="7"/>
    <s v="Search"/>
    <s v="Google"/>
    <s v="Biolage"/>
    <d v="2024-06-22T00:00:00"/>
    <d v="2024-01-01T00:00:00"/>
    <n v="217.37"/>
    <n v="2053"/>
    <s v="LY"/>
    <x v="6"/>
  </r>
  <r>
    <s v="Biolage"/>
    <x v="7"/>
    <s v="Search"/>
    <s v="Google"/>
    <s v="Biolage"/>
    <d v="2024-06-29T00:00:00"/>
    <d v="2024-01-01T00:00:00"/>
    <n v="242.77266599999996"/>
    <n v="1793"/>
    <s v="LY"/>
    <x v="6"/>
  </r>
  <r>
    <s v="Biolage"/>
    <x v="7"/>
    <s v="Search"/>
    <s v="Google"/>
    <s v="Biolage"/>
    <d v="2024-07-06T00:00:00"/>
    <d v="2024-01-01T00:00:00"/>
    <n v="206.07000000000002"/>
    <n v="1544"/>
    <s v="LY"/>
    <x v="6"/>
  </r>
  <r>
    <s v="Biolage"/>
    <x v="7"/>
    <s v="Search"/>
    <s v="Google"/>
    <s v="Biolage"/>
    <d v="2024-07-13T00:00:00"/>
    <d v="2024-01-01T00:00:00"/>
    <n v="260.88"/>
    <n v="1946"/>
    <s v="TTM"/>
    <x v="6"/>
  </r>
  <r>
    <s v="Biolage"/>
    <x v="7"/>
    <s v="Search"/>
    <s v="Google"/>
    <s v="Biolage"/>
    <d v="2024-07-20T00:00:00"/>
    <d v="2024-01-01T00:00:00"/>
    <n v="211.92"/>
    <n v="1605"/>
    <s v="TTM"/>
    <x v="6"/>
  </r>
  <r>
    <s v="Biolage"/>
    <x v="7"/>
    <s v="Search"/>
    <s v="Google"/>
    <s v="Biolage"/>
    <d v="2024-07-27T00:00:00"/>
    <d v="2024-01-01T00:00:00"/>
    <n v="176.07"/>
    <n v="1561"/>
    <s v="TTM"/>
    <x v="6"/>
  </r>
  <r>
    <s v="Biolage"/>
    <x v="7"/>
    <s v="Search"/>
    <s v="Google"/>
    <s v="Biolage"/>
    <d v="2024-08-03T00:00:00"/>
    <d v="2024-01-01T00:00:00"/>
    <n v="186.95999999999998"/>
    <n v="1542"/>
    <s v="TTM"/>
    <x v="6"/>
  </r>
  <r>
    <s v="Biolage"/>
    <x v="7"/>
    <s v="Search"/>
    <s v="Google"/>
    <s v="Biolage"/>
    <d v="2024-08-10T00:00:00"/>
    <d v="2024-01-01T00:00:00"/>
    <n v="184.2"/>
    <n v="1293"/>
    <s v="TTM"/>
    <x v="6"/>
  </r>
  <r>
    <s v="Biolage"/>
    <x v="7"/>
    <s v="Search"/>
    <s v="Google"/>
    <s v="Biolage"/>
    <d v="2024-08-17T00:00:00"/>
    <d v="2024-01-01T00:00:00"/>
    <n v="220.15333300000003"/>
    <n v="1561"/>
    <s v="TTM"/>
    <x v="6"/>
  </r>
  <r>
    <s v="Biolage"/>
    <x v="7"/>
    <s v="Search"/>
    <s v="Google"/>
    <s v="Biolage"/>
    <d v="2024-08-24T00:00:00"/>
    <d v="2024-01-01T00:00:00"/>
    <n v="201.30916199999999"/>
    <n v="1580"/>
    <s v="TTM"/>
    <x v="6"/>
  </r>
  <r>
    <s v="Biolage"/>
    <x v="7"/>
    <s v="Search"/>
    <s v="Google"/>
    <s v="Biolage"/>
    <d v="2024-08-31T00:00:00"/>
    <d v="2024-01-01T00:00:00"/>
    <n v="161.30338499999999"/>
    <n v="1379"/>
    <s v="TTM"/>
    <x v="6"/>
  </r>
  <r>
    <s v="Biolage"/>
    <x v="7"/>
    <s v="Search"/>
    <s v="Google"/>
    <s v="Biolage"/>
    <d v="2024-09-07T00:00:00"/>
    <d v="2024-01-01T00:00:00"/>
    <n v="197.90614000000002"/>
    <n v="1463"/>
    <s v="TTM"/>
    <x v="6"/>
  </r>
  <r>
    <s v="Biolage"/>
    <x v="7"/>
    <s v="Search"/>
    <s v="Google"/>
    <s v="Biolage"/>
    <d v="2024-09-14T00:00:00"/>
    <d v="2024-01-01T00:00:00"/>
    <n v="207.06141500000001"/>
    <n v="1787"/>
    <s v="TTM"/>
    <x v="6"/>
  </r>
  <r>
    <s v="Biolage"/>
    <x v="7"/>
    <s v="Search"/>
    <s v="Google"/>
    <s v="Biolage"/>
    <d v="2024-09-21T00:00:00"/>
    <d v="2024-01-01T00:00:00"/>
    <n v="274.80999700000001"/>
    <n v="1849"/>
    <s v="TTM"/>
    <x v="6"/>
  </r>
  <r>
    <s v="Biolage"/>
    <x v="7"/>
    <s v="Search"/>
    <s v="Google"/>
    <s v="Biolage"/>
    <d v="2024-09-28T00:00:00"/>
    <d v="2024-01-01T00:00:00"/>
    <n v="254.22137899999998"/>
    <n v="1624"/>
    <s v="TTM"/>
    <x v="6"/>
  </r>
  <r>
    <s v="Biolage"/>
    <x v="7"/>
    <s v="Search"/>
    <s v="Google"/>
    <s v="Biolage"/>
    <d v="2024-10-05T00:00:00"/>
    <d v="2024-01-01T00:00:00"/>
    <n v="283.15999999999997"/>
    <n v="1744"/>
    <s v="TTM"/>
    <x v="6"/>
  </r>
  <r>
    <s v="Biolage"/>
    <x v="7"/>
    <s v="Search"/>
    <s v="Google"/>
    <s v="Biolage"/>
    <d v="2024-10-12T00:00:00"/>
    <d v="2024-01-01T00:00:00"/>
    <n v="334.14426099999997"/>
    <n v="2344"/>
    <s v="TTM"/>
    <x v="6"/>
  </r>
  <r>
    <s v="Biolage"/>
    <x v="7"/>
    <s v="Search"/>
    <s v="Google"/>
    <s v="Biolage"/>
    <d v="2024-10-19T00:00:00"/>
    <d v="2024-01-01T00:00:00"/>
    <n v="259.89919099999997"/>
    <n v="1938"/>
    <s v="TTM"/>
    <x v="6"/>
  </r>
  <r>
    <s v="Biolage"/>
    <x v="7"/>
    <s v="Search"/>
    <s v="Google"/>
    <s v="Biolage"/>
    <d v="2024-10-26T00:00:00"/>
    <d v="2024-01-01T00:00:00"/>
    <n v="337.08645300000001"/>
    <n v="1961"/>
    <s v="TTM"/>
    <x v="6"/>
  </r>
  <r>
    <s v="Biolage"/>
    <x v="7"/>
    <s v="Search"/>
    <s v="Google"/>
    <s v="Biolage"/>
    <d v="2024-11-02T00:00:00"/>
    <d v="2024-01-01T00:00:00"/>
    <n v="297.62193599999995"/>
    <n v="1957"/>
    <s v="TTM"/>
    <x v="6"/>
  </r>
  <r>
    <s v="Biolage"/>
    <x v="7"/>
    <s v="Search"/>
    <s v="Google"/>
    <s v="Biolage"/>
    <d v="2024-11-09T00:00:00"/>
    <d v="2024-01-01T00:00:00"/>
    <n v="315.07383900000002"/>
    <n v="2160"/>
    <s v="TTM"/>
    <x v="6"/>
  </r>
  <r>
    <s v="Biolage"/>
    <x v="7"/>
    <s v="Search"/>
    <s v="Google"/>
    <s v="Biolage"/>
    <d v="2024-11-16T00:00:00"/>
    <d v="2024-01-01T00:00:00"/>
    <n v="248.58994999999999"/>
    <n v="2286"/>
    <s v="TTM"/>
    <x v="6"/>
  </r>
  <r>
    <s v="Biolage"/>
    <x v="7"/>
    <s v="Search"/>
    <s v="Google"/>
    <s v="Biolage"/>
    <d v="2024-11-23T00:00:00"/>
    <d v="2024-01-01T00:00:00"/>
    <n v="252.37172000000001"/>
    <n v="2411"/>
    <s v="TTM"/>
    <x v="6"/>
  </r>
  <r>
    <s v="Biolage"/>
    <x v="7"/>
    <s v="Search"/>
    <s v="Google"/>
    <s v="Biolage"/>
    <d v="2024-11-30T00:00:00"/>
    <d v="2024-01-01T00:00:00"/>
    <n v="245.15006499999998"/>
    <n v="2404"/>
    <s v="TTM"/>
    <x v="6"/>
  </r>
  <r>
    <s v="Biolage"/>
    <x v="7"/>
    <s v="Search"/>
    <s v="Google"/>
    <s v="Biolage"/>
    <d v="2024-12-07T00:00:00"/>
    <d v="2024-01-01T00:00:00"/>
    <n v="198.52171000000001"/>
    <n v="2329"/>
    <s v="TTM"/>
    <x v="6"/>
  </r>
  <r>
    <s v="Biolage"/>
    <x v="7"/>
    <s v="Search"/>
    <s v="Google"/>
    <s v="Biolage"/>
    <d v="2024-12-14T00:00:00"/>
    <d v="2024-01-01T00:00:00"/>
    <n v="161.26761999999997"/>
    <n v="2413"/>
    <s v="TTM"/>
    <x v="6"/>
  </r>
  <r>
    <s v="Biolage"/>
    <x v="7"/>
    <s v="Search"/>
    <s v="Google"/>
    <s v="Biolage"/>
    <d v="2024-12-21T00:00:00"/>
    <d v="2024-01-01T00:00:00"/>
    <n v="149.59066100000001"/>
    <n v="2167"/>
    <s v="TTM"/>
    <x v="6"/>
  </r>
  <r>
    <s v="Biolage"/>
    <x v="7"/>
    <s v="Search"/>
    <s v="Google"/>
    <s v="Biolage"/>
    <d v="2024-12-28T00:00:00"/>
    <d v="2024-01-01T00:00:00"/>
    <n v="104.035501"/>
    <n v="1651"/>
    <s v="TTM"/>
    <x v="6"/>
  </r>
  <r>
    <s v="Biolage"/>
    <x v="7"/>
    <s v="Search"/>
    <s v="Google"/>
    <s v="Biolage"/>
    <d v="2025-01-04T00:00:00"/>
    <d v="2024-01-01T00:00:00"/>
    <n v="12.419084"/>
    <n v="177"/>
    <s v="TTM"/>
    <x v="6"/>
  </r>
  <r>
    <s v="Biolage"/>
    <x v="7"/>
    <s v="Search"/>
    <s v="Google"/>
    <s v="Biolage"/>
    <d v="2025-03-01T00:00:00"/>
    <d v="2025-01-01T00:00:00"/>
    <n v="0.01"/>
    <n v="5"/>
    <s v="TTM"/>
    <x v="6"/>
  </r>
  <r>
    <s v="Biolage"/>
    <x v="10"/>
    <s v="Search"/>
    <s v="Google"/>
    <s v="Biolage"/>
    <d v="2023-09-30T00:00:00"/>
    <d v="2023-01-01T00:00:00"/>
    <n v="152.44"/>
    <n v="446"/>
    <s v="LY"/>
    <x v="6"/>
  </r>
  <r>
    <s v="Biolage"/>
    <x v="10"/>
    <s v="Search"/>
    <s v="Google"/>
    <s v="Biolage"/>
    <d v="2023-10-07T00:00:00"/>
    <d v="2023-01-01T00:00:00"/>
    <n v="122.99000000000001"/>
    <n v="547"/>
    <s v="LY"/>
    <x v="6"/>
  </r>
  <r>
    <s v="Biolage"/>
    <x v="10"/>
    <s v="Search"/>
    <s v="Google"/>
    <s v="Biolage"/>
    <d v="2023-10-14T00:00:00"/>
    <d v="2023-01-01T00:00:00"/>
    <n v="138.57"/>
    <n v="552"/>
    <s v="LY"/>
    <x v="6"/>
  </r>
  <r>
    <s v="Biolage"/>
    <x v="10"/>
    <s v="Search"/>
    <s v="Google"/>
    <s v="Biolage"/>
    <d v="2023-10-21T00:00:00"/>
    <d v="2023-01-01T00:00:00"/>
    <n v="158.88999999999999"/>
    <n v="620"/>
    <s v="LY"/>
    <x v="6"/>
  </r>
  <r>
    <s v="Biolage"/>
    <x v="10"/>
    <s v="Search"/>
    <s v="Google"/>
    <s v="Biolage"/>
    <d v="2023-10-28T00:00:00"/>
    <d v="2023-01-01T00:00:00"/>
    <n v="168.89"/>
    <n v="577"/>
    <s v="LY"/>
    <x v="6"/>
  </r>
  <r>
    <s v="Biolage"/>
    <x v="10"/>
    <s v="Search"/>
    <s v="Google"/>
    <s v="Biolage"/>
    <d v="2023-11-04T00:00:00"/>
    <d v="2023-01-01T00:00:00"/>
    <n v="196.5"/>
    <n v="592"/>
    <s v="LY"/>
    <x v="6"/>
  </r>
  <r>
    <s v="Biolage"/>
    <x v="10"/>
    <s v="Search"/>
    <s v="Google"/>
    <s v="Biolage"/>
    <d v="2023-11-11T00:00:00"/>
    <d v="2023-01-01T00:00:00"/>
    <n v="183.75999999999996"/>
    <n v="643"/>
    <s v="LY"/>
    <x v="6"/>
  </r>
  <r>
    <s v="Biolage"/>
    <x v="10"/>
    <s v="Search"/>
    <s v="Google"/>
    <s v="Biolage"/>
    <d v="2023-11-18T00:00:00"/>
    <d v="2023-01-01T00:00:00"/>
    <n v="187.76"/>
    <n v="666"/>
    <s v="LY"/>
    <x v="6"/>
  </r>
  <r>
    <s v="Biolage"/>
    <x v="10"/>
    <s v="Search"/>
    <s v="Google"/>
    <s v="Biolage"/>
    <d v="2023-11-25T00:00:00"/>
    <d v="2023-01-01T00:00:00"/>
    <n v="155.10000000000002"/>
    <n v="697"/>
    <s v="LY"/>
    <x v="6"/>
  </r>
  <r>
    <s v="Biolage"/>
    <x v="10"/>
    <s v="Search"/>
    <s v="Google"/>
    <s v="Biolage"/>
    <d v="2023-12-02T00:00:00"/>
    <d v="2023-01-01T00:00:00"/>
    <n v="124.75999999999999"/>
    <n v="621"/>
    <s v="LY"/>
    <x v="6"/>
  </r>
  <r>
    <s v="Biolage"/>
    <x v="10"/>
    <s v="Search"/>
    <s v="Google"/>
    <s v="Biolage"/>
    <d v="2023-12-09T00:00:00"/>
    <d v="2023-01-01T00:00:00"/>
    <n v="139.31"/>
    <n v="655"/>
    <s v="LY"/>
    <x v="6"/>
  </r>
  <r>
    <s v="Biolage"/>
    <x v="10"/>
    <s v="Search"/>
    <s v="Google"/>
    <s v="Biolage"/>
    <d v="2023-12-16T00:00:00"/>
    <d v="2023-01-01T00:00:00"/>
    <n v="154.13999999999999"/>
    <n v="613"/>
    <s v="LY"/>
    <x v="6"/>
  </r>
  <r>
    <s v="Biolage"/>
    <x v="10"/>
    <s v="Search"/>
    <s v="Google"/>
    <s v="Biolage"/>
    <d v="2023-12-23T00:00:00"/>
    <d v="2023-01-01T00:00:00"/>
    <n v="107.92999999999999"/>
    <n v="574"/>
    <s v="LY"/>
    <x v="6"/>
  </r>
  <r>
    <s v="Biolage"/>
    <x v="10"/>
    <s v="Search"/>
    <s v="Google"/>
    <s v="Biolage"/>
    <d v="2023-12-30T00:00:00"/>
    <d v="2023-01-01T00:00:00"/>
    <n v="99.240000000000009"/>
    <n v="458"/>
    <s v="LY"/>
    <x v="6"/>
  </r>
  <r>
    <s v="Biolage"/>
    <x v="10"/>
    <s v="Search"/>
    <s v="Google"/>
    <s v="Biolage"/>
    <d v="2024-01-06T00:00:00"/>
    <d v="2024-01-01T00:00:00"/>
    <n v="50.920000000000009"/>
    <n v="372"/>
    <s v="LY"/>
    <x v="6"/>
  </r>
  <r>
    <s v="Biolage"/>
    <x v="10"/>
    <s v="Search"/>
    <s v="Google"/>
    <s v="Biolage"/>
    <d v="2024-01-13T00:00:00"/>
    <d v="2024-01-01T00:00:00"/>
    <n v="65.179999999999993"/>
    <n v="408"/>
    <s v="LY"/>
    <x v="6"/>
  </r>
  <r>
    <s v="Biolage"/>
    <x v="10"/>
    <s v="Search"/>
    <s v="Google"/>
    <s v="Biolage"/>
    <d v="2024-01-20T00:00:00"/>
    <d v="2024-01-01T00:00:00"/>
    <n v="50.1"/>
    <n v="336"/>
    <s v="LY"/>
    <x v="6"/>
  </r>
  <r>
    <s v="Biolage"/>
    <x v="10"/>
    <s v="Search"/>
    <s v="Google"/>
    <s v="Biolage"/>
    <d v="2024-01-27T00:00:00"/>
    <d v="2024-01-01T00:00:00"/>
    <n v="54.17"/>
    <n v="392"/>
    <s v="LY"/>
    <x v="6"/>
  </r>
  <r>
    <s v="Biolage"/>
    <x v="10"/>
    <s v="Search"/>
    <s v="Google"/>
    <s v="Biolage"/>
    <d v="2024-02-03T00:00:00"/>
    <d v="2024-01-01T00:00:00"/>
    <n v="62.070000000000007"/>
    <n v="353"/>
    <s v="LY"/>
    <x v="6"/>
  </r>
  <r>
    <s v="Biolage"/>
    <x v="10"/>
    <s v="Search"/>
    <s v="Google"/>
    <s v="Biolage"/>
    <d v="2024-02-10T00:00:00"/>
    <d v="2024-01-01T00:00:00"/>
    <n v="41.21"/>
    <n v="344"/>
    <s v="LY"/>
    <x v="6"/>
  </r>
  <r>
    <s v="Biolage"/>
    <x v="10"/>
    <s v="Search"/>
    <s v="Google"/>
    <s v="Biolage"/>
    <d v="2024-02-17T00:00:00"/>
    <d v="2024-01-01T00:00:00"/>
    <n v="49.370000000000005"/>
    <n v="299"/>
    <s v="LY"/>
    <x v="6"/>
  </r>
  <r>
    <s v="Biolage"/>
    <x v="10"/>
    <s v="Search"/>
    <s v="Google"/>
    <s v="Biolage"/>
    <d v="2024-02-24T00:00:00"/>
    <d v="2024-01-01T00:00:00"/>
    <n v="74.09"/>
    <n v="340"/>
    <s v="LY"/>
    <x v="6"/>
  </r>
  <r>
    <s v="Biolage"/>
    <x v="10"/>
    <s v="Search"/>
    <s v="Google"/>
    <s v="Biolage"/>
    <d v="2024-03-02T00:00:00"/>
    <d v="2024-01-01T00:00:00"/>
    <n v="77.220000000000013"/>
    <n v="368"/>
    <s v="LY"/>
    <x v="6"/>
  </r>
  <r>
    <s v="Biolage"/>
    <x v="10"/>
    <s v="Search"/>
    <s v="Google"/>
    <s v="Biolage"/>
    <d v="2024-03-09T00:00:00"/>
    <d v="2024-01-01T00:00:00"/>
    <n v="99.009999999999991"/>
    <n v="473"/>
    <s v="LY"/>
    <x v="6"/>
  </r>
  <r>
    <s v="Biolage"/>
    <x v="10"/>
    <s v="Search"/>
    <s v="Google"/>
    <s v="Biolage"/>
    <d v="2024-03-16T00:00:00"/>
    <d v="2024-01-01T00:00:00"/>
    <n v="95.19"/>
    <n v="465"/>
    <s v="LY"/>
    <x v="6"/>
  </r>
  <r>
    <s v="Biolage"/>
    <x v="10"/>
    <s v="Search"/>
    <s v="Google"/>
    <s v="Biolage"/>
    <d v="2024-03-23T00:00:00"/>
    <d v="2024-01-01T00:00:00"/>
    <n v="72.8"/>
    <n v="496"/>
    <s v="LY"/>
    <x v="6"/>
  </r>
  <r>
    <s v="Biolage"/>
    <x v="10"/>
    <s v="Search"/>
    <s v="Google"/>
    <s v="Biolage"/>
    <d v="2024-03-30T00:00:00"/>
    <d v="2024-01-01T00:00:00"/>
    <n v="81.27000000000001"/>
    <n v="500"/>
    <s v="LY"/>
    <x v="6"/>
  </r>
  <r>
    <s v="Biolage"/>
    <x v="10"/>
    <s v="Search"/>
    <s v="Google"/>
    <s v="Biolage"/>
    <d v="2024-04-06T00:00:00"/>
    <d v="2024-01-01T00:00:00"/>
    <n v="59.379999999999995"/>
    <n v="494"/>
    <s v="LY"/>
    <x v="6"/>
  </r>
  <r>
    <s v="Biolage"/>
    <x v="10"/>
    <s v="Search"/>
    <s v="Google"/>
    <s v="Biolage"/>
    <d v="2024-04-13T00:00:00"/>
    <d v="2024-01-01T00:00:00"/>
    <n v="87.269999999999982"/>
    <n v="424"/>
    <s v="LY"/>
    <x v="6"/>
  </r>
  <r>
    <s v="Biolage"/>
    <x v="10"/>
    <s v="Search"/>
    <s v="Google"/>
    <s v="Biolage"/>
    <d v="2024-04-20T00:00:00"/>
    <d v="2024-01-01T00:00:00"/>
    <n v="97.210000000000008"/>
    <n v="456"/>
    <s v="LY"/>
    <x v="6"/>
  </r>
  <r>
    <s v="Biolage"/>
    <x v="10"/>
    <s v="Search"/>
    <s v="Google"/>
    <s v="Biolage"/>
    <d v="2024-04-27T00:00:00"/>
    <d v="2024-01-01T00:00:00"/>
    <n v="84.59"/>
    <n v="495"/>
    <s v="LY"/>
    <x v="6"/>
  </r>
  <r>
    <s v="Biolage"/>
    <x v="10"/>
    <s v="Search"/>
    <s v="Google"/>
    <s v="Biolage"/>
    <d v="2024-05-04T00:00:00"/>
    <d v="2024-01-01T00:00:00"/>
    <n v="99.023240999999999"/>
    <n v="522"/>
    <s v="LY"/>
    <x v="6"/>
  </r>
  <r>
    <s v="Biolage"/>
    <x v="10"/>
    <s v="Search"/>
    <s v="Google"/>
    <s v="Biolage"/>
    <d v="2024-05-11T00:00:00"/>
    <d v="2024-01-01T00:00:00"/>
    <n v="83.49"/>
    <n v="556"/>
    <s v="LY"/>
    <x v="6"/>
  </r>
  <r>
    <s v="Biolage"/>
    <x v="10"/>
    <s v="Search"/>
    <s v="Google"/>
    <s v="Biolage"/>
    <d v="2024-05-18T00:00:00"/>
    <d v="2024-01-01T00:00:00"/>
    <n v="79.27000000000001"/>
    <n v="568"/>
    <s v="LY"/>
    <x v="6"/>
  </r>
  <r>
    <s v="Biolage"/>
    <x v="10"/>
    <s v="Search"/>
    <s v="Google"/>
    <s v="Biolage"/>
    <d v="2024-05-25T00:00:00"/>
    <d v="2024-01-01T00:00:00"/>
    <n v="95.85"/>
    <n v="602"/>
    <s v="LY"/>
    <x v="6"/>
  </r>
  <r>
    <s v="Biolage"/>
    <x v="10"/>
    <s v="Search"/>
    <s v="Google"/>
    <s v="Biolage"/>
    <d v="2024-06-01T00:00:00"/>
    <d v="2024-01-01T00:00:00"/>
    <n v="114.80000000000001"/>
    <n v="536"/>
    <s v="LY"/>
    <x v="6"/>
  </r>
  <r>
    <s v="Biolage"/>
    <x v="10"/>
    <s v="Search"/>
    <s v="Google"/>
    <s v="Biolage"/>
    <d v="2024-06-08T00:00:00"/>
    <d v="2024-01-01T00:00:00"/>
    <n v="124.88"/>
    <n v="564"/>
    <s v="LY"/>
    <x v="6"/>
  </r>
  <r>
    <s v="Biolage"/>
    <x v="10"/>
    <s v="Search"/>
    <s v="Google"/>
    <s v="Biolage"/>
    <d v="2024-06-15T00:00:00"/>
    <d v="2024-01-01T00:00:00"/>
    <n v="94.82"/>
    <n v="587"/>
    <s v="LY"/>
    <x v="6"/>
  </r>
  <r>
    <s v="Biolage"/>
    <x v="10"/>
    <s v="Search"/>
    <s v="Google"/>
    <s v="Biolage"/>
    <d v="2024-06-22T00:00:00"/>
    <d v="2024-01-01T00:00:00"/>
    <n v="100.22"/>
    <n v="571"/>
    <s v="LY"/>
    <x v="6"/>
  </r>
  <r>
    <s v="Biolage"/>
    <x v="10"/>
    <s v="Search"/>
    <s v="Google"/>
    <s v="Biolage"/>
    <d v="2024-06-29T00:00:00"/>
    <d v="2024-01-01T00:00:00"/>
    <n v="119.99000000000001"/>
    <n v="710"/>
    <s v="LY"/>
    <x v="6"/>
  </r>
  <r>
    <s v="Biolage"/>
    <x v="10"/>
    <s v="Search"/>
    <s v="Google"/>
    <s v="Biolage"/>
    <d v="2024-07-06T00:00:00"/>
    <d v="2024-01-01T00:00:00"/>
    <n v="108.89000000000001"/>
    <n v="615"/>
    <s v="LY"/>
    <x v="6"/>
  </r>
  <r>
    <s v="Biolage"/>
    <x v="10"/>
    <s v="Search"/>
    <s v="Google"/>
    <s v="Biolage"/>
    <d v="2024-07-13T00:00:00"/>
    <d v="2024-01-01T00:00:00"/>
    <n v="139.88"/>
    <n v="677"/>
    <s v="TTM"/>
    <x v="6"/>
  </r>
  <r>
    <s v="Biolage"/>
    <x v="10"/>
    <s v="Search"/>
    <s v="Google"/>
    <s v="Biolage"/>
    <d v="2024-07-20T00:00:00"/>
    <d v="2024-01-01T00:00:00"/>
    <n v="89.74"/>
    <n v="584"/>
    <s v="TTM"/>
    <x v="6"/>
  </r>
  <r>
    <s v="Biolage"/>
    <x v="10"/>
    <s v="Search"/>
    <s v="Google"/>
    <s v="Biolage"/>
    <d v="2024-07-27T00:00:00"/>
    <d v="2024-01-01T00:00:00"/>
    <n v="93.18"/>
    <n v="593"/>
    <s v="TTM"/>
    <x v="6"/>
  </r>
  <r>
    <s v="Biolage"/>
    <x v="10"/>
    <s v="Search"/>
    <s v="Google"/>
    <s v="Biolage"/>
    <d v="2024-08-03T00:00:00"/>
    <d v="2024-01-01T00:00:00"/>
    <n v="109.94"/>
    <n v="627"/>
    <s v="TTM"/>
    <x v="6"/>
  </r>
  <r>
    <s v="Biolage"/>
    <x v="10"/>
    <s v="Search"/>
    <s v="Google"/>
    <s v="Biolage"/>
    <d v="2024-08-10T00:00:00"/>
    <d v="2024-01-01T00:00:00"/>
    <n v="104.19"/>
    <n v="468"/>
    <s v="TTM"/>
    <x v="6"/>
  </r>
  <r>
    <s v="Biolage"/>
    <x v="10"/>
    <s v="Search"/>
    <s v="Google"/>
    <s v="Biolage"/>
    <d v="2024-08-17T00:00:00"/>
    <d v="2024-01-01T00:00:00"/>
    <n v="74.62"/>
    <n v="538"/>
    <s v="TTM"/>
    <x v="6"/>
  </r>
  <r>
    <s v="Biolage"/>
    <x v="10"/>
    <s v="Search"/>
    <s v="Google"/>
    <s v="Biolage"/>
    <d v="2024-08-24T00:00:00"/>
    <d v="2024-01-01T00:00:00"/>
    <n v="94.775715000000005"/>
    <n v="530"/>
    <s v="TTM"/>
    <x v="6"/>
  </r>
  <r>
    <s v="Biolage"/>
    <x v="10"/>
    <s v="Search"/>
    <s v="Google"/>
    <s v="Biolage"/>
    <d v="2024-08-31T00:00:00"/>
    <d v="2024-01-01T00:00:00"/>
    <n v="81.652903000000009"/>
    <n v="487"/>
    <s v="TTM"/>
    <x v="6"/>
  </r>
  <r>
    <s v="Biolage"/>
    <x v="10"/>
    <s v="Search"/>
    <s v="Google"/>
    <s v="Biolage"/>
    <d v="2024-09-07T00:00:00"/>
    <d v="2024-01-01T00:00:00"/>
    <n v="82.02000000000001"/>
    <n v="511"/>
    <s v="TTM"/>
    <x v="6"/>
  </r>
  <r>
    <s v="Biolage"/>
    <x v="10"/>
    <s v="Search"/>
    <s v="Google"/>
    <s v="Biolage"/>
    <d v="2024-09-14T00:00:00"/>
    <d v="2024-01-01T00:00:00"/>
    <n v="106.10000000000001"/>
    <n v="519"/>
    <s v="TTM"/>
    <x v="6"/>
  </r>
  <r>
    <s v="Biolage"/>
    <x v="10"/>
    <s v="Search"/>
    <s v="Google"/>
    <s v="Biolage"/>
    <d v="2024-09-21T00:00:00"/>
    <d v="2024-01-01T00:00:00"/>
    <n v="101.11156200000001"/>
    <n v="556"/>
    <s v="TTM"/>
    <x v="6"/>
  </r>
  <r>
    <s v="Biolage"/>
    <x v="10"/>
    <s v="Search"/>
    <s v="Google"/>
    <s v="Biolage"/>
    <d v="2024-09-28T00:00:00"/>
    <d v="2024-01-01T00:00:00"/>
    <n v="81.919999999999987"/>
    <n v="429"/>
    <s v="TTM"/>
    <x v="6"/>
  </r>
  <r>
    <s v="Biolage"/>
    <x v="10"/>
    <s v="Search"/>
    <s v="Google"/>
    <s v="Biolage"/>
    <d v="2024-10-05T00:00:00"/>
    <d v="2024-01-01T00:00:00"/>
    <n v="79.491395000000011"/>
    <n v="439"/>
    <s v="TTM"/>
    <x v="6"/>
  </r>
  <r>
    <s v="Biolage"/>
    <x v="10"/>
    <s v="Search"/>
    <s v="Google"/>
    <s v="Biolage"/>
    <d v="2024-10-12T00:00:00"/>
    <d v="2024-01-01T00:00:00"/>
    <n v="68.420379999999994"/>
    <n v="396"/>
    <s v="TTM"/>
    <x v="6"/>
  </r>
  <r>
    <s v="Biolage"/>
    <x v="10"/>
    <s v="Search"/>
    <s v="Google"/>
    <s v="Biolage"/>
    <d v="2024-10-19T00:00:00"/>
    <d v="2024-01-01T00:00:00"/>
    <n v="56.706128"/>
    <n v="507"/>
    <s v="TTM"/>
    <x v="6"/>
  </r>
  <r>
    <s v="Biolage"/>
    <x v="10"/>
    <s v="Search"/>
    <s v="Google"/>
    <s v="Biolage"/>
    <d v="2024-10-26T00:00:00"/>
    <d v="2024-01-01T00:00:00"/>
    <n v="88.291164999999992"/>
    <n v="448"/>
    <s v="TTM"/>
    <x v="6"/>
  </r>
  <r>
    <s v="Biolage"/>
    <x v="10"/>
    <s v="Search"/>
    <s v="Google"/>
    <s v="Biolage"/>
    <d v="2024-11-02T00:00:00"/>
    <d v="2024-01-01T00:00:00"/>
    <n v="59.665502000000004"/>
    <n v="425"/>
    <s v="TTM"/>
    <x v="6"/>
  </r>
  <r>
    <s v="Biolage"/>
    <x v="10"/>
    <s v="Search"/>
    <s v="Google"/>
    <s v="Biolage"/>
    <d v="2024-11-09T00:00:00"/>
    <d v="2024-01-01T00:00:00"/>
    <n v="55.755254000000001"/>
    <n v="480"/>
    <s v="TTM"/>
    <x v="6"/>
  </r>
  <r>
    <s v="Biolage"/>
    <x v="10"/>
    <s v="Search"/>
    <s v="Google"/>
    <s v="Biolage"/>
    <d v="2024-11-16T00:00:00"/>
    <d v="2024-01-01T00:00:00"/>
    <n v="78.517478999999994"/>
    <n v="514"/>
    <s v="TTM"/>
    <x v="6"/>
  </r>
  <r>
    <s v="Biolage"/>
    <x v="10"/>
    <s v="Search"/>
    <s v="Google"/>
    <s v="Biolage"/>
    <d v="2024-11-23T00:00:00"/>
    <d v="2024-01-01T00:00:00"/>
    <n v="88.663297999999998"/>
    <n v="537"/>
    <s v="TTM"/>
    <x v="6"/>
  </r>
  <r>
    <s v="Biolage"/>
    <x v="10"/>
    <s v="Search"/>
    <s v="Google"/>
    <s v="Biolage"/>
    <d v="2024-11-30T00:00:00"/>
    <d v="2024-01-01T00:00:00"/>
    <n v="58.273078999999996"/>
    <n v="618"/>
    <s v="TTM"/>
    <x v="6"/>
  </r>
  <r>
    <s v="Biolage"/>
    <x v="10"/>
    <s v="Search"/>
    <s v="Google"/>
    <s v="Biolage"/>
    <d v="2024-12-07T00:00:00"/>
    <d v="2024-01-01T00:00:00"/>
    <n v="31.693034999999998"/>
    <n v="421"/>
    <s v="TTM"/>
    <x v="6"/>
  </r>
  <r>
    <s v="Biolage"/>
    <x v="10"/>
    <s v="Search"/>
    <s v="Google"/>
    <s v="Biolage"/>
    <d v="2024-12-14T00:00:00"/>
    <d v="2024-01-01T00:00:00"/>
    <n v="26.759229999999999"/>
    <n v="414"/>
    <s v="TTM"/>
    <x v="6"/>
  </r>
  <r>
    <s v="Biolage"/>
    <x v="10"/>
    <s v="Search"/>
    <s v="Google"/>
    <s v="Biolage"/>
    <d v="2024-12-21T00:00:00"/>
    <d v="2024-01-01T00:00:00"/>
    <n v="19.52"/>
    <n v="389"/>
    <s v="TTM"/>
    <x v="6"/>
  </r>
  <r>
    <s v="Biolage"/>
    <x v="10"/>
    <s v="Search"/>
    <s v="Google"/>
    <s v="Biolage"/>
    <d v="2024-12-28T00:00:00"/>
    <d v="2024-01-01T00:00:00"/>
    <n v="8.77"/>
    <n v="234"/>
    <s v="TTM"/>
    <x v="6"/>
  </r>
  <r>
    <s v="Biolage"/>
    <x v="10"/>
    <s v="Search"/>
    <s v="Google"/>
    <s v="Biolage"/>
    <d v="2025-01-04T00:00:00"/>
    <d v="2024-01-01T00:00:00"/>
    <n v="1.88"/>
    <n v="23"/>
    <s v="TTM"/>
    <x v="6"/>
  </r>
  <r>
    <s v="Biolage"/>
    <x v="8"/>
    <s v="Search"/>
    <s v="Google"/>
    <s v="Biolage"/>
    <d v="2023-09-30T00:00:00"/>
    <d v="2023-01-01T00:00:00"/>
    <n v="302.26"/>
    <n v="916"/>
    <s v="LY"/>
    <x v="6"/>
  </r>
  <r>
    <s v="Biolage"/>
    <x v="8"/>
    <s v="Search"/>
    <s v="Google"/>
    <s v="Biolage"/>
    <d v="2023-10-07T00:00:00"/>
    <d v="2023-01-01T00:00:00"/>
    <n v="229.57999999999998"/>
    <n v="726"/>
    <s v="LY"/>
    <x v="6"/>
  </r>
  <r>
    <s v="Biolage"/>
    <x v="8"/>
    <s v="Search"/>
    <s v="Google"/>
    <s v="Biolage"/>
    <d v="2023-10-14T00:00:00"/>
    <d v="2023-01-01T00:00:00"/>
    <n v="202.83999999999997"/>
    <n v="744"/>
    <s v="LY"/>
    <x v="6"/>
  </r>
  <r>
    <s v="Biolage"/>
    <x v="8"/>
    <s v="Search"/>
    <s v="Google"/>
    <s v="Biolage"/>
    <d v="2023-10-21T00:00:00"/>
    <d v="2023-01-01T00:00:00"/>
    <n v="238.22"/>
    <n v="882"/>
    <s v="LY"/>
    <x v="6"/>
  </r>
  <r>
    <s v="Biolage"/>
    <x v="8"/>
    <s v="Search"/>
    <s v="Google"/>
    <s v="Biolage"/>
    <d v="2023-10-28T00:00:00"/>
    <d v="2023-01-01T00:00:00"/>
    <n v="195.51"/>
    <n v="860"/>
    <s v="LY"/>
    <x v="6"/>
  </r>
  <r>
    <s v="Biolage"/>
    <x v="8"/>
    <s v="Search"/>
    <s v="Google"/>
    <s v="Biolage"/>
    <d v="2023-11-04T00:00:00"/>
    <d v="2023-01-01T00:00:00"/>
    <n v="280.91000000000003"/>
    <n v="716"/>
    <s v="LY"/>
    <x v="6"/>
  </r>
  <r>
    <s v="Biolage"/>
    <x v="8"/>
    <s v="Search"/>
    <s v="Google"/>
    <s v="Biolage"/>
    <d v="2023-11-11T00:00:00"/>
    <d v="2023-01-01T00:00:00"/>
    <n v="304.08999999999997"/>
    <n v="810"/>
    <s v="LY"/>
    <x v="6"/>
  </r>
  <r>
    <s v="Biolage"/>
    <x v="8"/>
    <s v="Search"/>
    <s v="Google"/>
    <s v="Biolage"/>
    <d v="2023-11-18T00:00:00"/>
    <d v="2023-01-01T00:00:00"/>
    <n v="194.46000000000004"/>
    <n v="720"/>
    <s v="LY"/>
    <x v="6"/>
  </r>
  <r>
    <s v="Biolage"/>
    <x v="8"/>
    <s v="Search"/>
    <s v="Google"/>
    <s v="Biolage"/>
    <d v="2023-11-25T00:00:00"/>
    <d v="2023-01-01T00:00:00"/>
    <n v="159.43"/>
    <n v="776"/>
    <s v="LY"/>
    <x v="6"/>
  </r>
  <r>
    <s v="Biolage"/>
    <x v="8"/>
    <s v="Search"/>
    <s v="Google"/>
    <s v="Biolage"/>
    <d v="2023-12-02T00:00:00"/>
    <d v="2023-01-01T00:00:00"/>
    <n v="177.22"/>
    <n v="773"/>
    <s v="LY"/>
    <x v="6"/>
  </r>
  <r>
    <s v="Biolage"/>
    <x v="8"/>
    <s v="Search"/>
    <s v="Google"/>
    <s v="Biolage"/>
    <d v="2023-12-09T00:00:00"/>
    <d v="2023-01-01T00:00:00"/>
    <n v="166.19"/>
    <n v="618"/>
    <s v="LY"/>
    <x v="6"/>
  </r>
  <r>
    <s v="Biolage"/>
    <x v="8"/>
    <s v="Search"/>
    <s v="Google"/>
    <s v="Biolage"/>
    <d v="2023-12-16T00:00:00"/>
    <d v="2023-01-01T00:00:00"/>
    <n v="162.08999999999997"/>
    <n v="658"/>
    <s v="LY"/>
    <x v="6"/>
  </r>
  <r>
    <s v="Biolage"/>
    <x v="8"/>
    <s v="Search"/>
    <s v="Google"/>
    <s v="Biolage"/>
    <d v="2023-12-23T00:00:00"/>
    <d v="2023-01-01T00:00:00"/>
    <n v="168.05"/>
    <n v="606"/>
    <s v="LY"/>
    <x v="6"/>
  </r>
  <r>
    <s v="Biolage"/>
    <x v="8"/>
    <s v="Search"/>
    <s v="Google"/>
    <s v="Biolage"/>
    <d v="2023-12-30T00:00:00"/>
    <d v="2023-01-01T00:00:00"/>
    <n v="132.09"/>
    <n v="573"/>
    <s v="LY"/>
    <x v="6"/>
  </r>
  <r>
    <s v="Biolage"/>
    <x v="8"/>
    <s v="Search"/>
    <s v="Google"/>
    <s v="Biolage"/>
    <d v="2024-01-06T00:00:00"/>
    <d v="2024-01-01T00:00:00"/>
    <n v="117.94999999999999"/>
    <n v="428"/>
    <s v="LY"/>
    <x v="6"/>
  </r>
  <r>
    <s v="Biolage"/>
    <x v="8"/>
    <s v="Search"/>
    <s v="Google"/>
    <s v="Biolage"/>
    <d v="2024-01-13T00:00:00"/>
    <d v="2024-01-01T00:00:00"/>
    <n v="89.12"/>
    <n v="462"/>
    <s v="LY"/>
    <x v="6"/>
  </r>
  <r>
    <s v="Biolage"/>
    <x v="8"/>
    <s v="Search"/>
    <s v="Google"/>
    <s v="Biolage"/>
    <d v="2024-01-20T00:00:00"/>
    <d v="2024-01-01T00:00:00"/>
    <n v="45.25"/>
    <n v="368"/>
    <s v="LY"/>
    <x v="6"/>
  </r>
  <r>
    <s v="Biolage"/>
    <x v="8"/>
    <s v="Search"/>
    <s v="Google"/>
    <s v="Biolage"/>
    <d v="2024-01-27T00:00:00"/>
    <d v="2024-01-01T00:00:00"/>
    <n v="68.429999999999993"/>
    <n v="406"/>
    <s v="LY"/>
    <x v="6"/>
  </r>
  <r>
    <s v="Biolage"/>
    <x v="8"/>
    <s v="Search"/>
    <s v="Google"/>
    <s v="Biolage"/>
    <d v="2024-02-03T00:00:00"/>
    <d v="2024-01-01T00:00:00"/>
    <n v="59.78"/>
    <n v="392"/>
    <s v="LY"/>
    <x v="6"/>
  </r>
  <r>
    <s v="Biolage"/>
    <x v="8"/>
    <s v="Search"/>
    <s v="Google"/>
    <s v="Biolage"/>
    <d v="2024-02-10T00:00:00"/>
    <d v="2024-01-01T00:00:00"/>
    <n v="73.259999999999991"/>
    <n v="362"/>
    <s v="LY"/>
    <x v="6"/>
  </r>
  <r>
    <s v="Biolage"/>
    <x v="8"/>
    <s v="Search"/>
    <s v="Google"/>
    <s v="Biolage"/>
    <d v="2024-02-17T00:00:00"/>
    <d v="2024-01-01T00:00:00"/>
    <n v="62.899999999999991"/>
    <n v="336"/>
    <s v="LY"/>
    <x v="6"/>
  </r>
  <r>
    <s v="Biolage"/>
    <x v="8"/>
    <s v="Search"/>
    <s v="Google"/>
    <s v="Biolage"/>
    <d v="2024-02-24T00:00:00"/>
    <d v="2024-01-01T00:00:00"/>
    <n v="63.339999999999989"/>
    <n v="351"/>
    <s v="LY"/>
    <x v="6"/>
  </r>
  <r>
    <s v="Biolage"/>
    <x v="8"/>
    <s v="Search"/>
    <s v="Google"/>
    <s v="Biolage"/>
    <d v="2024-03-02T00:00:00"/>
    <d v="2024-01-01T00:00:00"/>
    <n v="60.7"/>
    <n v="345"/>
    <s v="LY"/>
    <x v="6"/>
  </r>
  <r>
    <s v="Biolage"/>
    <x v="8"/>
    <s v="Search"/>
    <s v="Google"/>
    <s v="Biolage"/>
    <d v="2024-03-09T00:00:00"/>
    <d v="2024-01-01T00:00:00"/>
    <n v="161.91000000000003"/>
    <n v="859"/>
    <s v="LY"/>
    <x v="6"/>
  </r>
  <r>
    <s v="Biolage"/>
    <x v="8"/>
    <s v="Search"/>
    <s v="Google"/>
    <s v="Biolage"/>
    <d v="2024-03-16T00:00:00"/>
    <d v="2024-01-01T00:00:00"/>
    <n v="89.929999999999993"/>
    <n v="466"/>
    <s v="LY"/>
    <x v="6"/>
  </r>
  <r>
    <s v="Biolage"/>
    <x v="8"/>
    <s v="Search"/>
    <s v="Google"/>
    <s v="Biolage"/>
    <d v="2024-03-23T00:00:00"/>
    <d v="2024-01-01T00:00:00"/>
    <n v="75.3"/>
    <n v="461"/>
    <s v="LY"/>
    <x v="6"/>
  </r>
  <r>
    <s v="Biolage"/>
    <x v="8"/>
    <s v="Search"/>
    <s v="Google"/>
    <s v="Biolage"/>
    <d v="2024-03-30T00:00:00"/>
    <d v="2024-01-01T00:00:00"/>
    <n v="60.72"/>
    <n v="508"/>
    <s v="LY"/>
    <x v="6"/>
  </r>
  <r>
    <s v="Biolage"/>
    <x v="8"/>
    <s v="Search"/>
    <s v="Google"/>
    <s v="Biolage"/>
    <d v="2024-04-06T00:00:00"/>
    <d v="2024-01-01T00:00:00"/>
    <n v="64.290000000000006"/>
    <n v="470"/>
    <s v="LY"/>
    <x v="6"/>
  </r>
  <r>
    <s v="Biolage"/>
    <x v="8"/>
    <s v="Search"/>
    <s v="Google"/>
    <s v="Biolage"/>
    <d v="2024-04-13T00:00:00"/>
    <d v="2024-01-01T00:00:00"/>
    <n v="73.387280000000004"/>
    <n v="423"/>
    <s v="LY"/>
    <x v="6"/>
  </r>
  <r>
    <s v="Biolage"/>
    <x v="8"/>
    <s v="Search"/>
    <s v="Google"/>
    <s v="Biolage"/>
    <d v="2024-04-20T00:00:00"/>
    <d v="2024-01-01T00:00:00"/>
    <n v="81.69"/>
    <n v="463"/>
    <s v="LY"/>
    <x v="6"/>
  </r>
  <r>
    <s v="Biolage"/>
    <x v="8"/>
    <s v="Search"/>
    <s v="Google"/>
    <s v="Biolage"/>
    <d v="2024-04-27T00:00:00"/>
    <d v="2024-01-01T00:00:00"/>
    <n v="105.263735"/>
    <n v="648"/>
    <s v="LY"/>
    <x v="6"/>
  </r>
  <r>
    <s v="Biolage"/>
    <x v="8"/>
    <s v="Search"/>
    <s v="Google"/>
    <s v="Biolage"/>
    <d v="2024-05-04T00:00:00"/>
    <d v="2024-01-01T00:00:00"/>
    <n v="74.699999999999989"/>
    <n v="607"/>
    <s v="LY"/>
    <x v="6"/>
  </r>
  <r>
    <s v="Biolage"/>
    <x v="8"/>
    <s v="Search"/>
    <s v="Google"/>
    <s v="Biolage"/>
    <d v="2024-05-11T00:00:00"/>
    <d v="2024-01-01T00:00:00"/>
    <n v="107.26"/>
    <n v="594"/>
    <s v="LY"/>
    <x v="6"/>
  </r>
  <r>
    <s v="Biolage"/>
    <x v="8"/>
    <s v="Search"/>
    <s v="Google"/>
    <s v="Biolage"/>
    <d v="2024-05-18T00:00:00"/>
    <d v="2024-01-01T00:00:00"/>
    <n v="88.28"/>
    <n v="562"/>
    <s v="LY"/>
    <x v="6"/>
  </r>
  <r>
    <s v="Biolage"/>
    <x v="8"/>
    <s v="Search"/>
    <s v="Google"/>
    <s v="Biolage"/>
    <d v="2024-05-25T00:00:00"/>
    <d v="2024-01-01T00:00:00"/>
    <n v="75.52"/>
    <n v="500"/>
    <s v="LY"/>
    <x v="6"/>
  </r>
  <r>
    <s v="Biolage"/>
    <x v="8"/>
    <s v="Search"/>
    <s v="Google"/>
    <s v="Biolage"/>
    <d v="2024-06-01T00:00:00"/>
    <d v="2024-01-01T00:00:00"/>
    <n v="73.41"/>
    <n v="470"/>
    <s v="LY"/>
    <x v="6"/>
  </r>
  <r>
    <s v="Biolage"/>
    <x v="8"/>
    <s v="Search"/>
    <s v="Google"/>
    <s v="Biolage"/>
    <d v="2024-06-08T00:00:00"/>
    <d v="2024-01-01T00:00:00"/>
    <n v="109.86"/>
    <n v="619"/>
    <s v="LY"/>
    <x v="6"/>
  </r>
  <r>
    <s v="Biolage"/>
    <x v="8"/>
    <s v="Search"/>
    <s v="Google"/>
    <s v="Biolage"/>
    <d v="2024-06-15T00:00:00"/>
    <d v="2024-01-01T00:00:00"/>
    <n v="80.709999999999994"/>
    <n v="465"/>
    <s v="LY"/>
    <x v="6"/>
  </r>
  <r>
    <s v="Biolage"/>
    <x v="8"/>
    <s v="Search"/>
    <s v="Google"/>
    <s v="Biolage"/>
    <d v="2024-06-22T00:00:00"/>
    <d v="2024-01-01T00:00:00"/>
    <n v="76.8"/>
    <n v="471"/>
    <s v="LY"/>
    <x v="6"/>
  </r>
  <r>
    <s v="Biolage"/>
    <x v="8"/>
    <s v="Search"/>
    <s v="Google"/>
    <s v="Biolage"/>
    <d v="2024-06-29T00:00:00"/>
    <d v="2024-01-01T00:00:00"/>
    <n v="74.44"/>
    <n v="540"/>
    <s v="LY"/>
    <x v="6"/>
  </r>
  <r>
    <s v="Biolage"/>
    <x v="8"/>
    <s v="Search"/>
    <s v="Google"/>
    <s v="Biolage"/>
    <d v="2024-07-06T00:00:00"/>
    <d v="2024-01-01T00:00:00"/>
    <n v="72.955839999999995"/>
    <n v="538"/>
    <s v="LY"/>
    <x v="6"/>
  </r>
  <r>
    <s v="Biolage"/>
    <x v="8"/>
    <s v="Search"/>
    <s v="Google"/>
    <s v="Biolage"/>
    <d v="2024-07-13T00:00:00"/>
    <d v="2024-01-01T00:00:00"/>
    <n v="76.45"/>
    <n v="610"/>
    <s v="TTM"/>
    <x v="6"/>
  </r>
  <r>
    <s v="Biolage"/>
    <x v="8"/>
    <s v="Search"/>
    <s v="Google"/>
    <s v="Biolage"/>
    <d v="2024-07-20T00:00:00"/>
    <d v="2024-01-01T00:00:00"/>
    <n v="95.04"/>
    <n v="577"/>
    <s v="TTM"/>
    <x v="6"/>
  </r>
  <r>
    <s v="Biolage"/>
    <x v="8"/>
    <s v="Search"/>
    <s v="Google"/>
    <s v="Biolage"/>
    <d v="2024-07-27T00:00:00"/>
    <d v="2024-01-01T00:00:00"/>
    <n v="55.230000000000004"/>
    <n v="444"/>
    <s v="TTM"/>
    <x v="6"/>
  </r>
  <r>
    <s v="Biolage"/>
    <x v="8"/>
    <s v="Search"/>
    <s v="Google"/>
    <s v="Biolage"/>
    <d v="2024-08-03T00:00:00"/>
    <d v="2024-01-01T00:00:00"/>
    <n v="60.89"/>
    <n v="442"/>
    <s v="TTM"/>
    <x v="6"/>
  </r>
  <r>
    <s v="Biolage"/>
    <x v="8"/>
    <s v="Search"/>
    <s v="Google"/>
    <s v="Biolage"/>
    <d v="2024-08-10T00:00:00"/>
    <d v="2024-01-01T00:00:00"/>
    <n v="56.84"/>
    <n v="391"/>
    <s v="TTM"/>
    <x v="6"/>
  </r>
  <r>
    <s v="Biolage"/>
    <x v="8"/>
    <s v="Search"/>
    <s v="Google"/>
    <s v="Biolage"/>
    <d v="2024-08-17T00:00:00"/>
    <d v="2024-01-01T00:00:00"/>
    <n v="49.81"/>
    <n v="385"/>
    <s v="TTM"/>
    <x v="6"/>
  </r>
  <r>
    <s v="Biolage"/>
    <x v="8"/>
    <s v="Search"/>
    <s v="Google"/>
    <s v="Biolage"/>
    <d v="2024-08-24T00:00:00"/>
    <d v="2024-01-01T00:00:00"/>
    <n v="72.490000000000009"/>
    <n v="416"/>
    <s v="TTM"/>
    <x v="6"/>
  </r>
  <r>
    <s v="Biolage"/>
    <x v="8"/>
    <s v="Search"/>
    <s v="Google"/>
    <s v="Biolage"/>
    <d v="2024-08-31T00:00:00"/>
    <d v="2024-01-01T00:00:00"/>
    <n v="47.433672999999999"/>
    <n v="356"/>
    <s v="TTM"/>
    <x v="6"/>
  </r>
  <r>
    <s v="Biolage"/>
    <x v="8"/>
    <s v="Search"/>
    <s v="Google"/>
    <s v="Biolage"/>
    <d v="2024-09-07T00:00:00"/>
    <d v="2024-01-01T00:00:00"/>
    <n v="52.65"/>
    <n v="430"/>
    <s v="TTM"/>
    <x v="6"/>
  </r>
  <r>
    <s v="Biolage"/>
    <x v="8"/>
    <s v="Search"/>
    <s v="Google"/>
    <s v="Biolage"/>
    <d v="2024-09-14T00:00:00"/>
    <d v="2024-01-01T00:00:00"/>
    <n v="76.862088999999997"/>
    <n v="514"/>
    <s v="TTM"/>
    <x v="6"/>
  </r>
  <r>
    <s v="Biolage"/>
    <x v="8"/>
    <s v="Search"/>
    <s v="Google"/>
    <s v="Biolage"/>
    <d v="2024-09-21T00:00:00"/>
    <d v="2024-01-01T00:00:00"/>
    <n v="62.538694"/>
    <n v="504"/>
    <s v="TTM"/>
    <x v="6"/>
  </r>
  <r>
    <s v="Biolage"/>
    <x v="8"/>
    <s v="Search"/>
    <s v="Google"/>
    <s v="Biolage"/>
    <d v="2024-09-28T00:00:00"/>
    <d v="2024-01-01T00:00:00"/>
    <n v="59.840000000000011"/>
    <n v="417"/>
    <s v="TTM"/>
    <x v="6"/>
  </r>
  <r>
    <s v="Biolage"/>
    <x v="8"/>
    <s v="Search"/>
    <s v="Google"/>
    <s v="Biolage"/>
    <d v="2024-10-05T00:00:00"/>
    <d v="2024-01-01T00:00:00"/>
    <n v="60.400000000000006"/>
    <n v="396"/>
    <s v="TTM"/>
    <x v="6"/>
  </r>
  <r>
    <s v="Biolage"/>
    <x v="8"/>
    <s v="Search"/>
    <s v="Google"/>
    <s v="Biolage"/>
    <d v="2024-10-12T00:00:00"/>
    <d v="2024-01-01T00:00:00"/>
    <n v="94.647777000000005"/>
    <n v="481"/>
    <s v="TTM"/>
    <x v="6"/>
  </r>
  <r>
    <s v="Biolage"/>
    <x v="8"/>
    <s v="Search"/>
    <s v="Google"/>
    <s v="Biolage"/>
    <d v="2024-10-19T00:00:00"/>
    <d v="2024-01-01T00:00:00"/>
    <n v="81.83249099999999"/>
    <n v="493"/>
    <s v="TTM"/>
    <x v="6"/>
  </r>
  <r>
    <s v="Biolage"/>
    <x v="8"/>
    <s v="Search"/>
    <s v="Google"/>
    <s v="Biolage"/>
    <d v="2024-10-26T00:00:00"/>
    <d v="2024-01-01T00:00:00"/>
    <n v="75.410516000000001"/>
    <n v="452"/>
    <s v="TTM"/>
    <x v="6"/>
  </r>
  <r>
    <s v="Biolage"/>
    <x v="8"/>
    <s v="Search"/>
    <s v="Google"/>
    <s v="Biolage"/>
    <d v="2024-11-02T00:00:00"/>
    <d v="2024-01-01T00:00:00"/>
    <n v="64.42"/>
    <n v="478"/>
    <s v="TTM"/>
    <x v="6"/>
  </r>
  <r>
    <s v="Biolage"/>
    <x v="8"/>
    <s v="Search"/>
    <s v="Google"/>
    <s v="Biolage"/>
    <d v="2024-11-09T00:00:00"/>
    <d v="2024-01-01T00:00:00"/>
    <n v="133.989723"/>
    <n v="901"/>
    <s v="TTM"/>
    <x v="6"/>
  </r>
  <r>
    <s v="Biolage"/>
    <x v="8"/>
    <s v="Search"/>
    <s v="Google"/>
    <s v="Biolage"/>
    <d v="2024-11-16T00:00:00"/>
    <d v="2024-01-01T00:00:00"/>
    <n v="166.094144"/>
    <n v="1053"/>
    <s v="TTM"/>
    <x v="6"/>
  </r>
  <r>
    <s v="Biolage"/>
    <x v="8"/>
    <s v="Search"/>
    <s v="Google"/>
    <s v="Biolage"/>
    <d v="2024-11-23T00:00:00"/>
    <d v="2024-01-01T00:00:00"/>
    <n v="111.727924"/>
    <n v="892"/>
    <s v="TTM"/>
    <x v="6"/>
  </r>
  <r>
    <s v="Biolage"/>
    <x v="8"/>
    <s v="Search"/>
    <s v="Google"/>
    <s v="Biolage"/>
    <d v="2024-11-30T00:00:00"/>
    <d v="2024-01-01T00:00:00"/>
    <n v="143.98729399999999"/>
    <n v="1020"/>
    <s v="TTM"/>
    <x v="6"/>
  </r>
  <r>
    <s v="Biolage"/>
    <x v="8"/>
    <s v="Search"/>
    <s v="Google"/>
    <s v="Biolage"/>
    <d v="2024-12-07T00:00:00"/>
    <d v="2024-01-01T00:00:00"/>
    <n v="118.10277599999999"/>
    <n v="897"/>
    <s v="TTM"/>
    <x v="6"/>
  </r>
  <r>
    <s v="Biolage"/>
    <x v="8"/>
    <s v="Search"/>
    <s v="Google"/>
    <s v="Biolage"/>
    <d v="2024-12-14T00:00:00"/>
    <d v="2024-01-01T00:00:00"/>
    <n v="96.923580000000015"/>
    <n v="1068"/>
    <s v="TTM"/>
    <x v="6"/>
  </r>
  <r>
    <s v="Biolage"/>
    <x v="8"/>
    <s v="Search"/>
    <s v="Google"/>
    <s v="Biolage"/>
    <d v="2024-12-21T00:00:00"/>
    <d v="2024-01-01T00:00:00"/>
    <n v="95.107409000000004"/>
    <n v="1039"/>
    <s v="TTM"/>
    <x v="6"/>
  </r>
  <r>
    <s v="Biolage"/>
    <x v="8"/>
    <s v="Search"/>
    <s v="Google"/>
    <s v="Biolage"/>
    <d v="2024-12-28T00:00:00"/>
    <d v="2024-01-01T00:00:00"/>
    <n v="56.869838000000001"/>
    <n v="656"/>
    <s v="TTM"/>
    <x v="6"/>
  </r>
  <r>
    <s v="Biolage"/>
    <x v="8"/>
    <s v="Search"/>
    <s v="Google"/>
    <s v="Biolage"/>
    <d v="2025-01-04T00:00:00"/>
    <d v="2024-01-01T00:00:00"/>
    <n v="3.2499999999999996"/>
    <n v="77"/>
    <s v="TTM"/>
    <x v="6"/>
  </r>
  <r>
    <s v="Biolage"/>
    <x v="11"/>
    <s v="Search"/>
    <s v="Google"/>
    <s v="Biolage"/>
    <d v="2024-04-20T00:00:00"/>
    <d v="2024-01-01T00:00:00"/>
    <n v="23.529999999999998"/>
    <n v="106"/>
    <s v="LY"/>
    <x v="6"/>
  </r>
  <r>
    <s v="Biolage"/>
    <x v="11"/>
    <s v="Search"/>
    <s v="Google"/>
    <s v="Biolage"/>
    <d v="2024-04-27T00:00:00"/>
    <d v="2024-01-01T00:00:00"/>
    <n v="95.839999999999989"/>
    <n v="505"/>
    <s v="LY"/>
    <x v="6"/>
  </r>
  <r>
    <s v="Biolage"/>
    <x v="11"/>
    <s v="Search"/>
    <s v="Google"/>
    <s v="Biolage"/>
    <d v="2024-05-04T00:00:00"/>
    <d v="2024-01-01T00:00:00"/>
    <n v="82.169999999999987"/>
    <n v="622"/>
    <s v="LY"/>
    <x v="6"/>
  </r>
  <r>
    <s v="Biolage"/>
    <x v="11"/>
    <s v="Search"/>
    <s v="Google"/>
    <s v="Biolage"/>
    <d v="2024-05-11T00:00:00"/>
    <d v="2024-01-01T00:00:00"/>
    <n v="95.74027199999999"/>
    <n v="626"/>
    <s v="LY"/>
    <x v="6"/>
  </r>
  <r>
    <s v="Biolage"/>
    <x v="11"/>
    <s v="Search"/>
    <s v="Google"/>
    <s v="Biolage"/>
    <d v="2024-05-18T00:00:00"/>
    <d v="2024-01-01T00:00:00"/>
    <n v="113.72000000000001"/>
    <n v="621"/>
    <s v="LY"/>
    <x v="6"/>
  </r>
  <r>
    <s v="Biolage"/>
    <x v="11"/>
    <s v="Search"/>
    <s v="Google"/>
    <s v="Biolage"/>
    <d v="2024-05-25T00:00:00"/>
    <d v="2024-01-01T00:00:00"/>
    <n v="120.21"/>
    <n v="649"/>
    <s v="LY"/>
    <x v="6"/>
  </r>
  <r>
    <s v="Biolage"/>
    <x v="11"/>
    <s v="Search"/>
    <s v="Google"/>
    <s v="Biolage"/>
    <d v="2024-06-01T00:00:00"/>
    <d v="2024-01-01T00:00:00"/>
    <n v="107.99654"/>
    <n v="597"/>
    <s v="LY"/>
    <x v="6"/>
  </r>
  <r>
    <s v="Biolage"/>
    <x v="11"/>
    <s v="Search"/>
    <s v="Google"/>
    <s v="Biolage"/>
    <d v="2024-06-08T00:00:00"/>
    <d v="2024-01-01T00:00:00"/>
    <n v="100.96"/>
    <n v="697"/>
    <s v="LY"/>
    <x v="6"/>
  </r>
  <r>
    <s v="Biolage"/>
    <x v="11"/>
    <s v="Search"/>
    <s v="Google"/>
    <s v="Biolage"/>
    <d v="2024-06-15T00:00:00"/>
    <d v="2024-01-01T00:00:00"/>
    <n v="95.86999999999999"/>
    <n v="657"/>
    <s v="LY"/>
    <x v="6"/>
  </r>
  <r>
    <s v="Biolage"/>
    <x v="11"/>
    <s v="Search"/>
    <s v="Google"/>
    <s v="Biolage"/>
    <d v="2024-06-22T00:00:00"/>
    <d v="2024-01-01T00:00:00"/>
    <n v="139.34999999999997"/>
    <n v="719"/>
    <s v="LY"/>
    <x v="6"/>
  </r>
  <r>
    <s v="Biolage"/>
    <x v="11"/>
    <s v="Search"/>
    <s v="Google"/>
    <s v="Biolage"/>
    <d v="2024-06-29T00:00:00"/>
    <d v="2024-01-01T00:00:00"/>
    <n v="114.33000000000003"/>
    <n v="791"/>
    <s v="LY"/>
    <x v="6"/>
  </r>
  <r>
    <s v="Biolage"/>
    <x v="11"/>
    <s v="Search"/>
    <s v="Google"/>
    <s v="Biolage"/>
    <d v="2024-07-06T00:00:00"/>
    <d v="2024-01-01T00:00:00"/>
    <n v="116.52"/>
    <n v="789"/>
    <s v="LY"/>
    <x v="6"/>
  </r>
  <r>
    <s v="Biolage"/>
    <x v="11"/>
    <s v="Search"/>
    <s v="Google"/>
    <s v="Biolage"/>
    <d v="2024-07-13T00:00:00"/>
    <d v="2024-01-01T00:00:00"/>
    <n v="176.42"/>
    <n v="961"/>
    <s v="TTM"/>
    <x v="6"/>
  </r>
  <r>
    <s v="Biolage"/>
    <x v="11"/>
    <s v="Search"/>
    <s v="Google"/>
    <s v="Biolage"/>
    <d v="2024-07-20T00:00:00"/>
    <d v="2024-01-01T00:00:00"/>
    <n v="124.46999999999997"/>
    <n v="897"/>
    <s v="TTM"/>
    <x v="6"/>
  </r>
  <r>
    <s v="Biolage"/>
    <x v="11"/>
    <s v="Search"/>
    <s v="Google"/>
    <s v="Biolage"/>
    <d v="2024-07-27T00:00:00"/>
    <d v="2024-01-01T00:00:00"/>
    <n v="127.69999999999999"/>
    <n v="767"/>
    <s v="TTM"/>
    <x v="6"/>
  </r>
  <r>
    <s v="Biolage"/>
    <x v="11"/>
    <s v="Search"/>
    <s v="Google"/>
    <s v="Biolage"/>
    <d v="2024-08-03T00:00:00"/>
    <d v="2024-01-01T00:00:00"/>
    <n v="115.59000000000002"/>
    <n v="784"/>
    <s v="TTM"/>
    <x v="6"/>
  </r>
  <r>
    <s v="Biolage"/>
    <x v="11"/>
    <s v="Search"/>
    <s v="Google"/>
    <s v="Biolage"/>
    <d v="2024-08-10T00:00:00"/>
    <d v="2024-01-01T00:00:00"/>
    <n v="86.609999999999985"/>
    <n v="550"/>
    <s v="TTM"/>
    <x v="6"/>
  </r>
  <r>
    <s v="Biolage"/>
    <x v="11"/>
    <s v="Search"/>
    <s v="Google"/>
    <s v="Biolage"/>
    <d v="2024-08-17T00:00:00"/>
    <d v="2024-01-01T00:00:00"/>
    <n v="95.949999999999989"/>
    <n v="654"/>
    <s v="TTM"/>
    <x v="6"/>
  </r>
  <r>
    <s v="Biolage"/>
    <x v="11"/>
    <s v="Search"/>
    <s v="Google"/>
    <s v="Biolage"/>
    <d v="2024-08-24T00:00:00"/>
    <d v="2024-01-01T00:00:00"/>
    <n v="140.52999999999997"/>
    <n v="743"/>
    <s v="TTM"/>
    <x v="6"/>
  </r>
  <r>
    <s v="Biolage"/>
    <x v="11"/>
    <s v="Search"/>
    <s v="Google"/>
    <s v="Biolage"/>
    <d v="2024-08-31T00:00:00"/>
    <d v="2024-01-01T00:00:00"/>
    <n v="117.38"/>
    <n v="733"/>
    <s v="TTM"/>
    <x v="6"/>
  </r>
  <r>
    <s v="Biolage"/>
    <x v="11"/>
    <s v="Search"/>
    <s v="Google"/>
    <s v="Biolage"/>
    <d v="2024-09-07T00:00:00"/>
    <d v="2024-01-01T00:00:00"/>
    <n v="108.85000000000001"/>
    <n v="690"/>
    <s v="TTM"/>
    <x v="6"/>
  </r>
  <r>
    <s v="Biolage"/>
    <x v="11"/>
    <s v="Search"/>
    <s v="Google"/>
    <s v="Biolage"/>
    <d v="2024-09-14T00:00:00"/>
    <d v="2024-01-01T00:00:00"/>
    <n v="146.28362999999999"/>
    <n v="760"/>
    <s v="TTM"/>
    <x v="6"/>
  </r>
  <r>
    <s v="Biolage"/>
    <x v="11"/>
    <s v="Search"/>
    <s v="Google"/>
    <s v="Biolage"/>
    <d v="2024-09-21T00:00:00"/>
    <d v="2024-01-01T00:00:00"/>
    <n v="258.76401800000002"/>
    <n v="840"/>
    <s v="TTM"/>
    <x v="6"/>
  </r>
  <r>
    <s v="Biolage"/>
    <x v="11"/>
    <s v="Search"/>
    <s v="Google"/>
    <s v="Biolage"/>
    <d v="2024-09-28T00:00:00"/>
    <d v="2024-01-01T00:00:00"/>
    <n v="120.73"/>
    <n v="690"/>
    <s v="TTM"/>
    <x v="6"/>
  </r>
  <r>
    <s v="Biolage"/>
    <x v="11"/>
    <s v="Search"/>
    <s v="Google"/>
    <s v="Biolage"/>
    <d v="2024-10-05T00:00:00"/>
    <d v="2024-01-01T00:00:00"/>
    <n v="133.29"/>
    <n v="686"/>
    <s v="TTM"/>
    <x v="6"/>
  </r>
  <r>
    <s v="Biolage"/>
    <x v="11"/>
    <s v="Search"/>
    <s v="Google"/>
    <s v="Biolage"/>
    <d v="2024-10-12T00:00:00"/>
    <d v="2024-01-01T00:00:00"/>
    <n v="177.80742199999995"/>
    <n v="735"/>
    <s v="TTM"/>
    <x v="6"/>
  </r>
  <r>
    <s v="Biolage"/>
    <x v="11"/>
    <s v="Search"/>
    <s v="Google"/>
    <s v="Biolage"/>
    <d v="2024-10-19T00:00:00"/>
    <d v="2024-01-01T00:00:00"/>
    <n v="182.05041500000002"/>
    <n v="793"/>
    <s v="TTM"/>
    <x v="6"/>
  </r>
  <r>
    <s v="Biolage"/>
    <x v="11"/>
    <s v="Search"/>
    <s v="Google"/>
    <s v="Biolage"/>
    <d v="2024-10-26T00:00:00"/>
    <d v="2024-01-01T00:00:00"/>
    <n v="141.566057"/>
    <n v="783"/>
    <s v="TTM"/>
    <x v="6"/>
  </r>
  <r>
    <s v="Biolage"/>
    <x v="11"/>
    <s v="Search"/>
    <s v="Google"/>
    <s v="Biolage"/>
    <d v="2024-11-02T00:00:00"/>
    <d v="2024-01-01T00:00:00"/>
    <n v="131.26999999999998"/>
    <n v="638"/>
    <s v="TTM"/>
    <x v="6"/>
  </r>
  <r>
    <s v="Biolage"/>
    <x v="11"/>
    <s v="Search"/>
    <s v="Google"/>
    <s v="Biolage"/>
    <d v="2024-11-09T00:00:00"/>
    <d v="2024-01-01T00:00:00"/>
    <n v="339.34774900000002"/>
    <n v="1146"/>
    <s v="TTM"/>
    <x v="6"/>
  </r>
  <r>
    <s v="Biolage"/>
    <x v="11"/>
    <s v="Search"/>
    <s v="Google"/>
    <s v="Biolage"/>
    <d v="2024-11-16T00:00:00"/>
    <d v="2024-01-01T00:00:00"/>
    <n v="335.00916599999999"/>
    <n v="1135"/>
    <s v="TTM"/>
    <x v="6"/>
  </r>
  <r>
    <s v="Biolage"/>
    <x v="11"/>
    <s v="Search"/>
    <s v="Google"/>
    <s v="Biolage"/>
    <d v="2024-11-23T00:00:00"/>
    <d v="2024-01-01T00:00:00"/>
    <n v="285.00663100000008"/>
    <n v="1254"/>
    <s v="TTM"/>
    <x v="6"/>
  </r>
  <r>
    <s v="Biolage"/>
    <x v="11"/>
    <s v="Search"/>
    <s v="Google"/>
    <s v="Biolage"/>
    <d v="2024-11-30T00:00:00"/>
    <d v="2024-01-01T00:00:00"/>
    <n v="245.084317"/>
    <n v="1338"/>
    <s v="TTM"/>
    <x v="6"/>
  </r>
  <r>
    <s v="Biolage"/>
    <x v="11"/>
    <s v="Search"/>
    <s v="Google"/>
    <s v="Biolage"/>
    <d v="2024-12-07T00:00:00"/>
    <d v="2024-01-01T00:00:00"/>
    <n v="235.19810699999999"/>
    <n v="1169"/>
    <s v="TTM"/>
    <x v="6"/>
  </r>
  <r>
    <s v="Biolage"/>
    <x v="11"/>
    <s v="Search"/>
    <s v="Google"/>
    <s v="Biolage"/>
    <d v="2024-12-14T00:00:00"/>
    <d v="2024-01-01T00:00:00"/>
    <n v="205.76200899999998"/>
    <n v="1323"/>
    <s v="TTM"/>
    <x v="6"/>
  </r>
  <r>
    <s v="Biolage"/>
    <x v="11"/>
    <s v="Search"/>
    <s v="Google"/>
    <s v="Biolage"/>
    <d v="2024-12-21T00:00:00"/>
    <d v="2024-01-01T00:00:00"/>
    <n v="167.504167"/>
    <n v="1211"/>
    <s v="TTM"/>
    <x v="6"/>
  </r>
  <r>
    <s v="Biolage"/>
    <x v="11"/>
    <s v="Search"/>
    <s v="Google"/>
    <s v="Biolage"/>
    <d v="2024-12-28T00:00:00"/>
    <d v="2024-01-01T00:00:00"/>
    <n v="151.60550900000001"/>
    <n v="953"/>
    <s v="TTM"/>
    <x v="6"/>
  </r>
  <r>
    <s v="Biolage"/>
    <x v="11"/>
    <s v="Search"/>
    <s v="Google"/>
    <s v="Biolage"/>
    <d v="2025-01-04T00:00:00"/>
    <d v="2024-01-01T00:00:00"/>
    <n v="14.830401"/>
    <n v="106"/>
    <s v="TTM"/>
    <x v="6"/>
  </r>
  <r>
    <s v="Biolage"/>
    <x v="9"/>
    <s v="Search"/>
    <s v="Google"/>
    <s v="Biolage"/>
    <d v="2023-09-30T00:00:00"/>
    <d v="2023-01-01T00:00:00"/>
    <n v="184.83"/>
    <n v="742"/>
    <s v="LY"/>
    <x v="6"/>
  </r>
  <r>
    <s v="Biolage"/>
    <x v="9"/>
    <s v="Search"/>
    <s v="Google"/>
    <s v="Biolage"/>
    <d v="2023-10-07T00:00:00"/>
    <d v="2023-01-01T00:00:00"/>
    <n v="213.68"/>
    <n v="922"/>
    <s v="LY"/>
    <x v="6"/>
  </r>
  <r>
    <s v="Biolage"/>
    <x v="9"/>
    <s v="Search"/>
    <s v="Google"/>
    <s v="Biolage"/>
    <d v="2023-10-14T00:00:00"/>
    <d v="2023-01-01T00:00:00"/>
    <n v="175.57999999999998"/>
    <n v="930"/>
    <s v="LY"/>
    <x v="6"/>
  </r>
  <r>
    <s v="Biolage"/>
    <x v="9"/>
    <s v="Search"/>
    <s v="Google"/>
    <s v="Biolage"/>
    <d v="2023-10-21T00:00:00"/>
    <d v="2023-01-01T00:00:00"/>
    <n v="187.1"/>
    <n v="1022"/>
    <s v="LY"/>
    <x v="6"/>
  </r>
  <r>
    <s v="Biolage"/>
    <x v="9"/>
    <s v="Search"/>
    <s v="Google"/>
    <s v="Biolage"/>
    <d v="2023-10-28T00:00:00"/>
    <d v="2023-01-01T00:00:00"/>
    <n v="218.75"/>
    <n v="877"/>
    <s v="LY"/>
    <x v="6"/>
  </r>
  <r>
    <s v="Biolage"/>
    <x v="9"/>
    <s v="Search"/>
    <s v="Google"/>
    <s v="Biolage"/>
    <d v="2023-11-04T00:00:00"/>
    <d v="2023-01-01T00:00:00"/>
    <n v="288.44"/>
    <n v="956"/>
    <s v="LY"/>
    <x v="6"/>
  </r>
  <r>
    <s v="Biolage"/>
    <x v="9"/>
    <s v="Search"/>
    <s v="Google"/>
    <s v="Biolage"/>
    <d v="2023-11-11T00:00:00"/>
    <d v="2023-01-01T00:00:00"/>
    <n v="299.95"/>
    <n v="1104"/>
    <s v="LY"/>
    <x v="6"/>
  </r>
  <r>
    <s v="Biolage"/>
    <x v="9"/>
    <s v="Search"/>
    <s v="Google"/>
    <s v="Biolage"/>
    <d v="2023-11-18T00:00:00"/>
    <d v="2023-01-01T00:00:00"/>
    <n v="287.12"/>
    <n v="1048"/>
    <s v="LY"/>
    <x v="6"/>
  </r>
  <r>
    <s v="Biolage"/>
    <x v="9"/>
    <s v="Search"/>
    <s v="Google"/>
    <s v="Biolage"/>
    <d v="2023-11-25T00:00:00"/>
    <d v="2023-01-01T00:00:00"/>
    <n v="260.73"/>
    <n v="1341"/>
    <s v="LY"/>
    <x v="6"/>
  </r>
  <r>
    <s v="Biolage"/>
    <x v="9"/>
    <s v="Search"/>
    <s v="Google"/>
    <s v="Biolage"/>
    <d v="2023-12-02T00:00:00"/>
    <d v="2023-01-01T00:00:00"/>
    <n v="366.21"/>
    <n v="1375"/>
    <s v="LY"/>
    <x v="6"/>
  </r>
  <r>
    <s v="Biolage"/>
    <x v="9"/>
    <s v="Search"/>
    <s v="Google"/>
    <s v="Biolage"/>
    <d v="2023-12-09T00:00:00"/>
    <d v="2023-01-01T00:00:00"/>
    <n v="338.59000000000003"/>
    <n v="1304"/>
    <s v="LY"/>
    <x v="6"/>
  </r>
  <r>
    <s v="Biolage"/>
    <x v="9"/>
    <s v="Search"/>
    <s v="Google"/>
    <s v="Biolage"/>
    <d v="2023-12-16T00:00:00"/>
    <d v="2023-01-01T00:00:00"/>
    <n v="331.94"/>
    <n v="1257"/>
    <s v="LY"/>
    <x v="6"/>
  </r>
  <r>
    <s v="Biolage"/>
    <x v="9"/>
    <s v="Search"/>
    <s v="Google"/>
    <s v="Biolage"/>
    <d v="2023-12-23T00:00:00"/>
    <d v="2023-01-01T00:00:00"/>
    <n v="347.36"/>
    <n v="1248"/>
    <s v="LY"/>
    <x v="6"/>
  </r>
  <r>
    <s v="Biolage"/>
    <x v="9"/>
    <s v="Search"/>
    <s v="Google"/>
    <s v="Biolage"/>
    <d v="2023-12-30T00:00:00"/>
    <d v="2023-01-01T00:00:00"/>
    <n v="366.48999999999995"/>
    <n v="1794"/>
    <s v="LY"/>
    <x v="6"/>
  </r>
  <r>
    <s v="Biolage"/>
    <x v="9"/>
    <s v="Search"/>
    <s v="Google"/>
    <s v="Biolage"/>
    <d v="2024-01-06T00:00:00"/>
    <d v="2024-01-01T00:00:00"/>
    <n v="144.07"/>
    <n v="855"/>
    <s v="LY"/>
    <x v="6"/>
  </r>
  <r>
    <s v="Biolage"/>
    <x v="9"/>
    <s v="Search"/>
    <s v="Google"/>
    <s v="Biolage"/>
    <d v="2024-01-13T00:00:00"/>
    <d v="2024-01-01T00:00:00"/>
    <n v="222.63"/>
    <n v="1279"/>
    <s v="LY"/>
    <x v="6"/>
  </r>
  <r>
    <s v="Biolage"/>
    <x v="9"/>
    <s v="Search"/>
    <s v="Google"/>
    <s v="Biolage"/>
    <d v="2024-01-20T00:00:00"/>
    <d v="2024-01-01T00:00:00"/>
    <n v="191.27999999999997"/>
    <n v="1043"/>
    <s v="LY"/>
    <x v="6"/>
  </r>
  <r>
    <s v="Biolage"/>
    <x v="9"/>
    <s v="Search"/>
    <s v="Google"/>
    <s v="Biolage"/>
    <d v="2024-01-27T00:00:00"/>
    <d v="2024-01-01T00:00:00"/>
    <n v="178.92"/>
    <n v="1068"/>
    <s v="LY"/>
    <x v="6"/>
  </r>
  <r>
    <s v="Biolage"/>
    <x v="9"/>
    <s v="Search"/>
    <s v="Google"/>
    <s v="Biolage"/>
    <d v="2024-02-03T00:00:00"/>
    <d v="2024-01-01T00:00:00"/>
    <n v="120.07999999999998"/>
    <n v="869"/>
    <s v="LY"/>
    <x v="6"/>
  </r>
  <r>
    <s v="Biolage"/>
    <x v="9"/>
    <s v="Search"/>
    <s v="Google"/>
    <s v="Biolage"/>
    <d v="2024-02-10T00:00:00"/>
    <d v="2024-01-01T00:00:00"/>
    <n v="210.84"/>
    <n v="1117"/>
    <s v="LY"/>
    <x v="6"/>
  </r>
  <r>
    <s v="Biolage"/>
    <x v="9"/>
    <s v="Search"/>
    <s v="Google"/>
    <s v="Biolage"/>
    <d v="2024-02-17T00:00:00"/>
    <d v="2024-01-01T00:00:00"/>
    <n v="109.25"/>
    <n v="913"/>
    <s v="LY"/>
    <x v="6"/>
  </r>
  <r>
    <s v="Biolage"/>
    <x v="9"/>
    <s v="Search"/>
    <s v="Google"/>
    <s v="Biolage"/>
    <d v="2024-02-24T00:00:00"/>
    <d v="2024-01-01T00:00:00"/>
    <n v="138.03"/>
    <n v="709"/>
    <s v="LY"/>
    <x v="6"/>
  </r>
  <r>
    <s v="Biolage"/>
    <x v="9"/>
    <s v="Search"/>
    <s v="Google"/>
    <s v="Biolage"/>
    <d v="2024-03-02T00:00:00"/>
    <d v="2024-01-01T00:00:00"/>
    <n v="194.2"/>
    <n v="1223"/>
    <s v="LY"/>
    <x v="6"/>
  </r>
  <r>
    <s v="Biolage"/>
    <x v="9"/>
    <s v="Search"/>
    <s v="Google"/>
    <s v="Biolage"/>
    <d v="2024-03-09T00:00:00"/>
    <d v="2024-01-01T00:00:00"/>
    <n v="183.29999999999998"/>
    <n v="946"/>
    <s v="LY"/>
    <x v="6"/>
  </r>
  <r>
    <s v="Biolage"/>
    <x v="9"/>
    <s v="Search"/>
    <s v="Google"/>
    <s v="Biolage"/>
    <d v="2024-03-16T00:00:00"/>
    <d v="2024-01-01T00:00:00"/>
    <n v="176.25"/>
    <n v="894"/>
    <s v="LY"/>
    <x v="6"/>
  </r>
  <r>
    <s v="Biolage"/>
    <x v="9"/>
    <s v="Search"/>
    <s v="Google"/>
    <s v="Biolage"/>
    <d v="2024-03-23T00:00:00"/>
    <d v="2024-01-01T00:00:00"/>
    <n v="167.89000000000001"/>
    <n v="876"/>
    <s v="LY"/>
    <x v="6"/>
  </r>
  <r>
    <s v="Biolage"/>
    <x v="9"/>
    <s v="Search"/>
    <s v="Google"/>
    <s v="Biolage"/>
    <d v="2024-03-30T00:00:00"/>
    <d v="2024-01-01T00:00:00"/>
    <n v="154.26999999999998"/>
    <n v="942"/>
    <s v="LY"/>
    <x v="6"/>
  </r>
  <r>
    <s v="Biolage"/>
    <x v="9"/>
    <s v="Search"/>
    <s v="Google"/>
    <s v="Biolage"/>
    <d v="2024-04-06T00:00:00"/>
    <d v="2024-01-01T00:00:00"/>
    <n v="106.03999999999999"/>
    <n v="822"/>
    <s v="LY"/>
    <x v="6"/>
  </r>
  <r>
    <s v="Biolage"/>
    <x v="9"/>
    <s v="Search"/>
    <s v="Google"/>
    <s v="Biolage"/>
    <d v="2024-04-13T00:00:00"/>
    <d v="2024-01-01T00:00:00"/>
    <n v="104.4"/>
    <n v="792"/>
    <s v="LY"/>
    <x v="6"/>
  </r>
  <r>
    <s v="Biolage"/>
    <x v="9"/>
    <s v="Search"/>
    <s v="Google"/>
    <s v="Biolage"/>
    <d v="2024-04-20T00:00:00"/>
    <d v="2024-01-01T00:00:00"/>
    <n v="134.74"/>
    <n v="821"/>
    <s v="LY"/>
    <x v="6"/>
  </r>
  <r>
    <s v="Biolage"/>
    <x v="9"/>
    <s v="Search"/>
    <s v="Google"/>
    <s v="Biolage"/>
    <d v="2024-04-27T00:00:00"/>
    <d v="2024-01-01T00:00:00"/>
    <n v="128.12"/>
    <n v="866"/>
    <s v="LY"/>
    <x v="6"/>
  </r>
  <r>
    <s v="Biolage"/>
    <x v="9"/>
    <s v="Search"/>
    <s v="Google"/>
    <s v="Biolage"/>
    <d v="2024-05-04T00:00:00"/>
    <d v="2024-01-01T00:00:00"/>
    <n v="132.98000000000002"/>
    <n v="881"/>
    <s v="LY"/>
    <x v="6"/>
  </r>
  <r>
    <s v="Biolage"/>
    <x v="9"/>
    <s v="Search"/>
    <s v="Google"/>
    <s v="Biolage"/>
    <d v="2024-05-11T00:00:00"/>
    <d v="2024-01-01T00:00:00"/>
    <n v="106.59"/>
    <n v="837"/>
    <s v="LY"/>
    <x v="6"/>
  </r>
  <r>
    <s v="Biolage"/>
    <x v="9"/>
    <s v="Search"/>
    <s v="Google"/>
    <s v="Biolage"/>
    <d v="2024-05-18T00:00:00"/>
    <d v="2024-01-01T00:00:00"/>
    <n v="137.11000000000001"/>
    <n v="844"/>
    <s v="LY"/>
    <x v="6"/>
  </r>
  <r>
    <s v="Biolage"/>
    <x v="9"/>
    <s v="Search"/>
    <s v="Google"/>
    <s v="Biolage"/>
    <d v="2024-05-25T00:00:00"/>
    <d v="2024-01-01T00:00:00"/>
    <n v="116.38000000000001"/>
    <n v="821"/>
    <s v="LY"/>
    <x v="6"/>
  </r>
  <r>
    <s v="Biolage"/>
    <x v="9"/>
    <s v="Search"/>
    <s v="Google"/>
    <s v="Biolage"/>
    <d v="2024-06-01T00:00:00"/>
    <d v="2024-01-01T00:00:00"/>
    <n v="137.17000000000002"/>
    <n v="825"/>
    <s v="LY"/>
    <x v="6"/>
  </r>
  <r>
    <s v="Biolage"/>
    <x v="9"/>
    <s v="Search"/>
    <s v="Google"/>
    <s v="Biolage"/>
    <d v="2024-06-08T00:00:00"/>
    <d v="2024-01-01T00:00:00"/>
    <n v="130.71"/>
    <n v="784"/>
    <s v="LY"/>
    <x v="6"/>
  </r>
  <r>
    <s v="Biolage"/>
    <x v="9"/>
    <s v="Search"/>
    <s v="Google"/>
    <s v="Biolage"/>
    <d v="2024-06-15T00:00:00"/>
    <d v="2024-01-01T00:00:00"/>
    <n v="119.698694"/>
    <n v="836"/>
    <s v="LY"/>
    <x v="6"/>
  </r>
  <r>
    <s v="Biolage"/>
    <x v="9"/>
    <s v="Search"/>
    <s v="Google"/>
    <s v="Biolage"/>
    <d v="2024-06-22T00:00:00"/>
    <d v="2024-01-01T00:00:00"/>
    <n v="196.89"/>
    <n v="1145"/>
    <s v="LY"/>
    <x v="6"/>
  </r>
  <r>
    <s v="Biolage"/>
    <x v="9"/>
    <s v="Search"/>
    <s v="Google"/>
    <s v="Biolage"/>
    <d v="2024-06-29T00:00:00"/>
    <d v="2024-01-01T00:00:00"/>
    <n v="159.55000000000004"/>
    <n v="969"/>
    <s v="LY"/>
    <x v="6"/>
  </r>
  <r>
    <s v="Biolage"/>
    <x v="9"/>
    <s v="Search"/>
    <s v="Google"/>
    <s v="Biolage"/>
    <d v="2024-07-06T00:00:00"/>
    <d v="2024-01-01T00:00:00"/>
    <n v="124.72999999999999"/>
    <n v="878"/>
    <s v="LY"/>
    <x v="6"/>
  </r>
  <r>
    <s v="Biolage"/>
    <x v="9"/>
    <s v="Search"/>
    <s v="Google"/>
    <s v="Biolage"/>
    <d v="2024-07-13T00:00:00"/>
    <d v="2024-01-01T00:00:00"/>
    <n v="156.41"/>
    <n v="1032"/>
    <s v="TTM"/>
    <x v="6"/>
  </r>
  <r>
    <s v="Biolage"/>
    <x v="9"/>
    <s v="Search"/>
    <s v="Google"/>
    <s v="Biolage"/>
    <d v="2024-07-20T00:00:00"/>
    <d v="2024-01-01T00:00:00"/>
    <n v="146.55000000000001"/>
    <n v="990"/>
    <s v="TTM"/>
    <x v="6"/>
  </r>
  <r>
    <s v="Biolage"/>
    <x v="9"/>
    <s v="Search"/>
    <s v="Google"/>
    <s v="Biolage"/>
    <d v="2024-07-27T00:00:00"/>
    <d v="2024-01-01T00:00:00"/>
    <n v="142.28"/>
    <n v="922"/>
    <s v="TTM"/>
    <x v="6"/>
  </r>
  <r>
    <s v="Biolage"/>
    <x v="9"/>
    <s v="Search"/>
    <s v="Google"/>
    <s v="Biolage"/>
    <d v="2024-08-03T00:00:00"/>
    <d v="2024-01-01T00:00:00"/>
    <n v="131.35000000000002"/>
    <n v="893"/>
    <s v="TTM"/>
    <x v="6"/>
  </r>
  <r>
    <s v="Biolage"/>
    <x v="9"/>
    <s v="Search"/>
    <s v="Google"/>
    <s v="Biolage"/>
    <d v="2024-08-10T00:00:00"/>
    <d v="2024-01-01T00:00:00"/>
    <n v="138.913816"/>
    <n v="789"/>
    <s v="TTM"/>
    <x v="6"/>
  </r>
  <r>
    <s v="Biolage"/>
    <x v="9"/>
    <s v="Search"/>
    <s v="Google"/>
    <s v="Biolage"/>
    <d v="2024-08-17T00:00:00"/>
    <d v="2024-01-01T00:00:00"/>
    <n v="104.24000000000001"/>
    <n v="830"/>
    <s v="TTM"/>
    <x v="6"/>
  </r>
  <r>
    <s v="Biolage"/>
    <x v="9"/>
    <s v="Search"/>
    <s v="Google"/>
    <s v="Biolage"/>
    <d v="2024-08-24T00:00:00"/>
    <d v="2024-01-01T00:00:00"/>
    <n v="125.91"/>
    <n v="856"/>
    <s v="TTM"/>
    <x v="6"/>
  </r>
  <r>
    <s v="Biolage"/>
    <x v="9"/>
    <s v="Search"/>
    <s v="Google"/>
    <s v="Biolage"/>
    <d v="2024-08-31T00:00:00"/>
    <d v="2024-01-01T00:00:00"/>
    <n v="124.71862000000002"/>
    <n v="875"/>
    <s v="TTM"/>
    <x v="6"/>
  </r>
  <r>
    <s v="Biolage"/>
    <x v="9"/>
    <s v="Search"/>
    <s v="Google"/>
    <s v="Biolage"/>
    <d v="2024-09-07T00:00:00"/>
    <d v="2024-01-01T00:00:00"/>
    <n v="160.97999999999999"/>
    <n v="934"/>
    <s v="TTM"/>
    <x v="6"/>
  </r>
  <r>
    <s v="Biolage"/>
    <x v="9"/>
    <s v="Search"/>
    <s v="Google"/>
    <s v="Biolage"/>
    <d v="2024-09-14T00:00:00"/>
    <d v="2024-01-01T00:00:00"/>
    <n v="177.64638600000001"/>
    <n v="913"/>
    <s v="TTM"/>
    <x v="6"/>
  </r>
  <r>
    <s v="Biolage"/>
    <x v="9"/>
    <s v="Search"/>
    <s v="Google"/>
    <s v="Biolage"/>
    <d v="2024-09-21T00:00:00"/>
    <d v="2024-01-01T00:00:00"/>
    <n v="172.48994300000001"/>
    <n v="1044"/>
    <s v="TTM"/>
    <x v="6"/>
  </r>
  <r>
    <s v="Biolage"/>
    <x v="9"/>
    <s v="Search"/>
    <s v="Google"/>
    <s v="Biolage"/>
    <d v="2024-09-28T00:00:00"/>
    <d v="2024-01-01T00:00:00"/>
    <n v="128.41342599999999"/>
    <n v="971"/>
    <s v="TTM"/>
    <x v="6"/>
  </r>
  <r>
    <s v="Biolage"/>
    <x v="9"/>
    <s v="Search"/>
    <s v="Google"/>
    <s v="Biolage"/>
    <d v="2024-10-05T00:00:00"/>
    <d v="2024-01-01T00:00:00"/>
    <n v="140.68"/>
    <n v="870"/>
    <s v="TTM"/>
    <x v="6"/>
  </r>
  <r>
    <s v="Biolage"/>
    <x v="9"/>
    <s v="Search"/>
    <s v="Google"/>
    <s v="Biolage"/>
    <d v="2024-10-12T00:00:00"/>
    <d v="2024-01-01T00:00:00"/>
    <n v="143.11012099999999"/>
    <n v="971"/>
    <s v="TTM"/>
    <x v="6"/>
  </r>
  <r>
    <s v="Biolage"/>
    <x v="9"/>
    <s v="Search"/>
    <s v="Google"/>
    <s v="Biolage"/>
    <d v="2024-10-19T00:00:00"/>
    <d v="2024-01-01T00:00:00"/>
    <n v="209.50883100000004"/>
    <n v="1077"/>
    <s v="TTM"/>
    <x v="6"/>
  </r>
  <r>
    <s v="Biolage"/>
    <x v="9"/>
    <s v="Search"/>
    <s v="Google"/>
    <s v="Biolage"/>
    <d v="2024-10-26T00:00:00"/>
    <d v="2024-01-01T00:00:00"/>
    <n v="169.183109"/>
    <n v="1046"/>
    <s v="TTM"/>
    <x v="6"/>
  </r>
  <r>
    <s v="Biolage"/>
    <x v="9"/>
    <s v="Search"/>
    <s v="Google"/>
    <s v="Biolage"/>
    <d v="2024-11-02T00:00:00"/>
    <d v="2024-01-01T00:00:00"/>
    <n v="207.14836499999998"/>
    <n v="947"/>
    <s v="TTM"/>
    <x v="6"/>
  </r>
  <r>
    <s v="Biolage"/>
    <x v="9"/>
    <s v="Search"/>
    <s v="Google"/>
    <s v="Biolage"/>
    <d v="2024-11-09T00:00:00"/>
    <d v="2024-01-01T00:00:00"/>
    <n v="183.47"/>
    <n v="1070"/>
    <s v="TTM"/>
    <x v="6"/>
  </r>
  <r>
    <s v="Biolage"/>
    <x v="9"/>
    <s v="Search"/>
    <s v="Google"/>
    <s v="Biolage"/>
    <d v="2024-11-16T00:00:00"/>
    <d v="2024-01-01T00:00:00"/>
    <n v="153.15325000000001"/>
    <n v="1080"/>
    <s v="TTM"/>
    <x v="6"/>
  </r>
  <r>
    <s v="Biolage"/>
    <x v="9"/>
    <s v="Search"/>
    <s v="Google"/>
    <s v="Biolage"/>
    <d v="2024-11-23T00:00:00"/>
    <d v="2024-01-01T00:00:00"/>
    <n v="145.66577599999999"/>
    <n v="1157"/>
    <s v="TTM"/>
    <x v="6"/>
  </r>
  <r>
    <s v="Biolage"/>
    <x v="9"/>
    <s v="Search"/>
    <s v="Google"/>
    <s v="Biolage"/>
    <d v="2024-11-30T00:00:00"/>
    <d v="2024-01-01T00:00:00"/>
    <n v="149.251496"/>
    <n v="1459"/>
    <s v="TTM"/>
    <x v="6"/>
  </r>
  <r>
    <s v="Biolage"/>
    <x v="9"/>
    <s v="Search"/>
    <s v="Google"/>
    <s v="Biolage"/>
    <d v="2024-12-07T00:00:00"/>
    <d v="2024-01-01T00:00:00"/>
    <n v="89.285028999999994"/>
    <n v="1089"/>
    <s v="TTM"/>
    <x v="6"/>
  </r>
  <r>
    <s v="Biolage"/>
    <x v="9"/>
    <s v="Search"/>
    <s v="Google"/>
    <s v="Biolage"/>
    <d v="2024-12-14T00:00:00"/>
    <d v="2024-01-01T00:00:00"/>
    <n v="70.045634000000007"/>
    <n v="977"/>
    <s v="TTM"/>
    <x v="6"/>
  </r>
  <r>
    <s v="Biolage"/>
    <x v="9"/>
    <s v="Search"/>
    <s v="Google"/>
    <s v="Biolage"/>
    <d v="2024-12-21T00:00:00"/>
    <d v="2024-01-01T00:00:00"/>
    <n v="51.073481999999998"/>
    <n v="870"/>
    <s v="TTM"/>
    <x v="6"/>
  </r>
  <r>
    <s v="Biolage"/>
    <x v="9"/>
    <s v="Search"/>
    <s v="Google"/>
    <s v="Biolage"/>
    <d v="2024-12-28T00:00:00"/>
    <d v="2024-01-01T00:00:00"/>
    <n v="42.78"/>
    <n v="660"/>
    <s v="TTM"/>
    <x v="6"/>
  </r>
  <r>
    <s v="Biolage"/>
    <x v="9"/>
    <s v="Search"/>
    <s v="Google"/>
    <s v="Biolage"/>
    <d v="2025-01-04T00:00:00"/>
    <d v="2024-01-01T00:00:00"/>
    <n v="9.07"/>
    <n v="66"/>
    <s v="TTM"/>
    <x v="6"/>
  </r>
  <r>
    <s v="Biolage"/>
    <x v="4"/>
    <s v="CPP"/>
    <s v="DDM "/>
    <s v="Amazon"/>
    <d v="2025-06-07T00:00:00"/>
    <d v="2025-01-01T00:00:00"/>
    <n v="18951.04"/>
    <n v="1036757"/>
    <s v="TTM"/>
    <x v="7"/>
  </r>
  <r>
    <s v="Biolage"/>
    <x v="4"/>
    <s v="CPP"/>
    <s v="DDM "/>
    <s v="Amazon"/>
    <d v="2025-06-14T00:00:00"/>
    <d v="2025-01-01T00:00:00"/>
    <n v="24468.21"/>
    <n v="1415163"/>
    <s v="TTM"/>
    <x v="7"/>
  </r>
  <r>
    <s v="Biolage"/>
    <x v="4"/>
    <s v="CPP"/>
    <s v="DDM "/>
    <s v="Amazon"/>
    <d v="2025-06-21T00:00:00"/>
    <d v="2025-01-01T00:00:00"/>
    <n v="25189.440000000002"/>
    <n v="1904704"/>
    <s v="TTM"/>
    <x v="7"/>
  </r>
  <r>
    <s v="Biolage"/>
    <x v="4"/>
    <s v="CPP"/>
    <s v="DDM "/>
    <s v="Amazon"/>
    <d v="2025-06-28T00:00:00"/>
    <d v="2025-01-01T00:00:00"/>
    <n v="24270.75"/>
    <n v="1438910"/>
    <s v="TTM"/>
    <x v="7"/>
  </r>
  <r>
    <s v="Biolage"/>
    <x v="4"/>
    <s v="CPP"/>
    <s v="DDM "/>
    <s v="Amazon"/>
    <d v="2025-07-05T00:00:00"/>
    <d v="2025-01-01T00:00:00"/>
    <n v="1795.91"/>
    <n v="124320"/>
    <s v="TTM"/>
    <x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6">
  <r>
    <s v="Biolage"/>
    <x v="0"/>
    <x v="0"/>
    <s v="Pinterest"/>
    <s v="Amazon"/>
    <x v="0"/>
    <d v="2023-01-01T00:00:00"/>
    <n v="33.569313000000001"/>
    <n v="12647"/>
    <s v="PY"/>
    <s v="Social-Pinterest"/>
    <s v="Pinterest"/>
  </r>
  <r>
    <s v="Biolage"/>
    <x v="0"/>
    <x v="0"/>
    <s v="Pinterest"/>
    <s v="Other"/>
    <x v="0"/>
    <d v="2023-01-01T00:00:00"/>
    <n v="673.32786600000009"/>
    <n v="319241"/>
    <s v="PY"/>
    <s v="Social-Pinterest"/>
    <s v="Pinterest"/>
  </r>
  <r>
    <s v="Biolage"/>
    <x v="0"/>
    <x v="0"/>
    <s v="Pinterest"/>
    <s v="Ulta"/>
    <x v="0"/>
    <d v="2023-01-01T00:00:00"/>
    <n v="1431.8508470000002"/>
    <n v="145797"/>
    <s v="PY"/>
    <s v="Social-Pinterest"/>
    <s v="Ulta"/>
  </r>
  <r>
    <s v="Biolage"/>
    <x v="1"/>
    <x v="1"/>
    <s v="Amazon"/>
    <s v="Amazon"/>
    <x v="0"/>
    <d v="2023-01-01T00:00:00"/>
    <n v="954.95109999999988"/>
    <n v="106664"/>
    <s v="PY"/>
    <s v="Display-Amazon"/>
    <s v="Amazon"/>
  </r>
  <r>
    <s v="Biolage"/>
    <x v="1"/>
    <x v="2"/>
    <s v="Amazon"/>
    <s v="Amazon"/>
    <x v="0"/>
    <d v="2023-01-01T00:00:00"/>
    <n v="2859.39"/>
    <n v="356095"/>
    <s v="PY"/>
    <s v="Search-Amazon"/>
    <s v="Amazon"/>
  </r>
  <r>
    <s v="Biolage"/>
    <x v="0"/>
    <x v="1"/>
    <s v="Amazon"/>
    <s v="Amazon"/>
    <x v="0"/>
    <d v="2023-01-01T00:00:00"/>
    <n v="6081.0295999999998"/>
    <n v="950878"/>
    <s v="PY"/>
    <s v="Display-Amazon"/>
    <s v="Amazon"/>
  </r>
  <r>
    <s v="Biolage"/>
    <x v="0"/>
    <x v="2"/>
    <s v="Amazon"/>
    <s v="Amazon"/>
    <x v="0"/>
    <d v="2023-01-01T00:00:00"/>
    <n v="2394.65"/>
    <n v="231909"/>
    <s v="PY"/>
    <s v="Search-Amazon"/>
    <s v="Amazon"/>
  </r>
  <r>
    <s v="Biolage"/>
    <x v="2"/>
    <x v="1"/>
    <s v="Amazon"/>
    <s v="Amazon"/>
    <x v="0"/>
    <d v="2023-01-01T00:00:00"/>
    <n v="838.63439999999991"/>
    <n v="113183"/>
    <s v="PY"/>
    <s v="Display-Amazon"/>
    <s v="Amazon"/>
  </r>
  <r>
    <s v="Biolage"/>
    <x v="2"/>
    <x v="2"/>
    <s v="Amazon"/>
    <s v="Amazon"/>
    <x v="0"/>
    <d v="2023-01-01T00:00:00"/>
    <n v="3155.5600000000004"/>
    <n v="401729"/>
    <s v="PY"/>
    <s v="Search-Amazon"/>
    <s v="Amazon"/>
  </r>
  <r>
    <s v="Biolage"/>
    <x v="3"/>
    <x v="1"/>
    <s v="Amazon"/>
    <s v="Amazon"/>
    <x v="0"/>
    <d v="2023-01-01T00:00:00"/>
    <n v="740.48889999999994"/>
    <n v="87514"/>
    <s v="PY"/>
    <s v="Display-Amazon"/>
    <s v="Amazon"/>
  </r>
  <r>
    <s v="Biolage"/>
    <x v="3"/>
    <x v="2"/>
    <s v="Amazon"/>
    <s v="Amazon"/>
    <x v="0"/>
    <d v="2023-01-01T00:00:00"/>
    <n v="1117.17"/>
    <n v="142010"/>
    <s v="PY"/>
    <s v="Search-Amazon"/>
    <s v="Amazon"/>
  </r>
  <r>
    <s v="Biolage"/>
    <x v="4"/>
    <x v="1"/>
    <s v="Amazon"/>
    <s v="Amazon"/>
    <x v="0"/>
    <d v="2023-01-01T00:00:00"/>
    <n v="709.24260000000004"/>
    <n v="102065"/>
    <s v="PY"/>
    <s v="Display-Amazon"/>
    <s v="Amazon"/>
  </r>
  <r>
    <s v="Biolage"/>
    <x v="4"/>
    <x v="2"/>
    <s v="Amazon"/>
    <s v="Amazon"/>
    <x v="0"/>
    <d v="2023-01-01T00:00:00"/>
    <n v="503.13"/>
    <n v="89476"/>
    <s v="PY"/>
    <s v="Search-Amazon"/>
    <s v="Amazon"/>
  </r>
  <r>
    <s v="Biolage"/>
    <x v="5"/>
    <x v="2"/>
    <s v="Amazon"/>
    <s v="Amazon"/>
    <x v="0"/>
    <d v="2023-01-01T00:00:00"/>
    <n v="269.72000000000003"/>
    <n v="41339"/>
    <s v="PY"/>
    <s v="Search-Amazon"/>
    <s v="Amazon"/>
  </r>
  <r>
    <s v="Biolage"/>
    <x v="0"/>
    <x v="2"/>
    <s v="Google"/>
    <s v="Biolage"/>
    <x v="0"/>
    <d v="2023-01-01T00:00:00"/>
    <n v="1767.83"/>
    <n v="6136"/>
    <s v="PY"/>
    <s v="Search-Google"/>
    <s v="Search"/>
  </r>
  <r>
    <s v="Biolage"/>
    <x v="0"/>
    <x v="0"/>
    <s v="Pinterest"/>
    <s v="Amazon"/>
    <x v="1"/>
    <d v="2023-01-01T00:00:00"/>
    <n v="999.85672"/>
    <n v="656796"/>
    <s v="PY"/>
    <s v="Social-Pinterest"/>
    <s v="Pinterest"/>
  </r>
  <r>
    <s v="Biolage"/>
    <x v="0"/>
    <x v="0"/>
    <s v="Pinterest"/>
    <s v="Other"/>
    <x v="1"/>
    <d v="2023-01-01T00:00:00"/>
    <n v="4737.6254869999993"/>
    <n v="2358886"/>
    <s v="PY"/>
    <s v="Social-Pinterest"/>
    <s v="Pinterest"/>
  </r>
  <r>
    <s v="Biolage"/>
    <x v="0"/>
    <x v="0"/>
    <s v="Pinterest"/>
    <s v="Ulta"/>
    <x v="1"/>
    <d v="2023-01-01T00:00:00"/>
    <n v="9275.4324950000009"/>
    <n v="2234097"/>
    <s v="PY"/>
    <s v="Social-Pinterest"/>
    <s v="Ulta"/>
  </r>
  <r>
    <s v="Biolage"/>
    <x v="1"/>
    <x v="1"/>
    <s v="Amazon"/>
    <s v="Amazon"/>
    <x v="1"/>
    <d v="2023-01-01T00:00:00"/>
    <n v="12454.641899999995"/>
    <n v="1332292"/>
    <s v="PY"/>
    <s v="Display-Amazon"/>
    <s v="Amazon"/>
  </r>
  <r>
    <s v="Biolage"/>
    <x v="1"/>
    <x v="2"/>
    <s v="Amazon"/>
    <s v="Amazon"/>
    <x v="1"/>
    <d v="2023-01-01T00:00:00"/>
    <n v="14398.470000000007"/>
    <n v="1947985"/>
    <s v="PY"/>
    <s v="Search-Amazon"/>
    <s v="Amazon"/>
  </r>
  <r>
    <s v="Biolage"/>
    <x v="0"/>
    <x v="1"/>
    <s v="Amazon"/>
    <s v="Amazon"/>
    <x v="1"/>
    <d v="2023-01-01T00:00:00"/>
    <n v="42121.893799999998"/>
    <n v="6908484"/>
    <s v="PY"/>
    <s v="Display-Amazon"/>
    <s v="Amazon"/>
  </r>
  <r>
    <s v="Biolage"/>
    <x v="0"/>
    <x v="2"/>
    <s v="Amazon"/>
    <s v="Amazon"/>
    <x v="1"/>
    <d v="2023-01-01T00:00:00"/>
    <n v="17444.350000000006"/>
    <n v="1941689"/>
    <s v="PY"/>
    <s v="Search-Amazon"/>
    <s v="Amazon"/>
  </r>
  <r>
    <s v="Biolage"/>
    <x v="2"/>
    <x v="1"/>
    <s v="Amazon"/>
    <s v="Amazon"/>
    <x v="1"/>
    <d v="2023-01-01T00:00:00"/>
    <n v="5782.3420999999989"/>
    <n v="732872"/>
    <s v="PY"/>
    <s v="Display-Amazon"/>
    <s v="Amazon"/>
  </r>
  <r>
    <s v="Biolage"/>
    <x v="2"/>
    <x v="2"/>
    <s v="Amazon"/>
    <s v="Amazon"/>
    <x v="1"/>
    <d v="2023-01-01T00:00:00"/>
    <n v="16312.230000000001"/>
    <n v="2309552"/>
    <s v="PY"/>
    <s v="Search-Amazon"/>
    <s v="Amazon"/>
  </r>
  <r>
    <s v="Biolage"/>
    <x v="3"/>
    <x v="1"/>
    <s v="Amazon"/>
    <s v="Amazon"/>
    <x v="1"/>
    <d v="2023-01-01T00:00:00"/>
    <n v="5084.612799999999"/>
    <n v="644944"/>
    <s v="PY"/>
    <s v="Display-Amazon"/>
    <s v="Amazon"/>
  </r>
  <r>
    <s v="Biolage"/>
    <x v="3"/>
    <x v="2"/>
    <s v="Amazon"/>
    <s v="Amazon"/>
    <x v="1"/>
    <d v="2023-01-01T00:00:00"/>
    <n v="6553.2099999999982"/>
    <n v="981257"/>
    <s v="PY"/>
    <s v="Search-Amazon"/>
    <s v="Amazon"/>
  </r>
  <r>
    <s v="Biolage"/>
    <x v="4"/>
    <x v="1"/>
    <s v="Amazon"/>
    <s v="Amazon"/>
    <x v="1"/>
    <d v="2023-01-01T00:00:00"/>
    <n v="5234.5829000000022"/>
    <n v="724079"/>
    <s v="PY"/>
    <s v="Display-Amazon"/>
    <s v="Amazon"/>
  </r>
  <r>
    <s v="Biolage"/>
    <x v="4"/>
    <x v="2"/>
    <s v="Amazon"/>
    <s v="Amazon"/>
    <x v="1"/>
    <d v="2023-01-01T00:00:00"/>
    <n v="4101.8500000000004"/>
    <n v="988367"/>
    <s v="PY"/>
    <s v="Search-Amazon"/>
    <s v="Amazon"/>
  </r>
  <r>
    <s v="Biolage"/>
    <x v="5"/>
    <x v="2"/>
    <s v="Amazon"/>
    <s v="Amazon"/>
    <x v="1"/>
    <d v="2023-01-01T00:00:00"/>
    <n v="1622.5500000000002"/>
    <n v="437318"/>
    <s v="PY"/>
    <s v="Search-Amazon"/>
    <s v="Amazon"/>
  </r>
  <r>
    <s v="Biolage"/>
    <x v="0"/>
    <x v="2"/>
    <s v="Google"/>
    <s v="Biolage"/>
    <x v="1"/>
    <d v="2023-01-01T00:00:00"/>
    <n v="12810.929999999998"/>
    <n v="42285"/>
    <s v="PY"/>
    <s v="Search-Google"/>
    <s v="Search"/>
  </r>
  <r>
    <s v="Biolage"/>
    <x v="0"/>
    <x v="0"/>
    <s v="Pinterest"/>
    <s v="Amazon"/>
    <x v="2"/>
    <d v="2023-01-01T00:00:00"/>
    <n v="5655.9730740000005"/>
    <n v="1323770"/>
    <s v="LY"/>
    <s v="Social-Pinterest"/>
    <s v="Pinterest"/>
  </r>
  <r>
    <s v="Biolage"/>
    <x v="0"/>
    <x v="0"/>
    <s v="Pinterest"/>
    <s v="Other"/>
    <x v="2"/>
    <d v="2023-01-01T00:00:00"/>
    <n v="5037.4189039999992"/>
    <n v="2664362"/>
    <s v="LY"/>
    <s v="Social-Pinterest"/>
    <s v="Pinterest"/>
  </r>
  <r>
    <s v="Biolage"/>
    <x v="0"/>
    <x v="0"/>
    <s v="Pinterest"/>
    <s v="Ulta"/>
    <x v="2"/>
    <d v="2023-01-01T00:00:00"/>
    <n v="5353.4812869999996"/>
    <n v="1219258"/>
    <s v="LY"/>
    <s v="Social-Pinterest"/>
    <s v="Ulta"/>
  </r>
  <r>
    <s v="Biolage"/>
    <x v="2"/>
    <x v="0"/>
    <s v="Meta"/>
    <s v="Amazon"/>
    <x v="2"/>
    <d v="2023-01-01T00:00:00"/>
    <n v="32023.799993000004"/>
    <n v="4557001"/>
    <s v="LY"/>
    <s v="Social-Meta"/>
    <s v="Meta"/>
  </r>
  <r>
    <s v="Biolage"/>
    <x v="1"/>
    <x v="1"/>
    <s v="Amazon"/>
    <s v="Amazon"/>
    <x v="2"/>
    <d v="2023-01-01T00:00:00"/>
    <n v="12869.128399999998"/>
    <n v="1473913"/>
    <s v="LY"/>
    <s v="Display-Amazon"/>
    <s v="Amazon"/>
  </r>
  <r>
    <s v="Biolage"/>
    <x v="1"/>
    <x v="2"/>
    <s v="Amazon"/>
    <s v="Amazon"/>
    <x v="2"/>
    <d v="2023-01-01T00:00:00"/>
    <n v="96289.889999999941"/>
    <n v="7276438"/>
    <s v="LY"/>
    <s v="Search-Amazon"/>
    <s v="Amazon"/>
  </r>
  <r>
    <s v="Biolage"/>
    <x v="0"/>
    <x v="1"/>
    <s v="Amazon"/>
    <s v="Amazon"/>
    <x v="2"/>
    <d v="2023-01-01T00:00:00"/>
    <n v="47907.900499999952"/>
    <n v="8447570"/>
    <s v="LY"/>
    <s v="Display-Amazon"/>
    <s v="Amazon"/>
  </r>
  <r>
    <s v="Biolage"/>
    <x v="0"/>
    <x v="2"/>
    <s v="Amazon"/>
    <s v="Amazon"/>
    <x v="2"/>
    <d v="2023-01-01T00:00:00"/>
    <n v="74943.300000000017"/>
    <n v="4749934"/>
    <s v="LY"/>
    <s v="Search-Amazon"/>
    <s v="Amazon"/>
  </r>
  <r>
    <s v="Biolage"/>
    <x v="2"/>
    <x v="1"/>
    <s v="Amazon"/>
    <s v="Amazon"/>
    <x v="2"/>
    <d v="2023-01-01T00:00:00"/>
    <n v="5795.5743999999995"/>
    <n v="727121"/>
    <s v="LY"/>
    <s v="Display-Amazon"/>
    <s v="Amazon"/>
  </r>
  <r>
    <s v="Biolage"/>
    <x v="2"/>
    <x v="2"/>
    <s v="Amazon"/>
    <s v="Amazon"/>
    <x v="2"/>
    <d v="2023-01-01T00:00:00"/>
    <n v="86543.2"/>
    <n v="6001537"/>
    <s v="LY"/>
    <s v="Search-Amazon"/>
    <s v="Amazon"/>
  </r>
  <r>
    <s v="Biolage"/>
    <x v="3"/>
    <x v="1"/>
    <s v="Amazon"/>
    <s v="Amazon"/>
    <x v="2"/>
    <d v="2023-01-01T00:00:00"/>
    <n v="5096.2629999999981"/>
    <n v="705589"/>
    <s v="LY"/>
    <s v="Display-Amazon"/>
    <s v="Amazon"/>
  </r>
  <r>
    <s v="Biolage"/>
    <x v="3"/>
    <x v="2"/>
    <s v="Amazon"/>
    <s v="Amazon"/>
    <x v="2"/>
    <d v="2023-01-01T00:00:00"/>
    <n v="26588.239999999987"/>
    <n v="2463552"/>
    <s v="LY"/>
    <s v="Search-Amazon"/>
    <s v="Amazon"/>
  </r>
  <r>
    <s v="Biolage"/>
    <x v="4"/>
    <x v="1"/>
    <s v="Amazon"/>
    <s v="Amazon"/>
    <x v="2"/>
    <d v="2023-01-01T00:00:00"/>
    <n v="5347.2809999999999"/>
    <n v="787074"/>
    <s v="LY"/>
    <s v="Display-Amazon"/>
    <s v="Amazon"/>
  </r>
  <r>
    <s v="Biolage"/>
    <x v="4"/>
    <x v="2"/>
    <s v="Amazon"/>
    <s v="Amazon"/>
    <x v="2"/>
    <d v="2023-01-01T00:00:00"/>
    <n v="20015.16"/>
    <n v="2356562"/>
    <s v="LY"/>
    <s v="Search-Amazon"/>
    <s v="Amazon"/>
  </r>
  <r>
    <s v="Biolage"/>
    <x v="5"/>
    <x v="2"/>
    <s v="Amazon"/>
    <s v="Amazon"/>
    <x v="2"/>
    <d v="2023-01-01T00:00:00"/>
    <n v="3261.69"/>
    <n v="329693"/>
    <s v="LY"/>
    <s v="Search-Amazon"/>
    <s v="Amazon"/>
  </r>
  <r>
    <s v="Biolage"/>
    <x v="0"/>
    <x v="2"/>
    <s v="Google"/>
    <s v="Biolage"/>
    <x v="2"/>
    <d v="2023-01-01T00:00:00"/>
    <n v="12360.560000000001"/>
    <n v="46045"/>
    <s v="LY"/>
    <s v="Search-Google"/>
    <s v="Search"/>
  </r>
  <r>
    <s v="Biolage"/>
    <x v="0"/>
    <x v="0"/>
    <s v="Pinterest"/>
    <s v="Amazon"/>
    <x v="3"/>
    <d v="2023-01-01T00:00:00"/>
    <n v="8305.2923260000007"/>
    <n v="1067550"/>
    <s v="LY"/>
    <s v="Social-Pinterest"/>
    <s v="Pinterest"/>
  </r>
  <r>
    <s v="Biolage"/>
    <x v="0"/>
    <x v="0"/>
    <s v="Pinterest"/>
    <s v="Other"/>
    <x v="3"/>
    <d v="2023-01-01T00:00:00"/>
    <n v="4364.9173510000001"/>
    <n v="2662776"/>
    <s v="LY"/>
    <s v="Social-Pinterest"/>
    <s v="Pinterest"/>
  </r>
  <r>
    <s v="Biolage"/>
    <x v="0"/>
    <x v="0"/>
    <s v="Pinterest"/>
    <s v="Ulta"/>
    <x v="3"/>
    <d v="2023-01-01T00:00:00"/>
    <n v="1758.2325850000002"/>
    <n v="634400"/>
    <s v="LY"/>
    <s v="Social-Pinterest"/>
    <s v="Ulta"/>
  </r>
  <r>
    <s v="Biolage"/>
    <x v="2"/>
    <x v="0"/>
    <s v="Meta"/>
    <s v="Amazon"/>
    <x v="3"/>
    <d v="2023-01-01T00:00:00"/>
    <n v="33622.089997999996"/>
    <n v="4804148"/>
    <s v="LY"/>
    <s v="Social-Meta"/>
    <s v="Meta"/>
  </r>
  <r>
    <s v="Biolage"/>
    <x v="1"/>
    <x v="1"/>
    <s v="Amazon"/>
    <s v="Amazon"/>
    <x v="3"/>
    <d v="2023-01-01T00:00:00"/>
    <n v="12328.686600000005"/>
    <n v="1586895"/>
    <s v="LY"/>
    <s v="Display-Amazon"/>
    <s v="Amazon"/>
  </r>
  <r>
    <s v="Biolage"/>
    <x v="1"/>
    <x v="2"/>
    <s v="Amazon"/>
    <s v="Amazon"/>
    <x v="3"/>
    <d v="2023-01-01T00:00:00"/>
    <n v="6721.489999999998"/>
    <n v="1445197"/>
    <s v="LY"/>
    <s v="Search-Amazon"/>
    <s v="Amazon"/>
  </r>
  <r>
    <s v="Biolage"/>
    <x v="0"/>
    <x v="1"/>
    <s v="Amazon"/>
    <s v="Amazon"/>
    <x v="3"/>
    <d v="2023-01-01T00:00:00"/>
    <n v="13306.024299999999"/>
    <n v="2636768"/>
    <s v="LY"/>
    <s v="Display-Amazon"/>
    <s v="Amazon"/>
  </r>
  <r>
    <s v="Biolage"/>
    <x v="0"/>
    <x v="2"/>
    <s v="Amazon"/>
    <s v="Amazon"/>
    <x v="3"/>
    <d v="2023-01-01T00:00:00"/>
    <n v="13233.259999999998"/>
    <n v="3110099"/>
    <s v="LY"/>
    <s v="Search-Amazon"/>
    <s v="Amazon"/>
  </r>
  <r>
    <s v="Biolage"/>
    <x v="2"/>
    <x v="1"/>
    <s v="Amazon"/>
    <s v="Amazon"/>
    <x v="3"/>
    <d v="2023-01-01T00:00:00"/>
    <n v="6467.8800999999985"/>
    <n v="870309"/>
    <s v="LY"/>
    <s v="Display-Amazon"/>
    <s v="Amazon"/>
  </r>
  <r>
    <s v="Biolage"/>
    <x v="2"/>
    <x v="2"/>
    <s v="Amazon"/>
    <s v="Amazon"/>
    <x v="3"/>
    <d v="2023-01-01T00:00:00"/>
    <n v="5971.3799999999992"/>
    <n v="1453405"/>
    <s v="LY"/>
    <s v="Search-Amazon"/>
    <s v="Amazon"/>
  </r>
  <r>
    <s v="Biolage"/>
    <x v="3"/>
    <x v="1"/>
    <s v="Amazon"/>
    <s v="Amazon"/>
    <x v="3"/>
    <d v="2023-01-01T00:00:00"/>
    <n v="6071.4559000000008"/>
    <n v="949823"/>
    <s v="LY"/>
    <s v="Display-Amazon"/>
    <s v="Amazon"/>
  </r>
  <r>
    <s v="Biolage"/>
    <x v="3"/>
    <x v="2"/>
    <s v="Amazon"/>
    <s v="Amazon"/>
    <x v="3"/>
    <d v="2023-01-01T00:00:00"/>
    <n v="3061.0800000000013"/>
    <n v="1221281"/>
    <s v="LY"/>
    <s v="Search-Amazon"/>
    <s v="Amazon"/>
  </r>
  <r>
    <s v="Biolage"/>
    <x v="4"/>
    <x v="1"/>
    <s v="Amazon"/>
    <s v="Amazon"/>
    <x v="3"/>
    <d v="2023-01-01T00:00:00"/>
    <n v="5748.3383999999987"/>
    <n v="844367"/>
    <s v="LY"/>
    <s v="Display-Amazon"/>
    <s v="Amazon"/>
  </r>
  <r>
    <s v="Biolage"/>
    <x v="4"/>
    <x v="2"/>
    <s v="Amazon"/>
    <s v="Amazon"/>
    <x v="3"/>
    <d v="2023-01-01T00:00:00"/>
    <n v="2718.9999999999995"/>
    <n v="1385964"/>
    <s v="LY"/>
    <s v="Search-Amazon"/>
    <s v="Amazon"/>
  </r>
  <r>
    <s v="Biolage"/>
    <x v="0"/>
    <x v="2"/>
    <s v="Google"/>
    <s v="Biolage"/>
    <x v="3"/>
    <d v="2023-01-01T00:00:00"/>
    <n v="12450.269999999999"/>
    <n v="49655"/>
    <s v="LY"/>
    <s v="Search-Google"/>
    <s v="Search"/>
  </r>
  <r>
    <s v="Biolage"/>
    <x v="0"/>
    <x v="0"/>
    <s v="Pinterest"/>
    <s v="Amazon"/>
    <x v="4"/>
    <d v="2023-01-01T00:00:00"/>
    <n v="8664.595331999999"/>
    <n v="903828"/>
    <s v="LY"/>
    <s v="Social-Pinterest"/>
    <s v="Pinterest"/>
  </r>
  <r>
    <s v="Biolage"/>
    <x v="0"/>
    <x v="0"/>
    <s v="Pinterest"/>
    <s v="Other"/>
    <x v="4"/>
    <d v="2023-01-01T00:00:00"/>
    <n v="4655.8757210000003"/>
    <n v="2613774"/>
    <s v="LY"/>
    <s v="Social-Pinterest"/>
    <s v="Pinterest"/>
  </r>
  <r>
    <s v="Biolage"/>
    <x v="0"/>
    <x v="0"/>
    <s v="Pinterest"/>
    <s v="Ulta"/>
    <x v="4"/>
    <d v="2023-01-01T00:00:00"/>
    <n v="1325.620359"/>
    <n v="403494"/>
    <s v="LY"/>
    <s v="Social-Pinterest"/>
    <s v="Ulta"/>
  </r>
  <r>
    <s v="Biolage"/>
    <x v="2"/>
    <x v="0"/>
    <s v="Meta"/>
    <s v="Amazon"/>
    <x v="4"/>
    <d v="2023-01-01T00:00:00"/>
    <n v="32824.410005999998"/>
    <n v="4753491"/>
    <s v="LY"/>
    <s v="Social-Meta"/>
    <s v="Meta"/>
  </r>
  <r>
    <s v="Biolage"/>
    <x v="1"/>
    <x v="1"/>
    <s v="Amazon"/>
    <s v="Amazon"/>
    <x v="4"/>
    <d v="2023-01-01T00:00:00"/>
    <n v="10575.788399999998"/>
    <n v="1456872"/>
    <s v="LY"/>
    <s v="Display-Amazon"/>
    <s v="Amazon"/>
  </r>
  <r>
    <s v="Biolage"/>
    <x v="1"/>
    <x v="2"/>
    <s v="Amazon"/>
    <s v="Amazon"/>
    <x v="4"/>
    <d v="2023-01-01T00:00:00"/>
    <n v="3305.3899999999994"/>
    <n v="639800"/>
    <s v="LY"/>
    <s v="Search-Amazon"/>
    <s v="Amazon"/>
  </r>
  <r>
    <s v="Biolage"/>
    <x v="0"/>
    <x v="1"/>
    <s v="Amazon"/>
    <s v="Amazon"/>
    <x v="4"/>
    <d v="2023-01-01T00:00:00"/>
    <n v="17622.624800000001"/>
    <n v="2517354"/>
    <s v="LY"/>
    <s v="Display-Amazon"/>
    <s v="Amazon"/>
  </r>
  <r>
    <s v="Biolage"/>
    <x v="0"/>
    <x v="2"/>
    <s v="Amazon"/>
    <s v="Amazon"/>
    <x v="4"/>
    <d v="2023-01-01T00:00:00"/>
    <n v="22424.630000000005"/>
    <n v="4265016"/>
    <s v="LY"/>
    <s v="Search-Amazon"/>
    <s v="Amazon"/>
  </r>
  <r>
    <s v="Biolage"/>
    <x v="2"/>
    <x v="1"/>
    <s v="Amazon"/>
    <s v="Amazon"/>
    <x v="4"/>
    <d v="2023-01-01T00:00:00"/>
    <n v="6478.1186000000043"/>
    <n v="853281"/>
    <s v="LY"/>
    <s v="Display-Amazon"/>
    <s v="Amazon"/>
  </r>
  <r>
    <s v="Biolage"/>
    <x v="2"/>
    <x v="2"/>
    <s v="Amazon"/>
    <s v="Amazon"/>
    <x v="4"/>
    <d v="2023-01-01T00:00:00"/>
    <n v="6216.0800000000027"/>
    <n v="1680381"/>
    <s v="LY"/>
    <s v="Search-Amazon"/>
    <s v="Amazon"/>
  </r>
  <r>
    <s v="Biolage"/>
    <x v="3"/>
    <x v="1"/>
    <s v="Amazon"/>
    <s v="Amazon"/>
    <x v="4"/>
    <d v="2023-01-01T00:00:00"/>
    <n v="6057.3192000000008"/>
    <n v="932308"/>
    <s v="LY"/>
    <s v="Display-Amazon"/>
    <s v="Amazon"/>
  </r>
  <r>
    <s v="Biolage"/>
    <x v="3"/>
    <x v="2"/>
    <s v="Amazon"/>
    <s v="Amazon"/>
    <x v="4"/>
    <d v="2023-01-01T00:00:00"/>
    <n v="8279.9100000000017"/>
    <n v="2752806"/>
    <s v="LY"/>
    <s v="Search-Amazon"/>
    <s v="Amazon"/>
  </r>
  <r>
    <s v="Biolage"/>
    <x v="4"/>
    <x v="1"/>
    <s v="Amazon"/>
    <s v="Amazon"/>
    <x v="4"/>
    <d v="2023-01-01T00:00:00"/>
    <n v="5831.0729000000028"/>
    <n v="827455"/>
    <s v="LY"/>
    <s v="Display-Amazon"/>
    <s v="Amazon"/>
  </r>
  <r>
    <s v="Biolage"/>
    <x v="4"/>
    <x v="2"/>
    <s v="Amazon"/>
    <s v="Amazon"/>
    <x v="4"/>
    <d v="2023-01-01T00:00:00"/>
    <n v="3139.6"/>
    <n v="1509103"/>
    <s v="LY"/>
    <s v="Search-Amazon"/>
    <s v="Amazon"/>
  </r>
  <r>
    <s v="Biolage"/>
    <x v="6"/>
    <x v="2"/>
    <s v="Amazon"/>
    <s v="Amazon"/>
    <x v="4"/>
    <d v="2023-01-01T00:00:00"/>
    <n v="141.92000000000002"/>
    <n v="32353"/>
    <s v="LY"/>
    <s v="Search-Amazon"/>
    <s v="Amazon"/>
  </r>
  <r>
    <s v="Biolage"/>
    <x v="0"/>
    <x v="2"/>
    <s v="Google"/>
    <s v="Biolage"/>
    <x v="4"/>
    <d v="2023-01-01T00:00:00"/>
    <n v="13948.090000000004"/>
    <n v="50953"/>
    <s v="LY"/>
    <s v="Search-Google"/>
    <s v="Search"/>
  </r>
  <r>
    <s v="Biolage"/>
    <x v="0"/>
    <x v="0"/>
    <s v="Pinterest"/>
    <s v="Amazon"/>
    <x v="5"/>
    <d v="2023-01-01T00:00:00"/>
    <n v="7389.390907"/>
    <n v="769110"/>
    <s v="LY"/>
    <s v="Social-Pinterest"/>
    <s v="Pinterest"/>
  </r>
  <r>
    <s v="Biolage"/>
    <x v="0"/>
    <x v="0"/>
    <s v="Pinterest"/>
    <s v="Other"/>
    <x v="5"/>
    <d v="2023-01-01T00:00:00"/>
    <n v="4551.2395979999992"/>
    <n v="2431409"/>
    <s v="LY"/>
    <s v="Social-Pinterest"/>
    <s v="Pinterest"/>
  </r>
  <r>
    <s v="Biolage"/>
    <x v="0"/>
    <x v="0"/>
    <s v="Pinterest"/>
    <s v="Ulta"/>
    <x v="5"/>
    <d v="2023-01-01T00:00:00"/>
    <n v="1480.8282359999998"/>
    <n v="516226"/>
    <s v="LY"/>
    <s v="Social-Pinterest"/>
    <s v="Ulta"/>
  </r>
  <r>
    <s v="Biolage"/>
    <x v="2"/>
    <x v="0"/>
    <s v="Meta"/>
    <s v="Amazon"/>
    <x v="5"/>
    <d v="2023-01-01T00:00:00"/>
    <n v="32766.600002999992"/>
    <n v="5233861"/>
    <s v="LY"/>
    <s v="Social-Meta"/>
    <s v="Meta"/>
  </r>
  <r>
    <s v="Biolage"/>
    <x v="1"/>
    <x v="1"/>
    <s v="Amazon"/>
    <s v="Amazon"/>
    <x v="5"/>
    <d v="2023-01-01T00:00:00"/>
    <n v="6201.795500000002"/>
    <n v="939725"/>
    <s v="LY"/>
    <s v="Display-Amazon"/>
    <s v="Amazon"/>
  </r>
  <r>
    <s v="Biolage"/>
    <x v="1"/>
    <x v="2"/>
    <s v="Amazon"/>
    <s v="Amazon"/>
    <x v="5"/>
    <d v="2023-01-01T00:00:00"/>
    <n v="4137.8999999999987"/>
    <n v="788517"/>
    <s v="LY"/>
    <s v="Search-Amazon"/>
    <s v="Amazon"/>
  </r>
  <r>
    <s v="Biolage"/>
    <x v="0"/>
    <x v="1"/>
    <s v="Amazon"/>
    <s v="Amazon"/>
    <x v="5"/>
    <d v="2023-01-01T00:00:00"/>
    <n v="18644.331200000008"/>
    <n v="2398985"/>
    <s v="LY"/>
    <s v="Display-Amazon"/>
    <s v="Amazon"/>
  </r>
  <r>
    <s v="Biolage"/>
    <x v="0"/>
    <x v="2"/>
    <s v="Amazon"/>
    <s v="Amazon"/>
    <x v="5"/>
    <d v="2023-01-01T00:00:00"/>
    <n v="19160.000000000015"/>
    <n v="3578089"/>
    <s v="LY"/>
    <s v="Search-Amazon"/>
    <s v="Amazon"/>
  </r>
  <r>
    <s v="Biolage"/>
    <x v="2"/>
    <x v="1"/>
    <s v="Amazon"/>
    <s v="Amazon"/>
    <x v="5"/>
    <d v="2023-01-01T00:00:00"/>
    <n v="6616.887700000003"/>
    <n v="997291"/>
    <s v="LY"/>
    <s v="Display-Amazon"/>
    <s v="Amazon"/>
  </r>
  <r>
    <s v="Biolage"/>
    <x v="2"/>
    <x v="2"/>
    <s v="Amazon"/>
    <s v="Amazon"/>
    <x v="5"/>
    <d v="2023-01-01T00:00:00"/>
    <n v="5883.1499999999978"/>
    <n v="1498878"/>
    <s v="LY"/>
    <s v="Search-Amazon"/>
    <s v="Amazon"/>
  </r>
  <r>
    <s v="Biolage"/>
    <x v="3"/>
    <x v="1"/>
    <s v="Amazon"/>
    <s v="Amazon"/>
    <x v="5"/>
    <d v="2023-01-01T00:00:00"/>
    <n v="6018.5332000000017"/>
    <n v="852071"/>
    <s v="LY"/>
    <s v="Display-Amazon"/>
    <s v="Amazon"/>
  </r>
  <r>
    <s v="Biolage"/>
    <x v="3"/>
    <x v="2"/>
    <s v="Amazon"/>
    <s v="Amazon"/>
    <x v="5"/>
    <d v="2023-01-01T00:00:00"/>
    <n v="13286.260000000002"/>
    <n v="3596361"/>
    <s v="LY"/>
    <s v="Search-Amazon"/>
    <s v="Amazon"/>
  </r>
  <r>
    <s v="Biolage"/>
    <x v="4"/>
    <x v="1"/>
    <s v="Amazon"/>
    <s v="Amazon"/>
    <x v="5"/>
    <d v="2023-01-01T00:00:00"/>
    <n v="5907.6620999999986"/>
    <n v="966883"/>
    <s v="LY"/>
    <s v="Display-Amazon"/>
    <s v="Amazon"/>
  </r>
  <r>
    <s v="Biolage"/>
    <x v="4"/>
    <x v="2"/>
    <s v="Amazon"/>
    <s v="Amazon"/>
    <x v="5"/>
    <d v="2023-01-01T00:00:00"/>
    <n v="3918.1000000000008"/>
    <n v="2303619"/>
    <s v="LY"/>
    <s v="Search-Amazon"/>
    <s v="Amazon"/>
  </r>
  <r>
    <s v="Biolage"/>
    <x v="6"/>
    <x v="2"/>
    <s v="Amazon"/>
    <s v="Amazon"/>
    <x v="5"/>
    <d v="2023-01-01T00:00:00"/>
    <n v="90.8"/>
    <n v="35542"/>
    <s v="LY"/>
    <s v="Search-Amazon"/>
    <s v="Amazon"/>
  </r>
  <r>
    <s v="Biolage"/>
    <x v="0"/>
    <x v="2"/>
    <s v="Google"/>
    <s v="Biolage"/>
    <x v="5"/>
    <d v="2023-01-01T00:00:00"/>
    <n v="15258.67"/>
    <n v="46242"/>
    <s v="LY"/>
    <s v="Search-Google"/>
    <s v="Search"/>
  </r>
  <r>
    <s v="Biolage"/>
    <x v="0"/>
    <x v="0"/>
    <s v="Pinterest"/>
    <s v="Amazon"/>
    <x v="6"/>
    <d v="2023-01-01T00:00:00"/>
    <n v="8215.789721000001"/>
    <n v="1111682"/>
    <s v="LY"/>
    <s v="Social-Pinterest"/>
    <s v="Pinterest"/>
  </r>
  <r>
    <s v="Biolage"/>
    <x v="0"/>
    <x v="0"/>
    <s v="Pinterest"/>
    <s v="Other"/>
    <x v="6"/>
    <d v="2023-01-01T00:00:00"/>
    <n v="5394.2591620000012"/>
    <n v="2606318"/>
    <s v="LY"/>
    <s v="Social-Pinterest"/>
    <s v="Pinterest"/>
  </r>
  <r>
    <s v="Biolage"/>
    <x v="0"/>
    <x v="0"/>
    <s v="Pinterest"/>
    <s v="Ulta"/>
    <x v="6"/>
    <d v="2023-01-01T00:00:00"/>
    <n v="2257.8540680000001"/>
    <n v="748193"/>
    <s v="LY"/>
    <s v="Social-Pinterest"/>
    <s v="Ulta"/>
  </r>
  <r>
    <s v="Biolage"/>
    <x v="2"/>
    <x v="0"/>
    <s v="Meta"/>
    <s v="Amazon"/>
    <x v="6"/>
    <d v="2023-01-01T00:00:00"/>
    <n v="31935.239996999993"/>
    <n v="4991273"/>
    <s v="LY"/>
    <s v="Social-Meta"/>
    <s v="Meta"/>
  </r>
  <r>
    <s v="Biolage"/>
    <x v="1"/>
    <x v="1"/>
    <s v="Amazon"/>
    <s v="Amazon"/>
    <x v="6"/>
    <d v="2023-01-01T00:00:00"/>
    <n v="4792.2232999999978"/>
    <n v="899465"/>
    <s v="LY"/>
    <s v="Display-Amazon"/>
    <s v="Amazon"/>
  </r>
  <r>
    <s v="Biolage"/>
    <x v="1"/>
    <x v="2"/>
    <s v="Amazon"/>
    <s v="Amazon"/>
    <x v="6"/>
    <d v="2023-01-01T00:00:00"/>
    <n v="7268.3500000000013"/>
    <n v="1892701"/>
    <s v="LY"/>
    <s v="Search-Amazon"/>
    <s v="Amazon"/>
  </r>
  <r>
    <s v="Biolage"/>
    <x v="0"/>
    <x v="1"/>
    <s v="Amazon"/>
    <s v="Amazon"/>
    <x v="6"/>
    <d v="2023-01-01T00:00:00"/>
    <n v="15486.809600000008"/>
    <n v="2575987"/>
    <s v="LY"/>
    <s v="Display-Amazon"/>
    <s v="Amazon"/>
  </r>
  <r>
    <s v="Biolage"/>
    <x v="0"/>
    <x v="2"/>
    <s v="Amazon"/>
    <s v="Amazon"/>
    <x v="6"/>
    <d v="2023-01-01T00:00:00"/>
    <n v="7393.9799999999977"/>
    <n v="2038179"/>
    <s v="LY"/>
    <s v="Search-Amazon"/>
    <s v="Amazon"/>
  </r>
  <r>
    <s v="Biolage"/>
    <x v="2"/>
    <x v="1"/>
    <s v="Amazon"/>
    <s v="Amazon"/>
    <x v="6"/>
    <d v="2023-01-01T00:00:00"/>
    <n v="6345.0311999999985"/>
    <n v="880414"/>
    <s v="LY"/>
    <s v="Display-Amazon"/>
    <s v="Amazon"/>
  </r>
  <r>
    <s v="Biolage"/>
    <x v="2"/>
    <x v="2"/>
    <s v="Amazon"/>
    <s v="Amazon"/>
    <x v="6"/>
    <d v="2023-01-01T00:00:00"/>
    <n v="6986.8900000000012"/>
    <n v="1632708"/>
    <s v="LY"/>
    <s v="Search-Amazon"/>
    <s v="Amazon"/>
  </r>
  <r>
    <s v="Biolage"/>
    <x v="3"/>
    <x v="1"/>
    <s v="Amazon"/>
    <s v="Amazon"/>
    <x v="6"/>
    <d v="2023-01-01T00:00:00"/>
    <n v="5830.0846000000001"/>
    <n v="830217"/>
    <s v="LY"/>
    <s v="Display-Amazon"/>
    <s v="Amazon"/>
  </r>
  <r>
    <s v="Biolage"/>
    <x v="3"/>
    <x v="2"/>
    <s v="Amazon"/>
    <s v="Amazon"/>
    <x v="6"/>
    <d v="2023-01-01T00:00:00"/>
    <n v="5642.86"/>
    <n v="1178802"/>
    <s v="LY"/>
    <s v="Search-Amazon"/>
    <s v="Amazon"/>
  </r>
  <r>
    <s v="Biolage"/>
    <x v="4"/>
    <x v="1"/>
    <s v="Amazon"/>
    <s v="Amazon"/>
    <x v="6"/>
    <d v="2023-01-01T00:00:00"/>
    <n v="6305.6124999999993"/>
    <n v="972514"/>
    <s v="LY"/>
    <s v="Display-Amazon"/>
    <s v="Amazon"/>
  </r>
  <r>
    <s v="Biolage"/>
    <x v="4"/>
    <x v="2"/>
    <s v="Amazon"/>
    <s v="Amazon"/>
    <x v="6"/>
    <d v="2023-01-01T00:00:00"/>
    <n v="3812.1299999999992"/>
    <n v="1478237"/>
    <s v="LY"/>
    <s v="Search-Amazon"/>
    <s v="Amazon"/>
  </r>
  <r>
    <s v="Biolage"/>
    <x v="6"/>
    <x v="2"/>
    <s v="Amazon"/>
    <s v="Amazon"/>
    <x v="6"/>
    <d v="2023-01-01T00:00:00"/>
    <n v="29.840000000000003"/>
    <n v="17713"/>
    <s v="LY"/>
    <s v="Search-Amazon"/>
    <s v="Amazon"/>
  </r>
  <r>
    <s v="Biolage"/>
    <x v="0"/>
    <x v="2"/>
    <s v="Google"/>
    <s v="Biolage"/>
    <x v="6"/>
    <d v="2023-01-01T00:00:00"/>
    <n v="13302.56"/>
    <n v="41698"/>
    <s v="LY"/>
    <s v="Search-Google"/>
    <s v="Search"/>
  </r>
  <r>
    <s v="Biolage"/>
    <x v="0"/>
    <x v="0"/>
    <s v="Pinterest"/>
    <s v="Amazon"/>
    <x v="7"/>
    <d v="2023-01-01T00:00:00"/>
    <n v="7907.9364459999997"/>
    <n v="940923"/>
    <s v="LY"/>
    <s v="Social-Pinterest"/>
    <s v="Pinterest"/>
  </r>
  <r>
    <s v="Biolage"/>
    <x v="0"/>
    <x v="0"/>
    <s v="Pinterest"/>
    <s v="Other"/>
    <x v="7"/>
    <d v="2023-01-01T00:00:00"/>
    <n v="5355.2110149999999"/>
    <n v="2268015"/>
    <s v="LY"/>
    <s v="Social-Pinterest"/>
    <s v="Pinterest"/>
  </r>
  <r>
    <s v="Biolage"/>
    <x v="0"/>
    <x v="0"/>
    <s v="Pinterest"/>
    <s v="Ulta"/>
    <x v="7"/>
    <d v="2023-01-01T00:00:00"/>
    <n v="2433.0227869999999"/>
    <n v="691033"/>
    <s v="LY"/>
    <s v="Social-Pinterest"/>
    <s v="Ulta"/>
  </r>
  <r>
    <s v="Biolage"/>
    <x v="2"/>
    <x v="0"/>
    <s v="Meta"/>
    <s v="Amazon"/>
    <x v="7"/>
    <d v="2023-01-01T00:00:00"/>
    <n v="32411.340014000001"/>
    <n v="4861713"/>
    <s v="LY"/>
    <s v="Social-Meta"/>
    <s v="Meta"/>
  </r>
  <r>
    <s v="Biolage"/>
    <x v="1"/>
    <x v="1"/>
    <s v="Amazon"/>
    <s v="Amazon"/>
    <x v="7"/>
    <d v="2023-01-01T00:00:00"/>
    <n v="4842.7989000000025"/>
    <n v="710921"/>
    <s v="LY"/>
    <s v="Display-Amazon"/>
    <s v="Amazon"/>
  </r>
  <r>
    <s v="Biolage"/>
    <x v="1"/>
    <x v="2"/>
    <s v="Amazon"/>
    <s v="Amazon"/>
    <x v="7"/>
    <d v="2023-01-01T00:00:00"/>
    <n v="6312.8200000000015"/>
    <n v="1161472"/>
    <s v="LY"/>
    <s v="Search-Amazon"/>
    <s v="Amazon"/>
  </r>
  <r>
    <s v="Biolage"/>
    <x v="0"/>
    <x v="1"/>
    <s v="Amazon"/>
    <s v="Amazon"/>
    <x v="7"/>
    <d v="2023-01-01T00:00:00"/>
    <n v="17992.608899999996"/>
    <n v="2788644"/>
    <s v="LY"/>
    <s v="Display-Amazon"/>
    <s v="Amazon"/>
  </r>
  <r>
    <s v="Biolage"/>
    <x v="0"/>
    <x v="2"/>
    <s v="Amazon"/>
    <s v="Amazon"/>
    <x v="7"/>
    <d v="2023-01-01T00:00:00"/>
    <n v="2508.8700000000003"/>
    <n v="891382"/>
    <s v="LY"/>
    <s v="Search-Amazon"/>
    <s v="Amazon"/>
  </r>
  <r>
    <s v="Biolage"/>
    <x v="2"/>
    <x v="1"/>
    <s v="Amazon"/>
    <s v="Amazon"/>
    <x v="7"/>
    <d v="2023-01-01T00:00:00"/>
    <n v="8070.4940999999981"/>
    <n v="1075785"/>
    <s v="LY"/>
    <s v="Display-Amazon"/>
    <s v="Amazon"/>
  </r>
  <r>
    <s v="Biolage"/>
    <x v="2"/>
    <x v="2"/>
    <s v="Amazon"/>
    <s v="Amazon"/>
    <x v="7"/>
    <d v="2023-01-01T00:00:00"/>
    <n v="7911.0200000000013"/>
    <n v="1855963"/>
    <s v="LY"/>
    <s v="Search-Amazon"/>
    <s v="Amazon"/>
  </r>
  <r>
    <s v="Biolage"/>
    <x v="3"/>
    <x v="1"/>
    <s v="Amazon"/>
    <s v="Amazon"/>
    <x v="7"/>
    <d v="2023-01-01T00:00:00"/>
    <n v="4737.5258000000003"/>
    <n v="592965"/>
    <s v="LY"/>
    <s v="Display-Amazon"/>
    <s v="Amazon"/>
  </r>
  <r>
    <s v="Biolage"/>
    <x v="3"/>
    <x v="2"/>
    <s v="Amazon"/>
    <s v="Amazon"/>
    <x v="7"/>
    <d v="2023-01-01T00:00:00"/>
    <n v="2912.7300000000014"/>
    <n v="708787"/>
    <s v="LY"/>
    <s v="Search-Amazon"/>
    <s v="Amazon"/>
  </r>
  <r>
    <s v="Biolage"/>
    <x v="4"/>
    <x v="1"/>
    <s v="Amazon"/>
    <s v="Amazon"/>
    <x v="7"/>
    <d v="2023-01-01T00:00:00"/>
    <n v="4965.8113999999978"/>
    <n v="685325"/>
    <s v="LY"/>
    <s v="Display-Amazon"/>
    <s v="Amazon"/>
  </r>
  <r>
    <s v="Biolage"/>
    <x v="4"/>
    <x v="2"/>
    <s v="Amazon"/>
    <s v="Amazon"/>
    <x v="7"/>
    <d v="2023-01-01T00:00:00"/>
    <n v="4888.55"/>
    <n v="1936216"/>
    <s v="LY"/>
    <s v="Search-Amazon"/>
    <s v="Amazon"/>
  </r>
  <r>
    <s v="Biolage"/>
    <x v="6"/>
    <x v="2"/>
    <s v="Amazon"/>
    <s v="Amazon"/>
    <x v="7"/>
    <d v="2023-01-01T00:00:00"/>
    <n v="10.809999999999999"/>
    <n v="10665"/>
    <s v="LY"/>
    <s v="Search-Amazon"/>
    <s v="Amazon"/>
  </r>
  <r>
    <s v="Biolage"/>
    <x v="0"/>
    <x v="2"/>
    <s v="Google"/>
    <s v="Biolage"/>
    <x v="7"/>
    <d v="2023-01-01T00:00:00"/>
    <n v="13178.14"/>
    <n v="42774"/>
    <s v="LY"/>
    <s v="Search-Google"/>
    <s v="Search"/>
  </r>
  <r>
    <s v="Biolage"/>
    <x v="0"/>
    <x v="0"/>
    <s v="Pinterest"/>
    <s v="Amazon"/>
    <x v="8"/>
    <d v="2023-01-01T00:00:00"/>
    <n v="1106.513954"/>
    <n v="100107"/>
    <s v="LY"/>
    <s v="Social-Pinterest"/>
    <s v="Pinterest"/>
  </r>
  <r>
    <s v="Biolage"/>
    <x v="0"/>
    <x v="0"/>
    <s v="Pinterest"/>
    <s v="Other"/>
    <x v="8"/>
    <d v="2023-01-01T00:00:00"/>
    <n v="11104.198451"/>
    <n v="3483250"/>
    <s v="LY"/>
    <s v="Social-Pinterest"/>
    <s v="Pinterest"/>
  </r>
  <r>
    <s v="Biolage"/>
    <x v="0"/>
    <x v="0"/>
    <s v="Pinterest"/>
    <s v="Ulta"/>
    <x v="8"/>
    <d v="2023-01-01T00:00:00"/>
    <n v="304.294445"/>
    <n v="70891"/>
    <s v="LY"/>
    <s v="Social-Pinterest"/>
    <s v="Ulta"/>
  </r>
  <r>
    <s v="Biolage"/>
    <x v="2"/>
    <x v="0"/>
    <s v="Meta"/>
    <s v="Amazon"/>
    <x v="8"/>
    <d v="2023-01-01T00:00:00"/>
    <n v="4412.3699969999998"/>
    <n v="699052"/>
    <s v="LY"/>
    <s v="Social-Meta"/>
    <s v="Meta"/>
  </r>
  <r>
    <s v="Biolage"/>
    <x v="1"/>
    <x v="1"/>
    <s v="Amazon"/>
    <s v="Amazon"/>
    <x v="8"/>
    <d v="2023-01-01T00:00:00"/>
    <n v="6698.2117999999982"/>
    <n v="876186"/>
    <s v="LY"/>
    <s v="Display-Amazon"/>
    <s v="Amazon"/>
  </r>
  <r>
    <s v="Biolage"/>
    <x v="1"/>
    <x v="2"/>
    <s v="Amazon"/>
    <s v="Amazon"/>
    <x v="8"/>
    <d v="2023-01-01T00:00:00"/>
    <n v="6502.4300000000012"/>
    <n v="1232927"/>
    <s v="LY"/>
    <s v="Search-Amazon"/>
    <s v="Amazon"/>
  </r>
  <r>
    <s v="Biolage"/>
    <x v="0"/>
    <x v="1"/>
    <s v="Amazon"/>
    <s v="Amazon"/>
    <x v="8"/>
    <d v="2023-01-01T00:00:00"/>
    <n v="18022.968700000001"/>
    <n v="2904653"/>
    <s v="LY"/>
    <s v="Display-Amazon"/>
    <s v="Amazon"/>
  </r>
  <r>
    <s v="Biolage"/>
    <x v="0"/>
    <x v="2"/>
    <s v="Amazon"/>
    <s v="Amazon"/>
    <x v="8"/>
    <d v="2023-01-01T00:00:00"/>
    <n v="1923.2099999999998"/>
    <n v="543927"/>
    <s v="LY"/>
    <s v="Search-Amazon"/>
    <s v="Amazon"/>
  </r>
  <r>
    <s v="Biolage"/>
    <x v="2"/>
    <x v="1"/>
    <s v="Amazon"/>
    <s v="Amazon"/>
    <x v="8"/>
    <d v="2023-01-01T00:00:00"/>
    <n v="8057.9412999999995"/>
    <n v="1095793"/>
    <s v="LY"/>
    <s v="Display-Amazon"/>
    <s v="Amazon"/>
  </r>
  <r>
    <s v="Biolage"/>
    <x v="2"/>
    <x v="2"/>
    <s v="Amazon"/>
    <s v="Amazon"/>
    <x v="8"/>
    <d v="2023-01-01T00:00:00"/>
    <n v="9311.6699999999983"/>
    <n v="2600185"/>
    <s v="LY"/>
    <s v="Search-Amazon"/>
    <s v="Amazon"/>
  </r>
  <r>
    <s v="Biolage"/>
    <x v="3"/>
    <x v="1"/>
    <s v="Amazon"/>
    <s v="Amazon"/>
    <x v="8"/>
    <d v="2023-01-01T00:00:00"/>
    <n v="4058.3792000000008"/>
    <n v="557078"/>
    <s v="LY"/>
    <s v="Display-Amazon"/>
    <s v="Amazon"/>
  </r>
  <r>
    <s v="Biolage"/>
    <x v="3"/>
    <x v="2"/>
    <s v="Amazon"/>
    <s v="Amazon"/>
    <x v="8"/>
    <d v="2023-01-01T00:00:00"/>
    <n v="3040.0099999999993"/>
    <n v="770475"/>
    <s v="LY"/>
    <s v="Search-Amazon"/>
    <s v="Amazon"/>
  </r>
  <r>
    <s v="Biolage"/>
    <x v="4"/>
    <x v="1"/>
    <s v="Amazon"/>
    <s v="Amazon"/>
    <x v="8"/>
    <d v="2023-01-01T00:00:00"/>
    <n v="4450.6425000000027"/>
    <n v="579105"/>
    <s v="LY"/>
    <s v="Display-Amazon"/>
    <s v="Amazon"/>
  </r>
  <r>
    <s v="Biolage"/>
    <x v="4"/>
    <x v="2"/>
    <s v="Amazon"/>
    <s v="Amazon"/>
    <x v="8"/>
    <d v="2023-01-01T00:00:00"/>
    <n v="5839.829999999999"/>
    <n v="2191585"/>
    <s v="LY"/>
    <s v="Search-Amazon"/>
    <s v="Amazon"/>
  </r>
  <r>
    <s v="Biolage"/>
    <x v="6"/>
    <x v="2"/>
    <s v="Amazon"/>
    <s v="Amazon"/>
    <x v="8"/>
    <d v="2023-01-01T00:00:00"/>
    <n v="14.78"/>
    <n v="18598"/>
    <s v="LY"/>
    <s v="Search-Amazon"/>
    <s v="Amazon"/>
  </r>
  <r>
    <s v="Biolage"/>
    <x v="0"/>
    <x v="2"/>
    <s v="Google"/>
    <s v="Biolage"/>
    <x v="8"/>
    <d v="2023-01-01T00:00:00"/>
    <n v="13218.169999999998"/>
    <n v="40784"/>
    <s v="LY"/>
    <s v="Search-Google"/>
    <s v="Search"/>
  </r>
  <r>
    <s v="Biolage"/>
    <x v="0"/>
    <x v="0"/>
    <s v="Pinterest"/>
    <s v="Other"/>
    <x v="9"/>
    <d v="2023-01-01T00:00:00"/>
    <n v="12364.026618"/>
    <n v="3661982"/>
    <s v="LY"/>
    <s v="Social-Pinterest"/>
    <s v="Pinterest"/>
  </r>
  <r>
    <s v="Biolage"/>
    <x v="1"/>
    <x v="1"/>
    <s v="Amazon"/>
    <s v="Amazon"/>
    <x v="9"/>
    <d v="2023-01-01T00:00:00"/>
    <n v="8248.0911999999953"/>
    <n v="922680"/>
    <s v="LY"/>
    <s v="Display-Amazon"/>
    <s v="Amazon"/>
  </r>
  <r>
    <s v="Biolage"/>
    <x v="1"/>
    <x v="2"/>
    <s v="Amazon"/>
    <s v="Amazon"/>
    <x v="9"/>
    <d v="2023-01-01T00:00:00"/>
    <n v="10417.050000000008"/>
    <n v="1752509"/>
    <s v="LY"/>
    <s v="Search-Amazon"/>
    <s v="Amazon"/>
  </r>
  <r>
    <s v="Biolage"/>
    <x v="0"/>
    <x v="1"/>
    <s v="Amazon"/>
    <s v="Amazon"/>
    <x v="9"/>
    <d v="2023-01-01T00:00:00"/>
    <n v="12216.676999999994"/>
    <n v="1830948"/>
    <s v="LY"/>
    <s v="Display-Amazon"/>
    <s v="Amazon"/>
  </r>
  <r>
    <s v="Biolage"/>
    <x v="0"/>
    <x v="2"/>
    <s v="Amazon"/>
    <s v="Amazon"/>
    <x v="9"/>
    <d v="2023-01-01T00:00:00"/>
    <n v="2192.1400000000003"/>
    <n v="640415"/>
    <s v="LY"/>
    <s v="Search-Amazon"/>
    <s v="Amazon"/>
  </r>
  <r>
    <s v="Biolage"/>
    <x v="2"/>
    <x v="1"/>
    <s v="Amazon"/>
    <s v="Amazon"/>
    <x v="9"/>
    <d v="2023-01-01T00:00:00"/>
    <n v="9400.9896000000044"/>
    <n v="1092307"/>
    <s v="LY"/>
    <s v="Display-Amazon"/>
    <s v="Amazon"/>
  </r>
  <r>
    <s v="Biolage"/>
    <x v="2"/>
    <x v="2"/>
    <s v="Amazon"/>
    <s v="Amazon"/>
    <x v="9"/>
    <d v="2023-01-01T00:00:00"/>
    <n v="6580.8700000000026"/>
    <n v="1293897"/>
    <s v="LY"/>
    <s v="Search-Amazon"/>
    <s v="Amazon"/>
  </r>
  <r>
    <s v="Biolage"/>
    <x v="3"/>
    <x v="1"/>
    <s v="Amazon"/>
    <s v="Amazon"/>
    <x v="9"/>
    <d v="2023-01-01T00:00:00"/>
    <n v="5023.656600000003"/>
    <n v="554421"/>
    <s v="LY"/>
    <s v="Display-Amazon"/>
    <s v="Amazon"/>
  </r>
  <r>
    <s v="Biolage"/>
    <x v="3"/>
    <x v="2"/>
    <s v="Amazon"/>
    <s v="Amazon"/>
    <x v="9"/>
    <d v="2023-01-01T00:00:00"/>
    <n v="3448.2400000000007"/>
    <n v="1029309"/>
    <s v="LY"/>
    <s v="Search-Amazon"/>
    <s v="Amazon"/>
  </r>
  <r>
    <s v="Biolage"/>
    <x v="4"/>
    <x v="1"/>
    <s v="Amazon"/>
    <s v="Amazon"/>
    <x v="9"/>
    <d v="2023-01-01T00:00:00"/>
    <n v="4754.7316000000001"/>
    <n v="537208"/>
    <s v="LY"/>
    <s v="Display-Amazon"/>
    <s v="Amazon"/>
  </r>
  <r>
    <s v="Biolage"/>
    <x v="4"/>
    <x v="2"/>
    <s v="Amazon"/>
    <s v="Amazon"/>
    <x v="9"/>
    <d v="2023-01-01T00:00:00"/>
    <n v="4232.1999999999989"/>
    <n v="1611220"/>
    <s v="LY"/>
    <s v="Search-Amazon"/>
    <s v="Amazon"/>
  </r>
  <r>
    <s v="Biolage"/>
    <x v="6"/>
    <x v="2"/>
    <s v="Amazon"/>
    <s v="Amazon"/>
    <x v="9"/>
    <d v="2023-01-01T00:00:00"/>
    <n v="33.820000000000007"/>
    <n v="25234"/>
    <s v="LY"/>
    <s v="Search-Amazon"/>
    <s v="Amazon"/>
  </r>
  <r>
    <s v="Biolage"/>
    <x v="0"/>
    <x v="2"/>
    <s v="Google"/>
    <s v="Biolage"/>
    <x v="9"/>
    <d v="2023-01-01T00:00:00"/>
    <n v="12602.690000000002"/>
    <n v="39432"/>
    <s v="LY"/>
    <s v="Search-Google"/>
    <s v="Search"/>
  </r>
  <r>
    <s v="Biolage"/>
    <x v="0"/>
    <x v="0"/>
    <s v="Pinterest"/>
    <s v="Other"/>
    <x v="10"/>
    <d v="2023-01-01T00:00:00"/>
    <n v="3480.1052730000001"/>
    <n v="1082526"/>
    <s v="LY"/>
    <s v="Social-Pinterest"/>
    <s v="Pinterest"/>
  </r>
  <r>
    <s v="Biolage"/>
    <x v="1"/>
    <x v="1"/>
    <s v="Amazon"/>
    <s v="Amazon"/>
    <x v="10"/>
    <d v="2023-01-01T00:00:00"/>
    <n v="5185.8033999999998"/>
    <n v="695693"/>
    <s v="LY"/>
    <s v="Display-Amazon"/>
    <s v="Amazon"/>
  </r>
  <r>
    <s v="Biolage"/>
    <x v="1"/>
    <x v="2"/>
    <s v="Amazon"/>
    <s v="Amazon"/>
    <x v="10"/>
    <d v="2023-01-01T00:00:00"/>
    <n v="7264.7199999999993"/>
    <n v="1263444"/>
    <s v="LY"/>
    <s v="Search-Amazon"/>
    <s v="Amazon"/>
  </r>
  <r>
    <s v="Biolage"/>
    <x v="0"/>
    <x v="1"/>
    <s v="Amazon"/>
    <s v="Amazon"/>
    <x v="10"/>
    <d v="2023-01-01T00:00:00"/>
    <n v="3748.4553999999998"/>
    <n v="1364814"/>
    <s v="LY"/>
    <s v="Display-Amazon"/>
    <s v="Amazon"/>
  </r>
  <r>
    <s v="Biolage"/>
    <x v="0"/>
    <x v="2"/>
    <s v="Amazon"/>
    <s v="Amazon"/>
    <x v="10"/>
    <d v="2023-01-01T00:00:00"/>
    <n v="2109.2899999999995"/>
    <n v="598304"/>
    <s v="LY"/>
    <s v="Search-Amazon"/>
    <s v="Amazon"/>
  </r>
  <r>
    <s v="Biolage"/>
    <x v="2"/>
    <x v="1"/>
    <s v="Amazon"/>
    <s v="Amazon"/>
    <x v="10"/>
    <d v="2023-01-01T00:00:00"/>
    <n v="5948.8983999999973"/>
    <n v="956122"/>
    <s v="LY"/>
    <s v="Display-Amazon"/>
    <s v="Amazon"/>
  </r>
  <r>
    <s v="Biolage"/>
    <x v="2"/>
    <x v="2"/>
    <s v="Amazon"/>
    <s v="Amazon"/>
    <x v="10"/>
    <d v="2023-01-01T00:00:00"/>
    <n v="7492.2000000000016"/>
    <n v="1003932"/>
    <s v="LY"/>
    <s v="Search-Amazon"/>
    <s v="Amazon"/>
  </r>
  <r>
    <s v="Biolage"/>
    <x v="3"/>
    <x v="1"/>
    <s v="Amazon"/>
    <s v="Amazon"/>
    <x v="10"/>
    <d v="2023-01-01T00:00:00"/>
    <n v="3559.2014000000004"/>
    <n v="461366"/>
    <s v="LY"/>
    <s v="Display-Amazon"/>
    <s v="Amazon"/>
  </r>
  <r>
    <s v="Biolage"/>
    <x v="3"/>
    <x v="2"/>
    <s v="Amazon"/>
    <s v="Amazon"/>
    <x v="10"/>
    <d v="2023-01-01T00:00:00"/>
    <n v="3757.8999999999992"/>
    <n v="911126"/>
    <s v="LY"/>
    <s v="Search-Amazon"/>
    <s v="Amazon"/>
  </r>
  <r>
    <s v="Biolage"/>
    <x v="4"/>
    <x v="1"/>
    <s v="Amazon"/>
    <s v="Amazon"/>
    <x v="10"/>
    <d v="2023-01-01T00:00:00"/>
    <n v="3636.9271999999992"/>
    <n v="550405"/>
    <s v="LY"/>
    <s v="Display-Amazon"/>
    <s v="Amazon"/>
  </r>
  <r>
    <s v="Biolage"/>
    <x v="4"/>
    <x v="2"/>
    <s v="Amazon"/>
    <s v="Amazon"/>
    <x v="10"/>
    <d v="2023-01-01T00:00:00"/>
    <n v="4772.46"/>
    <n v="1962236"/>
    <s v="LY"/>
    <s v="Search-Amazon"/>
    <s v="Amazon"/>
  </r>
  <r>
    <s v="Biolage"/>
    <x v="6"/>
    <x v="2"/>
    <s v="Amazon"/>
    <s v="Amazon"/>
    <x v="10"/>
    <d v="2023-01-01T00:00:00"/>
    <n v="5.69"/>
    <n v="6391"/>
    <s v="LY"/>
    <s v="Search-Amazon"/>
    <s v="Amazon"/>
  </r>
  <r>
    <s v="Biolage"/>
    <x v="0"/>
    <x v="2"/>
    <s v="Google"/>
    <s v="Biolage"/>
    <x v="10"/>
    <d v="2023-01-01T00:00:00"/>
    <n v="13193.209999999997"/>
    <n v="39833"/>
    <s v="LY"/>
    <s v="Search-Google"/>
    <s v="Search"/>
  </r>
  <r>
    <s v="Biolage"/>
    <x v="7"/>
    <x v="0"/>
    <s v="Meta"/>
    <s v="Other"/>
    <x v="11"/>
    <d v="2023-01-01T00:00:00"/>
    <n v="3288.6699899999999"/>
    <n v="218398"/>
    <s v="LY"/>
    <s v="Social-Meta"/>
    <s v="Meta"/>
  </r>
  <r>
    <s v="Biolage"/>
    <x v="1"/>
    <x v="1"/>
    <s v="Amazon"/>
    <s v="Amazon"/>
    <x v="11"/>
    <d v="2023-01-01T00:00:00"/>
    <n v="5286.1116999999986"/>
    <n v="790554"/>
    <s v="LY"/>
    <s v="Display-Amazon"/>
    <s v="Amazon"/>
  </r>
  <r>
    <s v="Biolage"/>
    <x v="1"/>
    <x v="2"/>
    <s v="Amazon"/>
    <s v="Amazon"/>
    <x v="11"/>
    <d v="2023-01-01T00:00:00"/>
    <n v="6410.6700000000019"/>
    <n v="979023"/>
    <s v="LY"/>
    <s v="Search-Amazon"/>
    <s v="Amazon"/>
  </r>
  <r>
    <s v="Biolage"/>
    <x v="0"/>
    <x v="1"/>
    <s v="Amazon"/>
    <s v="Amazon"/>
    <x v="11"/>
    <d v="2023-01-01T00:00:00"/>
    <n v="3345.7719000000006"/>
    <n v="1399690"/>
    <s v="LY"/>
    <s v="Display-Amazon"/>
    <s v="Amazon"/>
  </r>
  <r>
    <s v="Biolage"/>
    <x v="0"/>
    <x v="2"/>
    <s v="Amazon"/>
    <s v="Amazon"/>
    <x v="11"/>
    <d v="2023-01-01T00:00:00"/>
    <n v="2960.1799999999994"/>
    <n v="587208"/>
    <s v="LY"/>
    <s v="Search-Amazon"/>
    <s v="Amazon"/>
  </r>
  <r>
    <s v="Biolage"/>
    <x v="2"/>
    <x v="1"/>
    <s v="Amazon"/>
    <s v="Amazon"/>
    <x v="11"/>
    <d v="2023-01-01T00:00:00"/>
    <n v="6560.9118999999973"/>
    <n v="1082202"/>
    <s v="LY"/>
    <s v="Display-Amazon"/>
    <s v="Amazon"/>
  </r>
  <r>
    <s v="Biolage"/>
    <x v="2"/>
    <x v="2"/>
    <s v="Amazon"/>
    <s v="Amazon"/>
    <x v="11"/>
    <d v="2023-01-01T00:00:00"/>
    <n v="8166.6700000000055"/>
    <n v="1021776"/>
    <s v="LY"/>
    <s v="Search-Amazon"/>
    <s v="Amazon"/>
  </r>
  <r>
    <s v="Biolage"/>
    <x v="3"/>
    <x v="1"/>
    <s v="Amazon"/>
    <s v="Amazon"/>
    <x v="11"/>
    <d v="2023-01-01T00:00:00"/>
    <n v="3982.9713999999985"/>
    <n v="512097"/>
    <s v="LY"/>
    <s v="Display-Amazon"/>
    <s v="Amazon"/>
  </r>
  <r>
    <s v="Biolage"/>
    <x v="3"/>
    <x v="2"/>
    <s v="Amazon"/>
    <s v="Amazon"/>
    <x v="11"/>
    <d v="2023-01-01T00:00:00"/>
    <n v="3708.8599999999983"/>
    <n v="868829"/>
    <s v="LY"/>
    <s v="Search-Amazon"/>
    <s v="Amazon"/>
  </r>
  <r>
    <s v="Biolage"/>
    <x v="4"/>
    <x v="1"/>
    <s v="Amazon"/>
    <s v="Amazon"/>
    <x v="11"/>
    <d v="2023-01-01T00:00:00"/>
    <n v="3601.9108000000001"/>
    <n v="549674"/>
    <s v="LY"/>
    <s v="Display-Amazon"/>
    <s v="Amazon"/>
  </r>
  <r>
    <s v="Biolage"/>
    <x v="4"/>
    <x v="2"/>
    <s v="Amazon"/>
    <s v="Amazon"/>
    <x v="11"/>
    <d v="2023-01-01T00:00:00"/>
    <n v="4385.33"/>
    <n v="1669530"/>
    <s v="LY"/>
    <s v="Search-Amazon"/>
    <s v="Amazon"/>
  </r>
  <r>
    <s v="Biolage"/>
    <x v="6"/>
    <x v="2"/>
    <s v="Amazon"/>
    <s v="Amazon"/>
    <x v="11"/>
    <d v="2023-01-01T00:00:00"/>
    <n v="0.26"/>
    <n v="72"/>
    <s v="LY"/>
    <s v="Search-Amazon"/>
    <s v="Amazon"/>
  </r>
  <r>
    <s v="Biolage"/>
    <x v="0"/>
    <x v="2"/>
    <s v="Google"/>
    <s v="Biolage"/>
    <x v="11"/>
    <d v="2023-01-01T00:00:00"/>
    <n v="13804.890000000003"/>
    <n v="45241"/>
    <s v="LY"/>
    <s v="Search-Google"/>
    <s v="Search"/>
  </r>
  <r>
    <s v="Biolage"/>
    <x v="7"/>
    <x v="0"/>
    <s v="Meta"/>
    <s v="Other"/>
    <x v="12"/>
    <d v="2023-01-01T00:00:00"/>
    <n v="14175.450015"/>
    <n v="893066"/>
    <s v="LY"/>
    <s v="Social-Meta"/>
    <s v="Meta"/>
  </r>
  <r>
    <s v="Biolage"/>
    <x v="1"/>
    <x v="1"/>
    <s v="Amazon"/>
    <s v="Amazon"/>
    <x v="12"/>
    <d v="2023-01-01T00:00:00"/>
    <n v="5305.3565999999973"/>
    <n v="743579"/>
    <s v="LY"/>
    <s v="Display-Amazon"/>
    <s v="Amazon"/>
  </r>
  <r>
    <s v="Biolage"/>
    <x v="1"/>
    <x v="2"/>
    <s v="Amazon"/>
    <s v="Amazon"/>
    <x v="12"/>
    <d v="2023-01-01T00:00:00"/>
    <n v="8174.7600000000048"/>
    <n v="1351163"/>
    <s v="LY"/>
    <s v="Search-Amazon"/>
    <s v="Amazon"/>
  </r>
  <r>
    <s v="Biolage"/>
    <x v="0"/>
    <x v="1"/>
    <s v="Amazon"/>
    <s v="Amazon"/>
    <x v="12"/>
    <d v="2023-01-01T00:00:00"/>
    <n v="3905.2513000000017"/>
    <n v="1399368"/>
    <s v="LY"/>
    <s v="Display-Amazon"/>
    <s v="Amazon"/>
  </r>
  <r>
    <s v="Biolage"/>
    <x v="0"/>
    <x v="2"/>
    <s v="Amazon"/>
    <s v="Amazon"/>
    <x v="12"/>
    <d v="2023-01-01T00:00:00"/>
    <n v="3158.5"/>
    <n v="636873"/>
    <s v="LY"/>
    <s v="Search-Amazon"/>
    <s v="Amazon"/>
  </r>
  <r>
    <s v="Biolage"/>
    <x v="2"/>
    <x v="1"/>
    <s v="Amazon"/>
    <s v="Amazon"/>
    <x v="12"/>
    <d v="2023-01-01T00:00:00"/>
    <n v="4838.3943999999983"/>
    <n v="721878"/>
    <s v="LY"/>
    <s v="Display-Amazon"/>
    <s v="Amazon"/>
  </r>
  <r>
    <s v="Biolage"/>
    <x v="2"/>
    <x v="2"/>
    <s v="Amazon"/>
    <s v="Amazon"/>
    <x v="12"/>
    <d v="2023-01-01T00:00:00"/>
    <n v="10469.630000000006"/>
    <n v="1331006"/>
    <s v="LY"/>
    <s v="Search-Amazon"/>
    <s v="Amazon"/>
  </r>
  <r>
    <s v="Biolage"/>
    <x v="3"/>
    <x v="1"/>
    <s v="Amazon"/>
    <s v="Amazon"/>
    <x v="12"/>
    <d v="2023-01-01T00:00:00"/>
    <n v="4712.5533999999989"/>
    <n v="641220"/>
    <s v="LY"/>
    <s v="Display-Amazon"/>
    <s v="Amazon"/>
  </r>
  <r>
    <s v="Biolage"/>
    <x v="3"/>
    <x v="2"/>
    <s v="Amazon"/>
    <s v="Amazon"/>
    <x v="12"/>
    <d v="2023-01-01T00:00:00"/>
    <n v="8455.8700000000026"/>
    <n v="1116221"/>
    <s v="LY"/>
    <s v="Search-Amazon"/>
    <s v="Amazon"/>
  </r>
  <r>
    <s v="Biolage"/>
    <x v="4"/>
    <x v="1"/>
    <s v="Amazon"/>
    <s v="Amazon"/>
    <x v="12"/>
    <d v="2023-01-01T00:00:00"/>
    <n v="4453.5141000000012"/>
    <n v="601611"/>
    <s v="LY"/>
    <s v="Display-Amazon"/>
    <s v="Amazon"/>
  </r>
  <r>
    <s v="Biolage"/>
    <x v="4"/>
    <x v="2"/>
    <s v="Amazon"/>
    <s v="Amazon"/>
    <x v="12"/>
    <d v="2023-01-01T00:00:00"/>
    <n v="5088.2300000000005"/>
    <n v="1614233"/>
    <s v="LY"/>
    <s v="Search-Amazon"/>
    <s v="Amazon"/>
  </r>
  <r>
    <s v="Biolage"/>
    <x v="6"/>
    <x v="2"/>
    <s v="Amazon"/>
    <s v="Amazon"/>
    <x v="12"/>
    <d v="2023-01-01T00:00:00"/>
    <n v="0.65"/>
    <n v="232"/>
    <s v="LY"/>
    <s v="Search-Amazon"/>
    <s v="Amazon"/>
  </r>
  <r>
    <s v="Biolage"/>
    <x v="0"/>
    <x v="2"/>
    <s v="Google"/>
    <s v="Biolage"/>
    <x v="12"/>
    <d v="2023-01-01T00:00:00"/>
    <n v="12584.519999999997"/>
    <n v="47040"/>
    <s v="LY"/>
    <s v="Search-Google"/>
    <s v="Search"/>
  </r>
  <r>
    <s v="Biolage"/>
    <x v="7"/>
    <x v="0"/>
    <s v="Meta"/>
    <s v="Other"/>
    <x v="13"/>
    <d v="2023-01-01T00:00:00"/>
    <n v="6168.8799960000015"/>
    <n v="329275"/>
    <s v="LY"/>
    <s v="Social-Meta"/>
    <s v="Meta"/>
  </r>
  <r>
    <s v="Biolage"/>
    <x v="1"/>
    <x v="1"/>
    <s v="Amazon"/>
    <s v="Amazon"/>
    <x v="13"/>
    <d v="2023-01-01T00:00:00"/>
    <n v="5364.8403000000008"/>
    <n v="906634"/>
    <s v="LY"/>
    <s v="Display-Amazon"/>
    <s v="Amazon"/>
  </r>
  <r>
    <s v="Biolage"/>
    <x v="1"/>
    <x v="2"/>
    <s v="Amazon"/>
    <s v="Amazon"/>
    <x v="13"/>
    <d v="2023-01-01T00:00:00"/>
    <n v="11149.360000000002"/>
    <n v="2173293"/>
    <s v="LY"/>
    <s v="Search-Amazon"/>
    <s v="Amazon"/>
  </r>
  <r>
    <s v="Biolage"/>
    <x v="0"/>
    <x v="1"/>
    <s v="Amazon"/>
    <s v="Amazon"/>
    <x v="13"/>
    <d v="2023-01-01T00:00:00"/>
    <n v="4495.1247000000003"/>
    <n v="1526553"/>
    <s v="LY"/>
    <s v="Display-Amazon"/>
    <s v="Amazon"/>
  </r>
  <r>
    <s v="Biolage"/>
    <x v="0"/>
    <x v="2"/>
    <s v="Amazon"/>
    <s v="Amazon"/>
    <x v="13"/>
    <d v="2023-01-01T00:00:00"/>
    <n v="2960.0099999999993"/>
    <n v="767431"/>
    <s v="LY"/>
    <s v="Search-Amazon"/>
    <s v="Amazon"/>
  </r>
  <r>
    <s v="Biolage"/>
    <x v="2"/>
    <x v="1"/>
    <s v="Amazon"/>
    <s v="Amazon"/>
    <x v="13"/>
    <d v="2023-01-01T00:00:00"/>
    <n v="2774.3762999999994"/>
    <n v="266672"/>
    <s v="LY"/>
    <s v="Display-Amazon"/>
    <s v="Amazon"/>
  </r>
  <r>
    <s v="Biolage"/>
    <x v="2"/>
    <x v="2"/>
    <s v="Amazon"/>
    <s v="Amazon"/>
    <x v="13"/>
    <d v="2023-01-01T00:00:00"/>
    <n v="7474.56"/>
    <n v="1446597"/>
    <s v="LY"/>
    <s v="Search-Amazon"/>
    <s v="Amazon"/>
  </r>
  <r>
    <s v="Biolage"/>
    <x v="3"/>
    <x v="1"/>
    <s v="Amazon"/>
    <s v="Amazon"/>
    <x v="13"/>
    <d v="2023-01-01T00:00:00"/>
    <n v="5622.0327999999981"/>
    <n v="801519"/>
    <s v="LY"/>
    <s v="Display-Amazon"/>
    <s v="Amazon"/>
  </r>
  <r>
    <s v="Biolage"/>
    <x v="3"/>
    <x v="2"/>
    <s v="Amazon"/>
    <s v="Amazon"/>
    <x v="13"/>
    <d v="2023-01-01T00:00:00"/>
    <n v="9952.9200000000037"/>
    <n v="1649973"/>
    <s v="LY"/>
    <s v="Search-Amazon"/>
    <s v="Amazon"/>
  </r>
  <r>
    <s v="Biolage"/>
    <x v="4"/>
    <x v="1"/>
    <s v="Amazon"/>
    <s v="Amazon"/>
    <x v="13"/>
    <d v="2023-01-01T00:00:00"/>
    <n v="6152.8482999999978"/>
    <n v="753805"/>
    <s v="LY"/>
    <s v="Display-Amazon"/>
    <s v="Amazon"/>
  </r>
  <r>
    <s v="Biolage"/>
    <x v="4"/>
    <x v="2"/>
    <s v="Amazon"/>
    <s v="Amazon"/>
    <x v="13"/>
    <d v="2023-01-01T00:00:00"/>
    <n v="6291.2899999999991"/>
    <n v="2292534"/>
    <s v="LY"/>
    <s v="Search-Amazon"/>
    <s v="Amazon"/>
  </r>
  <r>
    <s v="Biolage"/>
    <x v="5"/>
    <x v="2"/>
    <s v="Amazon"/>
    <s v="Amazon"/>
    <x v="13"/>
    <d v="2023-01-01T00:00:00"/>
    <n v="829.62"/>
    <n v="129636"/>
    <s v="LY"/>
    <s v="Search-Amazon"/>
    <s v="Amazon"/>
  </r>
  <r>
    <s v="Biolage"/>
    <x v="8"/>
    <x v="2"/>
    <s v="Amazon"/>
    <s v="Amazon"/>
    <x v="13"/>
    <d v="2023-01-01T00:00:00"/>
    <n v="871.51"/>
    <n v="264343"/>
    <s v="LY"/>
    <s v="Search-Amazon"/>
    <s v="Amazon"/>
  </r>
  <r>
    <s v="Biolage"/>
    <x v="9"/>
    <x v="2"/>
    <s v="Amazon"/>
    <s v="Amazon"/>
    <x v="13"/>
    <d v="2023-01-01T00:00:00"/>
    <n v="385.07"/>
    <n v="44814"/>
    <s v="LY"/>
    <s v="Search-Amazon"/>
    <s v="Amazon"/>
  </r>
  <r>
    <s v="Biolage"/>
    <x v="6"/>
    <x v="2"/>
    <s v="Amazon"/>
    <s v="Amazon"/>
    <x v="13"/>
    <d v="2023-01-01T00:00:00"/>
    <n v="0.26"/>
    <n v="65"/>
    <s v="LY"/>
    <s v="Search-Amazon"/>
    <s v="Amazon"/>
  </r>
  <r>
    <s v="Biolage"/>
    <x v="10"/>
    <x v="2"/>
    <s v="Google"/>
    <s v="Biolage"/>
    <x v="13"/>
    <d v="2023-01-01T00:00:00"/>
    <n v="120.74000000000001"/>
    <n v="392"/>
    <s v="LY"/>
    <s v="Search-Google"/>
    <s v="Search"/>
  </r>
  <r>
    <s v="Biolage"/>
    <x v="9"/>
    <x v="2"/>
    <s v="Google"/>
    <s v="Biolage"/>
    <x v="13"/>
    <d v="2023-01-01T00:00:00"/>
    <n v="10.97"/>
    <n v="138"/>
    <s v="LY"/>
    <s v="Search-Google"/>
    <s v="Search"/>
  </r>
  <r>
    <s v="Biolage"/>
    <x v="0"/>
    <x v="2"/>
    <s v="Google"/>
    <s v="Biolage"/>
    <x v="13"/>
    <d v="2023-01-01T00:00:00"/>
    <n v="13169.369999999995"/>
    <n v="43559"/>
    <s v="LY"/>
    <s v="Search-Google"/>
    <s v="Search"/>
  </r>
  <r>
    <s v="Biolage"/>
    <x v="2"/>
    <x v="2"/>
    <s v="Google"/>
    <s v="Biolage"/>
    <x v="13"/>
    <d v="2023-01-01T00:00:00"/>
    <n v="118.06"/>
    <n v="837"/>
    <s v="LY"/>
    <s v="Search-Google"/>
    <s v="Search"/>
  </r>
  <r>
    <s v="Biolage"/>
    <x v="11"/>
    <x v="2"/>
    <s v="Google"/>
    <s v="Biolage"/>
    <x v="13"/>
    <d v="2023-01-01T00:00:00"/>
    <n v="9.6300000000000008"/>
    <n v="13"/>
    <s v="LY"/>
    <s v="Search-Google"/>
    <s v="Search"/>
  </r>
  <r>
    <s v="Biolage"/>
    <x v="1"/>
    <x v="2"/>
    <s v="Google"/>
    <s v="Biolage"/>
    <x v="13"/>
    <d v="2023-01-01T00:00:00"/>
    <n v="232.94000000000003"/>
    <n v="1152"/>
    <s v="LY"/>
    <s v="Search-Google"/>
    <s v="Search"/>
  </r>
  <r>
    <s v="Biolage"/>
    <x v="5"/>
    <x v="2"/>
    <s v="Google"/>
    <s v="Biolage"/>
    <x v="13"/>
    <d v="2023-01-01T00:00:00"/>
    <n v="116.12"/>
    <n v="547"/>
    <s v="LY"/>
    <s v="Search-Google"/>
    <s v="Search"/>
  </r>
  <r>
    <s v="Biolage"/>
    <x v="8"/>
    <x v="2"/>
    <s v="Google"/>
    <s v="Biolage"/>
    <x v="13"/>
    <d v="2023-01-01T00:00:00"/>
    <n v="152.44"/>
    <n v="446"/>
    <s v="LY"/>
    <s v="Search-Google"/>
    <s v="Search"/>
  </r>
  <r>
    <s v="Biolage"/>
    <x v="3"/>
    <x v="2"/>
    <s v="Google"/>
    <s v="Biolage"/>
    <x v="13"/>
    <d v="2023-01-01T00:00:00"/>
    <n v="302.26"/>
    <n v="916"/>
    <s v="LY"/>
    <s v="Search-Google"/>
    <s v="Search"/>
  </r>
  <r>
    <s v="Biolage"/>
    <x v="4"/>
    <x v="2"/>
    <s v="Google"/>
    <s v="Biolage"/>
    <x v="13"/>
    <d v="2023-01-01T00:00:00"/>
    <n v="184.83"/>
    <n v="742"/>
    <s v="LY"/>
    <s v="Search-Google"/>
    <s v="Search"/>
  </r>
  <r>
    <s v="Biolage"/>
    <x v="1"/>
    <x v="1"/>
    <s v="Amazon"/>
    <s v="Amazon"/>
    <x v="14"/>
    <d v="2023-01-01T00:00:00"/>
    <n v="6597.4694999999965"/>
    <n v="1134857"/>
    <s v="LY"/>
    <s v="Display-Amazon"/>
    <s v="Amazon"/>
  </r>
  <r>
    <s v="Biolage"/>
    <x v="1"/>
    <x v="2"/>
    <s v="Amazon"/>
    <s v="Amazon"/>
    <x v="14"/>
    <d v="2023-01-01T00:00:00"/>
    <n v="11636.359999999993"/>
    <n v="2013862"/>
    <s v="LY"/>
    <s v="Search-Amazon"/>
    <s v="Amazon"/>
  </r>
  <r>
    <s v="Biolage"/>
    <x v="0"/>
    <x v="1"/>
    <s v="Amazon"/>
    <s v="Amazon"/>
    <x v="14"/>
    <d v="2023-01-01T00:00:00"/>
    <n v="12509.161800000007"/>
    <n v="2666402"/>
    <s v="LY"/>
    <s v="Display-Amazon"/>
    <s v="Amazon"/>
  </r>
  <r>
    <s v="Biolage"/>
    <x v="0"/>
    <x v="2"/>
    <s v="Amazon"/>
    <s v="Amazon"/>
    <x v="14"/>
    <d v="2023-01-01T00:00:00"/>
    <n v="3689.5800000000004"/>
    <n v="996228"/>
    <s v="LY"/>
    <s v="Search-Amazon"/>
    <s v="Amazon"/>
  </r>
  <r>
    <s v="Biolage"/>
    <x v="2"/>
    <x v="1"/>
    <s v="Amazon"/>
    <s v="Amazon"/>
    <x v="14"/>
    <d v="2023-01-01T00:00:00"/>
    <n v="6464.8902000000007"/>
    <n v="872306"/>
    <s v="LY"/>
    <s v="Display-Amazon"/>
    <s v="Amazon"/>
  </r>
  <r>
    <s v="Biolage"/>
    <x v="2"/>
    <x v="2"/>
    <s v="Amazon"/>
    <s v="Amazon"/>
    <x v="14"/>
    <d v="2023-01-01T00:00:00"/>
    <n v="10517.14"/>
    <n v="2393271"/>
    <s v="LY"/>
    <s v="Search-Amazon"/>
    <s v="Amazon"/>
  </r>
  <r>
    <s v="Biolage"/>
    <x v="3"/>
    <x v="1"/>
    <s v="Amazon"/>
    <s v="Amazon"/>
    <x v="14"/>
    <d v="2023-01-01T00:00:00"/>
    <n v="6333.9197999999997"/>
    <n v="950677"/>
    <s v="LY"/>
    <s v="Display-Amazon"/>
    <s v="Amazon"/>
  </r>
  <r>
    <s v="Biolage"/>
    <x v="3"/>
    <x v="2"/>
    <s v="Amazon"/>
    <s v="Amazon"/>
    <x v="14"/>
    <d v="2023-01-01T00:00:00"/>
    <n v="14860.779999999997"/>
    <n v="2247214"/>
    <s v="LY"/>
    <s v="Search-Amazon"/>
    <s v="Amazon"/>
  </r>
  <r>
    <s v="Biolage"/>
    <x v="4"/>
    <x v="1"/>
    <s v="Amazon"/>
    <s v="Amazon"/>
    <x v="14"/>
    <d v="2023-01-01T00:00:00"/>
    <n v="6076.0272000000004"/>
    <n v="828135"/>
    <s v="LY"/>
    <s v="Display-Amazon"/>
    <s v="Amazon"/>
  </r>
  <r>
    <s v="Biolage"/>
    <x v="4"/>
    <x v="2"/>
    <s v="Amazon"/>
    <s v="Amazon"/>
    <x v="14"/>
    <d v="2023-01-01T00:00:00"/>
    <n v="7981.7900000000009"/>
    <n v="2662704"/>
    <s v="LY"/>
    <s v="Search-Amazon"/>
    <s v="Amazon"/>
  </r>
  <r>
    <s v="Biolage"/>
    <x v="5"/>
    <x v="2"/>
    <s v="Amazon"/>
    <s v="Amazon"/>
    <x v="14"/>
    <d v="2023-01-01T00:00:00"/>
    <n v="1675.3"/>
    <n v="292335"/>
    <s v="LY"/>
    <s v="Search-Amazon"/>
    <s v="Amazon"/>
  </r>
  <r>
    <s v="Biolage"/>
    <x v="8"/>
    <x v="2"/>
    <s v="Amazon"/>
    <s v="Amazon"/>
    <x v="14"/>
    <d v="2023-01-01T00:00:00"/>
    <n v="2987.19"/>
    <n v="891471"/>
    <s v="LY"/>
    <s v="Search-Amazon"/>
    <s v="Amazon"/>
  </r>
  <r>
    <s v="Biolage"/>
    <x v="9"/>
    <x v="2"/>
    <s v="Amazon"/>
    <s v="Amazon"/>
    <x v="14"/>
    <d v="2023-01-01T00:00:00"/>
    <n v="510.67999999999995"/>
    <n v="89232"/>
    <s v="LY"/>
    <s v="Search-Amazon"/>
    <s v="Amazon"/>
  </r>
  <r>
    <s v="Biolage"/>
    <x v="10"/>
    <x v="2"/>
    <s v="Google"/>
    <s v="Biolage"/>
    <x v="14"/>
    <d v="2023-01-01T00:00:00"/>
    <n v="131.97"/>
    <n v="441"/>
    <s v="LY"/>
    <s v="Search-Google"/>
    <s v="Search"/>
  </r>
  <r>
    <s v="Biolage"/>
    <x v="9"/>
    <x v="2"/>
    <s v="Google"/>
    <s v="Biolage"/>
    <x v="14"/>
    <d v="2023-01-01T00:00:00"/>
    <n v="23.72"/>
    <n v="309"/>
    <s v="LY"/>
    <s v="Search-Google"/>
    <s v="Search"/>
  </r>
  <r>
    <s v="Biolage"/>
    <x v="0"/>
    <x v="2"/>
    <s v="Google"/>
    <s v="Biolage"/>
    <x v="14"/>
    <d v="2023-01-01T00:00:00"/>
    <n v="11897.369999999997"/>
    <n v="35878"/>
    <s v="LY"/>
    <s v="Search-Google"/>
    <s v="Search"/>
  </r>
  <r>
    <s v="Biolage"/>
    <x v="2"/>
    <x v="2"/>
    <s v="Google"/>
    <s v="Biolage"/>
    <x v="14"/>
    <d v="2023-01-01T00:00:00"/>
    <n v="161.30000000000001"/>
    <n v="1024"/>
    <s v="LY"/>
    <s v="Search-Google"/>
    <s v="Search"/>
  </r>
  <r>
    <s v="Biolage"/>
    <x v="11"/>
    <x v="2"/>
    <s v="Google"/>
    <s v="Biolage"/>
    <x v="14"/>
    <d v="2023-01-01T00:00:00"/>
    <n v="70"/>
    <n v="306"/>
    <s v="LY"/>
    <s v="Search-Google"/>
    <s v="Search"/>
  </r>
  <r>
    <s v="Biolage"/>
    <x v="1"/>
    <x v="2"/>
    <s v="Google"/>
    <s v="Biolage"/>
    <x v="14"/>
    <d v="2023-01-01T00:00:00"/>
    <n v="278.21999999999997"/>
    <n v="1317"/>
    <s v="LY"/>
    <s v="Search-Google"/>
    <s v="Search"/>
  </r>
  <r>
    <s v="Biolage"/>
    <x v="5"/>
    <x v="2"/>
    <s v="Google"/>
    <s v="Biolage"/>
    <x v="14"/>
    <d v="2023-01-01T00:00:00"/>
    <n v="155.5"/>
    <n v="707"/>
    <s v="LY"/>
    <s v="Search-Google"/>
    <s v="Search"/>
  </r>
  <r>
    <s v="Biolage"/>
    <x v="8"/>
    <x v="2"/>
    <s v="Google"/>
    <s v="Biolage"/>
    <x v="14"/>
    <d v="2023-01-01T00:00:00"/>
    <n v="122.99000000000001"/>
    <n v="547"/>
    <s v="LY"/>
    <s v="Search-Google"/>
    <s v="Search"/>
  </r>
  <r>
    <s v="Biolage"/>
    <x v="3"/>
    <x v="2"/>
    <s v="Google"/>
    <s v="Biolage"/>
    <x v="14"/>
    <d v="2023-01-01T00:00:00"/>
    <n v="229.57999999999998"/>
    <n v="726"/>
    <s v="LY"/>
    <s v="Search-Google"/>
    <s v="Search"/>
  </r>
  <r>
    <s v="Biolage"/>
    <x v="4"/>
    <x v="2"/>
    <s v="Google"/>
    <s v="Biolage"/>
    <x v="14"/>
    <d v="2023-01-01T00:00:00"/>
    <n v="213.68"/>
    <n v="922"/>
    <s v="LY"/>
    <s v="Search-Google"/>
    <s v="Search"/>
  </r>
  <r>
    <s v="Biolage"/>
    <x v="1"/>
    <x v="1"/>
    <s v="Amazon"/>
    <s v="Amazon"/>
    <x v="15"/>
    <d v="2023-01-01T00:00:00"/>
    <n v="7568.5074000000022"/>
    <n v="1350757"/>
    <s v="LY"/>
    <s v="Display-Amazon"/>
    <s v="Amazon"/>
  </r>
  <r>
    <s v="Biolage"/>
    <x v="1"/>
    <x v="2"/>
    <s v="Amazon"/>
    <s v="Amazon"/>
    <x v="15"/>
    <d v="2023-01-01T00:00:00"/>
    <n v="10466.210000000003"/>
    <n v="2058765"/>
    <s v="LY"/>
    <s v="Search-Amazon"/>
    <s v="Amazon"/>
  </r>
  <r>
    <s v="Biolage"/>
    <x v="0"/>
    <x v="1"/>
    <s v="Amazon"/>
    <s v="Amazon"/>
    <x v="15"/>
    <d v="2023-01-01T00:00:00"/>
    <n v="10359.204599999997"/>
    <n v="2687228"/>
    <s v="LY"/>
    <s v="Display-Amazon"/>
    <s v="Amazon"/>
  </r>
  <r>
    <s v="Biolage"/>
    <x v="0"/>
    <x v="2"/>
    <s v="Amazon"/>
    <s v="Amazon"/>
    <x v="15"/>
    <d v="2023-01-01T00:00:00"/>
    <n v="3223.619999999999"/>
    <n v="878800"/>
    <s v="LY"/>
    <s v="Search-Amazon"/>
    <s v="Amazon"/>
  </r>
  <r>
    <s v="Biolage"/>
    <x v="2"/>
    <x v="1"/>
    <s v="Amazon"/>
    <s v="Amazon"/>
    <x v="15"/>
    <d v="2023-01-01T00:00:00"/>
    <n v="7350.6913000000031"/>
    <n v="958900"/>
    <s v="LY"/>
    <s v="Display-Amazon"/>
    <s v="Amazon"/>
  </r>
  <r>
    <s v="Biolage"/>
    <x v="2"/>
    <x v="2"/>
    <s v="Amazon"/>
    <s v="Amazon"/>
    <x v="15"/>
    <d v="2023-01-01T00:00:00"/>
    <n v="11177.240000000003"/>
    <n v="2155957"/>
    <s v="LY"/>
    <s v="Search-Amazon"/>
    <s v="Amazon"/>
  </r>
  <r>
    <s v="Biolage"/>
    <x v="3"/>
    <x v="1"/>
    <s v="Amazon"/>
    <s v="Amazon"/>
    <x v="15"/>
    <d v="2023-01-01T00:00:00"/>
    <n v="7147.4304999999986"/>
    <n v="956615"/>
    <s v="LY"/>
    <s v="Display-Amazon"/>
    <s v="Amazon"/>
  </r>
  <r>
    <s v="Biolage"/>
    <x v="3"/>
    <x v="2"/>
    <s v="Amazon"/>
    <s v="Amazon"/>
    <x v="15"/>
    <d v="2023-01-01T00:00:00"/>
    <n v="10218.710000000003"/>
    <n v="1598013"/>
    <s v="LY"/>
    <s v="Search-Amazon"/>
    <s v="Amazon"/>
  </r>
  <r>
    <s v="Biolage"/>
    <x v="4"/>
    <x v="1"/>
    <s v="Amazon"/>
    <s v="Amazon"/>
    <x v="15"/>
    <d v="2023-01-01T00:00:00"/>
    <n v="6950.9208999999973"/>
    <n v="844111"/>
    <s v="LY"/>
    <s v="Display-Amazon"/>
    <s v="Amazon"/>
  </r>
  <r>
    <s v="Biolage"/>
    <x v="4"/>
    <x v="2"/>
    <s v="Amazon"/>
    <s v="Amazon"/>
    <x v="15"/>
    <d v="2023-01-01T00:00:00"/>
    <n v="6973.41"/>
    <n v="2068444"/>
    <s v="LY"/>
    <s v="Search-Amazon"/>
    <s v="Amazon"/>
  </r>
  <r>
    <s v="Biolage"/>
    <x v="5"/>
    <x v="2"/>
    <s v="Amazon"/>
    <s v="Amazon"/>
    <x v="15"/>
    <d v="2023-01-01T00:00:00"/>
    <n v="1787.6399999999996"/>
    <n v="347874"/>
    <s v="LY"/>
    <s v="Search-Amazon"/>
    <s v="Amazon"/>
  </r>
  <r>
    <s v="Biolage"/>
    <x v="8"/>
    <x v="1"/>
    <s v="Amazon"/>
    <s v="Amazon"/>
    <x v="15"/>
    <d v="2023-01-01T00:00:00"/>
    <n v="7503.6812000000009"/>
    <n v="1225004"/>
    <s v="LY"/>
    <s v="Display-Amazon"/>
    <s v="Amazon"/>
  </r>
  <r>
    <s v="Biolage"/>
    <x v="8"/>
    <x v="2"/>
    <s v="Amazon"/>
    <s v="Amazon"/>
    <x v="15"/>
    <d v="2023-01-01T00:00:00"/>
    <n v="4198.76"/>
    <n v="1077295"/>
    <s v="LY"/>
    <s v="Search-Amazon"/>
    <s v="Amazon"/>
  </r>
  <r>
    <s v="Biolage"/>
    <x v="9"/>
    <x v="2"/>
    <s v="Amazon"/>
    <s v="Amazon"/>
    <x v="15"/>
    <d v="2023-01-01T00:00:00"/>
    <n v="247.92000000000002"/>
    <n v="55210"/>
    <s v="LY"/>
    <s v="Search-Amazon"/>
    <s v="Amazon"/>
  </r>
  <r>
    <s v="Biolage"/>
    <x v="10"/>
    <x v="2"/>
    <s v="Google"/>
    <s v="Biolage"/>
    <x v="15"/>
    <d v="2023-01-01T00:00:00"/>
    <n v="106.57"/>
    <n v="394"/>
    <s v="LY"/>
    <s v="Search-Google"/>
    <s v="Search"/>
  </r>
  <r>
    <s v="Biolage"/>
    <x v="9"/>
    <x v="2"/>
    <s v="Google"/>
    <s v="Biolage"/>
    <x v="15"/>
    <d v="2023-01-01T00:00:00"/>
    <n v="102.97"/>
    <n v="520"/>
    <s v="LY"/>
    <s v="Search-Google"/>
    <s v="Search"/>
  </r>
  <r>
    <s v="Biolage"/>
    <x v="0"/>
    <x v="2"/>
    <s v="Google"/>
    <s v="Biolage"/>
    <x v="15"/>
    <d v="2023-01-01T00:00:00"/>
    <n v="11142.99"/>
    <n v="35327"/>
    <s v="LY"/>
    <s v="Search-Google"/>
    <s v="Search"/>
  </r>
  <r>
    <s v="Biolage"/>
    <x v="2"/>
    <x v="2"/>
    <s v="Google"/>
    <s v="Biolage"/>
    <x v="15"/>
    <d v="2023-01-01T00:00:00"/>
    <n v="172.49"/>
    <n v="988"/>
    <s v="LY"/>
    <s v="Search-Google"/>
    <s v="Search"/>
  </r>
  <r>
    <s v="Biolage"/>
    <x v="11"/>
    <x v="2"/>
    <s v="Google"/>
    <s v="Biolage"/>
    <x v="15"/>
    <d v="2023-01-01T00:00:00"/>
    <n v="11.56"/>
    <n v="31"/>
    <s v="LY"/>
    <s v="Search-Google"/>
    <s v="Search"/>
  </r>
  <r>
    <s v="Biolage"/>
    <x v="1"/>
    <x v="2"/>
    <s v="Google"/>
    <s v="Biolage"/>
    <x v="15"/>
    <d v="2023-01-01T00:00:00"/>
    <n v="343.06000000000006"/>
    <n v="1346"/>
    <s v="LY"/>
    <s v="Search-Google"/>
    <s v="Search"/>
  </r>
  <r>
    <s v="Biolage"/>
    <x v="5"/>
    <x v="2"/>
    <s v="Google"/>
    <s v="Biolage"/>
    <x v="15"/>
    <d v="2023-01-01T00:00:00"/>
    <n v="163.03"/>
    <n v="769"/>
    <s v="LY"/>
    <s v="Search-Google"/>
    <s v="Search"/>
  </r>
  <r>
    <s v="Biolage"/>
    <x v="8"/>
    <x v="2"/>
    <s v="Google"/>
    <s v="Biolage"/>
    <x v="15"/>
    <d v="2023-01-01T00:00:00"/>
    <n v="138.57"/>
    <n v="552"/>
    <s v="LY"/>
    <s v="Search-Google"/>
    <s v="Search"/>
  </r>
  <r>
    <s v="Biolage"/>
    <x v="3"/>
    <x v="2"/>
    <s v="Google"/>
    <s v="Biolage"/>
    <x v="15"/>
    <d v="2023-01-01T00:00:00"/>
    <n v="202.83999999999997"/>
    <n v="744"/>
    <s v="LY"/>
    <s v="Search-Google"/>
    <s v="Search"/>
  </r>
  <r>
    <s v="Biolage"/>
    <x v="4"/>
    <x v="2"/>
    <s v="Google"/>
    <s v="Biolage"/>
    <x v="15"/>
    <d v="2023-01-01T00:00:00"/>
    <n v="175.57999999999998"/>
    <n v="930"/>
    <s v="LY"/>
    <s v="Search-Google"/>
    <s v="Search"/>
  </r>
  <r>
    <s v="Biolage"/>
    <x v="1"/>
    <x v="1"/>
    <s v="Amazon"/>
    <s v="Amazon"/>
    <x v="16"/>
    <d v="2023-01-01T00:00:00"/>
    <n v="7458.609999999996"/>
    <n v="1401109"/>
    <s v="LY"/>
    <s v="Display-Amazon"/>
    <s v="Amazon"/>
  </r>
  <r>
    <s v="Biolage"/>
    <x v="1"/>
    <x v="2"/>
    <s v="Amazon"/>
    <s v="Amazon"/>
    <x v="16"/>
    <d v="2023-01-01T00:00:00"/>
    <n v="13807.340000000004"/>
    <n v="1507356"/>
    <s v="LY"/>
    <s v="Search-Amazon"/>
    <s v="Amazon"/>
  </r>
  <r>
    <s v="Biolage"/>
    <x v="0"/>
    <x v="1"/>
    <s v="Amazon"/>
    <s v="Amazon"/>
    <x v="16"/>
    <d v="2023-01-01T00:00:00"/>
    <n v="11201.155500000003"/>
    <n v="2188933"/>
    <s v="LY"/>
    <s v="Display-Amazon"/>
    <s v="Amazon"/>
  </r>
  <r>
    <s v="Biolage"/>
    <x v="0"/>
    <x v="2"/>
    <s v="Amazon"/>
    <s v="Amazon"/>
    <x v="16"/>
    <d v="2023-01-01T00:00:00"/>
    <n v="2736.4500000000003"/>
    <n v="756233"/>
    <s v="LY"/>
    <s v="Search-Amazon"/>
    <s v="Amazon"/>
  </r>
  <r>
    <s v="Biolage"/>
    <x v="2"/>
    <x v="1"/>
    <s v="Amazon"/>
    <s v="Amazon"/>
    <x v="16"/>
    <d v="2023-01-01T00:00:00"/>
    <n v="7832.879100000001"/>
    <n v="1066391"/>
    <s v="LY"/>
    <s v="Display-Amazon"/>
    <s v="Amazon"/>
  </r>
  <r>
    <s v="Biolage"/>
    <x v="2"/>
    <x v="2"/>
    <s v="Amazon"/>
    <s v="Amazon"/>
    <x v="16"/>
    <d v="2023-01-01T00:00:00"/>
    <n v="14642.900000000003"/>
    <n v="3258032"/>
    <s v="LY"/>
    <s v="Search-Amazon"/>
    <s v="Amazon"/>
  </r>
  <r>
    <s v="Biolage"/>
    <x v="3"/>
    <x v="1"/>
    <s v="Amazon"/>
    <s v="Amazon"/>
    <x v="16"/>
    <d v="2023-01-01T00:00:00"/>
    <n v="7395.7773999999981"/>
    <n v="1016879"/>
    <s v="LY"/>
    <s v="Display-Amazon"/>
    <s v="Amazon"/>
  </r>
  <r>
    <s v="Biolage"/>
    <x v="3"/>
    <x v="2"/>
    <s v="Amazon"/>
    <s v="Amazon"/>
    <x v="16"/>
    <d v="2023-01-01T00:00:00"/>
    <n v="9837.1699999999983"/>
    <n v="1826835"/>
    <s v="LY"/>
    <s v="Search-Amazon"/>
    <s v="Amazon"/>
  </r>
  <r>
    <s v="Biolage"/>
    <x v="4"/>
    <x v="1"/>
    <s v="Amazon"/>
    <s v="Amazon"/>
    <x v="16"/>
    <d v="2023-01-01T00:00:00"/>
    <n v="7436.8347999999996"/>
    <n v="957656"/>
    <s v="LY"/>
    <s v="Display-Amazon"/>
    <s v="Amazon"/>
  </r>
  <r>
    <s v="Biolage"/>
    <x v="4"/>
    <x v="2"/>
    <s v="Amazon"/>
    <s v="Amazon"/>
    <x v="16"/>
    <d v="2023-01-01T00:00:00"/>
    <n v="8162.79"/>
    <n v="2326724"/>
    <s v="LY"/>
    <s v="Search-Amazon"/>
    <s v="Amazon"/>
  </r>
  <r>
    <s v="Biolage"/>
    <x v="5"/>
    <x v="2"/>
    <s v="Amazon"/>
    <s v="Amazon"/>
    <x v="16"/>
    <d v="2023-01-01T00:00:00"/>
    <n v="1174.5999999999997"/>
    <n v="177033"/>
    <s v="LY"/>
    <s v="Search-Amazon"/>
    <s v="Amazon"/>
  </r>
  <r>
    <s v="Biolage"/>
    <x v="8"/>
    <x v="1"/>
    <s v="Amazon"/>
    <s v="Amazon"/>
    <x v="16"/>
    <d v="2023-01-01T00:00:00"/>
    <n v="8358.2550999999985"/>
    <n v="1721403"/>
    <s v="LY"/>
    <s v="Display-Amazon"/>
    <s v="Amazon"/>
  </r>
  <r>
    <s v="Biolage"/>
    <x v="8"/>
    <x v="2"/>
    <s v="Amazon"/>
    <s v="Amazon"/>
    <x v="16"/>
    <d v="2023-01-01T00:00:00"/>
    <n v="3473.7000000000003"/>
    <n v="742582"/>
    <s v="LY"/>
    <s v="Search-Amazon"/>
    <s v="Amazon"/>
  </r>
  <r>
    <s v="Biolage"/>
    <x v="9"/>
    <x v="2"/>
    <s v="Amazon"/>
    <s v="Amazon"/>
    <x v="16"/>
    <d v="2023-01-01T00:00:00"/>
    <n v="147.04000000000002"/>
    <n v="24936"/>
    <s v="LY"/>
    <s v="Search-Amazon"/>
    <s v="Amazon"/>
  </r>
  <r>
    <s v="Biolage"/>
    <x v="6"/>
    <x v="2"/>
    <s v="Amazon"/>
    <s v="Amazon"/>
    <x v="16"/>
    <d v="2023-01-01T00:00:00"/>
    <n v="0.26"/>
    <n v="36"/>
    <s v="LY"/>
    <s v="Search-Amazon"/>
    <s v="Amazon"/>
  </r>
  <r>
    <s v="Biolage"/>
    <x v="10"/>
    <x v="2"/>
    <s v="Google"/>
    <s v="Biolage"/>
    <x v="16"/>
    <d v="2023-01-01T00:00:00"/>
    <n v="129.69999999999999"/>
    <n v="604"/>
    <s v="LY"/>
    <s v="Search-Google"/>
    <s v="Search"/>
  </r>
  <r>
    <s v="Biolage"/>
    <x v="9"/>
    <x v="2"/>
    <s v="Google"/>
    <s v="Biolage"/>
    <x v="16"/>
    <d v="2023-01-01T00:00:00"/>
    <n v="135.86000000000001"/>
    <n v="612"/>
    <s v="LY"/>
    <s v="Search-Google"/>
    <s v="Search"/>
  </r>
  <r>
    <s v="Biolage"/>
    <x v="0"/>
    <x v="2"/>
    <s v="Google"/>
    <s v="Biolage"/>
    <x v="16"/>
    <d v="2023-01-01T00:00:00"/>
    <n v="10666.300000000001"/>
    <n v="34035"/>
    <s v="LY"/>
    <s v="Search-Google"/>
    <s v="Search"/>
  </r>
  <r>
    <s v="Biolage"/>
    <x v="2"/>
    <x v="2"/>
    <s v="Google"/>
    <s v="Biolage"/>
    <x v="16"/>
    <d v="2023-01-01T00:00:00"/>
    <n v="195.31"/>
    <n v="1105"/>
    <s v="LY"/>
    <s v="Search-Google"/>
    <s v="Search"/>
  </r>
  <r>
    <s v="Biolage"/>
    <x v="11"/>
    <x v="2"/>
    <s v="Google"/>
    <s v="Biolage"/>
    <x v="16"/>
    <d v="2023-01-01T00:00:00"/>
    <n v="23.09"/>
    <n v="86"/>
    <s v="LY"/>
    <s v="Search-Google"/>
    <s v="Search"/>
  </r>
  <r>
    <s v="Biolage"/>
    <x v="1"/>
    <x v="2"/>
    <s v="Google"/>
    <s v="Biolage"/>
    <x v="16"/>
    <d v="2023-01-01T00:00:00"/>
    <n v="321.90000000000009"/>
    <n v="1494"/>
    <s v="LY"/>
    <s v="Search-Google"/>
    <s v="Search"/>
  </r>
  <r>
    <s v="Biolage"/>
    <x v="5"/>
    <x v="2"/>
    <s v="Google"/>
    <s v="Biolage"/>
    <x v="16"/>
    <d v="2023-01-01T00:00:00"/>
    <n v="141.34"/>
    <n v="794"/>
    <s v="LY"/>
    <s v="Search-Google"/>
    <s v="Search"/>
  </r>
  <r>
    <s v="Biolage"/>
    <x v="8"/>
    <x v="2"/>
    <s v="Google"/>
    <s v="Biolage"/>
    <x v="16"/>
    <d v="2023-01-01T00:00:00"/>
    <n v="158.88999999999999"/>
    <n v="620"/>
    <s v="LY"/>
    <s v="Search-Google"/>
    <s v="Search"/>
  </r>
  <r>
    <s v="Biolage"/>
    <x v="3"/>
    <x v="2"/>
    <s v="Google"/>
    <s v="Biolage"/>
    <x v="16"/>
    <d v="2023-01-01T00:00:00"/>
    <n v="238.22"/>
    <n v="882"/>
    <s v="LY"/>
    <s v="Search-Google"/>
    <s v="Search"/>
  </r>
  <r>
    <s v="Biolage"/>
    <x v="4"/>
    <x v="2"/>
    <s v="Google"/>
    <s v="Biolage"/>
    <x v="16"/>
    <d v="2023-01-01T00:00:00"/>
    <n v="187.1"/>
    <n v="1022"/>
    <s v="LY"/>
    <s v="Search-Google"/>
    <s v="Search"/>
  </r>
  <r>
    <s v="Biolage"/>
    <x v="0"/>
    <x v="0"/>
    <s v="Meta"/>
    <s v="Other"/>
    <x v="17"/>
    <d v="2023-01-01T00:00:00"/>
    <n v="596.14000099999998"/>
    <n v="52281"/>
    <s v="LY"/>
    <s v="Social-Meta"/>
    <s v="Meta"/>
  </r>
  <r>
    <s v="Biolage"/>
    <x v="1"/>
    <x v="1"/>
    <s v="Amazon"/>
    <s v="Amazon"/>
    <x v="17"/>
    <d v="2023-01-01T00:00:00"/>
    <n v="6298.6135999999979"/>
    <n v="1311908"/>
    <s v="LY"/>
    <s v="Display-Amazon"/>
    <s v="Amazon"/>
  </r>
  <r>
    <s v="Biolage"/>
    <x v="1"/>
    <x v="2"/>
    <s v="Amazon"/>
    <s v="Amazon"/>
    <x v="17"/>
    <d v="2023-01-01T00:00:00"/>
    <n v="17725.559999999998"/>
    <n v="1426235"/>
    <s v="LY"/>
    <s v="Search-Amazon"/>
    <s v="Amazon"/>
  </r>
  <r>
    <s v="Biolage"/>
    <x v="0"/>
    <x v="1"/>
    <s v="Amazon"/>
    <s v="Amazon"/>
    <x v="17"/>
    <d v="2023-01-01T00:00:00"/>
    <n v="9104.0382000000045"/>
    <n v="1583740"/>
    <s v="LY"/>
    <s v="Display-Amazon"/>
    <s v="Amazon"/>
  </r>
  <r>
    <s v="Biolage"/>
    <x v="0"/>
    <x v="2"/>
    <s v="Amazon"/>
    <s v="Amazon"/>
    <x v="17"/>
    <d v="2023-01-01T00:00:00"/>
    <n v="2533.7199999999993"/>
    <n v="647063"/>
    <s v="LY"/>
    <s v="Search-Amazon"/>
    <s v="Amazon"/>
  </r>
  <r>
    <s v="Biolage"/>
    <x v="2"/>
    <x v="1"/>
    <s v="Amazon"/>
    <s v="Amazon"/>
    <x v="17"/>
    <d v="2023-01-01T00:00:00"/>
    <n v="6446.2257000000018"/>
    <n v="887762"/>
    <s v="LY"/>
    <s v="Display-Amazon"/>
    <s v="Amazon"/>
  </r>
  <r>
    <s v="Biolage"/>
    <x v="2"/>
    <x v="2"/>
    <s v="Amazon"/>
    <s v="Amazon"/>
    <x v="17"/>
    <d v="2023-01-01T00:00:00"/>
    <n v="13364.49"/>
    <n v="2852428"/>
    <s v="LY"/>
    <s v="Search-Amazon"/>
    <s v="Amazon"/>
  </r>
  <r>
    <s v="Biolage"/>
    <x v="3"/>
    <x v="1"/>
    <s v="Amazon"/>
    <s v="Amazon"/>
    <x v="17"/>
    <d v="2023-01-01T00:00:00"/>
    <n v="6055.8194000000003"/>
    <n v="834271"/>
    <s v="LY"/>
    <s v="Display-Amazon"/>
    <s v="Amazon"/>
  </r>
  <r>
    <s v="Biolage"/>
    <x v="3"/>
    <x v="2"/>
    <s v="Amazon"/>
    <s v="Amazon"/>
    <x v="17"/>
    <d v="2023-01-01T00:00:00"/>
    <n v="12847.099999999997"/>
    <n v="2205993"/>
    <s v="LY"/>
    <s v="Search-Amazon"/>
    <s v="Amazon"/>
  </r>
  <r>
    <s v="Biolage"/>
    <x v="4"/>
    <x v="1"/>
    <s v="Amazon"/>
    <s v="Amazon"/>
    <x v="17"/>
    <d v="2023-01-01T00:00:00"/>
    <n v="6404.5790999999999"/>
    <n v="874961"/>
    <s v="LY"/>
    <s v="Display-Amazon"/>
    <s v="Amazon"/>
  </r>
  <r>
    <s v="Biolage"/>
    <x v="4"/>
    <x v="2"/>
    <s v="Amazon"/>
    <s v="Amazon"/>
    <x v="17"/>
    <d v="2023-01-01T00:00:00"/>
    <n v="9470.5499999999993"/>
    <n v="2601230"/>
    <s v="LY"/>
    <s v="Search-Amazon"/>
    <s v="Amazon"/>
  </r>
  <r>
    <s v="Biolage"/>
    <x v="5"/>
    <x v="2"/>
    <s v="Amazon"/>
    <s v="Amazon"/>
    <x v="17"/>
    <d v="2023-01-01T00:00:00"/>
    <n v="1057.8399999999999"/>
    <n v="189556"/>
    <s v="LY"/>
    <s v="Search-Amazon"/>
    <s v="Amazon"/>
  </r>
  <r>
    <s v="Biolage"/>
    <x v="8"/>
    <x v="1"/>
    <s v="Amazon"/>
    <s v="Amazon"/>
    <x v="17"/>
    <d v="2023-01-01T00:00:00"/>
    <n v="6579.054199999995"/>
    <n v="1316700"/>
    <s v="LY"/>
    <s v="Display-Amazon"/>
    <s v="Amazon"/>
  </r>
  <r>
    <s v="Biolage"/>
    <x v="8"/>
    <x v="2"/>
    <s v="Amazon"/>
    <s v="Amazon"/>
    <x v="17"/>
    <d v="2023-01-01T00:00:00"/>
    <n v="2817.05"/>
    <n v="733337"/>
    <s v="LY"/>
    <s v="Search-Amazon"/>
    <s v="Amazon"/>
  </r>
  <r>
    <s v="Biolage"/>
    <x v="9"/>
    <x v="2"/>
    <s v="Amazon"/>
    <s v="Amazon"/>
    <x v="17"/>
    <d v="2023-01-01T00:00:00"/>
    <n v="190.35999999999993"/>
    <n v="21779"/>
    <s v="LY"/>
    <s v="Search-Amazon"/>
    <s v="Amazon"/>
  </r>
  <r>
    <s v="Biolage"/>
    <x v="10"/>
    <x v="2"/>
    <s v="Google"/>
    <s v="Biolage"/>
    <x v="17"/>
    <d v="2023-01-01T00:00:00"/>
    <n v="104.4"/>
    <n v="463"/>
    <s v="LY"/>
    <s v="Search-Google"/>
    <s v="Search"/>
  </r>
  <r>
    <s v="Biolage"/>
    <x v="9"/>
    <x v="2"/>
    <s v="Google"/>
    <s v="Biolage"/>
    <x v="17"/>
    <d v="2023-01-01T00:00:00"/>
    <n v="116.83"/>
    <n v="471"/>
    <s v="LY"/>
    <s v="Search-Google"/>
    <s v="Search"/>
  </r>
  <r>
    <s v="Biolage"/>
    <x v="0"/>
    <x v="2"/>
    <s v="Google"/>
    <s v="Biolage"/>
    <x v="17"/>
    <d v="2023-01-01T00:00:00"/>
    <n v="10283.220000000003"/>
    <n v="30983"/>
    <s v="LY"/>
    <s v="Search-Google"/>
    <s v="Search"/>
  </r>
  <r>
    <s v="Biolage"/>
    <x v="2"/>
    <x v="2"/>
    <s v="Google"/>
    <s v="Biolage"/>
    <x v="17"/>
    <d v="2023-01-01T00:00:00"/>
    <n v="274.41000000000003"/>
    <n v="1157"/>
    <s v="LY"/>
    <s v="Search-Google"/>
    <s v="Search"/>
  </r>
  <r>
    <s v="Biolage"/>
    <x v="11"/>
    <x v="2"/>
    <s v="Google"/>
    <s v="Biolage"/>
    <x v="17"/>
    <d v="2023-01-01T00:00:00"/>
    <n v="20.2"/>
    <n v="87"/>
    <s v="LY"/>
    <s v="Search-Google"/>
    <s v="Search"/>
  </r>
  <r>
    <s v="Biolage"/>
    <x v="1"/>
    <x v="2"/>
    <s v="Google"/>
    <s v="Biolage"/>
    <x v="17"/>
    <d v="2023-01-01T00:00:00"/>
    <n v="334.8"/>
    <n v="1448"/>
    <s v="LY"/>
    <s v="Search-Google"/>
    <s v="Search"/>
  </r>
  <r>
    <s v="Biolage"/>
    <x v="5"/>
    <x v="2"/>
    <s v="Google"/>
    <s v="Biolage"/>
    <x v="17"/>
    <d v="2023-01-01T00:00:00"/>
    <n v="180.89"/>
    <n v="812"/>
    <s v="LY"/>
    <s v="Search-Google"/>
    <s v="Search"/>
  </r>
  <r>
    <s v="Biolage"/>
    <x v="8"/>
    <x v="2"/>
    <s v="Google"/>
    <s v="Biolage"/>
    <x v="17"/>
    <d v="2023-01-01T00:00:00"/>
    <n v="168.89"/>
    <n v="577"/>
    <s v="LY"/>
    <s v="Search-Google"/>
    <s v="Search"/>
  </r>
  <r>
    <s v="Biolage"/>
    <x v="3"/>
    <x v="2"/>
    <s v="Google"/>
    <s v="Biolage"/>
    <x v="17"/>
    <d v="2023-01-01T00:00:00"/>
    <n v="195.51"/>
    <n v="860"/>
    <s v="LY"/>
    <s v="Search-Google"/>
    <s v="Search"/>
  </r>
  <r>
    <s v="Biolage"/>
    <x v="4"/>
    <x v="2"/>
    <s v="Google"/>
    <s v="Biolage"/>
    <x v="17"/>
    <d v="2023-01-01T00:00:00"/>
    <n v="218.75"/>
    <n v="877"/>
    <s v="LY"/>
    <s v="Search-Google"/>
    <s v="Search"/>
  </r>
  <r>
    <s v="Biolage"/>
    <x v="0"/>
    <x v="0"/>
    <s v="Meta"/>
    <s v="Other"/>
    <x v="18"/>
    <d v="2023-01-01T00:00:00"/>
    <n v="2426.3100099999992"/>
    <n v="283976"/>
    <s v="LY"/>
    <s v="Social-Meta"/>
    <s v="Meta"/>
  </r>
  <r>
    <s v="Biolage"/>
    <x v="1"/>
    <x v="1"/>
    <s v="Amazon"/>
    <s v="Amazon"/>
    <x v="18"/>
    <d v="2023-01-01T00:00:00"/>
    <n v="6734.0708999999997"/>
    <n v="1656267"/>
    <s v="LY"/>
    <s v="Display-Amazon"/>
    <s v="Amazon"/>
  </r>
  <r>
    <s v="Biolage"/>
    <x v="1"/>
    <x v="2"/>
    <s v="Amazon"/>
    <s v="Amazon"/>
    <x v="18"/>
    <d v="2023-01-01T00:00:00"/>
    <n v="13304.749999999998"/>
    <n v="1950897"/>
    <s v="LY"/>
    <s v="Search-Amazon"/>
    <s v="Amazon"/>
  </r>
  <r>
    <s v="Biolage"/>
    <x v="0"/>
    <x v="1"/>
    <s v="Amazon"/>
    <s v="Amazon"/>
    <x v="18"/>
    <d v="2023-01-01T00:00:00"/>
    <n v="17611.450000000012"/>
    <n v="9700481"/>
    <s v="LY"/>
    <s v="Display-Amazon"/>
    <s v="Amazon"/>
  </r>
  <r>
    <s v="Biolage"/>
    <x v="0"/>
    <x v="2"/>
    <s v="Amazon"/>
    <s v="Amazon"/>
    <x v="18"/>
    <d v="2023-01-01T00:00:00"/>
    <n v="2880.27"/>
    <n v="748646"/>
    <s v="LY"/>
    <s v="Search-Amazon"/>
    <s v="Amazon"/>
  </r>
  <r>
    <s v="Biolage"/>
    <x v="2"/>
    <x v="1"/>
    <s v="Amazon"/>
    <s v="Amazon"/>
    <x v="18"/>
    <d v="2023-01-01T00:00:00"/>
    <n v="6111.8703000000014"/>
    <n v="902840"/>
    <s v="LY"/>
    <s v="Display-Amazon"/>
    <s v="Amazon"/>
  </r>
  <r>
    <s v="Biolage"/>
    <x v="2"/>
    <x v="2"/>
    <s v="Amazon"/>
    <s v="Amazon"/>
    <x v="18"/>
    <d v="2023-01-01T00:00:00"/>
    <n v="12211.740000000003"/>
    <n v="2638022"/>
    <s v="LY"/>
    <s v="Search-Amazon"/>
    <s v="Amazon"/>
  </r>
  <r>
    <s v="Biolage"/>
    <x v="3"/>
    <x v="1"/>
    <s v="Amazon"/>
    <s v="Amazon"/>
    <x v="18"/>
    <d v="2023-01-01T00:00:00"/>
    <n v="6126.4387999999999"/>
    <n v="967771"/>
    <s v="LY"/>
    <s v="Display-Amazon"/>
    <s v="Amazon"/>
  </r>
  <r>
    <s v="Biolage"/>
    <x v="3"/>
    <x v="2"/>
    <s v="Amazon"/>
    <s v="Amazon"/>
    <x v="18"/>
    <d v="2023-01-01T00:00:00"/>
    <n v="16932.13"/>
    <n v="3120262"/>
    <s v="LY"/>
    <s v="Search-Amazon"/>
    <s v="Amazon"/>
  </r>
  <r>
    <s v="Biolage"/>
    <x v="4"/>
    <x v="1"/>
    <s v="Amazon"/>
    <s v="Amazon"/>
    <x v="18"/>
    <d v="2023-01-01T00:00:00"/>
    <n v="6509.9135999999999"/>
    <n v="969424"/>
    <s v="LY"/>
    <s v="Display-Amazon"/>
    <s v="Amazon"/>
  </r>
  <r>
    <s v="Biolage"/>
    <x v="4"/>
    <x v="2"/>
    <s v="Amazon"/>
    <s v="Amazon"/>
    <x v="18"/>
    <d v="2023-01-01T00:00:00"/>
    <n v="8418.17"/>
    <n v="2714220"/>
    <s v="LY"/>
    <s v="Search-Amazon"/>
    <s v="Amazon"/>
  </r>
  <r>
    <s v="Biolage"/>
    <x v="5"/>
    <x v="2"/>
    <s v="Amazon"/>
    <s v="Amazon"/>
    <x v="18"/>
    <d v="2023-01-01T00:00:00"/>
    <n v="1358.0600000000004"/>
    <n v="252797"/>
    <s v="LY"/>
    <s v="Search-Amazon"/>
    <s v="Amazon"/>
  </r>
  <r>
    <s v="Biolage"/>
    <x v="8"/>
    <x v="1"/>
    <s v="Amazon"/>
    <s v="Amazon"/>
    <x v="18"/>
    <d v="2023-01-01T00:00:00"/>
    <n v="5564.260000000002"/>
    <n v="1342118"/>
    <s v="LY"/>
    <s v="Display-Amazon"/>
    <s v="Amazon"/>
  </r>
  <r>
    <s v="Biolage"/>
    <x v="8"/>
    <x v="2"/>
    <s v="Amazon"/>
    <s v="Amazon"/>
    <x v="18"/>
    <d v="2023-01-01T00:00:00"/>
    <n v="2040.8999999999999"/>
    <n v="694448"/>
    <s v="LY"/>
    <s v="Search-Amazon"/>
    <s v="Amazon"/>
  </r>
  <r>
    <s v="Biolage"/>
    <x v="9"/>
    <x v="2"/>
    <s v="Amazon"/>
    <s v="Amazon"/>
    <x v="18"/>
    <d v="2023-01-01T00:00:00"/>
    <n v="235.16000000000005"/>
    <n v="35481"/>
    <s v="LY"/>
    <s v="Search-Amazon"/>
    <s v="Amazon"/>
  </r>
  <r>
    <s v="Biolage"/>
    <x v="10"/>
    <x v="2"/>
    <s v="Google"/>
    <s v="Biolage"/>
    <x v="18"/>
    <d v="2023-01-01T00:00:00"/>
    <n v="122.03999999999999"/>
    <n v="439"/>
    <s v="LY"/>
    <s v="Search-Google"/>
    <s v="Search"/>
  </r>
  <r>
    <s v="Biolage"/>
    <x v="9"/>
    <x v="2"/>
    <s v="Google"/>
    <s v="Biolage"/>
    <x v="18"/>
    <d v="2023-01-01T00:00:00"/>
    <n v="198.61"/>
    <n v="609"/>
    <s v="LY"/>
    <s v="Search-Google"/>
    <s v="Search"/>
  </r>
  <r>
    <s v="Biolage"/>
    <x v="0"/>
    <x v="2"/>
    <s v="Google"/>
    <s v="Biolage"/>
    <x v="18"/>
    <d v="2023-01-01T00:00:00"/>
    <n v="10427.290000000001"/>
    <n v="31655"/>
    <s v="LY"/>
    <s v="Search-Google"/>
    <s v="Search"/>
  </r>
  <r>
    <s v="Biolage"/>
    <x v="2"/>
    <x v="2"/>
    <s v="Google"/>
    <s v="Biolage"/>
    <x v="18"/>
    <d v="2023-01-01T00:00:00"/>
    <n v="276.95"/>
    <n v="1181"/>
    <s v="LY"/>
    <s v="Search-Google"/>
    <s v="Search"/>
  </r>
  <r>
    <s v="Biolage"/>
    <x v="11"/>
    <x v="2"/>
    <s v="Google"/>
    <s v="Biolage"/>
    <x v="18"/>
    <d v="2023-01-01T00:00:00"/>
    <n v="20.97"/>
    <n v="51"/>
    <s v="LY"/>
    <s v="Search-Google"/>
    <s v="Search"/>
  </r>
  <r>
    <s v="Biolage"/>
    <x v="1"/>
    <x v="2"/>
    <s v="Google"/>
    <s v="Biolage"/>
    <x v="18"/>
    <d v="2023-01-01T00:00:00"/>
    <n v="390.37999999999994"/>
    <n v="1670"/>
    <s v="LY"/>
    <s v="Search-Google"/>
    <s v="Search"/>
  </r>
  <r>
    <s v="Biolage"/>
    <x v="5"/>
    <x v="2"/>
    <s v="Google"/>
    <s v="Biolage"/>
    <x v="18"/>
    <d v="2023-01-01T00:00:00"/>
    <n v="256.22000000000003"/>
    <n v="907"/>
    <s v="LY"/>
    <s v="Search-Google"/>
    <s v="Search"/>
  </r>
  <r>
    <s v="Biolage"/>
    <x v="8"/>
    <x v="2"/>
    <s v="Google"/>
    <s v="Biolage"/>
    <x v="18"/>
    <d v="2023-01-01T00:00:00"/>
    <n v="196.5"/>
    <n v="592"/>
    <s v="LY"/>
    <s v="Search-Google"/>
    <s v="Search"/>
  </r>
  <r>
    <s v="Biolage"/>
    <x v="3"/>
    <x v="2"/>
    <s v="Google"/>
    <s v="Biolage"/>
    <x v="18"/>
    <d v="2023-01-01T00:00:00"/>
    <n v="280.91000000000003"/>
    <n v="716"/>
    <s v="LY"/>
    <s v="Search-Google"/>
    <s v="Search"/>
  </r>
  <r>
    <s v="Biolage"/>
    <x v="4"/>
    <x v="2"/>
    <s v="Google"/>
    <s v="Biolage"/>
    <x v="18"/>
    <d v="2023-01-01T00:00:00"/>
    <n v="288.44"/>
    <n v="956"/>
    <s v="LY"/>
    <s v="Search-Google"/>
    <s v="Search"/>
  </r>
  <r>
    <s v="Biolage"/>
    <x v="0"/>
    <x v="0"/>
    <s v="Meta"/>
    <s v="Other"/>
    <x v="19"/>
    <d v="2023-01-01T00:00:00"/>
    <n v="1977.1199929999998"/>
    <n v="222673"/>
    <s v="LY"/>
    <s v="Social-Meta"/>
    <s v="Meta"/>
  </r>
  <r>
    <s v="Biolage"/>
    <x v="1"/>
    <x v="1"/>
    <s v="Amazon"/>
    <s v="Amazon"/>
    <x v="19"/>
    <d v="2023-01-01T00:00:00"/>
    <n v="7048.5091999999986"/>
    <n v="2293317"/>
    <s v="LY"/>
    <s v="Display-Amazon"/>
    <s v="Amazon"/>
  </r>
  <r>
    <s v="Biolage"/>
    <x v="1"/>
    <x v="2"/>
    <s v="Amazon"/>
    <s v="Amazon"/>
    <x v="19"/>
    <d v="2023-01-01T00:00:00"/>
    <n v="15654.190000000004"/>
    <n v="1805980"/>
    <s v="LY"/>
    <s v="Search-Amazon"/>
    <s v="Amazon"/>
  </r>
  <r>
    <s v="Biolage"/>
    <x v="0"/>
    <x v="1"/>
    <s v="Amazon"/>
    <s v="Amazon"/>
    <x v="19"/>
    <d v="2023-01-01T00:00:00"/>
    <n v="28071.213699999989"/>
    <n v="18016432"/>
    <s v="LY"/>
    <s v="Display-Amazon"/>
    <s v="Amazon"/>
  </r>
  <r>
    <s v="Biolage"/>
    <x v="0"/>
    <x v="2"/>
    <s v="Amazon"/>
    <s v="Amazon"/>
    <x v="19"/>
    <d v="2023-01-01T00:00:00"/>
    <n v="2691.41"/>
    <n v="834724"/>
    <s v="LY"/>
    <s v="Search-Amazon"/>
    <s v="Amazon"/>
  </r>
  <r>
    <s v="Biolage"/>
    <x v="2"/>
    <x v="1"/>
    <s v="Amazon"/>
    <s v="Amazon"/>
    <x v="19"/>
    <d v="2023-01-01T00:00:00"/>
    <n v="7335.3335000000006"/>
    <n v="1052203"/>
    <s v="LY"/>
    <s v="Display-Amazon"/>
    <s v="Amazon"/>
  </r>
  <r>
    <s v="Biolage"/>
    <x v="2"/>
    <x v="2"/>
    <s v="Amazon"/>
    <s v="Amazon"/>
    <x v="19"/>
    <d v="2023-01-01T00:00:00"/>
    <n v="10620.699999999999"/>
    <n v="2029166"/>
    <s v="LY"/>
    <s v="Search-Amazon"/>
    <s v="Amazon"/>
  </r>
  <r>
    <s v="Biolage"/>
    <x v="3"/>
    <x v="1"/>
    <s v="Amazon"/>
    <s v="Amazon"/>
    <x v="19"/>
    <d v="2023-01-01T00:00:00"/>
    <n v="6427.3482999999997"/>
    <n v="1018394"/>
    <s v="LY"/>
    <s v="Display-Amazon"/>
    <s v="Amazon"/>
  </r>
  <r>
    <s v="Biolage"/>
    <x v="3"/>
    <x v="2"/>
    <s v="Amazon"/>
    <s v="Amazon"/>
    <x v="19"/>
    <d v="2023-01-01T00:00:00"/>
    <n v="17857.470000000005"/>
    <n v="3072266"/>
    <s v="LY"/>
    <s v="Search-Amazon"/>
    <s v="Amazon"/>
  </r>
  <r>
    <s v="Biolage"/>
    <x v="4"/>
    <x v="1"/>
    <s v="Amazon"/>
    <s v="Amazon"/>
    <x v="19"/>
    <d v="2023-01-01T00:00:00"/>
    <n v="6396.5228000000043"/>
    <n v="872453"/>
    <s v="LY"/>
    <s v="Display-Amazon"/>
    <s v="Amazon"/>
  </r>
  <r>
    <s v="Biolage"/>
    <x v="4"/>
    <x v="2"/>
    <s v="Amazon"/>
    <s v="Amazon"/>
    <x v="19"/>
    <d v="2023-01-01T00:00:00"/>
    <n v="8786.69"/>
    <n v="2401367"/>
    <s v="LY"/>
    <s v="Search-Amazon"/>
    <s v="Amazon"/>
  </r>
  <r>
    <s v="Biolage"/>
    <x v="5"/>
    <x v="2"/>
    <s v="Amazon"/>
    <s v="Amazon"/>
    <x v="19"/>
    <d v="2023-01-01T00:00:00"/>
    <n v="2021.11"/>
    <n v="423271"/>
    <s v="LY"/>
    <s v="Search-Amazon"/>
    <s v="Amazon"/>
  </r>
  <r>
    <s v="Biolage"/>
    <x v="8"/>
    <x v="1"/>
    <s v="Amazon"/>
    <s v="Amazon"/>
    <x v="19"/>
    <d v="2023-01-01T00:00:00"/>
    <n v="6428.2969999999987"/>
    <n v="1338314"/>
    <s v="LY"/>
    <s v="Display-Amazon"/>
    <s v="Amazon"/>
  </r>
  <r>
    <s v="Biolage"/>
    <x v="8"/>
    <x v="2"/>
    <s v="Amazon"/>
    <s v="Amazon"/>
    <x v="19"/>
    <d v="2023-01-01T00:00:00"/>
    <n v="1945.96"/>
    <n v="563525"/>
    <s v="LY"/>
    <s v="Search-Amazon"/>
    <s v="Amazon"/>
  </r>
  <r>
    <s v="Biolage"/>
    <x v="9"/>
    <x v="2"/>
    <s v="Amazon"/>
    <s v="Amazon"/>
    <x v="19"/>
    <d v="2023-01-01T00:00:00"/>
    <n v="306.25999999999988"/>
    <n v="29358"/>
    <s v="LY"/>
    <s v="Search-Amazon"/>
    <s v="Amazon"/>
  </r>
  <r>
    <s v="Biolage"/>
    <x v="10"/>
    <x v="2"/>
    <s v="Google"/>
    <s v="Biolage"/>
    <x v="19"/>
    <d v="2023-01-01T00:00:00"/>
    <n v="145.9"/>
    <n v="492"/>
    <s v="LY"/>
    <s v="Search-Google"/>
    <s v="Search"/>
  </r>
  <r>
    <s v="Biolage"/>
    <x v="9"/>
    <x v="2"/>
    <s v="Google"/>
    <s v="Biolage"/>
    <x v="19"/>
    <d v="2023-01-01T00:00:00"/>
    <n v="238.77"/>
    <n v="708"/>
    <s v="LY"/>
    <s v="Search-Google"/>
    <s v="Search"/>
  </r>
  <r>
    <s v="Biolage"/>
    <x v="0"/>
    <x v="2"/>
    <s v="Google"/>
    <s v="Biolage"/>
    <x v="19"/>
    <d v="2023-01-01T00:00:00"/>
    <n v="10886.180000000004"/>
    <n v="33892"/>
    <s v="LY"/>
    <s v="Search-Google"/>
    <s v="Search"/>
  </r>
  <r>
    <s v="Biolage"/>
    <x v="2"/>
    <x v="2"/>
    <s v="Google"/>
    <s v="Biolage"/>
    <x v="19"/>
    <d v="2023-01-01T00:00:00"/>
    <n v="197.03000000000003"/>
    <n v="1267"/>
    <s v="LY"/>
    <s v="Search-Google"/>
    <s v="Search"/>
  </r>
  <r>
    <s v="Biolage"/>
    <x v="11"/>
    <x v="2"/>
    <s v="Google"/>
    <s v="Biolage"/>
    <x v="19"/>
    <d v="2023-01-01T00:00:00"/>
    <n v="21.03"/>
    <n v="135"/>
    <s v="LY"/>
    <s v="Search-Google"/>
    <s v="Search"/>
  </r>
  <r>
    <s v="Biolage"/>
    <x v="1"/>
    <x v="2"/>
    <s v="Google"/>
    <s v="Biolage"/>
    <x v="19"/>
    <d v="2023-01-01T00:00:00"/>
    <n v="407.21999999999997"/>
    <n v="1706"/>
    <s v="LY"/>
    <s v="Search-Google"/>
    <s v="Search"/>
  </r>
  <r>
    <s v="Biolage"/>
    <x v="5"/>
    <x v="2"/>
    <s v="Google"/>
    <s v="Biolage"/>
    <x v="19"/>
    <d v="2023-01-01T00:00:00"/>
    <n v="279.95000000000005"/>
    <n v="927"/>
    <s v="LY"/>
    <s v="Search-Google"/>
    <s v="Search"/>
  </r>
  <r>
    <s v="Biolage"/>
    <x v="8"/>
    <x v="2"/>
    <s v="Google"/>
    <s v="Biolage"/>
    <x v="19"/>
    <d v="2023-01-01T00:00:00"/>
    <n v="183.75999999999996"/>
    <n v="643"/>
    <s v="LY"/>
    <s v="Search-Google"/>
    <s v="Search"/>
  </r>
  <r>
    <s v="Biolage"/>
    <x v="3"/>
    <x v="2"/>
    <s v="Google"/>
    <s v="Biolage"/>
    <x v="19"/>
    <d v="2023-01-01T00:00:00"/>
    <n v="304.08999999999997"/>
    <n v="810"/>
    <s v="LY"/>
    <s v="Search-Google"/>
    <s v="Search"/>
  </r>
  <r>
    <s v="Biolage"/>
    <x v="4"/>
    <x v="2"/>
    <s v="Google"/>
    <s v="Biolage"/>
    <x v="19"/>
    <d v="2023-01-01T00:00:00"/>
    <n v="299.95"/>
    <n v="1104"/>
    <s v="LY"/>
    <s v="Search-Google"/>
    <s v="Search"/>
  </r>
  <r>
    <s v="Biolage"/>
    <x v="9"/>
    <x v="0"/>
    <s v="Meta"/>
    <s v="Other"/>
    <x v="20"/>
    <d v="2023-01-01T00:00:00"/>
    <n v="13939.809993000001"/>
    <n v="2233752"/>
    <s v="LY"/>
    <s v="Social-Meta"/>
    <s v="Meta"/>
  </r>
  <r>
    <s v="Biolage"/>
    <x v="9"/>
    <x v="0"/>
    <s v="Meta"/>
    <s v="Ulta"/>
    <x v="20"/>
    <d v="2023-01-01T00:00:00"/>
    <n v="10922.359995000001"/>
    <n v="887014"/>
    <s v="LY"/>
    <s v="Social-Meta"/>
    <s v="Ulta"/>
  </r>
  <r>
    <s v="Biolage"/>
    <x v="1"/>
    <x v="1"/>
    <s v="Amazon"/>
    <s v="Amazon"/>
    <x v="20"/>
    <d v="2023-01-01T00:00:00"/>
    <n v="6876.1881000000039"/>
    <n v="2340511"/>
    <s v="LY"/>
    <s v="Display-Amazon"/>
    <s v="Amazon"/>
  </r>
  <r>
    <s v="Biolage"/>
    <x v="1"/>
    <x v="2"/>
    <s v="Amazon"/>
    <s v="Amazon"/>
    <x v="20"/>
    <d v="2023-01-01T00:00:00"/>
    <n v="13053.41"/>
    <n v="1536531"/>
    <s v="LY"/>
    <s v="Search-Amazon"/>
    <s v="Amazon"/>
  </r>
  <r>
    <s v="Biolage"/>
    <x v="0"/>
    <x v="1"/>
    <s v="Amazon"/>
    <s v="Amazon"/>
    <x v="20"/>
    <d v="2023-01-01T00:00:00"/>
    <n v="27319.195"/>
    <n v="7845991"/>
    <s v="LY"/>
    <s v="Display-Amazon"/>
    <s v="Amazon"/>
  </r>
  <r>
    <s v="Biolage"/>
    <x v="0"/>
    <x v="2"/>
    <s v="Amazon"/>
    <s v="Amazon"/>
    <x v="20"/>
    <d v="2023-01-01T00:00:00"/>
    <n v="3632.3299999999995"/>
    <n v="944984"/>
    <s v="LY"/>
    <s v="Search-Amazon"/>
    <s v="Amazon"/>
  </r>
  <r>
    <s v="Biolage"/>
    <x v="2"/>
    <x v="1"/>
    <s v="Amazon"/>
    <s v="Amazon"/>
    <x v="20"/>
    <d v="2023-01-01T00:00:00"/>
    <n v="6245.5969000000023"/>
    <n v="812067"/>
    <s v="LY"/>
    <s v="Display-Amazon"/>
    <s v="Amazon"/>
  </r>
  <r>
    <s v="Biolage"/>
    <x v="2"/>
    <x v="2"/>
    <s v="Amazon"/>
    <s v="Amazon"/>
    <x v="20"/>
    <d v="2023-01-01T00:00:00"/>
    <n v="11421.140000000001"/>
    <n v="2070626"/>
    <s v="LY"/>
    <s v="Search-Amazon"/>
    <s v="Amazon"/>
  </r>
  <r>
    <s v="Biolage"/>
    <x v="3"/>
    <x v="1"/>
    <s v="Amazon"/>
    <s v="Amazon"/>
    <x v="20"/>
    <d v="2023-01-01T00:00:00"/>
    <n v="5854.1636000000008"/>
    <n v="749629"/>
    <s v="LY"/>
    <s v="Display-Amazon"/>
    <s v="Amazon"/>
  </r>
  <r>
    <s v="Biolage"/>
    <x v="3"/>
    <x v="2"/>
    <s v="Amazon"/>
    <s v="Amazon"/>
    <x v="20"/>
    <d v="2023-01-01T00:00:00"/>
    <n v="17767.500000000007"/>
    <n v="3147404"/>
    <s v="LY"/>
    <s v="Search-Amazon"/>
    <s v="Amazon"/>
  </r>
  <r>
    <s v="Biolage"/>
    <x v="4"/>
    <x v="1"/>
    <s v="Amazon"/>
    <s v="Amazon"/>
    <x v="20"/>
    <d v="2023-01-01T00:00:00"/>
    <n v="6545.3453000000027"/>
    <n v="1416239"/>
    <s v="LY"/>
    <s v="Display-Amazon"/>
    <s v="Amazon"/>
  </r>
  <r>
    <s v="Biolage"/>
    <x v="4"/>
    <x v="2"/>
    <s v="Amazon"/>
    <s v="Amazon"/>
    <x v="20"/>
    <d v="2023-01-01T00:00:00"/>
    <n v="9637.909999999998"/>
    <n v="2662615"/>
    <s v="LY"/>
    <s v="Search-Amazon"/>
    <s v="Amazon"/>
  </r>
  <r>
    <s v="Biolage"/>
    <x v="5"/>
    <x v="2"/>
    <s v="Amazon"/>
    <s v="Amazon"/>
    <x v="20"/>
    <d v="2023-01-01T00:00:00"/>
    <n v="1929.7500000000005"/>
    <n v="333865"/>
    <s v="LY"/>
    <s v="Search-Amazon"/>
    <s v="Amazon"/>
  </r>
  <r>
    <s v="Biolage"/>
    <x v="8"/>
    <x v="1"/>
    <s v="Amazon"/>
    <s v="Amazon"/>
    <x v="20"/>
    <d v="2023-01-01T00:00:00"/>
    <n v="5451.5549999999976"/>
    <n v="1484085"/>
    <s v="LY"/>
    <s v="Display-Amazon"/>
    <s v="Amazon"/>
  </r>
  <r>
    <s v="Biolage"/>
    <x v="8"/>
    <x v="2"/>
    <s v="Amazon"/>
    <s v="Amazon"/>
    <x v="20"/>
    <d v="2023-01-01T00:00:00"/>
    <n v="1857.8100000000002"/>
    <n v="598579"/>
    <s v="LY"/>
    <s v="Search-Amazon"/>
    <s v="Amazon"/>
  </r>
  <r>
    <s v="Biolage"/>
    <x v="9"/>
    <x v="2"/>
    <s v="Amazon"/>
    <s v="Amazon"/>
    <x v="20"/>
    <d v="2023-01-01T00:00:00"/>
    <n v="320.93"/>
    <n v="19443"/>
    <s v="LY"/>
    <s v="Search-Amazon"/>
    <s v="Amazon"/>
  </r>
  <r>
    <s v="Biolage"/>
    <x v="10"/>
    <x v="2"/>
    <s v="Google"/>
    <s v="Biolage"/>
    <x v="20"/>
    <d v="2023-01-01T00:00:00"/>
    <n v="123.50999999999999"/>
    <n v="431"/>
    <s v="LY"/>
    <s v="Search-Google"/>
    <s v="Search"/>
  </r>
  <r>
    <s v="Biolage"/>
    <x v="9"/>
    <x v="2"/>
    <s v="Google"/>
    <s v="Biolage"/>
    <x v="20"/>
    <d v="2023-01-01T00:00:00"/>
    <n v="310.64"/>
    <n v="742"/>
    <s v="LY"/>
    <s v="Search-Google"/>
    <s v="Search"/>
  </r>
  <r>
    <s v="Biolage"/>
    <x v="0"/>
    <x v="2"/>
    <s v="Google"/>
    <s v="Biolage"/>
    <x v="20"/>
    <d v="2023-01-01T00:00:00"/>
    <n v="10939.359999999999"/>
    <n v="35079"/>
    <s v="LY"/>
    <s v="Search-Google"/>
    <s v="Search"/>
  </r>
  <r>
    <s v="Biolage"/>
    <x v="2"/>
    <x v="2"/>
    <s v="Google"/>
    <s v="Biolage"/>
    <x v="20"/>
    <d v="2023-01-01T00:00:00"/>
    <n v="229.60999999999996"/>
    <n v="1342"/>
    <s v="LY"/>
    <s v="Search-Google"/>
    <s v="Search"/>
  </r>
  <r>
    <s v="Biolage"/>
    <x v="11"/>
    <x v="2"/>
    <s v="Google"/>
    <s v="Biolage"/>
    <x v="20"/>
    <d v="2023-01-01T00:00:00"/>
    <n v="25.89"/>
    <n v="76"/>
    <s v="LY"/>
    <s v="Search-Google"/>
    <s v="Search"/>
  </r>
  <r>
    <s v="Biolage"/>
    <x v="1"/>
    <x v="2"/>
    <s v="Google"/>
    <s v="Biolage"/>
    <x v="20"/>
    <d v="2023-01-01T00:00:00"/>
    <n v="316.80000000000007"/>
    <n v="1621"/>
    <s v="LY"/>
    <s v="Search-Google"/>
    <s v="Search"/>
  </r>
  <r>
    <s v="Biolage"/>
    <x v="5"/>
    <x v="2"/>
    <s v="Google"/>
    <s v="Biolage"/>
    <x v="20"/>
    <d v="2023-01-01T00:00:00"/>
    <n v="253.53"/>
    <n v="997"/>
    <s v="LY"/>
    <s v="Search-Google"/>
    <s v="Search"/>
  </r>
  <r>
    <s v="Biolage"/>
    <x v="8"/>
    <x v="2"/>
    <s v="Google"/>
    <s v="Biolage"/>
    <x v="20"/>
    <d v="2023-01-01T00:00:00"/>
    <n v="187.76"/>
    <n v="666"/>
    <s v="LY"/>
    <s v="Search-Google"/>
    <s v="Search"/>
  </r>
  <r>
    <s v="Biolage"/>
    <x v="3"/>
    <x v="2"/>
    <s v="Google"/>
    <s v="Biolage"/>
    <x v="20"/>
    <d v="2023-01-01T00:00:00"/>
    <n v="194.46000000000004"/>
    <n v="720"/>
    <s v="LY"/>
    <s v="Search-Google"/>
    <s v="Search"/>
  </r>
  <r>
    <s v="Biolage"/>
    <x v="4"/>
    <x v="2"/>
    <s v="Google"/>
    <s v="Biolage"/>
    <x v="20"/>
    <d v="2023-01-01T00:00:00"/>
    <n v="287.12"/>
    <n v="1048"/>
    <s v="LY"/>
    <s v="Search-Google"/>
    <s v="Search"/>
  </r>
  <r>
    <s v="Biolage"/>
    <x v="9"/>
    <x v="0"/>
    <s v="Meta"/>
    <s v="Other"/>
    <x v="21"/>
    <d v="2023-01-01T00:00:00"/>
    <n v="28949.560006"/>
    <n v="4666059"/>
    <s v="LY"/>
    <s v="Social-Meta"/>
    <s v="Meta"/>
  </r>
  <r>
    <s v="Biolage"/>
    <x v="9"/>
    <x v="0"/>
    <s v="Meta"/>
    <s v="Ulta"/>
    <x v="21"/>
    <d v="2023-01-01T00:00:00"/>
    <n v="22008.550004000004"/>
    <n v="2108359"/>
    <s v="LY"/>
    <s v="Social-Meta"/>
    <s v="Ulta"/>
  </r>
  <r>
    <s v="Biolage"/>
    <x v="1"/>
    <x v="1"/>
    <s v="Amazon"/>
    <s v="Amazon"/>
    <x v="21"/>
    <d v="2023-01-01T00:00:00"/>
    <n v="6291.6486000000004"/>
    <n v="2075051"/>
    <s v="LY"/>
    <s v="Display-Amazon"/>
    <s v="Amazon"/>
  </r>
  <r>
    <s v="Biolage"/>
    <x v="1"/>
    <x v="2"/>
    <s v="Amazon"/>
    <s v="Amazon"/>
    <x v="21"/>
    <d v="2023-01-01T00:00:00"/>
    <n v="16776.990000000002"/>
    <n v="2916655"/>
    <s v="LY"/>
    <s v="Search-Amazon"/>
    <s v="Amazon"/>
  </r>
  <r>
    <s v="Biolage"/>
    <x v="0"/>
    <x v="1"/>
    <s v="Amazon"/>
    <s v="Amazon"/>
    <x v="21"/>
    <d v="2023-01-01T00:00:00"/>
    <n v="29288.523599999997"/>
    <n v="6971585"/>
    <s v="LY"/>
    <s v="Display-Amazon"/>
    <s v="Amazon"/>
  </r>
  <r>
    <s v="Biolage"/>
    <x v="0"/>
    <x v="2"/>
    <s v="Amazon"/>
    <s v="Amazon"/>
    <x v="21"/>
    <d v="2023-01-01T00:00:00"/>
    <n v="33483.25999999998"/>
    <n v="3741647"/>
    <s v="LY"/>
    <s v="Search-Amazon"/>
    <s v="Amazon"/>
  </r>
  <r>
    <s v="Biolage"/>
    <x v="2"/>
    <x v="1"/>
    <s v="Amazon"/>
    <s v="Amazon"/>
    <x v="21"/>
    <d v="2023-01-01T00:00:00"/>
    <n v="5834.1454000000022"/>
    <n v="746990"/>
    <s v="LY"/>
    <s v="Display-Amazon"/>
    <s v="Amazon"/>
  </r>
  <r>
    <s v="Biolage"/>
    <x v="2"/>
    <x v="2"/>
    <s v="Amazon"/>
    <s v="Amazon"/>
    <x v="21"/>
    <d v="2023-01-01T00:00:00"/>
    <n v="27711.41"/>
    <n v="4818433"/>
    <s v="LY"/>
    <s v="Search-Amazon"/>
    <s v="Amazon"/>
  </r>
  <r>
    <s v="Biolage"/>
    <x v="3"/>
    <x v="1"/>
    <s v="Amazon"/>
    <s v="Amazon"/>
    <x v="21"/>
    <d v="2023-01-01T00:00:00"/>
    <n v="6900.4465000000009"/>
    <n v="756932"/>
    <s v="LY"/>
    <s v="Display-Amazon"/>
    <s v="Amazon"/>
  </r>
  <r>
    <s v="Biolage"/>
    <x v="3"/>
    <x v="2"/>
    <s v="Amazon"/>
    <s v="Amazon"/>
    <x v="21"/>
    <d v="2023-01-01T00:00:00"/>
    <n v="36047.94000000001"/>
    <n v="5751637"/>
    <s v="LY"/>
    <s v="Search-Amazon"/>
    <s v="Amazon"/>
  </r>
  <r>
    <s v="Biolage"/>
    <x v="4"/>
    <x v="1"/>
    <s v="Amazon"/>
    <s v="Amazon"/>
    <x v="21"/>
    <d v="2023-01-01T00:00:00"/>
    <n v="6232.3820999999989"/>
    <n v="1647049"/>
    <s v="LY"/>
    <s v="Display-Amazon"/>
    <s v="Amazon"/>
  </r>
  <r>
    <s v="Biolage"/>
    <x v="4"/>
    <x v="2"/>
    <s v="Amazon"/>
    <s v="Amazon"/>
    <x v="21"/>
    <d v="2023-01-01T00:00:00"/>
    <n v="17396.099999999995"/>
    <n v="3611993"/>
    <s v="LY"/>
    <s v="Search-Amazon"/>
    <s v="Amazon"/>
  </r>
  <r>
    <s v="Biolage"/>
    <x v="5"/>
    <x v="2"/>
    <s v="Amazon"/>
    <s v="Amazon"/>
    <x v="21"/>
    <d v="2023-01-01T00:00:00"/>
    <n v="2718.3199999999993"/>
    <n v="393806"/>
    <s v="LY"/>
    <s v="Search-Amazon"/>
    <s v="Amazon"/>
  </r>
  <r>
    <s v="Biolage"/>
    <x v="8"/>
    <x v="1"/>
    <s v="Amazon"/>
    <s v="Amazon"/>
    <x v="21"/>
    <d v="2023-01-01T00:00:00"/>
    <n v="5480.5802999999987"/>
    <n v="1624262"/>
    <s v="LY"/>
    <s v="Display-Amazon"/>
    <s v="Amazon"/>
  </r>
  <r>
    <s v="Biolage"/>
    <x v="8"/>
    <x v="2"/>
    <s v="Amazon"/>
    <s v="Amazon"/>
    <x v="21"/>
    <d v="2023-01-01T00:00:00"/>
    <n v="3679.1300000000024"/>
    <n v="1018566"/>
    <s v="LY"/>
    <s v="Search-Amazon"/>
    <s v="Amazon"/>
  </r>
  <r>
    <s v="Biolage"/>
    <x v="9"/>
    <x v="2"/>
    <s v="Amazon"/>
    <s v="Amazon"/>
    <x v="21"/>
    <d v="2023-01-01T00:00:00"/>
    <n v="5082.62"/>
    <n v="407408"/>
    <s v="LY"/>
    <s v="Search-Amazon"/>
    <s v="Amazon"/>
  </r>
  <r>
    <s v="Biolage"/>
    <x v="10"/>
    <x v="2"/>
    <s v="Google"/>
    <s v="Biolage"/>
    <x v="21"/>
    <d v="2023-01-01T00:00:00"/>
    <n v="141.13999999999999"/>
    <n v="412"/>
    <s v="LY"/>
    <s v="Search-Google"/>
    <s v="Search"/>
  </r>
  <r>
    <s v="Biolage"/>
    <x v="9"/>
    <x v="2"/>
    <s v="Google"/>
    <s v="Biolage"/>
    <x v="21"/>
    <d v="2023-01-01T00:00:00"/>
    <n v="223.60999999999999"/>
    <n v="867"/>
    <s v="LY"/>
    <s v="Search-Google"/>
    <s v="Search"/>
  </r>
  <r>
    <s v="Biolage"/>
    <x v="0"/>
    <x v="2"/>
    <s v="Google"/>
    <s v="Biolage"/>
    <x v="21"/>
    <d v="2023-01-01T00:00:00"/>
    <n v="13519.650000000001"/>
    <n v="40639"/>
    <s v="LY"/>
    <s v="Search-Google"/>
    <s v="Search"/>
  </r>
  <r>
    <s v="Biolage"/>
    <x v="2"/>
    <x v="2"/>
    <s v="Google"/>
    <s v="Biolage"/>
    <x v="21"/>
    <d v="2023-01-01T00:00:00"/>
    <n v="182.08"/>
    <n v="1061"/>
    <s v="LY"/>
    <s v="Search-Google"/>
    <s v="Search"/>
  </r>
  <r>
    <s v="Biolage"/>
    <x v="11"/>
    <x v="2"/>
    <s v="Google"/>
    <s v="Biolage"/>
    <x v="21"/>
    <d v="2023-01-01T00:00:00"/>
    <n v="22.259999999999998"/>
    <n v="89"/>
    <s v="LY"/>
    <s v="Search-Google"/>
    <s v="Search"/>
  </r>
  <r>
    <s v="Biolage"/>
    <x v="1"/>
    <x v="2"/>
    <s v="Google"/>
    <s v="Biolage"/>
    <x v="21"/>
    <d v="2023-01-01T00:00:00"/>
    <n v="316.3"/>
    <n v="1649"/>
    <s v="LY"/>
    <s v="Search-Google"/>
    <s v="Search"/>
  </r>
  <r>
    <s v="Biolage"/>
    <x v="5"/>
    <x v="2"/>
    <s v="Google"/>
    <s v="Biolage"/>
    <x v="21"/>
    <d v="2023-01-01T00:00:00"/>
    <n v="262.56"/>
    <n v="963"/>
    <s v="LY"/>
    <s v="Search-Google"/>
    <s v="Search"/>
  </r>
  <r>
    <s v="Biolage"/>
    <x v="8"/>
    <x v="2"/>
    <s v="Google"/>
    <s v="Biolage"/>
    <x v="21"/>
    <d v="2023-01-01T00:00:00"/>
    <n v="155.10000000000002"/>
    <n v="697"/>
    <s v="LY"/>
    <s v="Search-Google"/>
    <s v="Search"/>
  </r>
  <r>
    <s v="Biolage"/>
    <x v="3"/>
    <x v="2"/>
    <s v="Google"/>
    <s v="Biolage"/>
    <x v="21"/>
    <d v="2023-01-01T00:00:00"/>
    <n v="159.43"/>
    <n v="776"/>
    <s v="LY"/>
    <s v="Search-Google"/>
    <s v="Search"/>
  </r>
  <r>
    <s v="Biolage"/>
    <x v="4"/>
    <x v="2"/>
    <s v="Google"/>
    <s v="Biolage"/>
    <x v="21"/>
    <d v="2023-01-01T00:00:00"/>
    <n v="260.73"/>
    <n v="1341"/>
    <s v="LY"/>
    <s v="Search-Google"/>
    <s v="Search"/>
  </r>
  <r>
    <s v="Biolage"/>
    <x v="9"/>
    <x v="0"/>
    <s v="Meta"/>
    <s v="Other"/>
    <x v="22"/>
    <d v="2023-01-01T00:00:00"/>
    <n v="29383.910003000001"/>
    <n v="4657170"/>
    <s v="LY"/>
    <s v="Social-Meta"/>
    <s v="Meta"/>
  </r>
  <r>
    <s v="Biolage"/>
    <x v="9"/>
    <x v="0"/>
    <s v="Meta"/>
    <s v="Ulta"/>
    <x v="22"/>
    <d v="2023-01-01T00:00:00"/>
    <n v="22200.819997000002"/>
    <n v="1976115"/>
    <s v="LY"/>
    <s v="Social-Meta"/>
    <s v="Ulta"/>
  </r>
  <r>
    <s v="Biolage"/>
    <x v="1"/>
    <x v="1"/>
    <s v="Amazon"/>
    <s v="Amazon"/>
    <x v="22"/>
    <d v="2023-01-01T00:00:00"/>
    <n v="2846.0829000000003"/>
    <n v="1031458"/>
    <s v="LY"/>
    <s v="Display-Amazon"/>
    <s v="Amazon"/>
  </r>
  <r>
    <s v="Biolage"/>
    <x v="1"/>
    <x v="2"/>
    <s v="Amazon"/>
    <s v="Amazon"/>
    <x v="22"/>
    <d v="2023-01-01T00:00:00"/>
    <n v="24608.710000000003"/>
    <n v="2479037"/>
    <s v="LY"/>
    <s v="Search-Amazon"/>
    <s v="Amazon"/>
  </r>
  <r>
    <s v="Biolage"/>
    <x v="0"/>
    <x v="1"/>
    <s v="Amazon"/>
    <s v="Amazon"/>
    <x v="22"/>
    <d v="2023-01-01T00:00:00"/>
    <n v="41230.403100000032"/>
    <n v="11489214"/>
    <s v="LY"/>
    <s v="Display-Amazon"/>
    <s v="Amazon"/>
  </r>
  <r>
    <s v="Biolage"/>
    <x v="0"/>
    <x v="2"/>
    <s v="Amazon"/>
    <s v="Amazon"/>
    <x v="22"/>
    <d v="2023-01-01T00:00:00"/>
    <n v="11963.440000000002"/>
    <n v="2234271"/>
    <s v="LY"/>
    <s v="Search-Amazon"/>
    <s v="Amazon"/>
  </r>
  <r>
    <s v="Biolage"/>
    <x v="2"/>
    <x v="1"/>
    <s v="Amazon"/>
    <s v="Amazon"/>
    <x v="22"/>
    <d v="2023-01-01T00:00:00"/>
    <n v="4090.4277999999999"/>
    <n v="501122"/>
    <s v="LY"/>
    <s v="Display-Amazon"/>
    <s v="Amazon"/>
  </r>
  <r>
    <s v="Biolage"/>
    <x v="2"/>
    <x v="2"/>
    <s v="Amazon"/>
    <s v="Amazon"/>
    <x v="22"/>
    <d v="2023-01-01T00:00:00"/>
    <n v="20340.710000000017"/>
    <n v="2791079"/>
    <s v="LY"/>
    <s v="Search-Amazon"/>
    <s v="Amazon"/>
  </r>
  <r>
    <s v="Biolage"/>
    <x v="3"/>
    <x v="1"/>
    <s v="Amazon"/>
    <s v="Amazon"/>
    <x v="22"/>
    <d v="2023-01-01T00:00:00"/>
    <n v="4389.4712999999983"/>
    <n v="492355"/>
    <s v="LY"/>
    <s v="Display-Amazon"/>
    <s v="Amazon"/>
  </r>
  <r>
    <s v="Biolage"/>
    <x v="3"/>
    <x v="2"/>
    <s v="Amazon"/>
    <s v="Amazon"/>
    <x v="22"/>
    <d v="2023-01-01T00:00:00"/>
    <n v="20122.900000000012"/>
    <n v="2925258"/>
    <s v="LY"/>
    <s v="Search-Amazon"/>
    <s v="Amazon"/>
  </r>
  <r>
    <s v="Biolage"/>
    <x v="4"/>
    <x v="1"/>
    <s v="Amazon"/>
    <s v="Amazon"/>
    <x v="22"/>
    <d v="2023-01-01T00:00:00"/>
    <n v="2789.8084999999992"/>
    <n v="703551"/>
    <s v="LY"/>
    <s v="Display-Amazon"/>
    <s v="Amazon"/>
  </r>
  <r>
    <s v="Biolage"/>
    <x v="4"/>
    <x v="2"/>
    <s v="Amazon"/>
    <s v="Amazon"/>
    <x v="22"/>
    <d v="2023-01-01T00:00:00"/>
    <n v="7475.5600000000022"/>
    <n v="1553001"/>
    <s v="LY"/>
    <s v="Search-Amazon"/>
    <s v="Amazon"/>
  </r>
  <r>
    <s v="Biolage"/>
    <x v="5"/>
    <x v="2"/>
    <s v="Amazon"/>
    <s v="Amazon"/>
    <x v="22"/>
    <d v="2023-01-01T00:00:00"/>
    <n v="6997.6299999999992"/>
    <n v="525114"/>
    <s v="LY"/>
    <s v="Search-Amazon"/>
    <s v="Amazon"/>
  </r>
  <r>
    <s v="Biolage"/>
    <x v="8"/>
    <x v="1"/>
    <s v="Amazon"/>
    <s v="Amazon"/>
    <x v="22"/>
    <d v="2023-01-01T00:00:00"/>
    <n v="2460.2745999999997"/>
    <n v="733828"/>
    <s v="LY"/>
    <s v="Display-Amazon"/>
    <s v="Amazon"/>
  </r>
  <r>
    <s v="Biolage"/>
    <x v="8"/>
    <x v="2"/>
    <s v="Amazon"/>
    <s v="Amazon"/>
    <x v="22"/>
    <d v="2023-01-01T00:00:00"/>
    <n v="4054.1899999999996"/>
    <n v="1223371"/>
    <s v="LY"/>
    <s v="Search-Amazon"/>
    <s v="Amazon"/>
  </r>
  <r>
    <s v="Biolage"/>
    <x v="9"/>
    <x v="2"/>
    <s v="Amazon"/>
    <s v="Amazon"/>
    <x v="22"/>
    <d v="2023-01-01T00:00:00"/>
    <n v="3591.6400000000008"/>
    <n v="678119"/>
    <s v="LY"/>
    <s v="Search-Amazon"/>
    <s v="Amazon"/>
  </r>
  <r>
    <s v="Biolage"/>
    <x v="10"/>
    <x v="2"/>
    <s v="Google"/>
    <s v="Biolage"/>
    <x v="22"/>
    <d v="2023-01-01T00:00:00"/>
    <n v="60.36"/>
    <n v="375"/>
    <s v="LY"/>
    <s v="Search-Google"/>
    <s v="Search"/>
  </r>
  <r>
    <s v="Biolage"/>
    <x v="9"/>
    <x v="2"/>
    <s v="Google"/>
    <s v="Biolage"/>
    <x v="22"/>
    <d v="2023-01-01T00:00:00"/>
    <n v="216.18"/>
    <n v="696"/>
    <s v="LY"/>
    <s v="Search-Google"/>
    <s v="Search"/>
  </r>
  <r>
    <s v="Biolage"/>
    <x v="0"/>
    <x v="2"/>
    <s v="Google"/>
    <s v="Biolage"/>
    <x v="22"/>
    <d v="2023-01-01T00:00:00"/>
    <n v="11610.16"/>
    <n v="37004"/>
    <s v="LY"/>
    <s v="Search-Google"/>
    <s v="Search"/>
  </r>
  <r>
    <s v="Biolage"/>
    <x v="2"/>
    <x v="2"/>
    <s v="Google"/>
    <s v="Biolage"/>
    <x v="22"/>
    <d v="2023-01-01T00:00:00"/>
    <n v="180.03"/>
    <n v="1068"/>
    <s v="LY"/>
    <s v="Search-Google"/>
    <s v="Search"/>
  </r>
  <r>
    <s v="Biolage"/>
    <x v="11"/>
    <x v="2"/>
    <s v="Google"/>
    <s v="Biolage"/>
    <x v="22"/>
    <d v="2023-01-01T00:00:00"/>
    <n v="38.57"/>
    <n v="134"/>
    <s v="LY"/>
    <s v="Search-Google"/>
    <s v="Search"/>
  </r>
  <r>
    <s v="Biolage"/>
    <x v="1"/>
    <x v="2"/>
    <s v="Google"/>
    <s v="Biolage"/>
    <x v="22"/>
    <d v="2023-01-01T00:00:00"/>
    <n v="433.03"/>
    <n v="1811"/>
    <s v="LY"/>
    <s v="Search-Google"/>
    <s v="Search"/>
  </r>
  <r>
    <s v="Biolage"/>
    <x v="5"/>
    <x v="2"/>
    <s v="Google"/>
    <s v="Biolage"/>
    <x v="22"/>
    <d v="2023-01-01T00:00:00"/>
    <n v="231.67999999999995"/>
    <n v="919"/>
    <s v="LY"/>
    <s v="Search-Google"/>
    <s v="Search"/>
  </r>
  <r>
    <s v="Biolage"/>
    <x v="8"/>
    <x v="2"/>
    <s v="Google"/>
    <s v="Biolage"/>
    <x v="22"/>
    <d v="2023-01-01T00:00:00"/>
    <n v="124.75999999999999"/>
    <n v="621"/>
    <s v="LY"/>
    <s v="Search-Google"/>
    <s v="Search"/>
  </r>
  <r>
    <s v="Biolage"/>
    <x v="3"/>
    <x v="2"/>
    <s v="Google"/>
    <s v="Biolage"/>
    <x v="22"/>
    <d v="2023-01-01T00:00:00"/>
    <n v="177.22"/>
    <n v="773"/>
    <s v="LY"/>
    <s v="Search-Google"/>
    <s v="Search"/>
  </r>
  <r>
    <s v="Biolage"/>
    <x v="4"/>
    <x v="2"/>
    <s v="Google"/>
    <s v="Biolage"/>
    <x v="22"/>
    <d v="2023-01-01T00:00:00"/>
    <n v="366.21"/>
    <n v="1375"/>
    <s v="LY"/>
    <s v="Search-Google"/>
    <s v="Search"/>
  </r>
  <r>
    <s v="Biolage"/>
    <x v="9"/>
    <x v="0"/>
    <s v="Meta"/>
    <s v="Other"/>
    <x v="23"/>
    <d v="2023-01-01T00:00:00"/>
    <n v="28620.652752000005"/>
    <n v="5005073"/>
    <s v="LY"/>
    <s v="Social-Meta"/>
    <s v="Meta"/>
  </r>
  <r>
    <s v="Biolage"/>
    <x v="9"/>
    <x v="0"/>
    <s v="Meta"/>
    <s v="Ulta"/>
    <x v="23"/>
    <d v="2023-01-01T00:00:00"/>
    <n v="21655.697800000002"/>
    <n v="2271169"/>
    <s v="LY"/>
    <s v="Social-Meta"/>
    <s v="Ulta"/>
  </r>
  <r>
    <s v="Biolage"/>
    <x v="1"/>
    <x v="1"/>
    <s v="Amazon"/>
    <s v="Amazon"/>
    <x v="23"/>
    <d v="2023-01-01T00:00:00"/>
    <n v="4441.3024999999989"/>
    <n v="1460966"/>
    <s v="LY"/>
    <s v="Display-Amazon"/>
    <s v="Amazon"/>
  </r>
  <r>
    <s v="Biolage"/>
    <x v="1"/>
    <x v="2"/>
    <s v="Amazon"/>
    <s v="Amazon"/>
    <x v="23"/>
    <d v="2023-01-01T00:00:00"/>
    <n v="10388.56"/>
    <n v="1257236"/>
    <s v="LY"/>
    <s v="Search-Amazon"/>
    <s v="Amazon"/>
  </r>
  <r>
    <s v="Biolage"/>
    <x v="0"/>
    <x v="1"/>
    <s v="Amazon"/>
    <s v="Amazon"/>
    <x v="23"/>
    <d v="2023-01-01T00:00:00"/>
    <n v="10680.274599999997"/>
    <n v="4448525"/>
    <s v="LY"/>
    <s v="Display-Amazon"/>
    <s v="Amazon"/>
  </r>
  <r>
    <s v="Biolage"/>
    <x v="0"/>
    <x v="2"/>
    <s v="Amazon"/>
    <s v="Amazon"/>
    <x v="23"/>
    <d v="2023-01-01T00:00:00"/>
    <n v="3882.2400000000007"/>
    <n v="1053125"/>
    <s v="LY"/>
    <s v="Search-Amazon"/>
    <s v="Amazon"/>
  </r>
  <r>
    <s v="Biolage"/>
    <x v="2"/>
    <x v="1"/>
    <s v="Amazon"/>
    <s v="Amazon"/>
    <x v="23"/>
    <d v="2023-01-01T00:00:00"/>
    <n v="4386.2370999999976"/>
    <n v="651753"/>
    <s v="LY"/>
    <s v="Display-Amazon"/>
    <s v="Amazon"/>
  </r>
  <r>
    <s v="Biolage"/>
    <x v="2"/>
    <x v="2"/>
    <s v="Amazon"/>
    <s v="Amazon"/>
    <x v="23"/>
    <d v="2023-01-01T00:00:00"/>
    <n v="8657.4700000000012"/>
    <n v="953837"/>
    <s v="LY"/>
    <s v="Search-Amazon"/>
    <s v="Amazon"/>
  </r>
  <r>
    <s v="Biolage"/>
    <x v="3"/>
    <x v="1"/>
    <s v="Amazon"/>
    <s v="Amazon"/>
    <x v="23"/>
    <d v="2023-01-01T00:00:00"/>
    <n v="3894.8914999999979"/>
    <n v="552124"/>
    <s v="LY"/>
    <s v="Display-Amazon"/>
    <s v="Amazon"/>
  </r>
  <r>
    <s v="Biolage"/>
    <x v="3"/>
    <x v="2"/>
    <s v="Amazon"/>
    <s v="Amazon"/>
    <x v="23"/>
    <d v="2023-01-01T00:00:00"/>
    <n v="5738.7099999999991"/>
    <n v="1198458"/>
    <s v="LY"/>
    <s v="Search-Amazon"/>
    <s v="Amazon"/>
  </r>
  <r>
    <s v="Biolage"/>
    <x v="4"/>
    <x v="1"/>
    <s v="Amazon"/>
    <s v="Amazon"/>
    <x v="23"/>
    <d v="2023-01-01T00:00:00"/>
    <n v="3896.7898000000005"/>
    <n v="1010465"/>
    <s v="LY"/>
    <s v="Display-Amazon"/>
    <s v="Amazon"/>
  </r>
  <r>
    <s v="Biolage"/>
    <x v="4"/>
    <x v="2"/>
    <s v="Amazon"/>
    <s v="Amazon"/>
    <x v="23"/>
    <d v="2023-01-01T00:00:00"/>
    <n v="2958.3299999999986"/>
    <n v="868175"/>
    <s v="LY"/>
    <s v="Search-Amazon"/>
    <s v="Amazon"/>
  </r>
  <r>
    <s v="Biolage"/>
    <x v="5"/>
    <x v="2"/>
    <s v="Amazon"/>
    <s v="Amazon"/>
    <x v="23"/>
    <d v="2023-01-01T00:00:00"/>
    <n v="4816.2599999999984"/>
    <n v="537528"/>
    <s v="LY"/>
    <s v="Search-Amazon"/>
    <s v="Amazon"/>
  </r>
  <r>
    <s v="Biolage"/>
    <x v="8"/>
    <x v="1"/>
    <s v="Amazon"/>
    <s v="Amazon"/>
    <x v="23"/>
    <d v="2023-01-01T00:00:00"/>
    <n v="3633.7894999999994"/>
    <n v="956175"/>
    <s v="LY"/>
    <s v="Display-Amazon"/>
    <s v="Amazon"/>
  </r>
  <r>
    <s v="Biolage"/>
    <x v="8"/>
    <x v="2"/>
    <s v="Amazon"/>
    <s v="Amazon"/>
    <x v="23"/>
    <d v="2023-01-01T00:00:00"/>
    <n v="2573.6300000000006"/>
    <n v="562133"/>
    <s v="LY"/>
    <s v="Search-Amazon"/>
    <s v="Amazon"/>
  </r>
  <r>
    <s v="Biolage"/>
    <x v="9"/>
    <x v="2"/>
    <s v="Amazon"/>
    <s v="Amazon"/>
    <x v="23"/>
    <d v="2023-01-01T00:00:00"/>
    <n v="1163.2000000000003"/>
    <n v="129196"/>
    <s v="LY"/>
    <s v="Search-Amazon"/>
    <s v="Amazon"/>
  </r>
  <r>
    <s v="Biolage"/>
    <x v="10"/>
    <x v="2"/>
    <s v="Google"/>
    <s v="Biolage"/>
    <x v="23"/>
    <d v="2023-01-01T00:00:00"/>
    <n v="103.17999999999999"/>
    <n v="390"/>
    <s v="LY"/>
    <s v="Search-Google"/>
    <s v="Search"/>
  </r>
  <r>
    <s v="Biolage"/>
    <x v="9"/>
    <x v="2"/>
    <s v="Google"/>
    <s v="Biolage"/>
    <x v="23"/>
    <d v="2023-01-01T00:00:00"/>
    <n v="239.89999999999998"/>
    <n v="664"/>
    <s v="LY"/>
    <s v="Search-Google"/>
    <s v="Search"/>
  </r>
  <r>
    <s v="Biolage"/>
    <x v="0"/>
    <x v="2"/>
    <s v="Google"/>
    <s v="Biolage"/>
    <x v="23"/>
    <d v="2023-01-01T00:00:00"/>
    <n v="11144.380000000003"/>
    <n v="34334"/>
    <s v="LY"/>
    <s v="Search-Google"/>
    <s v="Search"/>
  </r>
  <r>
    <s v="Biolage"/>
    <x v="2"/>
    <x v="2"/>
    <s v="Google"/>
    <s v="Biolage"/>
    <x v="23"/>
    <d v="2023-01-01T00:00:00"/>
    <n v="199.23999999999998"/>
    <n v="1196"/>
    <s v="LY"/>
    <s v="Search-Google"/>
    <s v="Search"/>
  </r>
  <r>
    <s v="Biolage"/>
    <x v="11"/>
    <x v="2"/>
    <s v="Google"/>
    <s v="Biolage"/>
    <x v="23"/>
    <d v="2023-01-01T00:00:00"/>
    <n v="27.549999999999997"/>
    <n v="94"/>
    <s v="LY"/>
    <s v="Search-Google"/>
    <s v="Search"/>
  </r>
  <r>
    <s v="Biolage"/>
    <x v="1"/>
    <x v="2"/>
    <s v="Google"/>
    <s v="Biolage"/>
    <x v="23"/>
    <d v="2023-01-01T00:00:00"/>
    <n v="384.03"/>
    <n v="1853"/>
    <s v="LY"/>
    <s v="Search-Google"/>
    <s v="Search"/>
  </r>
  <r>
    <s v="Biolage"/>
    <x v="5"/>
    <x v="2"/>
    <s v="Google"/>
    <s v="Biolage"/>
    <x v="23"/>
    <d v="2023-01-01T00:00:00"/>
    <n v="246.56"/>
    <n v="924"/>
    <s v="LY"/>
    <s v="Search-Google"/>
    <s v="Search"/>
  </r>
  <r>
    <s v="Biolage"/>
    <x v="8"/>
    <x v="2"/>
    <s v="Google"/>
    <s v="Biolage"/>
    <x v="23"/>
    <d v="2023-01-01T00:00:00"/>
    <n v="139.31"/>
    <n v="655"/>
    <s v="LY"/>
    <s v="Search-Google"/>
    <s v="Search"/>
  </r>
  <r>
    <s v="Biolage"/>
    <x v="3"/>
    <x v="2"/>
    <s v="Google"/>
    <s v="Biolage"/>
    <x v="23"/>
    <d v="2023-01-01T00:00:00"/>
    <n v="166.19"/>
    <n v="618"/>
    <s v="LY"/>
    <s v="Search-Google"/>
    <s v="Search"/>
  </r>
  <r>
    <s v="Biolage"/>
    <x v="4"/>
    <x v="2"/>
    <s v="Google"/>
    <s v="Biolage"/>
    <x v="23"/>
    <d v="2023-01-01T00:00:00"/>
    <n v="338.59000000000003"/>
    <n v="1304"/>
    <s v="LY"/>
    <s v="Search-Google"/>
    <s v="Search"/>
  </r>
  <r>
    <s v="Biolage"/>
    <x v="9"/>
    <x v="0"/>
    <s v="Meta"/>
    <s v="Other"/>
    <x v="24"/>
    <d v="2023-01-01T00:00:00"/>
    <n v="38450.740008999994"/>
    <n v="5500117"/>
    <s v="LY"/>
    <s v="Social-Meta"/>
    <s v="Meta"/>
  </r>
  <r>
    <s v="Biolage"/>
    <x v="9"/>
    <x v="0"/>
    <s v="Meta"/>
    <s v="Ulta"/>
    <x v="24"/>
    <d v="2023-01-01T00:00:00"/>
    <n v="21466.060018"/>
    <n v="1958670"/>
    <s v="LY"/>
    <s v="Social-Meta"/>
    <s v="Ulta"/>
  </r>
  <r>
    <s v="Biolage"/>
    <x v="1"/>
    <x v="1"/>
    <s v="Amazon"/>
    <s v="Amazon"/>
    <x v="24"/>
    <d v="2023-01-01T00:00:00"/>
    <n v="4157.9792999999991"/>
    <n v="1579803"/>
    <s v="LY"/>
    <s v="Display-Amazon"/>
    <s v="Amazon"/>
  </r>
  <r>
    <s v="Biolage"/>
    <x v="1"/>
    <x v="2"/>
    <s v="Amazon"/>
    <s v="Amazon"/>
    <x v="24"/>
    <d v="2023-01-01T00:00:00"/>
    <n v="6111.7599999999993"/>
    <n v="700465"/>
    <s v="LY"/>
    <s v="Search-Amazon"/>
    <s v="Amazon"/>
  </r>
  <r>
    <s v="Biolage"/>
    <x v="0"/>
    <x v="1"/>
    <s v="Amazon"/>
    <s v="Amazon"/>
    <x v="24"/>
    <d v="2023-01-01T00:00:00"/>
    <n v="10862.2312"/>
    <n v="5058276"/>
    <s v="LY"/>
    <s v="Display-Amazon"/>
    <s v="Amazon"/>
  </r>
  <r>
    <s v="Biolage"/>
    <x v="0"/>
    <x v="2"/>
    <s v="Amazon"/>
    <s v="Amazon"/>
    <x v="24"/>
    <d v="2023-01-01T00:00:00"/>
    <n v="2533.8599999999988"/>
    <n v="936669"/>
    <s v="LY"/>
    <s v="Search-Amazon"/>
    <s v="Amazon"/>
  </r>
  <r>
    <s v="Biolage"/>
    <x v="2"/>
    <x v="1"/>
    <s v="Amazon"/>
    <s v="Amazon"/>
    <x v="24"/>
    <d v="2023-01-01T00:00:00"/>
    <n v="4300.1457"/>
    <n v="725610"/>
    <s v="LY"/>
    <s v="Display-Amazon"/>
    <s v="Amazon"/>
  </r>
  <r>
    <s v="Biolage"/>
    <x v="2"/>
    <x v="2"/>
    <s v="Amazon"/>
    <s v="Amazon"/>
    <x v="24"/>
    <d v="2023-01-01T00:00:00"/>
    <n v="5653.81"/>
    <n v="762749"/>
    <s v="LY"/>
    <s v="Search-Amazon"/>
    <s v="Amazon"/>
  </r>
  <r>
    <s v="Biolage"/>
    <x v="3"/>
    <x v="1"/>
    <s v="Amazon"/>
    <s v="Amazon"/>
    <x v="24"/>
    <d v="2023-01-01T00:00:00"/>
    <n v="3982.0275999999999"/>
    <n v="609108"/>
    <s v="LY"/>
    <s v="Display-Amazon"/>
    <s v="Amazon"/>
  </r>
  <r>
    <s v="Biolage"/>
    <x v="3"/>
    <x v="2"/>
    <s v="Amazon"/>
    <s v="Amazon"/>
    <x v="24"/>
    <d v="2023-01-01T00:00:00"/>
    <n v="3770.6200000000022"/>
    <n v="1017212"/>
    <s v="LY"/>
    <s v="Search-Amazon"/>
    <s v="Amazon"/>
  </r>
  <r>
    <s v="Biolage"/>
    <x v="4"/>
    <x v="1"/>
    <s v="Amazon"/>
    <s v="Amazon"/>
    <x v="24"/>
    <d v="2023-01-01T00:00:00"/>
    <n v="3952.2930000000001"/>
    <n v="1094318"/>
    <s v="LY"/>
    <s v="Display-Amazon"/>
    <s v="Amazon"/>
  </r>
  <r>
    <s v="Biolage"/>
    <x v="4"/>
    <x v="2"/>
    <s v="Amazon"/>
    <s v="Amazon"/>
    <x v="24"/>
    <d v="2023-01-01T00:00:00"/>
    <n v="1611.1199999999994"/>
    <n v="319036"/>
    <s v="LY"/>
    <s v="Search-Amazon"/>
    <s v="Amazon"/>
  </r>
  <r>
    <s v="Biolage"/>
    <x v="5"/>
    <x v="2"/>
    <s v="Amazon"/>
    <s v="Amazon"/>
    <x v="24"/>
    <d v="2023-01-01T00:00:00"/>
    <n v="2556.5"/>
    <n v="255153"/>
    <s v="LY"/>
    <s v="Search-Amazon"/>
    <s v="Amazon"/>
  </r>
  <r>
    <s v="Biolage"/>
    <x v="8"/>
    <x v="1"/>
    <s v="Amazon"/>
    <s v="Amazon"/>
    <x v="24"/>
    <d v="2023-01-01T00:00:00"/>
    <n v="3208.7271999999998"/>
    <n v="968443"/>
    <s v="LY"/>
    <s v="Display-Amazon"/>
    <s v="Amazon"/>
  </r>
  <r>
    <s v="Biolage"/>
    <x v="8"/>
    <x v="2"/>
    <s v="Amazon"/>
    <s v="Amazon"/>
    <x v="24"/>
    <d v="2023-01-01T00:00:00"/>
    <n v="1848.9099999999999"/>
    <n v="331332"/>
    <s v="LY"/>
    <s v="Search-Amazon"/>
    <s v="Amazon"/>
  </r>
  <r>
    <s v="Biolage"/>
    <x v="9"/>
    <x v="2"/>
    <s v="Amazon"/>
    <s v="Amazon"/>
    <x v="24"/>
    <d v="2023-01-01T00:00:00"/>
    <n v="783.71999999999991"/>
    <n v="66236"/>
    <s v="LY"/>
    <s v="Search-Amazon"/>
    <s v="Amazon"/>
  </r>
  <r>
    <s v="Biolage"/>
    <x v="10"/>
    <x v="2"/>
    <s v="Google"/>
    <s v="Biolage"/>
    <x v="24"/>
    <d v="2023-01-01T00:00:00"/>
    <n v="142.57999999999998"/>
    <n v="452"/>
    <s v="LY"/>
    <s v="Search-Google"/>
    <s v="Search"/>
  </r>
  <r>
    <s v="Biolage"/>
    <x v="9"/>
    <x v="2"/>
    <s v="Google"/>
    <s v="Biolage"/>
    <x v="24"/>
    <d v="2023-01-01T00:00:00"/>
    <n v="327.62"/>
    <n v="820"/>
    <s v="LY"/>
    <s v="Search-Google"/>
    <s v="Search"/>
  </r>
  <r>
    <s v="Biolage"/>
    <x v="0"/>
    <x v="2"/>
    <s v="Google"/>
    <s v="Biolage"/>
    <x v="24"/>
    <d v="2023-01-01T00:00:00"/>
    <n v="10440.119999999999"/>
    <n v="34174"/>
    <s v="LY"/>
    <s v="Search-Google"/>
    <s v="Search"/>
  </r>
  <r>
    <s v="Biolage"/>
    <x v="2"/>
    <x v="2"/>
    <s v="Google"/>
    <s v="Biolage"/>
    <x v="24"/>
    <d v="2023-01-01T00:00:00"/>
    <n v="241.23000000000002"/>
    <n v="1288"/>
    <s v="LY"/>
    <s v="Search-Google"/>
    <s v="Search"/>
  </r>
  <r>
    <s v="Biolage"/>
    <x v="11"/>
    <x v="2"/>
    <s v="Google"/>
    <s v="Biolage"/>
    <x v="24"/>
    <d v="2023-01-01T00:00:00"/>
    <n v="12.08"/>
    <n v="59"/>
    <s v="LY"/>
    <s v="Search-Google"/>
    <s v="Search"/>
  </r>
  <r>
    <s v="Biolage"/>
    <x v="1"/>
    <x v="2"/>
    <s v="Google"/>
    <s v="Biolage"/>
    <x v="24"/>
    <d v="2023-01-01T00:00:00"/>
    <n v="375.72"/>
    <n v="1849"/>
    <s v="LY"/>
    <s v="Search-Google"/>
    <s v="Search"/>
  </r>
  <r>
    <s v="Biolage"/>
    <x v="5"/>
    <x v="2"/>
    <s v="Google"/>
    <s v="Biolage"/>
    <x v="24"/>
    <d v="2023-01-01T00:00:00"/>
    <n v="297.20000000000005"/>
    <n v="1066"/>
    <s v="LY"/>
    <s v="Search-Google"/>
    <s v="Search"/>
  </r>
  <r>
    <s v="Biolage"/>
    <x v="8"/>
    <x v="2"/>
    <s v="Google"/>
    <s v="Biolage"/>
    <x v="24"/>
    <d v="2023-01-01T00:00:00"/>
    <n v="154.13999999999999"/>
    <n v="613"/>
    <s v="LY"/>
    <s v="Search-Google"/>
    <s v="Search"/>
  </r>
  <r>
    <s v="Biolage"/>
    <x v="3"/>
    <x v="2"/>
    <s v="Google"/>
    <s v="Biolage"/>
    <x v="24"/>
    <d v="2023-01-01T00:00:00"/>
    <n v="162.08999999999997"/>
    <n v="658"/>
    <s v="LY"/>
    <s v="Search-Google"/>
    <s v="Search"/>
  </r>
  <r>
    <s v="Biolage"/>
    <x v="4"/>
    <x v="2"/>
    <s v="Google"/>
    <s v="Biolage"/>
    <x v="24"/>
    <d v="2023-01-01T00:00:00"/>
    <n v="331.94"/>
    <n v="1257"/>
    <s v="LY"/>
    <s v="Search-Google"/>
    <s v="Search"/>
  </r>
  <r>
    <s v="Biolage"/>
    <x v="9"/>
    <x v="0"/>
    <s v="Meta"/>
    <s v="Other"/>
    <x v="25"/>
    <d v="2023-01-01T00:00:00"/>
    <n v="37767.739996000004"/>
    <n v="5158282"/>
    <s v="LY"/>
    <s v="Social-Meta"/>
    <s v="Meta"/>
  </r>
  <r>
    <s v="Biolage"/>
    <x v="9"/>
    <x v="0"/>
    <s v="Meta"/>
    <s v="Ulta"/>
    <x v="25"/>
    <d v="2023-01-01T00:00:00"/>
    <n v="21063.300009000002"/>
    <n v="1863207"/>
    <s v="LY"/>
    <s v="Social-Meta"/>
    <s v="Ulta"/>
  </r>
  <r>
    <s v="Biolage"/>
    <x v="1"/>
    <x v="1"/>
    <s v="Amazon"/>
    <s v="Amazon"/>
    <x v="25"/>
    <d v="2023-01-01T00:00:00"/>
    <n v="4139.6553000000004"/>
    <n v="1589626"/>
    <s v="LY"/>
    <s v="Display-Amazon"/>
    <s v="Amazon"/>
  </r>
  <r>
    <s v="Biolage"/>
    <x v="1"/>
    <x v="2"/>
    <s v="Amazon"/>
    <s v="Amazon"/>
    <x v="25"/>
    <d v="2023-01-01T00:00:00"/>
    <n v="4540.3599999999969"/>
    <n v="476527"/>
    <s v="LY"/>
    <s v="Search-Amazon"/>
    <s v="Amazon"/>
  </r>
  <r>
    <s v="Biolage"/>
    <x v="0"/>
    <x v="1"/>
    <s v="Amazon"/>
    <s v="Amazon"/>
    <x v="25"/>
    <d v="2023-01-01T00:00:00"/>
    <n v="10798.572400000001"/>
    <n v="4917615"/>
    <s v="LY"/>
    <s v="Display-Amazon"/>
    <s v="Amazon"/>
  </r>
  <r>
    <s v="Biolage"/>
    <x v="0"/>
    <x v="2"/>
    <s v="Amazon"/>
    <s v="Amazon"/>
    <x v="25"/>
    <d v="2023-01-01T00:00:00"/>
    <n v="1970.0999999999995"/>
    <n v="729325"/>
    <s v="LY"/>
    <s v="Search-Amazon"/>
    <s v="Amazon"/>
  </r>
  <r>
    <s v="Biolage"/>
    <x v="2"/>
    <x v="1"/>
    <s v="Amazon"/>
    <s v="Amazon"/>
    <x v="25"/>
    <d v="2023-01-01T00:00:00"/>
    <n v="4172.0446999999995"/>
    <n v="779202"/>
    <s v="LY"/>
    <s v="Display-Amazon"/>
    <s v="Amazon"/>
  </r>
  <r>
    <s v="Biolage"/>
    <x v="2"/>
    <x v="2"/>
    <s v="Amazon"/>
    <s v="Amazon"/>
    <x v="25"/>
    <d v="2023-01-01T00:00:00"/>
    <n v="4265.3600000000015"/>
    <n v="573301"/>
    <s v="LY"/>
    <s v="Search-Amazon"/>
    <s v="Amazon"/>
  </r>
  <r>
    <s v="Biolage"/>
    <x v="3"/>
    <x v="1"/>
    <s v="Amazon"/>
    <s v="Amazon"/>
    <x v="25"/>
    <d v="2023-01-01T00:00:00"/>
    <n v="3936.3377000000005"/>
    <n v="592829"/>
    <s v="LY"/>
    <s v="Display-Amazon"/>
    <s v="Amazon"/>
  </r>
  <r>
    <s v="Biolage"/>
    <x v="3"/>
    <x v="2"/>
    <s v="Amazon"/>
    <s v="Amazon"/>
    <x v="25"/>
    <d v="2023-01-01T00:00:00"/>
    <n v="3155.8799999999987"/>
    <n v="582934"/>
    <s v="LY"/>
    <s v="Search-Amazon"/>
    <s v="Amazon"/>
  </r>
  <r>
    <s v="Biolage"/>
    <x v="4"/>
    <x v="1"/>
    <s v="Amazon"/>
    <s v="Amazon"/>
    <x v="25"/>
    <d v="2023-01-01T00:00:00"/>
    <n v="3927.8930999999993"/>
    <n v="1014469"/>
    <s v="LY"/>
    <s v="Display-Amazon"/>
    <s v="Amazon"/>
  </r>
  <r>
    <s v="Biolage"/>
    <x v="4"/>
    <x v="2"/>
    <s v="Amazon"/>
    <s v="Amazon"/>
    <x v="25"/>
    <d v="2023-01-01T00:00:00"/>
    <n v="1110.8199999999995"/>
    <n v="254163"/>
    <s v="LY"/>
    <s v="Search-Amazon"/>
    <s v="Amazon"/>
  </r>
  <r>
    <s v="Biolage"/>
    <x v="5"/>
    <x v="2"/>
    <s v="Amazon"/>
    <s v="Amazon"/>
    <x v="25"/>
    <d v="2023-01-01T00:00:00"/>
    <n v="1922.0600000000006"/>
    <n v="256165"/>
    <s v="LY"/>
    <s v="Search-Amazon"/>
    <s v="Amazon"/>
  </r>
  <r>
    <s v="Biolage"/>
    <x v="8"/>
    <x v="1"/>
    <s v="Amazon"/>
    <s v="Amazon"/>
    <x v="25"/>
    <d v="2023-01-01T00:00:00"/>
    <n v="3229.1633000000015"/>
    <n v="806510"/>
    <s v="LY"/>
    <s v="Display-Amazon"/>
    <s v="Amazon"/>
  </r>
  <r>
    <s v="Biolage"/>
    <x v="8"/>
    <x v="2"/>
    <s v="Amazon"/>
    <s v="Amazon"/>
    <x v="25"/>
    <d v="2023-01-01T00:00:00"/>
    <n v="1676.5199999999993"/>
    <n v="346105"/>
    <s v="LY"/>
    <s v="Search-Amazon"/>
    <s v="Amazon"/>
  </r>
  <r>
    <s v="Biolage"/>
    <x v="9"/>
    <x v="2"/>
    <s v="Amazon"/>
    <s v="Amazon"/>
    <x v="25"/>
    <d v="2023-01-01T00:00:00"/>
    <n v="656.9799999999999"/>
    <n v="74942"/>
    <s v="LY"/>
    <s v="Search-Amazon"/>
    <s v="Amazon"/>
  </r>
  <r>
    <s v="Biolage"/>
    <x v="10"/>
    <x v="2"/>
    <s v="Google"/>
    <s v="Biolage"/>
    <x v="25"/>
    <d v="2023-01-01T00:00:00"/>
    <n v="167.07"/>
    <n v="533"/>
    <s v="LY"/>
    <s v="Search-Google"/>
    <s v="Search"/>
  </r>
  <r>
    <s v="Biolage"/>
    <x v="9"/>
    <x v="2"/>
    <s v="Google"/>
    <s v="Biolage"/>
    <x v="25"/>
    <d v="2023-01-01T00:00:00"/>
    <n v="464.76"/>
    <n v="940"/>
    <s v="LY"/>
    <s v="Search-Google"/>
    <s v="Search"/>
  </r>
  <r>
    <s v="Biolage"/>
    <x v="0"/>
    <x v="2"/>
    <s v="Google"/>
    <s v="Biolage"/>
    <x v="25"/>
    <d v="2023-01-01T00:00:00"/>
    <n v="10128.700000000001"/>
    <n v="34349"/>
    <s v="LY"/>
    <s v="Search-Google"/>
    <s v="Search"/>
  </r>
  <r>
    <s v="Biolage"/>
    <x v="2"/>
    <x v="2"/>
    <s v="Google"/>
    <s v="Biolage"/>
    <x v="25"/>
    <d v="2023-01-01T00:00:00"/>
    <n v="212.78999999999996"/>
    <n v="1080"/>
    <s v="LY"/>
    <s v="Search-Google"/>
    <s v="Search"/>
  </r>
  <r>
    <s v="Biolage"/>
    <x v="11"/>
    <x v="2"/>
    <s v="Google"/>
    <s v="Biolage"/>
    <x v="25"/>
    <d v="2023-01-01T00:00:00"/>
    <n v="36.78"/>
    <n v="72"/>
    <s v="LY"/>
    <s v="Search-Google"/>
    <s v="Search"/>
  </r>
  <r>
    <s v="Biolage"/>
    <x v="1"/>
    <x v="2"/>
    <s v="Google"/>
    <s v="Biolage"/>
    <x v="25"/>
    <d v="2023-01-01T00:00:00"/>
    <n v="389.46000000000004"/>
    <n v="1741"/>
    <s v="LY"/>
    <s v="Search-Google"/>
    <s v="Search"/>
  </r>
  <r>
    <s v="Biolage"/>
    <x v="5"/>
    <x v="2"/>
    <s v="Google"/>
    <s v="Biolage"/>
    <x v="25"/>
    <d v="2023-01-01T00:00:00"/>
    <n v="331.7"/>
    <n v="1030"/>
    <s v="LY"/>
    <s v="Search-Google"/>
    <s v="Search"/>
  </r>
  <r>
    <s v="Biolage"/>
    <x v="8"/>
    <x v="2"/>
    <s v="Google"/>
    <s v="Biolage"/>
    <x v="25"/>
    <d v="2023-01-01T00:00:00"/>
    <n v="107.92999999999999"/>
    <n v="574"/>
    <s v="LY"/>
    <s v="Search-Google"/>
    <s v="Search"/>
  </r>
  <r>
    <s v="Biolage"/>
    <x v="3"/>
    <x v="2"/>
    <s v="Google"/>
    <s v="Biolage"/>
    <x v="25"/>
    <d v="2023-01-01T00:00:00"/>
    <n v="168.05"/>
    <n v="606"/>
    <s v="LY"/>
    <s v="Search-Google"/>
    <s v="Search"/>
  </r>
  <r>
    <s v="Biolage"/>
    <x v="4"/>
    <x v="2"/>
    <s v="Google"/>
    <s v="Biolage"/>
    <x v="25"/>
    <d v="2023-01-01T00:00:00"/>
    <n v="347.36"/>
    <n v="1248"/>
    <s v="LY"/>
    <s v="Search-Google"/>
    <s v="Search"/>
  </r>
  <r>
    <s v="Biolage"/>
    <x v="9"/>
    <x v="0"/>
    <s v="Meta"/>
    <s v="Other"/>
    <x v="26"/>
    <d v="2023-01-01T00:00:00"/>
    <n v="15955.130007"/>
    <n v="2704263"/>
    <s v="LY"/>
    <s v="Social-Meta"/>
    <s v="Meta"/>
  </r>
  <r>
    <s v="Biolage"/>
    <x v="9"/>
    <x v="0"/>
    <s v="Meta"/>
    <s v="Ulta"/>
    <x v="26"/>
    <d v="2023-01-01T00:00:00"/>
    <n v="11239.950003"/>
    <n v="1233138"/>
    <s v="LY"/>
    <s v="Social-Meta"/>
    <s v="Ulta"/>
  </r>
  <r>
    <s v="Biolage"/>
    <x v="1"/>
    <x v="1"/>
    <s v="Amazon"/>
    <s v="Amazon"/>
    <x v="26"/>
    <d v="2023-01-01T00:00:00"/>
    <n v="3012.6868999999992"/>
    <n v="1103486"/>
    <s v="LY"/>
    <s v="Display-Amazon"/>
    <s v="Amazon"/>
  </r>
  <r>
    <s v="Biolage"/>
    <x v="1"/>
    <x v="2"/>
    <s v="Amazon"/>
    <s v="Amazon"/>
    <x v="26"/>
    <d v="2023-01-01T00:00:00"/>
    <n v="5305.0199999999968"/>
    <n v="595204"/>
    <s v="LY"/>
    <s v="Search-Amazon"/>
    <s v="Amazon"/>
  </r>
  <r>
    <s v="Biolage"/>
    <x v="0"/>
    <x v="1"/>
    <s v="Amazon"/>
    <s v="Amazon"/>
    <x v="26"/>
    <d v="2023-01-01T00:00:00"/>
    <n v="8072.6683999999996"/>
    <n v="3132194"/>
    <s v="LY"/>
    <s v="Display-Amazon"/>
    <s v="Amazon"/>
  </r>
  <r>
    <s v="Biolage"/>
    <x v="0"/>
    <x v="2"/>
    <s v="Amazon"/>
    <s v="Amazon"/>
    <x v="26"/>
    <d v="2023-01-01T00:00:00"/>
    <n v="2159.1"/>
    <n v="742031"/>
    <s v="LY"/>
    <s v="Search-Amazon"/>
    <s v="Amazon"/>
  </r>
  <r>
    <s v="Biolage"/>
    <x v="2"/>
    <x v="1"/>
    <s v="Amazon"/>
    <s v="Amazon"/>
    <x v="26"/>
    <d v="2023-01-01T00:00:00"/>
    <n v="2882.5598000000005"/>
    <n v="592693"/>
    <s v="LY"/>
    <s v="Display-Amazon"/>
    <s v="Amazon"/>
  </r>
  <r>
    <s v="Biolage"/>
    <x v="2"/>
    <x v="2"/>
    <s v="Amazon"/>
    <s v="Amazon"/>
    <x v="26"/>
    <d v="2023-01-01T00:00:00"/>
    <n v="5065.0499999999993"/>
    <n v="750908"/>
    <s v="LY"/>
    <s v="Search-Amazon"/>
    <s v="Amazon"/>
  </r>
  <r>
    <s v="Biolage"/>
    <x v="3"/>
    <x v="1"/>
    <s v="Amazon"/>
    <s v="Amazon"/>
    <x v="26"/>
    <d v="2023-01-01T00:00:00"/>
    <n v="2807.4654"/>
    <n v="566892"/>
    <s v="LY"/>
    <s v="Display-Amazon"/>
    <s v="Amazon"/>
  </r>
  <r>
    <s v="Biolage"/>
    <x v="3"/>
    <x v="2"/>
    <s v="Amazon"/>
    <s v="Amazon"/>
    <x v="26"/>
    <d v="2023-01-01T00:00:00"/>
    <n v="3970.6599999999985"/>
    <n v="979038"/>
    <s v="LY"/>
    <s v="Search-Amazon"/>
    <s v="Amazon"/>
  </r>
  <r>
    <s v="Biolage"/>
    <x v="4"/>
    <x v="1"/>
    <s v="Amazon"/>
    <s v="Amazon"/>
    <x v="26"/>
    <d v="2023-01-01T00:00:00"/>
    <n v="2842.0390999999991"/>
    <n v="742659"/>
    <s v="LY"/>
    <s v="Display-Amazon"/>
    <s v="Amazon"/>
  </r>
  <r>
    <s v="Biolage"/>
    <x v="4"/>
    <x v="2"/>
    <s v="Amazon"/>
    <s v="Amazon"/>
    <x v="26"/>
    <d v="2023-01-01T00:00:00"/>
    <n v="1359.9299999999998"/>
    <n v="284609"/>
    <s v="LY"/>
    <s v="Search-Amazon"/>
    <s v="Amazon"/>
  </r>
  <r>
    <s v="Biolage"/>
    <x v="5"/>
    <x v="2"/>
    <s v="Amazon"/>
    <s v="Amazon"/>
    <x v="26"/>
    <d v="2023-01-01T00:00:00"/>
    <n v="2220.9299999999994"/>
    <n v="304091"/>
    <s v="LY"/>
    <s v="Search-Amazon"/>
    <s v="Amazon"/>
  </r>
  <r>
    <s v="Biolage"/>
    <x v="8"/>
    <x v="1"/>
    <s v="Amazon"/>
    <s v="Amazon"/>
    <x v="26"/>
    <d v="2023-01-01T00:00:00"/>
    <n v="2306.4244000000008"/>
    <n v="706844"/>
    <s v="LY"/>
    <s v="Display-Amazon"/>
    <s v="Amazon"/>
  </r>
  <r>
    <s v="Biolage"/>
    <x v="8"/>
    <x v="2"/>
    <s v="Amazon"/>
    <s v="Amazon"/>
    <x v="26"/>
    <d v="2023-01-01T00:00:00"/>
    <n v="2054.0100000000002"/>
    <n v="384176"/>
    <s v="LY"/>
    <s v="Search-Amazon"/>
    <s v="Amazon"/>
  </r>
  <r>
    <s v="Biolage"/>
    <x v="9"/>
    <x v="2"/>
    <s v="Amazon"/>
    <s v="Amazon"/>
    <x v="26"/>
    <d v="2023-01-01T00:00:00"/>
    <n v="834.4"/>
    <n v="109160"/>
    <s v="LY"/>
    <s v="Search-Amazon"/>
    <s v="Amazon"/>
  </r>
  <r>
    <s v="Biolage"/>
    <x v="10"/>
    <x v="2"/>
    <s v="Google"/>
    <s v="Biolage"/>
    <x v="26"/>
    <d v="2023-01-01T00:00:00"/>
    <n v="137.16999999999999"/>
    <n v="351"/>
    <s v="LY"/>
    <s v="Search-Google"/>
    <s v="Search"/>
  </r>
  <r>
    <s v="Biolage"/>
    <x v="9"/>
    <x v="2"/>
    <s v="Google"/>
    <s v="Biolage"/>
    <x v="26"/>
    <d v="2023-01-01T00:00:00"/>
    <n v="359.56000000000006"/>
    <n v="870"/>
    <s v="LY"/>
    <s v="Search-Google"/>
    <s v="Search"/>
  </r>
  <r>
    <s v="Biolage"/>
    <x v="0"/>
    <x v="2"/>
    <s v="Google"/>
    <s v="Biolage"/>
    <x v="26"/>
    <d v="2023-01-01T00:00:00"/>
    <n v="9479.6699999999964"/>
    <n v="32506"/>
    <s v="LY"/>
    <s v="Search-Google"/>
    <s v="Search"/>
  </r>
  <r>
    <s v="Biolage"/>
    <x v="2"/>
    <x v="2"/>
    <s v="Google"/>
    <s v="Biolage"/>
    <x v="26"/>
    <d v="2023-01-01T00:00:00"/>
    <n v="108.99999999999999"/>
    <n v="762"/>
    <s v="LY"/>
    <s v="Search-Google"/>
    <s v="Search"/>
  </r>
  <r>
    <s v="Biolage"/>
    <x v="11"/>
    <x v="2"/>
    <s v="Google"/>
    <s v="Biolage"/>
    <x v="26"/>
    <d v="2023-01-01T00:00:00"/>
    <n v="8.85"/>
    <n v="8"/>
    <s v="LY"/>
    <s v="Search-Google"/>
    <s v="Search"/>
  </r>
  <r>
    <s v="Biolage"/>
    <x v="1"/>
    <x v="2"/>
    <s v="Google"/>
    <s v="Biolage"/>
    <x v="26"/>
    <d v="2023-01-01T00:00:00"/>
    <n v="263.13"/>
    <n v="1275"/>
    <s v="LY"/>
    <s v="Search-Google"/>
    <s v="Search"/>
  </r>
  <r>
    <s v="Biolage"/>
    <x v="5"/>
    <x v="2"/>
    <s v="Google"/>
    <s v="Biolage"/>
    <x v="26"/>
    <d v="2023-01-01T00:00:00"/>
    <n v="300.01"/>
    <n v="1032"/>
    <s v="LY"/>
    <s v="Search-Google"/>
    <s v="Search"/>
  </r>
  <r>
    <s v="Biolage"/>
    <x v="8"/>
    <x v="2"/>
    <s v="Google"/>
    <s v="Biolage"/>
    <x v="26"/>
    <d v="2023-01-01T00:00:00"/>
    <n v="99.240000000000009"/>
    <n v="458"/>
    <s v="LY"/>
    <s v="Search-Google"/>
    <s v="Search"/>
  </r>
  <r>
    <s v="Biolage"/>
    <x v="3"/>
    <x v="2"/>
    <s v="Google"/>
    <s v="Biolage"/>
    <x v="26"/>
    <d v="2023-01-01T00:00:00"/>
    <n v="132.09"/>
    <n v="573"/>
    <s v="LY"/>
    <s v="Search-Google"/>
    <s v="Search"/>
  </r>
  <r>
    <s v="Biolage"/>
    <x v="4"/>
    <x v="2"/>
    <s v="Google"/>
    <s v="Biolage"/>
    <x v="26"/>
    <d v="2023-01-01T00:00:00"/>
    <n v="366.48999999999995"/>
    <n v="1794"/>
    <s v="LY"/>
    <s v="Search-Google"/>
    <s v="Search"/>
  </r>
  <r>
    <s v="Biolage"/>
    <x v="1"/>
    <x v="1"/>
    <s v="Amazon"/>
    <s v="Amazon"/>
    <x v="27"/>
    <d v="2023-01-01T00:00:00"/>
    <n v="1.2483"/>
    <n v="453"/>
    <s v="LY"/>
    <s v="Display-Amazon"/>
    <s v="Amazon"/>
  </r>
  <r>
    <s v="Biolage"/>
    <x v="1"/>
    <x v="1"/>
    <s v="Amazon"/>
    <s v="Amazon"/>
    <x v="27"/>
    <d v="2024-01-01T00:00:00"/>
    <n v="4664.4183999999996"/>
    <n v="1516074"/>
    <s v="LY"/>
    <s v="Display-Amazon"/>
    <s v="Amazon"/>
  </r>
  <r>
    <s v="Biolage"/>
    <x v="1"/>
    <x v="2"/>
    <s v="Amazon"/>
    <s v="Amazon"/>
    <x v="27"/>
    <d v="2024-01-01T00:00:00"/>
    <n v="4020.3399999999979"/>
    <n v="512733"/>
    <s v="LY"/>
    <s v="Search-Amazon"/>
    <s v="Amazon"/>
  </r>
  <r>
    <s v="Biolage"/>
    <x v="0"/>
    <x v="1"/>
    <s v="Amazon"/>
    <s v="Amazon"/>
    <x v="27"/>
    <d v="2023-01-01T00:00:00"/>
    <n v="124.20739999999999"/>
    <n v="76277"/>
    <s v="LY"/>
    <s v="Display-Amazon"/>
    <s v="Amazon"/>
  </r>
  <r>
    <s v="Biolage"/>
    <x v="0"/>
    <x v="1"/>
    <s v="Amazon"/>
    <s v="Amazon"/>
    <x v="27"/>
    <d v="2024-01-01T00:00:00"/>
    <n v="3447.2480999999984"/>
    <n v="1372143"/>
    <s v="LY"/>
    <s v="Display-Amazon"/>
    <s v="Amazon"/>
  </r>
  <r>
    <s v="Biolage"/>
    <x v="0"/>
    <x v="2"/>
    <s v="Amazon"/>
    <s v="Amazon"/>
    <x v="27"/>
    <d v="2024-01-01T00:00:00"/>
    <n v="1741.8099999999993"/>
    <n v="587877"/>
    <s v="LY"/>
    <s v="Search-Amazon"/>
    <s v="Amazon"/>
  </r>
  <r>
    <s v="Biolage"/>
    <x v="2"/>
    <x v="1"/>
    <s v="Amazon"/>
    <s v="Amazon"/>
    <x v="27"/>
    <d v="2023-01-01T00:00:00"/>
    <n v="17.196099999999998"/>
    <n v="5069"/>
    <s v="LY"/>
    <s v="Display-Amazon"/>
    <s v="Amazon"/>
  </r>
  <r>
    <s v="Biolage"/>
    <x v="2"/>
    <x v="1"/>
    <s v="Amazon"/>
    <s v="Amazon"/>
    <x v="27"/>
    <d v="2024-01-01T00:00:00"/>
    <n v="4102.947000000001"/>
    <n v="691155"/>
    <s v="LY"/>
    <s v="Display-Amazon"/>
    <s v="Amazon"/>
  </r>
  <r>
    <s v="Biolage"/>
    <x v="2"/>
    <x v="2"/>
    <s v="Amazon"/>
    <s v="Amazon"/>
    <x v="27"/>
    <d v="2024-01-01T00:00:00"/>
    <n v="4042.0499999999993"/>
    <n v="554106"/>
    <s v="LY"/>
    <s v="Search-Amazon"/>
    <s v="Amazon"/>
  </r>
  <r>
    <s v="Biolage"/>
    <x v="3"/>
    <x v="1"/>
    <s v="Amazon"/>
    <s v="Amazon"/>
    <x v="27"/>
    <d v="2023-01-01T00:00:00"/>
    <n v="12.6975"/>
    <n v="2498"/>
    <s v="LY"/>
    <s v="Display-Amazon"/>
    <s v="Amazon"/>
  </r>
  <r>
    <s v="Biolage"/>
    <x v="3"/>
    <x v="1"/>
    <s v="Amazon"/>
    <s v="Amazon"/>
    <x v="27"/>
    <d v="2024-01-01T00:00:00"/>
    <n v="3965.7071999999989"/>
    <n v="735327"/>
    <s v="LY"/>
    <s v="Display-Amazon"/>
    <s v="Amazon"/>
  </r>
  <r>
    <s v="Biolage"/>
    <x v="3"/>
    <x v="2"/>
    <s v="Amazon"/>
    <s v="Amazon"/>
    <x v="27"/>
    <d v="2024-01-01T00:00:00"/>
    <n v="3402.35"/>
    <n v="913261"/>
    <s v="LY"/>
    <s v="Search-Amazon"/>
    <s v="Amazon"/>
  </r>
  <r>
    <s v="Biolage"/>
    <x v="4"/>
    <x v="1"/>
    <s v="Amazon"/>
    <s v="Amazon"/>
    <x v="27"/>
    <d v="2023-01-01T00:00:00"/>
    <n v="22.471200000000003"/>
    <n v="4896"/>
    <s v="LY"/>
    <s v="Display-Amazon"/>
    <s v="Amazon"/>
  </r>
  <r>
    <s v="Biolage"/>
    <x v="4"/>
    <x v="1"/>
    <s v="Amazon"/>
    <s v="Amazon"/>
    <x v="27"/>
    <d v="2024-01-01T00:00:00"/>
    <n v="3768.9037000000003"/>
    <n v="911414"/>
    <s v="LY"/>
    <s v="Display-Amazon"/>
    <s v="Amazon"/>
  </r>
  <r>
    <s v="Biolage"/>
    <x v="4"/>
    <x v="2"/>
    <s v="Amazon"/>
    <s v="Amazon"/>
    <x v="27"/>
    <d v="2024-01-01T00:00:00"/>
    <n v="1015.0899999999998"/>
    <n v="205155"/>
    <s v="LY"/>
    <s v="Search-Amazon"/>
    <s v="Amazon"/>
  </r>
  <r>
    <s v="Biolage"/>
    <x v="5"/>
    <x v="2"/>
    <s v="Amazon"/>
    <s v="Amazon"/>
    <x v="27"/>
    <d v="2024-01-01T00:00:00"/>
    <n v="1665.0299999999988"/>
    <n v="263630"/>
    <s v="LY"/>
    <s v="Search-Amazon"/>
    <s v="Amazon"/>
  </r>
  <r>
    <s v="Biolage"/>
    <x v="8"/>
    <x v="1"/>
    <s v="Amazon"/>
    <s v="Amazon"/>
    <x v="27"/>
    <d v="2023-01-01T00:00:00"/>
    <n v="11.425700000000001"/>
    <n v="4996"/>
    <s v="LY"/>
    <s v="Display-Amazon"/>
    <s v="Amazon"/>
  </r>
  <r>
    <s v="Biolage"/>
    <x v="8"/>
    <x v="1"/>
    <s v="Amazon"/>
    <s v="Amazon"/>
    <x v="27"/>
    <d v="2024-01-01T00:00:00"/>
    <n v="3678.3125999999997"/>
    <n v="1191826"/>
    <s v="LY"/>
    <s v="Display-Amazon"/>
    <s v="Amazon"/>
  </r>
  <r>
    <s v="Biolage"/>
    <x v="8"/>
    <x v="2"/>
    <s v="Amazon"/>
    <s v="Amazon"/>
    <x v="27"/>
    <d v="2024-01-01T00:00:00"/>
    <n v="1785.6299999999994"/>
    <n v="351747"/>
    <s v="LY"/>
    <s v="Search-Amazon"/>
    <s v="Amazon"/>
  </r>
  <r>
    <s v="Biolage"/>
    <x v="9"/>
    <x v="2"/>
    <s v="Amazon"/>
    <s v="Amazon"/>
    <x v="27"/>
    <d v="2023-01-01T00:00:00"/>
    <n v="7.72"/>
    <n v="76"/>
    <s v="LY"/>
    <s v="Search-Amazon"/>
    <s v="Amazon"/>
  </r>
  <r>
    <s v="Biolage"/>
    <x v="9"/>
    <x v="2"/>
    <s v="Amazon"/>
    <s v="Amazon"/>
    <x v="27"/>
    <d v="2024-01-01T00:00:00"/>
    <n v="858.87000000000012"/>
    <n v="124078"/>
    <s v="LY"/>
    <s v="Search-Amazon"/>
    <s v="Amazon"/>
  </r>
  <r>
    <s v="Biolage"/>
    <x v="6"/>
    <x v="2"/>
    <s v="Amazon"/>
    <s v="Amazon"/>
    <x v="27"/>
    <d v="2024-01-01T00:00:00"/>
    <n v="0.76"/>
    <n v="331"/>
    <s v="LY"/>
    <s v="Search-Amazon"/>
    <s v="Amazon"/>
  </r>
  <r>
    <s v="Biolage"/>
    <x v="10"/>
    <x v="2"/>
    <s v="Google"/>
    <s v="Biolage"/>
    <x v="27"/>
    <d v="2024-01-01T00:00:00"/>
    <n v="74.27"/>
    <n v="301"/>
    <s v="LY"/>
    <s v="Search-Google"/>
    <s v="Search"/>
  </r>
  <r>
    <s v="Biolage"/>
    <x v="9"/>
    <x v="2"/>
    <s v="Google"/>
    <s v="Biolage"/>
    <x v="27"/>
    <d v="2024-01-01T00:00:00"/>
    <n v="136.52000000000001"/>
    <n v="492"/>
    <s v="LY"/>
    <s v="Search-Google"/>
    <s v="Search"/>
  </r>
  <r>
    <s v="Biolage"/>
    <x v="0"/>
    <x v="2"/>
    <s v="Google"/>
    <s v="Biolage"/>
    <x v="27"/>
    <d v="2024-01-01T00:00:00"/>
    <n v="7709.69"/>
    <n v="29967"/>
    <s v="LY"/>
    <s v="Search-Google"/>
    <s v="Search"/>
  </r>
  <r>
    <s v="Biolage"/>
    <x v="2"/>
    <x v="2"/>
    <s v="Google"/>
    <s v="Biolage"/>
    <x v="27"/>
    <d v="2024-01-01T00:00:00"/>
    <n v="94.61999999999999"/>
    <n v="733"/>
    <s v="LY"/>
    <s v="Search-Google"/>
    <s v="Search"/>
  </r>
  <r>
    <s v="Biolage"/>
    <x v="11"/>
    <x v="2"/>
    <s v="Google"/>
    <s v="Biolage"/>
    <x v="27"/>
    <d v="2024-01-01T00:00:00"/>
    <n v="12.65"/>
    <n v="42"/>
    <s v="LY"/>
    <s v="Search-Google"/>
    <s v="Search"/>
  </r>
  <r>
    <s v="Biolage"/>
    <x v="1"/>
    <x v="2"/>
    <s v="Google"/>
    <s v="Biolage"/>
    <x v="27"/>
    <d v="2024-01-01T00:00:00"/>
    <n v="198.4"/>
    <n v="1172"/>
    <s v="LY"/>
    <s v="Search-Google"/>
    <s v="Search"/>
  </r>
  <r>
    <s v="Biolage"/>
    <x v="5"/>
    <x v="2"/>
    <s v="Google"/>
    <s v="Biolage"/>
    <x v="27"/>
    <d v="2024-01-01T00:00:00"/>
    <n v="262.31"/>
    <n v="990"/>
    <s v="LY"/>
    <s v="Search-Google"/>
    <s v="Search"/>
  </r>
  <r>
    <s v="Biolage"/>
    <x v="8"/>
    <x v="2"/>
    <s v="Google"/>
    <s v="Biolage"/>
    <x v="27"/>
    <d v="2024-01-01T00:00:00"/>
    <n v="50.920000000000009"/>
    <n v="372"/>
    <s v="LY"/>
    <s v="Search-Google"/>
    <s v="Search"/>
  </r>
  <r>
    <s v="Biolage"/>
    <x v="3"/>
    <x v="2"/>
    <s v="Google"/>
    <s v="Biolage"/>
    <x v="27"/>
    <d v="2024-01-01T00:00:00"/>
    <n v="117.94999999999999"/>
    <n v="428"/>
    <s v="LY"/>
    <s v="Search-Google"/>
    <s v="Search"/>
  </r>
  <r>
    <s v="Biolage"/>
    <x v="4"/>
    <x v="2"/>
    <s v="Google"/>
    <s v="Biolage"/>
    <x v="27"/>
    <d v="2024-01-01T00:00:00"/>
    <n v="144.07"/>
    <n v="855"/>
    <s v="LY"/>
    <s v="Search-Google"/>
    <s v="Search"/>
  </r>
  <r>
    <s v="Biolage"/>
    <x v="1"/>
    <x v="1"/>
    <s v="Amazon"/>
    <s v="Amazon"/>
    <x v="28"/>
    <d v="2024-01-01T00:00:00"/>
    <n v="6916.0529999999981"/>
    <n v="2349049"/>
    <s v="LY"/>
    <s v="Display-Amazon"/>
    <s v="Amazon"/>
  </r>
  <r>
    <s v="Biolage"/>
    <x v="1"/>
    <x v="2"/>
    <s v="Amazon"/>
    <s v="Amazon"/>
    <x v="28"/>
    <d v="2024-01-01T00:00:00"/>
    <n v="7965.8500000000013"/>
    <n v="1012035"/>
    <s v="LY"/>
    <s v="Search-Amazon"/>
    <s v="Amazon"/>
  </r>
  <r>
    <s v="Biolage"/>
    <x v="0"/>
    <x v="1"/>
    <s v="Amazon"/>
    <s v="Amazon"/>
    <x v="28"/>
    <d v="2024-01-01T00:00:00"/>
    <n v="5924.3712999999989"/>
    <n v="2686922"/>
    <s v="LY"/>
    <s v="Display-Amazon"/>
    <s v="Amazon"/>
  </r>
  <r>
    <s v="Biolage"/>
    <x v="0"/>
    <x v="2"/>
    <s v="Amazon"/>
    <s v="Amazon"/>
    <x v="28"/>
    <d v="2024-01-01T00:00:00"/>
    <n v="3524.4099999999989"/>
    <n v="823337"/>
    <s v="LY"/>
    <s v="Search-Amazon"/>
    <s v="Amazon"/>
  </r>
  <r>
    <s v="Biolage"/>
    <x v="2"/>
    <x v="1"/>
    <s v="Amazon"/>
    <s v="Amazon"/>
    <x v="28"/>
    <d v="2024-01-01T00:00:00"/>
    <n v="7017.3684999999969"/>
    <n v="1338907"/>
    <s v="LY"/>
    <s v="Display-Amazon"/>
    <s v="Amazon"/>
  </r>
  <r>
    <s v="Biolage"/>
    <x v="2"/>
    <x v="2"/>
    <s v="Amazon"/>
    <s v="Amazon"/>
    <x v="28"/>
    <d v="2024-01-01T00:00:00"/>
    <n v="7692.01"/>
    <n v="923568"/>
    <s v="LY"/>
    <s v="Search-Amazon"/>
    <s v="Amazon"/>
  </r>
  <r>
    <s v="Biolage"/>
    <x v="3"/>
    <x v="1"/>
    <s v="Amazon"/>
    <s v="Amazon"/>
    <x v="28"/>
    <d v="2024-01-01T00:00:00"/>
    <n v="6733.6956999999975"/>
    <n v="1276008"/>
    <s v="LY"/>
    <s v="Display-Amazon"/>
    <s v="Amazon"/>
  </r>
  <r>
    <s v="Biolage"/>
    <x v="3"/>
    <x v="2"/>
    <s v="Amazon"/>
    <s v="Amazon"/>
    <x v="28"/>
    <d v="2024-01-01T00:00:00"/>
    <n v="6201.35"/>
    <n v="1376831"/>
    <s v="LY"/>
    <s v="Search-Amazon"/>
    <s v="Amazon"/>
  </r>
  <r>
    <s v="Biolage"/>
    <x v="4"/>
    <x v="1"/>
    <s v="Amazon"/>
    <s v="Amazon"/>
    <x v="28"/>
    <d v="2024-01-01T00:00:00"/>
    <n v="6710.7088000000022"/>
    <n v="1821449"/>
    <s v="LY"/>
    <s v="Display-Amazon"/>
    <s v="Amazon"/>
  </r>
  <r>
    <s v="Biolage"/>
    <x v="4"/>
    <x v="2"/>
    <s v="Amazon"/>
    <s v="Amazon"/>
    <x v="28"/>
    <d v="2024-01-01T00:00:00"/>
    <n v="3228.6599999999994"/>
    <n v="408094"/>
    <s v="LY"/>
    <s v="Search-Amazon"/>
    <s v="Amazon"/>
  </r>
  <r>
    <s v="Biolage"/>
    <x v="5"/>
    <x v="2"/>
    <s v="Amazon"/>
    <s v="Amazon"/>
    <x v="28"/>
    <d v="2024-01-01T00:00:00"/>
    <n v="2360.3199999999997"/>
    <n v="318039"/>
    <s v="LY"/>
    <s v="Search-Amazon"/>
    <s v="Amazon"/>
  </r>
  <r>
    <s v="Biolage"/>
    <x v="8"/>
    <x v="1"/>
    <s v="Amazon"/>
    <s v="Amazon"/>
    <x v="28"/>
    <d v="2024-01-01T00:00:00"/>
    <n v="5888.7072999999946"/>
    <n v="2069240"/>
    <s v="LY"/>
    <s v="Display-Amazon"/>
    <s v="Amazon"/>
  </r>
  <r>
    <s v="Biolage"/>
    <x v="8"/>
    <x v="2"/>
    <s v="Amazon"/>
    <s v="Amazon"/>
    <x v="28"/>
    <d v="2024-01-01T00:00:00"/>
    <n v="2811.84"/>
    <n v="482996"/>
    <s v="LY"/>
    <s v="Search-Amazon"/>
    <s v="Amazon"/>
  </r>
  <r>
    <s v="Biolage"/>
    <x v="9"/>
    <x v="2"/>
    <s v="Amazon"/>
    <s v="Amazon"/>
    <x v="28"/>
    <d v="2024-01-01T00:00:00"/>
    <n v="912.7199999999998"/>
    <n v="139558"/>
    <s v="LY"/>
    <s v="Search-Amazon"/>
    <s v="Amazon"/>
  </r>
  <r>
    <s v="Biolage"/>
    <x v="6"/>
    <x v="2"/>
    <s v="Amazon"/>
    <s v="Amazon"/>
    <x v="28"/>
    <d v="2024-01-01T00:00:00"/>
    <n v="0.37"/>
    <n v="274"/>
    <s v="LY"/>
    <s v="Search-Amazon"/>
    <s v="Amazon"/>
  </r>
  <r>
    <s v="Biolage"/>
    <x v="10"/>
    <x v="2"/>
    <s v="Google"/>
    <s v="Biolage"/>
    <x v="28"/>
    <d v="2024-01-01T00:00:00"/>
    <n v="55.88"/>
    <n v="347"/>
    <s v="LY"/>
    <s v="Search-Google"/>
    <s v="Search"/>
  </r>
  <r>
    <s v="Biolage"/>
    <x v="9"/>
    <x v="2"/>
    <s v="Google"/>
    <s v="Biolage"/>
    <x v="28"/>
    <d v="2024-01-01T00:00:00"/>
    <n v="144.15"/>
    <n v="536"/>
    <s v="LY"/>
    <s v="Search-Google"/>
    <s v="Search"/>
  </r>
  <r>
    <s v="Biolage"/>
    <x v="0"/>
    <x v="2"/>
    <s v="Google"/>
    <s v="Biolage"/>
    <x v="28"/>
    <d v="2024-01-01T00:00:00"/>
    <n v="7988.2700000000013"/>
    <n v="32465"/>
    <s v="LY"/>
    <s v="Search-Google"/>
    <s v="Search"/>
  </r>
  <r>
    <s v="Biolage"/>
    <x v="2"/>
    <x v="2"/>
    <s v="Google"/>
    <s v="Biolage"/>
    <x v="28"/>
    <d v="2024-01-01T00:00:00"/>
    <n v="105.29"/>
    <n v="718"/>
    <s v="LY"/>
    <s v="Search-Google"/>
    <s v="Search"/>
  </r>
  <r>
    <s v="Biolage"/>
    <x v="11"/>
    <x v="2"/>
    <s v="Google"/>
    <s v="Biolage"/>
    <x v="28"/>
    <d v="2024-01-01T00:00:00"/>
    <n v="1.55"/>
    <n v="2"/>
    <s v="LY"/>
    <s v="Search-Google"/>
    <s v="Search"/>
  </r>
  <r>
    <s v="Biolage"/>
    <x v="1"/>
    <x v="2"/>
    <s v="Google"/>
    <s v="Biolage"/>
    <x v="28"/>
    <d v="2024-01-01T00:00:00"/>
    <n v="187.42000000000002"/>
    <n v="1331"/>
    <s v="LY"/>
    <s v="Search-Google"/>
    <s v="Search"/>
  </r>
  <r>
    <s v="Biolage"/>
    <x v="5"/>
    <x v="2"/>
    <s v="Google"/>
    <s v="Biolage"/>
    <x v="28"/>
    <d v="2024-01-01T00:00:00"/>
    <n v="265.98"/>
    <n v="1162"/>
    <s v="LY"/>
    <s v="Search-Google"/>
    <s v="Search"/>
  </r>
  <r>
    <s v="Biolage"/>
    <x v="8"/>
    <x v="2"/>
    <s v="Google"/>
    <s v="Biolage"/>
    <x v="28"/>
    <d v="2024-01-01T00:00:00"/>
    <n v="65.179999999999993"/>
    <n v="408"/>
    <s v="LY"/>
    <s v="Search-Google"/>
    <s v="Search"/>
  </r>
  <r>
    <s v="Biolage"/>
    <x v="3"/>
    <x v="2"/>
    <s v="Google"/>
    <s v="Biolage"/>
    <x v="28"/>
    <d v="2024-01-01T00:00:00"/>
    <n v="89.12"/>
    <n v="462"/>
    <s v="LY"/>
    <s v="Search-Google"/>
    <s v="Search"/>
  </r>
  <r>
    <s v="Biolage"/>
    <x v="4"/>
    <x v="2"/>
    <s v="Google"/>
    <s v="Biolage"/>
    <x v="28"/>
    <d v="2024-01-01T00:00:00"/>
    <n v="222.63"/>
    <n v="1279"/>
    <s v="LY"/>
    <s v="Search-Google"/>
    <s v="Search"/>
  </r>
  <r>
    <s v="Biolage"/>
    <x v="1"/>
    <x v="0"/>
    <s v="Meta"/>
    <s v="Other"/>
    <x v="29"/>
    <d v="2024-01-01T00:00:00"/>
    <n v="9067.4199919999992"/>
    <n v="2851475"/>
    <s v="LY"/>
    <s v="Social-Meta"/>
    <s v="Meta"/>
  </r>
  <r>
    <s v="Biolage"/>
    <x v="1"/>
    <x v="0"/>
    <s v="Meta"/>
    <s v="Ulta"/>
    <x v="29"/>
    <d v="2024-01-01T00:00:00"/>
    <n v="23099.299995000001"/>
    <n v="4668596"/>
    <s v="LY"/>
    <s v="Social-Meta"/>
    <s v="Ulta"/>
  </r>
  <r>
    <s v="Biolage"/>
    <x v="1"/>
    <x v="1"/>
    <s v="Amazon"/>
    <s v="Amazon"/>
    <x v="29"/>
    <d v="2024-01-01T00:00:00"/>
    <n v="7133.2257999999983"/>
    <n v="2387928"/>
    <s v="LY"/>
    <s v="Display-Amazon"/>
    <s v="Amazon"/>
  </r>
  <r>
    <s v="Biolage"/>
    <x v="1"/>
    <x v="2"/>
    <s v="Amazon"/>
    <s v="Amazon"/>
    <x v="29"/>
    <d v="2024-01-01T00:00:00"/>
    <n v="8691.65"/>
    <n v="966027"/>
    <s v="LY"/>
    <s v="Search-Amazon"/>
    <s v="Amazon"/>
  </r>
  <r>
    <s v="Biolage"/>
    <x v="0"/>
    <x v="1"/>
    <s v="Amazon"/>
    <s v="Amazon"/>
    <x v="29"/>
    <d v="2024-01-01T00:00:00"/>
    <n v="6083.7089000000005"/>
    <n v="2870413"/>
    <s v="LY"/>
    <s v="Display-Amazon"/>
    <s v="Amazon"/>
  </r>
  <r>
    <s v="Biolage"/>
    <x v="0"/>
    <x v="2"/>
    <s v="Amazon"/>
    <s v="Amazon"/>
    <x v="29"/>
    <d v="2024-01-01T00:00:00"/>
    <n v="5343.2799999999988"/>
    <n v="1192487"/>
    <s v="LY"/>
    <s v="Search-Amazon"/>
    <s v="Amazon"/>
  </r>
  <r>
    <s v="Biolage"/>
    <x v="2"/>
    <x v="1"/>
    <s v="Amazon"/>
    <s v="Amazon"/>
    <x v="29"/>
    <d v="2024-01-01T00:00:00"/>
    <n v="7183.6363000000001"/>
    <n v="1469457"/>
    <s v="LY"/>
    <s v="Display-Amazon"/>
    <s v="Amazon"/>
  </r>
  <r>
    <s v="Biolage"/>
    <x v="2"/>
    <x v="2"/>
    <s v="Amazon"/>
    <s v="Amazon"/>
    <x v="29"/>
    <d v="2024-01-01T00:00:00"/>
    <n v="8751.6799999999948"/>
    <n v="921726"/>
    <s v="LY"/>
    <s v="Search-Amazon"/>
    <s v="Amazon"/>
  </r>
  <r>
    <s v="Biolage"/>
    <x v="3"/>
    <x v="1"/>
    <s v="Amazon"/>
    <s v="Amazon"/>
    <x v="29"/>
    <d v="2024-01-01T00:00:00"/>
    <n v="6672.8546999999971"/>
    <n v="1117978"/>
    <s v="LY"/>
    <s v="Display-Amazon"/>
    <s v="Amazon"/>
  </r>
  <r>
    <s v="Biolage"/>
    <x v="3"/>
    <x v="2"/>
    <s v="Amazon"/>
    <s v="Amazon"/>
    <x v="29"/>
    <d v="2024-01-01T00:00:00"/>
    <n v="8708.2700000000059"/>
    <n v="1653547"/>
    <s v="LY"/>
    <s v="Search-Amazon"/>
    <s v="Amazon"/>
  </r>
  <r>
    <s v="Biolage"/>
    <x v="4"/>
    <x v="1"/>
    <s v="Amazon"/>
    <s v="Amazon"/>
    <x v="29"/>
    <d v="2024-01-01T00:00:00"/>
    <n v="6873.7996999999978"/>
    <n v="1914580"/>
    <s v="LY"/>
    <s v="Display-Amazon"/>
    <s v="Amazon"/>
  </r>
  <r>
    <s v="Biolage"/>
    <x v="4"/>
    <x v="2"/>
    <s v="Amazon"/>
    <s v="Amazon"/>
    <x v="29"/>
    <d v="2024-01-01T00:00:00"/>
    <n v="7322.7899999999991"/>
    <n v="1059238"/>
    <s v="LY"/>
    <s v="Search-Amazon"/>
    <s v="Amazon"/>
  </r>
  <r>
    <s v="Biolage"/>
    <x v="5"/>
    <x v="2"/>
    <s v="Amazon"/>
    <s v="Amazon"/>
    <x v="29"/>
    <d v="2024-01-01T00:00:00"/>
    <n v="786.84"/>
    <n v="98119"/>
    <s v="LY"/>
    <s v="Search-Amazon"/>
    <s v="Amazon"/>
  </r>
  <r>
    <s v="Biolage"/>
    <x v="8"/>
    <x v="1"/>
    <s v="Amazon"/>
    <s v="Amazon"/>
    <x v="29"/>
    <d v="2024-01-01T00:00:00"/>
    <n v="5913.5929000000033"/>
    <n v="2297687"/>
    <s v="LY"/>
    <s v="Display-Amazon"/>
    <s v="Amazon"/>
  </r>
  <r>
    <s v="Biolage"/>
    <x v="8"/>
    <x v="2"/>
    <s v="Amazon"/>
    <s v="Amazon"/>
    <x v="29"/>
    <d v="2024-01-01T00:00:00"/>
    <n v="3629.809999999999"/>
    <n v="775806"/>
    <s v="LY"/>
    <s v="Search-Amazon"/>
    <s v="Amazon"/>
  </r>
  <r>
    <s v="Biolage"/>
    <x v="9"/>
    <x v="2"/>
    <s v="Amazon"/>
    <s v="Amazon"/>
    <x v="29"/>
    <d v="2024-01-01T00:00:00"/>
    <n v="1378.6"/>
    <n v="198343"/>
    <s v="LY"/>
    <s v="Search-Amazon"/>
    <s v="Amazon"/>
  </r>
  <r>
    <s v="Biolage"/>
    <x v="6"/>
    <x v="2"/>
    <s v="Amazon"/>
    <s v="Amazon"/>
    <x v="29"/>
    <d v="2024-01-01T00:00:00"/>
    <n v="1.1099999999999999"/>
    <n v="3652"/>
    <s v="LY"/>
    <s v="Search-Amazon"/>
    <s v="Amazon"/>
  </r>
  <r>
    <s v="Biolage"/>
    <x v="10"/>
    <x v="2"/>
    <s v="Google"/>
    <s v="Biolage"/>
    <x v="29"/>
    <d v="2024-01-01T00:00:00"/>
    <n v="52.760000000000005"/>
    <n v="263"/>
    <s v="LY"/>
    <s v="Search-Google"/>
    <s v="Search"/>
  </r>
  <r>
    <s v="Biolage"/>
    <x v="9"/>
    <x v="2"/>
    <s v="Google"/>
    <s v="Biolage"/>
    <x v="29"/>
    <d v="2024-01-01T00:00:00"/>
    <n v="68.63"/>
    <n v="395"/>
    <s v="LY"/>
    <s v="Search-Google"/>
    <s v="Search"/>
  </r>
  <r>
    <s v="Biolage"/>
    <x v="0"/>
    <x v="2"/>
    <s v="Google"/>
    <s v="Biolage"/>
    <x v="29"/>
    <d v="2024-01-01T00:00:00"/>
    <n v="8106.3899999999994"/>
    <n v="30879"/>
    <s v="LY"/>
    <s v="Search-Google"/>
    <s v="Search"/>
  </r>
  <r>
    <s v="Biolage"/>
    <x v="2"/>
    <x v="2"/>
    <s v="Google"/>
    <s v="Biolage"/>
    <x v="29"/>
    <d v="2024-01-01T00:00:00"/>
    <n v="58.02"/>
    <n v="529"/>
    <s v="LY"/>
    <s v="Search-Google"/>
    <s v="Search"/>
  </r>
  <r>
    <s v="Biolage"/>
    <x v="11"/>
    <x v="2"/>
    <s v="Google"/>
    <s v="Biolage"/>
    <x v="29"/>
    <d v="2024-01-01T00:00:00"/>
    <n v="1.91"/>
    <n v="1"/>
    <s v="LY"/>
    <s v="Search-Google"/>
    <s v="Search"/>
  </r>
  <r>
    <s v="Biolage"/>
    <x v="1"/>
    <x v="2"/>
    <s v="Google"/>
    <s v="Biolage"/>
    <x v="29"/>
    <d v="2024-01-01T00:00:00"/>
    <n v="159.89999999999998"/>
    <n v="1257"/>
    <s v="LY"/>
    <s v="Search-Google"/>
    <s v="Search"/>
  </r>
  <r>
    <s v="Biolage"/>
    <x v="5"/>
    <x v="2"/>
    <s v="Google"/>
    <s v="Biolage"/>
    <x v="29"/>
    <d v="2024-01-01T00:00:00"/>
    <n v="354.86999999999995"/>
    <n v="1366"/>
    <s v="LY"/>
    <s v="Search-Google"/>
    <s v="Search"/>
  </r>
  <r>
    <s v="Biolage"/>
    <x v="8"/>
    <x v="2"/>
    <s v="Google"/>
    <s v="Biolage"/>
    <x v="29"/>
    <d v="2024-01-01T00:00:00"/>
    <n v="50.1"/>
    <n v="336"/>
    <s v="LY"/>
    <s v="Search-Google"/>
    <s v="Search"/>
  </r>
  <r>
    <s v="Biolage"/>
    <x v="3"/>
    <x v="2"/>
    <s v="Google"/>
    <s v="Biolage"/>
    <x v="29"/>
    <d v="2024-01-01T00:00:00"/>
    <n v="45.25"/>
    <n v="368"/>
    <s v="LY"/>
    <s v="Search-Google"/>
    <s v="Search"/>
  </r>
  <r>
    <s v="Biolage"/>
    <x v="4"/>
    <x v="2"/>
    <s v="Google"/>
    <s v="Biolage"/>
    <x v="29"/>
    <d v="2024-01-01T00:00:00"/>
    <n v="191.27999999999997"/>
    <n v="1043"/>
    <s v="LY"/>
    <s v="Search-Google"/>
    <s v="Search"/>
  </r>
  <r>
    <s v="Biolage"/>
    <x v="1"/>
    <x v="0"/>
    <s v="Meta"/>
    <s v="Other"/>
    <x v="30"/>
    <d v="2024-01-01T00:00:00"/>
    <n v="10316.090037999998"/>
    <n v="2557828"/>
    <s v="LY"/>
    <s v="Social-Meta"/>
    <s v="Meta"/>
  </r>
  <r>
    <s v="Biolage"/>
    <x v="1"/>
    <x v="0"/>
    <s v="Meta"/>
    <s v="Ulta"/>
    <x v="30"/>
    <d v="2024-01-01T00:00:00"/>
    <n v="27238.429998000003"/>
    <n v="5142787"/>
    <s v="LY"/>
    <s v="Social-Meta"/>
    <s v="Ulta"/>
  </r>
  <r>
    <s v="Biolage"/>
    <x v="1"/>
    <x v="1"/>
    <s v="Amazon"/>
    <s v="Amazon"/>
    <x v="30"/>
    <d v="2024-01-01T00:00:00"/>
    <n v="6906.9658999999992"/>
    <n v="2305664"/>
    <s v="LY"/>
    <s v="Display-Amazon"/>
    <s v="Amazon"/>
  </r>
  <r>
    <s v="Biolage"/>
    <x v="1"/>
    <x v="2"/>
    <s v="Amazon"/>
    <s v="Amazon"/>
    <x v="30"/>
    <d v="2024-01-01T00:00:00"/>
    <n v="8634.0300000000043"/>
    <n v="1047445"/>
    <s v="LY"/>
    <s v="Search-Amazon"/>
    <s v="Amazon"/>
  </r>
  <r>
    <s v="Biolage"/>
    <x v="0"/>
    <x v="1"/>
    <s v="Amazon"/>
    <s v="Amazon"/>
    <x v="30"/>
    <d v="2024-01-01T00:00:00"/>
    <n v="5852.6000000000013"/>
    <n v="2290348"/>
    <s v="LY"/>
    <s v="Display-Amazon"/>
    <s v="Amazon"/>
  </r>
  <r>
    <s v="Biolage"/>
    <x v="0"/>
    <x v="2"/>
    <s v="Amazon"/>
    <s v="Amazon"/>
    <x v="30"/>
    <d v="2024-01-01T00:00:00"/>
    <n v="5506.5200000000013"/>
    <n v="1373191"/>
    <s v="LY"/>
    <s v="Search-Amazon"/>
    <s v="Amazon"/>
  </r>
  <r>
    <s v="Biolage"/>
    <x v="2"/>
    <x v="1"/>
    <s v="Amazon"/>
    <s v="Amazon"/>
    <x v="30"/>
    <d v="2024-01-01T00:00:00"/>
    <n v="7121.7094999999999"/>
    <n v="1459880"/>
    <s v="LY"/>
    <s v="Display-Amazon"/>
    <s v="Amazon"/>
  </r>
  <r>
    <s v="Biolage"/>
    <x v="2"/>
    <x v="2"/>
    <s v="Amazon"/>
    <s v="Amazon"/>
    <x v="30"/>
    <d v="2024-01-01T00:00:00"/>
    <n v="8821.2999999999938"/>
    <n v="967748"/>
    <s v="LY"/>
    <s v="Search-Amazon"/>
    <s v="Amazon"/>
  </r>
  <r>
    <s v="Biolage"/>
    <x v="3"/>
    <x v="1"/>
    <s v="Amazon"/>
    <s v="Amazon"/>
    <x v="30"/>
    <d v="2024-01-01T00:00:00"/>
    <n v="6798.0000999999993"/>
    <n v="1131771"/>
    <s v="LY"/>
    <s v="Display-Amazon"/>
    <s v="Amazon"/>
  </r>
  <r>
    <s v="Biolage"/>
    <x v="3"/>
    <x v="2"/>
    <s v="Amazon"/>
    <s v="Amazon"/>
    <x v="30"/>
    <d v="2024-01-01T00:00:00"/>
    <n v="10380.179999999997"/>
    <n v="1857468"/>
    <s v="LY"/>
    <s v="Search-Amazon"/>
    <s v="Amazon"/>
  </r>
  <r>
    <s v="Biolage"/>
    <x v="4"/>
    <x v="1"/>
    <s v="Amazon"/>
    <s v="Amazon"/>
    <x v="30"/>
    <d v="2024-01-01T00:00:00"/>
    <n v="6728.8148999999903"/>
    <n v="1814655"/>
    <s v="LY"/>
    <s v="Display-Amazon"/>
    <s v="Amazon"/>
  </r>
  <r>
    <s v="Biolage"/>
    <x v="4"/>
    <x v="2"/>
    <s v="Amazon"/>
    <s v="Amazon"/>
    <x v="30"/>
    <d v="2024-01-01T00:00:00"/>
    <n v="10397.080000000002"/>
    <n v="1657871"/>
    <s v="LY"/>
    <s v="Search-Amazon"/>
    <s v="Amazon"/>
  </r>
  <r>
    <s v="Biolage"/>
    <x v="8"/>
    <x v="1"/>
    <s v="Amazon"/>
    <s v="Amazon"/>
    <x v="30"/>
    <d v="2024-01-01T00:00:00"/>
    <n v="5812.2397999999976"/>
    <n v="2071989"/>
    <s v="LY"/>
    <s v="Display-Amazon"/>
    <s v="Amazon"/>
  </r>
  <r>
    <s v="Biolage"/>
    <x v="8"/>
    <x v="2"/>
    <s v="Amazon"/>
    <s v="Amazon"/>
    <x v="30"/>
    <d v="2024-01-01T00:00:00"/>
    <n v="4012.35"/>
    <n v="891968"/>
    <s v="LY"/>
    <s v="Search-Amazon"/>
    <s v="Amazon"/>
  </r>
  <r>
    <s v="Biolage"/>
    <x v="9"/>
    <x v="2"/>
    <s v="Amazon"/>
    <s v="Amazon"/>
    <x v="30"/>
    <d v="2024-01-01T00:00:00"/>
    <n v="2334.13"/>
    <n v="288444"/>
    <s v="LY"/>
    <s v="Search-Amazon"/>
    <s v="Amazon"/>
  </r>
  <r>
    <s v="Biolage"/>
    <x v="6"/>
    <x v="2"/>
    <s v="Amazon"/>
    <s v="Amazon"/>
    <x v="30"/>
    <d v="2024-01-01T00:00:00"/>
    <n v="1.23"/>
    <n v="3069"/>
    <s v="LY"/>
    <s v="Search-Amazon"/>
    <s v="Amazon"/>
  </r>
  <r>
    <s v="Biolage"/>
    <x v="10"/>
    <x v="2"/>
    <s v="Google"/>
    <s v="Biolage"/>
    <x v="30"/>
    <d v="2024-01-01T00:00:00"/>
    <n v="45.43"/>
    <n v="294"/>
    <s v="LY"/>
    <s v="Search-Google"/>
    <s v="Search"/>
  </r>
  <r>
    <s v="Biolage"/>
    <x v="9"/>
    <x v="2"/>
    <s v="Google"/>
    <s v="Biolage"/>
    <x v="30"/>
    <d v="2024-01-01T00:00:00"/>
    <n v="76.309999999999988"/>
    <n v="397"/>
    <s v="LY"/>
    <s v="Search-Google"/>
    <s v="Search"/>
  </r>
  <r>
    <s v="Biolage"/>
    <x v="0"/>
    <x v="2"/>
    <s v="Google"/>
    <s v="Biolage"/>
    <x v="30"/>
    <d v="2024-01-01T00:00:00"/>
    <n v="8009.6"/>
    <n v="31409"/>
    <s v="LY"/>
    <s v="Search-Google"/>
    <s v="Search"/>
  </r>
  <r>
    <s v="Biolage"/>
    <x v="2"/>
    <x v="2"/>
    <s v="Google"/>
    <s v="Biolage"/>
    <x v="30"/>
    <d v="2024-01-01T00:00:00"/>
    <n v="70.81"/>
    <n v="599"/>
    <s v="LY"/>
    <s v="Search-Google"/>
    <s v="Search"/>
  </r>
  <r>
    <s v="Biolage"/>
    <x v="11"/>
    <x v="2"/>
    <s v="Google"/>
    <s v="Biolage"/>
    <x v="30"/>
    <d v="2024-01-01T00:00:00"/>
    <n v="7.92"/>
    <n v="32"/>
    <s v="LY"/>
    <s v="Search-Google"/>
    <s v="Search"/>
  </r>
  <r>
    <s v="Biolage"/>
    <x v="1"/>
    <x v="2"/>
    <s v="Google"/>
    <s v="Biolage"/>
    <x v="30"/>
    <d v="2024-01-01T00:00:00"/>
    <n v="224.19000000000003"/>
    <n v="1588"/>
    <s v="LY"/>
    <s v="Search-Google"/>
    <s v="Search"/>
  </r>
  <r>
    <s v="Biolage"/>
    <x v="5"/>
    <x v="2"/>
    <s v="Google"/>
    <s v="Biolage"/>
    <x v="30"/>
    <d v="2024-01-01T00:00:00"/>
    <n v="550.13000000000011"/>
    <n v="1674"/>
    <s v="LY"/>
    <s v="Search-Google"/>
    <s v="Search"/>
  </r>
  <r>
    <s v="Biolage"/>
    <x v="8"/>
    <x v="2"/>
    <s v="Google"/>
    <s v="Biolage"/>
    <x v="30"/>
    <d v="2024-01-01T00:00:00"/>
    <n v="54.17"/>
    <n v="392"/>
    <s v="LY"/>
    <s v="Search-Google"/>
    <s v="Search"/>
  </r>
  <r>
    <s v="Biolage"/>
    <x v="3"/>
    <x v="2"/>
    <s v="Google"/>
    <s v="Biolage"/>
    <x v="30"/>
    <d v="2024-01-01T00:00:00"/>
    <n v="68.429999999999993"/>
    <n v="406"/>
    <s v="LY"/>
    <s v="Search-Google"/>
    <s v="Search"/>
  </r>
  <r>
    <s v="Biolage"/>
    <x v="4"/>
    <x v="2"/>
    <s v="Google"/>
    <s v="Biolage"/>
    <x v="30"/>
    <d v="2024-01-01T00:00:00"/>
    <n v="178.92"/>
    <n v="1068"/>
    <s v="LY"/>
    <s v="Search-Google"/>
    <s v="Search"/>
  </r>
  <r>
    <s v="Biolage"/>
    <x v="1"/>
    <x v="0"/>
    <s v="Meta"/>
    <s v="Other"/>
    <x v="31"/>
    <d v="2024-01-01T00:00:00"/>
    <n v="10254.200008999998"/>
    <n v="2072395"/>
    <s v="LY"/>
    <s v="Social-Meta"/>
    <s v="Meta"/>
  </r>
  <r>
    <s v="Biolage"/>
    <x v="1"/>
    <x v="0"/>
    <s v="Meta"/>
    <s v="Ulta"/>
    <x v="31"/>
    <d v="2024-01-01T00:00:00"/>
    <n v="26509.399992000002"/>
    <n v="4721324"/>
    <s v="LY"/>
    <s v="Social-Meta"/>
    <s v="Ulta"/>
  </r>
  <r>
    <s v="Biolage"/>
    <x v="1"/>
    <x v="1"/>
    <s v="Amazon"/>
    <s v="Amazon"/>
    <x v="31"/>
    <d v="2024-01-01T00:00:00"/>
    <n v="4066.8458000000005"/>
    <n v="1184485"/>
    <s v="LY"/>
    <s v="Display-Amazon"/>
    <s v="Amazon"/>
  </r>
  <r>
    <s v="Biolage"/>
    <x v="1"/>
    <x v="2"/>
    <s v="Amazon"/>
    <s v="Amazon"/>
    <x v="31"/>
    <d v="2024-01-01T00:00:00"/>
    <n v="9039.4299999999948"/>
    <n v="1357447"/>
    <s v="LY"/>
    <s v="Search-Amazon"/>
    <s v="Amazon"/>
  </r>
  <r>
    <s v="Biolage"/>
    <x v="0"/>
    <x v="1"/>
    <s v="Amazon"/>
    <s v="Amazon"/>
    <x v="31"/>
    <d v="2024-01-01T00:00:00"/>
    <n v="1418.1480999999999"/>
    <n v="363387"/>
    <s v="LY"/>
    <s v="Display-Amazon"/>
    <s v="Amazon"/>
  </r>
  <r>
    <s v="Biolage"/>
    <x v="0"/>
    <x v="2"/>
    <s v="Amazon"/>
    <s v="Amazon"/>
    <x v="31"/>
    <d v="2024-01-01T00:00:00"/>
    <n v="5538.95"/>
    <n v="1398991"/>
    <s v="LY"/>
    <s v="Search-Amazon"/>
    <s v="Amazon"/>
  </r>
  <r>
    <s v="Biolage"/>
    <x v="2"/>
    <x v="1"/>
    <s v="Amazon"/>
    <s v="Amazon"/>
    <x v="31"/>
    <d v="2024-01-01T00:00:00"/>
    <n v="4245.222499999998"/>
    <n v="911053"/>
    <s v="LY"/>
    <s v="Display-Amazon"/>
    <s v="Amazon"/>
  </r>
  <r>
    <s v="Biolage"/>
    <x v="2"/>
    <x v="2"/>
    <s v="Amazon"/>
    <s v="Amazon"/>
    <x v="31"/>
    <d v="2024-01-01T00:00:00"/>
    <n v="7749.8700000000026"/>
    <n v="1036352"/>
    <s v="LY"/>
    <s v="Search-Amazon"/>
    <s v="Amazon"/>
  </r>
  <r>
    <s v="Biolage"/>
    <x v="3"/>
    <x v="1"/>
    <s v="Amazon"/>
    <s v="Amazon"/>
    <x v="31"/>
    <d v="2024-01-01T00:00:00"/>
    <n v="4110.6302999999998"/>
    <n v="681126"/>
    <s v="LY"/>
    <s v="Display-Amazon"/>
    <s v="Amazon"/>
  </r>
  <r>
    <s v="Biolage"/>
    <x v="3"/>
    <x v="2"/>
    <s v="Amazon"/>
    <s v="Amazon"/>
    <x v="31"/>
    <d v="2024-01-01T00:00:00"/>
    <n v="10760.730000000005"/>
    <n v="2143416"/>
    <s v="LY"/>
    <s v="Search-Amazon"/>
    <s v="Amazon"/>
  </r>
  <r>
    <s v="Biolage"/>
    <x v="4"/>
    <x v="1"/>
    <s v="Amazon"/>
    <s v="Amazon"/>
    <x v="31"/>
    <d v="2024-01-01T00:00:00"/>
    <n v="4012.1473000000001"/>
    <n v="1025229"/>
    <s v="LY"/>
    <s v="Display-Amazon"/>
    <s v="Amazon"/>
  </r>
  <r>
    <s v="Biolage"/>
    <x v="4"/>
    <x v="2"/>
    <s v="Amazon"/>
    <s v="Amazon"/>
    <x v="31"/>
    <d v="2024-01-01T00:00:00"/>
    <n v="9656.9799999999977"/>
    <n v="2054668"/>
    <s v="LY"/>
    <s v="Search-Amazon"/>
    <s v="Amazon"/>
  </r>
  <r>
    <s v="Biolage"/>
    <x v="8"/>
    <x v="1"/>
    <s v="Amazon"/>
    <s v="Amazon"/>
    <x v="31"/>
    <d v="2024-01-01T00:00:00"/>
    <n v="3491.8388000000009"/>
    <n v="1040801"/>
    <s v="LY"/>
    <s v="Display-Amazon"/>
    <s v="Amazon"/>
  </r>
  <r>
    <s v="Biolage"/>
    <x v="8"/>
    <x v="2"/>
    <s v="Amazon"/>
    <s v="Amazon"/>
    <x v="31"/>
    <d v="2024-01-01T00:00:00"/>
    <n v="3562.9399999999987"/>
    <n v="769861"/>
    <s v="LY"/>
    <s v="Search-Amazon"/>
    <s v="Amazon"/>
  </r>
  <r>
    <s v="Biolage"/>
    <x v="9"/>
    <x v="1"/>
    <s v="Amazon"/>
    <s v="Amazon"/>
    <x v="31"/>
    <d v="2024-01-01T00:00:00"/>
    <n v="1253.1614"/>
    <n v="300755"/>
    <s v="LY"/>
    <s v="Display-Amazon"/>
    <s v="Amazon"/>
  </r>
  <r>
    <s v="Biolage"/>
    <x v="9"/>
    <x v="2"/>
    <s v="Amazon"/>
    <s v="Amazon"/>
    <x v="31"/>
    <d v="2024-01-01T00:00:00"/>
    <n v="1843.3400000000006"/>
    <n v="284188"/>
    <s v="LY"/>
    <s v="Search-Amazon"/>
    <s v="Amazon"/>
  </r>
  <r>
    <s v="Biolage"/>
    <x v="6"/>
    <x v="2"/>
    <s v="Amazon"/>
    <s v="Amazon"/>
    <x v="31"/>
    <d v="2024-01-01T00:00:00"/>
    <n v="1.1099999999999999"/>
    <n v="1217"/>
    <s v="LY"/>
    <s v="Search-Amazon"/>
    <s v="Amazon"/>
  </r>
  <r>
    <s v="Biolage"/>
    <x v="10"/>
    <x v="2"/>
    <s v="Google"/>
    <s v="Biolage"/>
    <x v="31"/>
    <d v="2024-01-01T00:00:00"/>
    <n v="54.76"/>
    <n v="277"/>
    <s v="LY"/>
    <s v="Search-Google"/>
    <s v="Search"/>
  </r>
  <r>
    <s v="Biolage"/>
    <x v="9"/>
    <x v="2"/>
    <s v="Google"/>
    <s v="Biolage"/>
    <x v="31"/>
    <d v="2024-01-01T00:00:00"/>
    <n v="71.83"/>
    <n v="342"/>
    <s v="LY"/>
    <s v="Search-Google"/>
    <s v="Search"/>
  </r>
  <r>
    <s v="Biolage"/>
    <x v="0"/>
    <x v="2"/>
    <s v="Google"/>
    <s v="Biolage"/>
    <x v="31"/>
    <d v="2024-01-01T00:00:00"/>
    <n v="8366.81"/>
    <n v="32149"/>
    <s v="LY"/>
    <s v="Search-Google"/>
    <s v="Search"/>
  </r>
  <r>
    <s v="Biolage"/>
    <x v="2"/>
    <x v="2"/>
    <s v="Google"/>
    <s v="Biolage"/>
    <x v="31"/>
    <d v="2024-01-01T00:00:00"/>
    <n v="72.069999999999993"/>
    <n v="547"/>
    <s v="LY"/>
    <s v="Search-Google"/>
    <s v="Search"/>
  </r>
  <r>
    <s v="Biolage"/>
    <x v="11"/>
    <x v="2"/>
    <s v="Google"/>
    <s v="Biolage"/>
    <x v="31"/>
    <d v="2024-01-01T00:00:00"/>
    <n v="20.65"/>
    <n v="64"/>
    <s v="LY"/>
    <s v="Search-Google"/>
    <s v="Search"/>
  </r>
  <r>
    <s v="Biolage"/>
    <x v="1"/>
    <x v="2"/>
    <s v="Google"/>
    <s v="Biolage"/>
    <x v="31"/>
    <d v="2024-01-01T00:00:00"/>
    <n v="205.63"/>
    <n v="1420"/>
    <s v="LY"/>
    <s v="Search-Google"/>
    <s v="Search"/>
  </r>
  <r>
    <s v="Biolage"/>
    <x v="5"/>
    <x v="2"/>
    <s v="Google"/>
    <s v="Biolage"/>
    <x v="31"/>
    <d v="2024-01-01T00:00:00"/>
    <n v="428.61"/>
    <n v="1502"/>
    <s v="LY"/>
    <s v="Search-Google"/>
    <s v="Search"/>
  </r>
  <r>
    <s v="Biolage"/>
    <x v="8"/>
    <x v="2"/>
    <s v="Google"/>
    <s v="Biolage"/>
    <x v="31"/>
    <d v="2024-01-01T00:00:00"/>
    <n v="62.070000000000007"/>
    <n v="353"/>
    <s v="LY"/>
    <s v="Search-Google"/>
    <s v="Search"/>
  </r>
  <r>
    <s v="Biolage"/>
    <x v="3"/>
    <x v="2"/>
    <s v="Google"/>
    <s v="Biolage"/>
    <x v="31"/>
    <d v="2024-01-01T00:00:00"/>
    <n v="59.78"/>
    <n v="392"/>
    <s v="LY"/>
    <s v="Search-Google"/>
    <s v="Search"/>
  </r>
  <r>
    <s v="Biolage"/>
    <x v="4"/>
    <x v="2"/>
    <s v="Google"/>
    <s v="Biolage"/>
    <x v="31"/>
    <d v="2024-01-01T00:00:00"/>
    <n v="120.07999999999998"/>
    <n v="869"/>
    <s v="LY"/>
    <s v="Search-Google"/>
    <s v="Search"/>
  </r>
  <r>
    <s v="Biolage"/>
    <x v="1"/>
    <x v="0"/>
    <s v="Meta"/>
    <s v="Other"/>
    <x v="32"/>
    <d v="2024-01-01T00:00:00"/>
    <n v="9035.6199949999991"/>
    <n v="1661402"/>
    <s v="LY"/>
    <s v="Social-Meta"/>
    <s v="Meta"/>
  </r>
  <r>
    <s v="Biolage"/>
    <x v="1"/>
    <x v="0"/>
    <s v="Meta"/>
    <s v="Ulta"/>
    <x v="32"/>
    <d v="2024-01-01T00:00:00"/>
    <n v="27634.220013999999"/>
    <n v="4780363"/>
    <s v="LY"/>
    <s v="Social-Meta"/>
    <s v="Ulta"/>
  </r>
  <r>
    <s v="Biolage"/>
    <x v="1"/>
    <x v="1"/>
    <s v="Amazon"/>
    <s v="Amazon"/>
    <x v="32"/>
    <d v="2024-01-01T00:00:00"/>
    <n v="6623.9480999999987"/>
    <n v="1709588"/>
    <s v="LY"/>
    <s v="Display-Amazon"/>
    <s v="Amazon"/>
  </r>
  <r>
    <s v="Biolage"/>
    <x v="1"/>
    <x v="2"/>
    <s v="Amazon"/>
    <s v="Amazon"/>
    <x v="32"/>
    <d v="2024-01-01T00:00:00"/>
    <n v="8800.1599999999926"/>
    <n v="1196673"/>
    <s v="LY"/>
    <s v="Search-Amazon"/>
    <s v="Amazon"/>
  </r>
  <r>
    <s v="Biolage"/>
    <x v="0"/>
    <x v="1"/>
    <s v="Amazon"/>
    <s v="Amazon"/>
    <x v="32"/>
    <d v="2024-01-01T00:00:00"/>
    <n v="1967.6221000000005"/>
    <n v="223031"/>
    <s v="LY"/>
    <s v="Display-Amazon"/>
    <s v="Amazon"/>
  </r>
  <r>
    <s v="Biolage"/>
    <x v="0"/>
    <x v="2"/>
    <s v="Amazon"/>
    <s v="Amazon"/>
    <x v="32"/>
    <d v="2024-01-01T00:00:00"/>
    <n v="6281.57"/>
    <n v="1398207"/>
    <s v="LY"/>
    <s v="Search-Amazon"/>
    <s v="Amazon"/>
  </r>
  <r>
    <s v="Biolage"/>
    <x v="2"/>
    <x v="1"/>
    <s v="Amazon"/>
    <s v="Amazon"/>
    <x v="32"/>
    <d v="2024-01-01T00:00:00"/>
    <n v="7178.1404999999977"/>
    <n v="1573613"/>
    <s v="LY"/>
    <s v="Display-Amazon"/>
    <s v="Amazon"/>
  </r>
  <r>
    <s v="Biolage"/>
    <x v="2"/>
    <x v="2"/>
    <s v="Amazon"/>
    <s v="Amazon"/>
    <x v="32"/>
    <d v="2024-01-01T00:00:00"/>
    <n v="7835.6700000000046"/>
    <n v="1029944"/>
    <s v="LY"/>
    <s v="Search-Amazon"/>
    <s v="Amazon"/>
  </r>
  <r>
    <s v="Biolage"/>
    <x v="3"/>
    <x v="1"/>
    <s v="Amazon"/>
    <s v="Amazon"/>
    <x v="32"/>
    <d v="2024-01-01T00:00:00"/>
    <n v="7140.3116999999975"/>
    <n v="1924448"/>
    <s v="LY"/>
    <s v="Display-Amazon"/>
    <s v="Amazon"/>
  </r>
  <r>
    <s v="Biolage"/>
    <x v="3"/>
    <x v="2"/>
    <s v="Amazon"/>
    <s v="Amazon"/>
    <x v="32"/>
    <d v="2024-01-01T00:00:00"/>
    <n v="11372.780000000004"/>
    <n v="2234018"/>
    <s v="LY"/>
    <s v="Search-Amazon"/>
    <s v="Amazon"/>
  </r>
  <r>
    <s v="Biolage"/>
    <x v="4"/>
    <x v="1"/>
    <s v="Amazon"/>
    <s v="Amazon"/>
    <x v="32"/>
    <d v="2024-01-01T00:00:00"/>
    <n v="7182.4997999999987"/>
    <n v="2084171"/>
    <s v="LY"/>
    <s v="Display-Amazon"/>
    <s v="Amazon"/>
  </r>
  <r>
    <s v="Biolage"/>
    <x v="4"/>
    <x v="2"/>
    <s v="Amazon"/>
    <s v="Amazon"/>
    <x v="32"/>
    <d v="2024-01-01T00:00:00"/>
    <n v="7979.699999999998"/>
    <n v="1740487"/>
    <s v="LY"/>
    <s v="Search-Amazon"/>
    <s v="Amazon"/>
  </r>
  <r>
    <s v="Biolage"/>
    <x v="8"/>
    <x v="1"/>
    <s v="Amazon"/>
    <s v="Amazon"/>
    <x v="32"/>
    <d v="2024-01-01T00:00:00"/>
    <n v="5259.0863999999974"/>
    <n v="1420923"/>
    <s v="LY"/>
    <s v="Display-Amazon"/>
    <s v="Amazon"/>
  </r>
  <r>
    <s v="Biolage"/>
    <x v="8"/>
    <x v="2"/>
    <s v="Amazon"/>
    <s v="Amazon"/>
    <x v="32"/>
    <d v="2024-01-01T00:00:00"/>
    <n v="3836.3200000000015"/>
    <n v="686710"/>
    <s v="LY"/>
    <s v="Search-Amazon"/>
    <s v="Amazon"/>
  </r>
  <r>
    <s v="Biolage"/>
    <x v="9"/>
    <x v="1"/>
    <s v="Amazon"/>
    <s v="Amazon"/>
    <x v="32"/>
    <d v="2024-01-01T00:00:00"/>
    <n v="3203.4206000000004"/>
    <n v="1070884"/>
    <s v="LY"/>
    <s v="Display-Amazon"/>
    <s v="Amazon"/>
  </r>
  <r>
    <s v="Biolage"/>
    <x v="9"/>
    <x v="2"/>
    <s v="Amazon"/>
    <s v="Amazon"/>
    <x v="32"/>
    <d v="2024-01-01T00:00:00"/>
    <n v="2253.2000000000003"/>
    <n v="374587"/>
    <s v="LY"/>
    <s v="Search-Amazon"/>
    <s v="Amazon"/>
  </r>
  <r>
    <s v="Biolage"/>
    <x v="6"/>
    <x v="2"/>
    <s v="Amazon"/>
    <s v="Amazon"/>
    <x v="32"/>
    <d v="2024-01-01T00:00:00"/>
    <n v="0.37"/>
    <n v="357"/>
    <s v="LY"/>
    <s v="Search-Amazon"/>
    <s v="Amazon"/>
  </r>
  <r>
    <s v="Biolage"/>
    <x v="10"/>
    <x v="2"/>
    <s v="Google"/>
    <s v="Biolage"/>
    <x v="32"/>
    <d v="2024-01-01T00:00:00"/>
    <n v="46.79"/>
    <n v="271"/>
    <s v="LY"/>
    <s v="Search-Google"/>
    <s v="Search"/>
  </r>
  <r>
    <s v="Biolage"/>
    <x v="9"/>
    <x v="2"/>
    <s v="Google"/>
    <s v="Biolage"/>
    <x v="32"/>
    <d v="2024-01-01T00:00:00"/>
    <n v="75.5"/>
    <n v="304"/>
    <s v="LY"/>
    <s v="Search-Google"/>
    <s v="Search"/>
  </r>
  <r>
    <s v="Biolage"/>
    <x v="0"/>
    <x v="2"/>
    <s v="Google"/>
    <s v="Biolage"/>
    <x v="32"/>
    <d v="2024-01-01T00:00:00"/>
    <n v="8124.1500000000015"/>
    <n v="30715"/>
    <s v="LY"/>
    <s v="Search-Google"/>
    <s v="Search"/>
  </r>
  <r>
    <s v="Biolage"/>
    <x v="2"/>
    <x v="2"/>
    <s v="Google"/>
    <s v="Biolage"/>
    <x v="32"/>
    <d v="2024-01-01T00:00:00"/>
    <n v="70.88"/>
    <n v="611"/>
    <s v="LY"/>
    <s v="Search-Google"/>
    <s v="Search"/>
  </r>
  <r>
    <s v="Biolage"/>
    <x v="11"/>
    <x v="2"/>
    <s v="Google"/>
    <s v="Biolage"/>
    <x v="32"/>
    <d v="2024-01-01T00:00:00"/>
    <n v="24.880000000000003"/>
    <n v="83"/>
    <s v="LY"/>
    <s v="Search-Google"/>
    <s v="Search"/>
  </r>
  <r>
    <s v="Biolage"/>
    <x v="1"/>
    <x v="2"/>
    <s v="Google"/>
    <s v="Biolage"/>
    <x v="32"/>
    <d v="2024-01-01T00:00:00"/>
    <n v="172.73999999999995"/>
    <n v="1295"/>
    <s v="LY"/>
    <s v="Search-Google"/>
    <s v="Search"/>
  </r>
  <r>
    <s v="Biolage"/>
    <x v="5"/>
    <x v="2"/>
    <s v="Google"/>
    <s v="Biolage"/>
    <x v="32"/>
    <d v="2024-01-01T00:00:00"/>
    <n v="512.18000000000006"/>
    <n v="1609"/>
    <s v="LY"/>
    <s v="Search-Google"/>
    <s v="Search"/>
  </r>
  <r>
    <s v="Biolage"/>
    <x v="8"/>
    <x v="2"/>
    <s v="Google"/>
    <s v="Biolage"/>
    <x v="32"/>
    <d v="2024-01-01T00:00:00"/>
    <n v="41.21"/>
    <n v="344"/>
    <s v="LY"/>
    <s v="Search-Google"/>
    <s v="Search"/>
  </r>
  <r>
    <s v="Biolage"/>
    <x v="3"/>
    <x v="2"/>
    <s v="Google"/>
    <s v="Biolage"/>
    <x v="32"/>
    <d v="2024-01-01T00:00:00"/>
    <n v="73.259999999999991"/>
    <n v="362"/>
    <s v="LY"/>
    <s v="Search-Google"/>
    <s v="Search"/>
  </r>
  <r>
    <s v="Biolage"/>
    <x v="4"/>
    <x v="2"/>
    <s v="Google"/>
    <s v="Biolage"/>
    <x v="32"/>
    <d v="2024-01-01T00:00:00"/>
    <n v="210.84"/>
    <n v="1117"/>
    <s v="LY"/>
    <s v="Search-Google"/>
    <s v="Search"/>
  </r>
  <r>
    <s v="Biolage"/>
    <x v="1"/>
    <x v="0"/>
    <s v="Meta"/>
    <s v="Other"/>
    <x v="33"/>
    <d v="2024-01-01T00:00:00"/>
    <n v="8334.6900050000004"/>
    <n v="1313339"/>
    <s v="LY"/>
    <s v="Social-Meta"/>
    <s v="Meta"/>
  </r>
  <r>
    <s v="Biolage"/>
    <x v="1"/>
    <x v="0"/>
    <s v="Meta"/>
    <s v="Ulta"/>
    <x v="33"/>
    <d v="2024-01-01T00:00:00"/>
    <n v="28699.520009000003"/>
    <n v="5080306"/>
    <s v="LY"/>
    <s v="Social-Meta"/>
    <s v="Ulta"/>
  </r>
  <r>
    <s v="Biolage"/>
    <x v="1"/>
    <x v="1"/>
    <s v="Amazon"/>
    <s v="Amazon"/>
    <x v="33"/>
    <d v="2024-01-01T00:00:00"/>
    <n v="6893.5488999999989"/>
    <n v="1694270"/>
    <s v="LY"/>
    <s v="Display-Amazon"/>
    <s v="Amazon"/>
  </r>
  <r>
    <s v="Biolage"/>
    <x v="1"/>
    <x v="2"/>
    <s v="Amazon"/>
    <s v="Amazon"/>
    <x v="33"/>
    <d v="2024-01-01T00:00:00"/>
    <n v="7417.4899999999943"/>
    <n v="998474"/>
    <s v="LY"/>
    <s v="Search-Amazon"/>
    <s v="Amazon"/>
  </r>
  <r>
    <s v="Biolage"/>
    <x v="0"/>
    <x v="1"/>
    <s v="Amazon"/>
    <s v="Amazon"/>
    <x v="33"/>
    <d v="2024-01-01T00:00:00"/>
    <n v="2036.8693999999998"/>
    <n v="215574"/>
    <s v="LY"/>
    <s v="Display-Amazon"/>
    <s v="Amazon"/>
  </r>
  <r>
    <s v="Biolage"/>
    <x v="0"/>
    <x v="2"/>
    <s v="Amazon"/>
    <s v="Amazon"/>
    <x v="33"/>
    <d v="2024-01-01T00:00:00"/>
    <n v="6080.07"/>
    <n v="1447147"/>
    <s v="LY"/>
    <s v="Search-Amazon"/>
    <s v="Amazon"/>
  </r>
  <r>
    <s v="Biolage"/>
    <x v="2"/>
    <x v="1"/>
    <s v="Amazon"/>
    <s v="Amazon"/>
    <x v="33"/>
    <d v="2024-01-01T00:00:00"/>
    <n v="7063.3274000000038"/>
    <n v="1605831"/>
    <s v="LY"/>
    <s v="Display-Amazon"/>
    <s v="Amazon"/>
  </r>
  <r>
    <s v="Biolage"/>
    <x v="2"/>
    <x v="2"/>
    <s v="Amazon"/>
    <s v="Amazon"/>
    <x v="33"/>
    <d v="2024-01-01T00:00:00"/>
    <n v="8113.2199999999984"/>
    <n v="1045283"/>
    <s v="LY"/>
    <s v="Search-Amazon"/>
    <s v="Amazon"/>
  </r>
  <r>
    <s v="Biolage"/>
    <x v="3"/>
    <x v="1"/>
    <s v="Amazon"/>
    <s v="Amazon"/>
    <x v="33"/>
    <d v="2024-01-01T00:00:00"/>
    <n v="6866.8573000000024"/>
    <n v="2091803"/>
    <s v="LY"/>
    <s v="Display-Amazon"/>
    <s v="Amazon"/>
  </r>
  <r>
    <s v="Biolage"/>
    <x v="3"/>
    <x v="2"/>
    <s v="Amazon"/>
    <s v="Amazon"/>
    <x v="33"/>
    <d v="2024-01-01T00:00:00"/>
    <n v="11950.14"/>
    <n v="2695161"/>
    <s v="LY"/>
    <s v="Search-Amazon"/>
    <s v="Amazon"/>
  </r>
  <r>
    <s v="Biolage"/>
    <x v="4"/>
    <x v="1"/>
    <s v="Amazon"/>
    <s v="Amazon"/>
    <x v="33"/>
    <d v="2024-01-01T00:00:00"/>
    <n v="7090.4279000000006"/>
    <n v="2065178"/>
    <s v="LY"/>
    <s v="Display-Amazon"/>
    <s v="Amazon"/>
  </r>
  <r>
    <s v="Biolage"/>
    <x v="4"/>
    <x v="2"/>
    <s v="Amazon"/>
    <s v="Amazon"/>
    <x v="33"/>
    <d v="2024-01-01T00:00:00"/>
    <n v="5484.7800000000016"/>
    <n v="1001649"/>
    <s v="LY"/>
    <s v="Search-Amazon"/>
    <s v="Amazon"/>
  </r>
  <r>
    <s v="Biolage"/>
    <x v="8"/>
    <x v="1"/>
    <s v="Amazon"/>
    <s v="Amazon"/>
    <x v="33"/>
    <d v="2024-01-01T00:00:00"/>
    <n v="5385.9901"/>
    <n v="1490333"/>
    <s v="LY"/>
    <s v="Display-Amazon"/>
    <s v="Amazon"/>
  </r>
  <r>
    <s v="Biolage"/>
    <x v="8"/>
    <x v="2"/>
    <s v="Amazon"/>
    <s v="Amazon"/>
    <x v="33"/>
    <d v="2024-01-01T00:00:00"/>
    <n v="3157.05"/>
    <n v="644036"/>
    <s v="LY"/>
    <s v="Search-Amazon"/>
    <s v="Amazon"/>
  </r>
  <r>
    <s v="Biolage"/>
    <x v="9"/>
    <x v="1"/>
    <s v="Amazon"/>
    <s v="Amazon"/>
    <x v="33"/>
    <d v="2024-01-01T00:00:00"/>
    <n v="3105.331900000001"/>
    <n v="903244"/>
    <s v="LY"/>
    <s v="Display-Amazon"/>
    <s v="Amazon"/>
  </r>
  <r>
    <s v="Biolage"/>
    <x v="9"/>
    <x v="2"/>
    <s v="Amazon"/>
    <s v="Amazon"/>
    <x v="33"/>
    <d v="2024-01-01T00:00:00"/>
    <n v="1465.4899999999998"/>
    <n v="309820"/>
    <s v="LY"/>
    <s v="Search-Amazon"/>
    <s v="Amazon"/>
  </r>
  <r>
    <s v="Biolage"/>
    <x v="6"/>
    <x v="2"/>
    <s v="Amazon"/>
    <s v="Amazon"/>
    <x v="33"/>
    <d v="2024-01-01T00:00:00"/>
    <n v="0.37"/>
    <n v="391"/>
    <s v="LY"/>
    <s v="Search-Amazon"/>
    <s v="Amazon"/>
  </r>
  <r>
    <s v="Biolage"/>
    <x v="10"/>
    <x v="2"/>
    <s v="Google"/>
    <s v="Biolage"/>
    <x v="33"/>
    <d v="2024-01-01T00:00:00"/>
    <n v="57.47"/>
    <n v="265"/>
    <s v="LY"/>
    <s v="Search-Google"/>
    <s v="Search"/>
  </r>
  <r>
    <s v="Biolage"/>
    <x v="9"/>
    <x v="2"/>
    <s v="Google"/>
    <s v="Biolage"/>
    <x v="33"/>
    <d v="2024-01-01T00:00:00"/>
    <n v="64.72999999999999"/>
    <n v="271"/>
    <s v="LY"/>
    <s v="Search-Google"/>
    <s v="Search"/>
  </r>
  <r>
    <s v="Biolage"/>
    <x v="0"/>
    <x v="2"/>
    <s v="Google"/>
    <s v="Biolage"/>
    <x v="33"/>
    <d v="2024-01-01T00:00:00"/>
    <n v="7805.8300000000027"/>
    <n v="29342"/>
    <s v="LY"/>
    <s v="Search-Google"/>
    <s v="Search"/>
  </r>
  <r>
    <s v="Biolage"/>
    <x v="2"/>
    <x v="2"/>
    <s v="Google"/>
    <s v="Biolage"/>
    <x v="33"/>
    <d v="2024-01-01T00:00:00"/>
    <n v="63.28"/>
    <n v="462"/>
    <s v="LY"/>
    <s v="Search-Google"/>
    <s v="Search"/>
  </r>
  <r>
    <s v="Biolage"/>
    <x v="11"/>
    <x v="2"/>
    <s v="Google"/>
    <s v="Biolage"/>
    <x v="33"/>
    <d v="2024-01-01T00:00:00"/>
    <n v="1.97"/>
    <n v="14"/>
    <s v="LY"/>
    <s v="Search-Google"/>
    <s v="Search"/>
  </r>
  <r>
    <s v="Biolage"/>
    <x v="1"/>
    <x v="2"/>
    <s v="Google"/>
    <s v="Biolage"/>
    <x v="33"/>
    <d v="2024-01-01T00:00:00"/>
    <n v="245.51"/>
    <n v="1499"/>
    <s v="LY"/>
    <s v="Search-Google"/>
    <s v="Search"/>
  </r>
  <r>
    <s v="Biolage"/>
    <x v="5"/>
    <x v="2"/>
    <s v="Google"/>
    <s v="Biolage"/>
    <x v="33"/>
    <d v="2024-01-01T00:00:00"/>
    <n v="523.76"/>
    <n v="1459"/>
    <s v="LY"/>
    <s v="Search-Google"/>
    <s v="Search"/>
  </r>
  <r>
    <s v="Biolage"/>
    <x v="8"/>
    <x v="2"/>
    <s v="Google"/>
    <s v="Biolage"/>
    <x v="33"/>
    <d v="2024-01-01T00:00:00"/>
    <n v="49.370000000000005"/>
    <n v="299"/>
    <s v="LY"/>
    <s v="Search-Google"/>
    <s v="Search"/>
  </r>
  <r>
    <s v="Biolage"/>
    <x v="3"/>
    <x v="2"/>
    <s v="Google"/>
    <s v="Biolage"/>
    <x v="33"/>
    <d v="2024-01-01T00:00:00"/>
    <n v="62.899999999999991"/>
    <n v="336"/>
    <s v="LY"/>
    <s v="Search-Google"/>
    <s v="Search"/>
  </r>
  <r>
    <s v="Biolage"/>
    <x v="4"/>
    <x v="2"/>
    <s v="Google"/>
    <s v="Biolage"/>
    <x v="33"/>
    <d v="2024-01-01T00:00:00"/>
    <n v="109.25"/>
    <n v="913"/>
    <s v="LY"/>
    <s v="Search-Google"/>
    <s v="Search"/>
  </r>
  <r>
    <s v="Biolage"/>
    <x v="1"/>
    <x v="0"/>
    <s v="Meta"/>
    <s v="Other"/>
    <x v="34"/>
    <d v="2024-01-01T00:00:00"/>
    <n v="7664.35"/>
    <n v="1175438"/>
    <s v="LY"/>
    <s v="Social-Meta"/>
    <s v="Meta"/>
  </r>
  <r>
    <s v="Biolage"/>
    <x v="1"/>
    <x v="0"/>
    <s v="Meta"/>
    <s v="Ulta"/>
    <x v="34"/>
    <d v="2024-01-01T00:00:00"/>
    <n v="25574.460001000003"/>
    <n v="4302069"/>
    <s v="LY"/>
    <s v="Social-Meta"/>
    <s v="Ulta"/>
  </r>
  <r>
    <s v="Biolage"/>
    <x v="1"/>
    <x v="1"/>
    <s v="Amazon"/>
    <s v="Amazon"/>
    <x v="34"/>
    <d v="2024-01-01T00:00:00"/>
    <n v="7106.8857000000025"/>
    <n v="2101088"/>
    <s v="LY"/>
    <s v="Display-Amazon"/>
    <s v="Amazon"/>
  </r>
  <r>
    <s v="Biolage"/>
    <x v="1"/>
    <x v="2"/>
    <s v="Amazon"/>
    <s v="Amazon"/>
    <x v="34"/>
    <d v="2024-01-01T00:00:00"/>
    <n v="6853.5099999999975"/>
    <n v="1132168"/>
    <s v="LY"/>
    <s v="Search-Amazon"/>
    <s v="Amazon"/>
  </r>
  <r>
    <s v="Biolage"/>
    <x v="0"/>
    <x v="1"/>
    <s v="Amazon"/>
    <s v="Amazon"/>
    <x v="34"/>
    <d v="2024-01-01T00:00:00"/>
    <n v="3647.9030999999986"/>
    <n v="612872"/>
    <s v="LY"/>
    <s v="Display-Amazon"/>
    <s v="Amazon"/>
  </r>
  <r>
    <s v="Biolage"/>
    <x v="0"/>
    <x v="2"/>
    <s v="Amazon"/>
    <s v="Amazon"/>
    <x v="34"/>
    <d v="2024-01-01T00:00:00"/>
    <n v="5273.43"/>
    <n v="1208131"/>
    <s v="LY"/>
    <s v="Search-Amazon"/>
    <s v="Amazon"/>
  </r>
  <r>
    <s v="Biolage"/>
    <x v="2"/>
    <x v="1"/>
    <s v="Amazon"/>
    <s v="Amazon"/>
    <x v="34"/>
    <d v="2024-01-01T00:00:00"/>
    <n v="6835.9557999999988"/>
    <n v="1599046"/>
    <s v="LY"/>
    <s v="Display-Amazon"/>
    <s v="Amazon"/>
  </r>
  <r>
    <s v="Biolage"/>
    <x v="2"/>
    <x v="2"/>
    <s v="Amazon"/>
    <s v="Amazon"/>
    <x v="34"/>
    <d v="2024-01-01T00:00:00"/>
    <n v="8113.0300000000034"/>
    <n v="977996"/>
    <s v="LY"/>
    <s v="Search-Amazon"/>
    <s v="Amazon"/>
  </r>
  <r>
    <s v="Biolage"/>
    <x v="3"/>
    <x v="1"/>
    <s v="Amazon"/>
    <s v="Amazon"/>
    <x v="34"/>
    <d v="2024-01-01T00:00:00"/>
    <n v="6912.5581000000038"/>
    <n v="2590070"/>
    <s v="LY"/>
    <s v="Display-Amazon"/>
    <s v="Amazon"/>
  </r>
  <r>
    <s v="Biolage"/>
    <x v="3"/>
    <x v="2"/>
    <s v="Amazon"/>
    <s v="Amazon"/>
    <x v="34"/>
    <d v="2024-01-01T00:00:00"/>
    <n v="10986.860000000002"/>
    <n v="2281546"/>
    <s v="LY"/>
    <s v="Search-Amazon"/>
    <s v="Amazon"/>
  </r>
  <r>
    <s v="Biolage"/>
    <x v="4"/>
    <x v="1"/>
    <s v="Amazon"/>
    <s v="Amazon"/>
    <x v="34"/>
    <d v="2024-01-01T00:00:00"/>
    <n v="6799.8084999999992"/>
    <n v="2431884"/>
    <s v="LY"/>
    <s v="Display-Amazon"/>
    <s v="Amazon"/>
  </r>
  <r>
    <s v="Biolage"/>
    <x v="4"/>
    <x v="2"/>
    <s v="Amazon"/>
    <s v="Amazon"/>
    <x v="34"/>
    <d v="2024-01-01T00:00:00"/>
    <n v="4650.1900000000005"/>
    <n v="831149"/>
    <s v="LY"/>
    <s v="Search-Amazon"/>
    <s v="Amazon"/>
  </r>
  <r>
    <s v="Biolage"/>
    <x v="8"/>
    <x v="1"/>
    <s v="Amazon"/>
    <s v="Amazon"/>
    <x v="34"/>
    <d v="2024-01-01T00:00:00"/>
    <n v="5672.9356999999991"/>
    <n v="1889345"/>
    <s v="LY"/>
    <s v="Display-Amazon"/>
    <s v="Amazon"/>
  </r>
  <r>
    <s v="Biolage"/>
    <x v="8"/>
    <x v="2"/>
    <s v="Amazon"/>
    <s v="Amazon"/>
    <x v="34"/>
    <d v="2024-01-01T00:00:00"/>
    <n v="3033.5299999999993"/>
    <n v="719018"/>
    <s v="LY"/>
    <s v="Search-Amazon"/>
    <s v="Amazon"/>
  </r>
  <r>
    <s v="Biolage"/>
    <x v="9"/>
    <x v="1"/>
    <s v="Amazon"/>
    <s v="Amazon"/>
    <x v="34"/>
    <d v="2024-01-01T00:00:00"/>
    <n v="3196.7196999999996"/>
    <n v="1337408"/>
    <s v="LY"/>
    <s v="Display-Amazon"/>
    <s v="Amazon"/>
  </r>
  <r>
    <s v="Biolage"/>
    <x v="9"/>
    <x v="2"/>
    <s v="Amazon"/>
    <s v="Amazon"/>
    <x v="34"/>
    <d v="2024-01-01T00:00:00"/>
    <n v="768.31000000000006"/>
    <n v="249641"/>
    <s v="LY"/>
    <s v="Search-Amazon"/>
    <s v="Amazon"/>
  </r>
  <r>
    <s v="Biolage"/>
    <x v="10"/>
    <x v="2"/>
    <s v="Google"/>
    <s v="Biolage"/>
    <x v="34"/>
    <d v="2024-01-01T00:00:00"/>
    <n v="72.95"/>
    <n v="322"/>
    <s v="LY"/>
    <s v="Search-Google"/>
    <s v="Search"/>
  </r>
  <r>
    <s v="Biolage"/>
    <x v="9"/>
    <x v="2"/>
    <s v="Google"/>
    <s v="Biolage"/>
    <x v="34"/>
    <d v="2024-01-01T00:00:00"/>
    <n v="51.449999999999996"/>
    <n v="283"/>
    <s v="LY"/>
    <s v="Search-Google"/>
    <s v="Search"/>
  </r>
  <r>
    <s v="Biolage"/>
    <x v="0"/>
    <x v="2"/>
    <s v="Google"/>
    <s v="Biolage"/>
    <x v="34"/>
    <d v="2024-01-01T00:00:00"/>
    <n v="7890.0800000000008"/>
    <n v="30672"/>
    <s v="LY"/>
    <s v="Search-Google"/>
    <s v="Search"/>
  </r>
  <r>
    <s v="Biolage"/>
    <x v="2"/>
    <x v="2"/>
    <s v="Google"/>
    <s v="Biolage"/>
    <x v="34"/>
    <d v="2024-01-01T00:00:00"/>
    <n v="64.680000000000007"/>
    <n v="515"/>
    <s v="LY"/>
    <s v="Search-Google"/>
    <s v="Search"/>
  </r>
  <r>
    <s v="Biolage"/>
    <x v="11"/>
    <x v="2"/>
    <s v="Google"/>
    <s v="Biolage"/>
    <x v="34"/>
    <d v="2024-01-01T00:00:00"/>
    <n v="4.42"/>
    <n v="20"/>
    <s v="LY"/>
    <s v="Search-Google"/>
    <s v="Search"/>
  </r>
  <r>
    <s v="Biolage"/>
    <x v="1"/>
    <x v="2"/>
    <s v="Google"/>
    <s v="Biolage"/>
    <x v="34"/>
    <d v="2024-01-01T00:00:00"/>
    <n v="214.01"/>
    <n v="1488"/>
    <s v="LY"/>
    <s v="Search-Google"/>
    <s v="Search"/>
  </r>
  <r>
    <s v="Biolage"/>
    <x v="5"/>
    <x v="2"/>
    <s v="Google"/>
    <s v="Biolage"/>
    <x v="34"/>
    <d v="2024-01-01T00:00:00"/>
    <n v="342.75"/>
    <n v="1283"/>
    <s v="LY"/>
    <s v="Search-Google"/>
    <s v="Search"/>
  </r>
  <r>
    <s v="Biolage"/>
    <x v="8"/>
    <x v="2"/>
    <s v="Google"/>
    <s v="Biolage"/>
    <x v="34"/>
    <d v="2024-01-01T00:00:00"/>
    <n v="74.09"/>
    <n v="340"/>
    <s v="LY"/>
    <s v="Search-Google"/>
    <s v="Search"/>
  </r>
  <r>
    <s v="Biolage"/>
    <x v="3"/>
    <x v="2"/>
    <s v="Google"/>
    <s v="Biolage"/>
    <x v="34"/>
    <d v="2024-01-01T00:00:00"/>
    <n v="63.339999999999989"/>
    <n v="351"/>
    <s v="LY"/>
    <s v="Search-Google"/>
    <s v="Search"/>
  </r>
  <r>
    <s v="Biolage"/>
    <x v="4"/>
    <x v="2"/>
    <s v="Google"/>
    <s v="Biolage"/>
    <x v="34"/>
    <d v="2024-01-01T00:00:00"/>
    <n v="138.03"/>
    <n v="709"/>
    <s v="LY"/>
    <s v="Search-Google"/>
    <s v="Search"/>
  </r>
  <r>
    <s v="Biolage"/>
    <x v="1"/>
    <x v="0"/>
    <s v="Meta"/>
    <s v="Other"/>
    <x v="35"/>
    <d v="2024-01-01T00:00:00"/>
    <n v="8849.7300099999993"/>
    <n v="1235096"/>
    <s v="LY"/>
    <s v="Social-Meta"/>
    <s v="Meta"/>
  </r>
  <r>
    <s v="Biolage"/>
    <x v="1"/>
    <x v="0"/>
    <s v="Meta"/>
    <s v="Ulta"/>
    <x v="35"/>
    <d v="2024-01-01T00:00:00"/>
    <n v="29417.540019"/>
    <n v="4911172"/>
    <s v="LY"/>
    <s v="Social-Meta"/>
    <s v="Ulta"/>
  </r>
  <r>
    <s v="Biolage"/>
    <x v="1"/>
    <x v="1"/>
    <s v="Amazon"/>
    <s v="Amazon"/>
    <x v="35"/>
    <d v="2024-01-01T00:00:00"/>
    <n v="4431.4867000000013"/>
    <n v="1342493"/>
    <s v="LY"/>
    <s v="Display-Amazon"/>
    <s v="Amazon"/>
  </r>
  <r>
    <s v="Biolage"/>
    <x v="1"/>
    <x v="2"/>
    <s v="Amazon"/>
    <s v="Amazon"/>
    <x v="35"/>
    <d v="2024-01-01T00:00:00"/>
    <n v="5462.5899999999992"/>
    <n v="1005507"/>
    <s v="LY"/>
    <s v="Search-Amazon"/>
    <s v="Amazon"/>
  </r>
  <r>
    <s v="Biolage"/>
    <x v="0"/>
    <x v="1"/>
    <s v="Amazon"/>
    <s v="Amazon"/>
    <x v="35"/>
    <d v="2024-01-01T00:00:00"/>
    <n v="4991.0021999999999"/>
    <n v="1229439"/>
    <s v="LY"/>
    <s v="Display-Amazon"/>
    <s v="Amazon"/>
  </r>
  <r>
    <s v="Biolage"/>
    <x v="0"/>
    <x v="2"/>
    <s v="Amazon"/>
    <s v="Amazon"/>
    <x v="35"/>
    <d v="2024-01-01T00:00:00"/>
    <n v="5531.4299999999976"/>
    <n v="1227380"/>
    <s v="LY"/>
    <s v="Search-Amazon"/>
    <s v="Amazon"/>
  </r>
  <r>
    <s v="Biolage"/>
    <x v="2"/>
    <x v="1"/>
    <s v="Amazon"/>
    <s v="Amazon"/>
    <x v="35"/>
    <d v="2024-01-01T00:00:00"/>
    <n v="3669.5361999999977"/>
    <n v="767666"/>
    <s v="LY"/>
    <s v="Display-Amazon"/>
    <s v="Amazon"/>
  </r>
  <r>
    <s v="Biolage"/>
    <x v="2"/>
    <x v="2"/>
    <s v="Amazon"/>
    <s v="Amazon"/>
    <x v="35"/>
    <d v="2024-01-01T00:00:00"/>
    <n v="6394.0099999999993"/>
    <n v="1026525"/>
    <s v="LY"/>
    <s v="Search-Amazon"/>
    <s v="Amazon"/>
  </r>
  <r>
    <s v="Biolage"/>
    <x v="3"/>
    <x v="1"/>
    <s v="Amazon"/>
    <s v="Amazon"/>
    <x v="35"/>
    <d v="2024-01-01T00:00:00"/>
    <n v="4421.9359000000004"/>
    <n v="1435783"/>
    <s v="LY"/>
    <s v="Display-Amazon"/>
    <s v="Amazon"/>
  </r>
  <r>
    <s v="Biolage"/>
    <x v="3"/>
    <x v="2"/>
    <s v="Amazon"/>
    <s v="Amazon"/>
    <x v="35"/>
    <d v="2024-01-01T00:00:00"/>
    <n v="10210.839999999997"/>
    <n v="2025046"/>
    <s v="LY"/>
    <s v="Search-Amazon"/>
    <s v="Amazon"/>
  </r>
  <r>
    <s v="Biolage"/>
    <x v="4"/>
    <x v="1"/>
    <s v="Amazon"/>
    <s v="Amazon"/>
    <x v="35"/>
    <d v="2024-01-01T00:00:00"/>
    <n v="3655.9493000000034"/>
    <n v="1355308"/>
    <s v="LY"/>
    <s v="Display-Amazon"/>
    <s v="Amazon"/>
  </r>
  <r>
    <s v="Biolage"/>
    <x v="4"/>
    <x v="2"/>
    <s v="Amazon"/>
    <s v="Amazon"/>
    <x v="35"/>
    <d v="2024-01-01T00:00:00"/>
    <n v="3712.7299999999991"/>
    <n v="1052250"/>
    <s v="LY"/>
    <s v="Search-Amazon"/>
    <s v="Amazon"/>
  </r>
  <r>
    <s v="Biolage"/>
    <x v="5"/>
    <x v="2"/>
    <s v="Amazon"/>
    <s v="Amazon"/>
    <x v="35"/>
    <d v="2024-01-01T00:00:00"/>
    <n v="418.27000000000004"/>
    <n v="73187"/>
    <s v="LY"/>
    <s v="Search-Amazon"/>
    <s v="Amazon"/>
  </r>
  <r>
    <s v="Biolage"/>
    <x v="8"/>
    <x v="1"/>
    <s v="Amazon"/>
    <s v="Amazon"/>
    <x v="35"/>
    <d v="2024-01-01T00:00:00"/>
    <n v="3832.5696000000007"/>
    <n v="1293320"/>
    <s v="LY"/>
    <s v="Display-Amazon"/>
    <s v="Amazon"/>
  </r>
  <r>
    <s v="Biolage"/>
    <x v="8"/>
    <x v="2"/>
    <s v="Amazon"/>
    <s v="Amazon"/>
    <x v="35"/>
    <d v="2024-01-01T00:00:00"/>
    <n v="2913.8199999999983"/>
    <n v="841990"/>
    <s v="LY"/>
    <s v="Search-Amazon"/>
    <s v="Amazon"/>
  </r>
  <r>
    <s v="Biolage"/>
    <x v="9"/>
    <x v="1"/>
    <s v="Amazon"/>
    <s v="Amazon"/>
    <x v="35"/>
    <d v="2024-01-01T00:00:00"/>
    <n v="1976.8982999999998"/>
    <n v="708695"/>
    <s v="LY"/>
    <s v="Display-Amazon"/>
    <s v="Amazon"/>
  </r>
  <r>
    <s v="Biolage"/>
    <x v="9"/>
    <x v="2"/>
    <s v="Amazon"/>
    <s v="Amazon"/>
    <x v="35"/>
    <d v="2024-01-01T00:00:00"/>
    <n v="665.07"/>
    <n v="263103"/>
    <s v="LY"/>
    <s v="Search-Amazon"/>
    <s v="Amazon"/>
  </r>
  <r>
    <s v="Biolage"/>
    <x v="6"/>
    <x v="2"/>
    <s v="Amazon"/>
    <s v="Amazon"/>
    <x v="35"/>
    <d v="2024-01-01T00:00:00"/>
    <n v="0.74"/>
    <n v="970"/>
    <s v="LY"/>
    <s v="Search-Amazon"/>
    <s v="Amazon"/>
  </r>
  <r>
    <s v="Biolage"/>
    <x v="10"/>
    <x v="2"/>
    <s v="Google"/>
    <s v="Biolage"/>
    <x v="35"/>
    <d v="2024-01-01T00:00:00"/>
    <n v="78.69"/>
    <n v="398"/>
    <s v="LY"/>
    <s v="Search-Google"/>
    <s v="Search"/>
  </r>
  <r>
    <s v="Biolage"/>
    <x v="9"/>
    <x v="2"/>
    <s v="Google"/>
    <s v="Biolage"/>
    <x v="35"/>
    <d v="2024-01-01T00:00:00"/>
    <n v="62.41"/>
    <n v="258"/>
    <s v="LY"/>
    <s v="Search-Google"/>
    <s v="Search"/>
  </r>
  <r>
    <s v="Biolage"/>
    <x v="0"/>
    <x v="2"/>
    <s v="Google"/>
    <s v="Biolage"/>
    <x v="35"/>
    <d v="2024-01-01T00:00:00"/>
    <n v="8644.5400000000009"/>
    <n v="31488"/>
    <s v="LY"/>
    <s v="Search-Google"/>
    <s v="Search"/>
  </r>
  <r>
    <s v="Biolage"/>
    <x v="2"/>
    <x v="2"/>
    <s v="Google"/>
    <s v="Biolage"/>
    <x v="35"/>
    <d v="2024-01-01T00:00:00"/>
    <n v="106.41999999999999"/>
    <n v="644"/>
    <s v="LY"/>
    <s v="Search-Google"/>
    <s v="Search"/>
  </r>
  <r>
    <s v="Biolage"/>
    <x v="11"/>
    <x v="2"/>
    <s v="Google"/>
    <s v="Biolage"/>
    <x v="35"/>
    <d v="2024-01-01T00:00:00"/>
    <n v="13.99"/>
    <n v="16"/>
    <s v="LY"/>
    <s v="Search-Google"/>
    <s v="Search"/>
  </r>
  <r>
    <s v="Biolage"/>
    <x v="1"/>
    <x v="2"/>
    <s v="Google"/>
    <s v="Biolage"/>
    <x v="35"/>
    <d v="2024-01-01T00:00:00"/>
    <n v="260.14999999999998"/>
    <n v="1553"/>
    <s v="LY"/>
    <s v="Search-Google"/>
    <s v="Search"/>
  </r>
  <r>
    <s v="Biolage"/>
    <x v="5"/>
    <x v="2"/>
    <s v="Google"/>
    <s v="Biolage"/>
    <x v="35"/>
    <d v="2024-01-01T00:00:00"/>
    <n v="300.64999999999998"/>
    <n v="1061"/>
    <s v="LY"/>
    <s v="Search-Google"/>
    <s v="Search"/>
  </r>
  <r>
    <s v="Biolage"/>
    <x v="8"/>
    <x v="2"/>
    <s v="Google"/>
    <s v="Biolage"/>
    <x v="35"/>
    <d v="2024-01-01T00:00:00"/>
    <n v="77.220000000000013"/>
    <n v="368"/>
    <s v="LY"/>
    <s v="Search-Google"/>
    <s v="Search"/>
  </r>
  <r>
    <s v="Biolage"/>
    <x v="3"/>
    <x v="2"/>
    <s v="Google"/>
    <s v="Biolage"/>
    <x v="35"/>
    <d v="2024-01-01T00:00:00"/>
    <n v="60.7"/>
    <n v="345"/>
    <s v="LY"/>
    <s v="Search-Google"/>
    <s v="Search"/>
  </r>
  <r>
    <s v="Biolage"/>
    <x v="4"/>
    <x v="2"/>
    <s v="Google"/>
    <s v="Biolage"/>
    <x v="35"/>
    <d v="2024-01-01T00:00:00"/>
    <n v="194.2"/>
    <n v="1223"/>
    <s v="LY"/>
    <s v="Search-Google"/>
    <s v="Search"/>
  </r>
  <r>
    <s v="Biolage"/>
    <x v="1"/>
    <x v="0"/>
    <s v="Meta"/>
    <s v="Other"/>
    <x v="36"/>
    <d v="2024-01-01T00:00:00"/>
    <n v="6477.3100000000013"/>
    <n v="767686"/>
    <s v="LY"/>
    <s v="Social-Meta"/>
    <s v="Meta"/>
  </r>
  <r>
    <s v="Biolage"/>
    <x v="1"/>
    <x v="0"/>
    <s v="Meta"/>
    <s v="Ulta"/>
    <x v="36"/>
    <d v="2024-01-01T00:00:00"/>
    <n v="20819.060001999998"/>
    <n v="3340778"/>
    <s v="LY"/>
    <s v="Social-Meta"/>
    <s v="Ulta"/>
  </r>
  <r>
    <s v="Biolage"/>
    <x v="5"/>
    <x v="0"/>
    <s v="Meta"/>
    <s v="Amazon"/>
    <x v="36"/>
    <d v="2024-01-01T00:00:00"/>
    <n v="18326.030010000002"/>
    <n v="4259605"/>
    <s v="LY"/>
    <s v="Social-Meta"/>
    <s v="Meta"/>
  </r>
  <r>
    <s v="Biolage"/>
    <x v="1"/>
    <x v="1"/>
    <s v="Amazon"/>
    <s v="Amazon"/>
    <x v="36"/>
    <d v="2024-01-01T00:00:00"/>
    <n v="5626.3892999999998"/>
    <n v="1987455"/>
    <s v="LY"/>
    <s v="Display-Amazon"/>
    <s v="Amazon"/>
  </r>
  <r>
    <s v="Biolage"/>
    <x v="1"/>
    <x v="2"/>
    <s v="Amazon"/>
    <s v="Amazon"/>
    <x v="36"/>
    <d v="2024-01-01T00:00:00"/>
    <n v="5139.4200000000037"/>
    <n v="1005392"/>
    <s v="LY"/>
    <s v="Search-Amazon"/>
    <s v="Amazon"/>
  </r>
  <r>
    <s v="Biolage"/>
    <x v="0"/>
    <x v="1"/>
    <s v="Amazon"/>
    <s v="Amazon"/>
    <x v="36"/>
    <d v="2024-01-01T00:00:00"/>
    <n v="5770.9738000000016"/>
    <n v="1132488"/>
    <s v="LY"/>
    <s v="Display-Amazon"/>
    <s v="Amazon"/>
  </r>
  <r>
    <s v="Biolage"/>
    <x v="0"/>
    <x v="2"/>
    <s v="Amazon"/>
    <s v="Amazon"/>
    <x v="36"/>
    <d v="2024-01-01T00:00:00"/>
    <n v="5769.7199999999975"/>
    <n v="1177415"/>
    <s v="LY"/>
    <s v="Search-Amazon"/>
    <s v="Amazon"/>
  </r>
  <r>
    <s v="Biolage"/>
    <x v="2"/>
    <x v="1"/>
    <s v="Amazon"/>
    <s v="Amazon"/>
    <x v="36"/>
    <d v="2024-01-01T00:00:00"/>
    <n v="5334.588600000001"/>
    <n v="960617"/>
    <s v="LY"/>
    <s v="Display-Amazon"/>
    <s v="Amazon"/>
  </r>
  <r>
    <s v="Biolage"/>
    <x v="2"/>
    <x v="2"/>
    <s v="Amazon"/>
    <s v="Amazon"/>
    <x v="36"/>
    <d v="2024-01-01T00:00:00"/>
    <n v="6616.9599999999982"/>
    <n v="1216949"/>
    <s v="LY"/>
    <s v="Search-Amazon"/>
    <s v="Amazon"/>
  </r>
  <r>
    <s v="Biolage"/>
    <x v="3"/>
    <x v="1"/>
    <s v="Amazon"/>
    <s v="Amazon"/>
    <x v="36"/>
    <d v="2024-01-01T00:00:00"/>
    <n v="5621.4567999999972"/>
    <n v="1529708"/>
    <s v="LY"/>
    <s v="Display-Amazon"/>
    <s v="Amazon"/>
  </r>
  <r>
    <s v="Biolage"/>
    <x v="3"/>
    <x v="2"/>
    <s v="Amazon"/>
    <s v="Amazon"/>
    <x v="36"/>
    <d v="2024-01-01T00:00:00"/>
    <n v="8081.3200000000006"/>
    <n v="1850263"/>
    <s v="LY"/>
    <s v="Search-Amazon"/>
    <s v="Amazon"/>
  </r>
  <r>
    <s v="Biolage"/>
    <x v="4"/>
    <x v="1"/>
    <s v="Amazon"/>
    <s v="Amazon"/>
    <x v="36"/>
    <d v="2024-01-01T00:00:00"/>
    <n v="5333.349299999998"/>
    <n v="1991177"/>
    <s v="LY"/>
    <s v="Display-Amazon"/>
    <s v="Amazon"/>
  </r>
  <r>
    <s v="Biolage"/>
    <x v="4"/>
    <x v="2"/>
    <s v="Amazon"/>
    <s v="Amazon"/>
    <x v="36"/>
    <d v="2024-01-01T00:00:00"/>
    <n v="3538.48"/>
    <n v="1214141"/>
    <s v="LY"/>
    <s v="Search-Amazon"/>
    <s v="Amazon"/>
  </r>
  <r>
    <s v="Biolage"/>
    <x v="5"/>
    <x v="2"/>
    <s v="Amazon"/>
    <s v="Amazon"/>
    <x v="36"/>
    <d v="2024-01-01T00:00:00"/>
    <n v="2997.8999999999992"/>
    <n v="499971"/>
    <s v="LY"/>
    <s v="Search-Amazon"/>
    <s v="Amazon"/>
  </r>
  <r>
    <s v="Biolage"/>
    <x v="8"/>
    <x v="1"/>
    <s v="Amazon"/>
    <s v="Amazon"/>
    <x v="36"/>
    <d v="2024-01-01T00:00:00"/>
    <n v="4281.5677999999989"/>
    <n v="1313468"/>
    <s v="LY"/>
    <s v="Display-Amazon"/>
    <s v="Amazon"/>
  </r>
  <r>
    <s v="Biolage"/>
    <x v="8"/>
    <x v="2"/>
    <s v="Amazon"/>
    <s v="Amazon"/>
    <x v="36"/>
    <d v="2024-01-01T00:00:00"/>
    <n v="2831.1999999999989"/>
    <n v="694958"/>
    <s v="LY"/>
    <s v="Search-Amazon"/>
    <s v="Amazon"/>
  </r>
  <r>
    <s v="Biolage"/>
    <x v="9"/>
    <x v="1"/>
    <s v="Amazon"/>
    <s v="Amazon"/>
    <x v="36"/>
    <d v="2024-01-01T00:00:00"/>
    <n v="2282.0040000000004"/>
    <n v="1006170"/>
    <s v="LY"/>
    <s v="Display-Amazon"/>
    <s v="Amazon"/>
  </r>
  <r>
    <s v="Biolage"/>
    <x v="9"/>
    <x v="2"/>
    <s v="Amazon"/>
    <s v="Amazon"/>
    <x v="36"/>
    <d v="2024-01-01T00:00:00"/>
    <n v="801.31999999999982"/>
    <n v="284700"/>
    <s v="LY"/>
    <s v="Search-Amazon"/>
    <s v="Amazon"/>
  </r>
  <r>
    <s v="Biolage"/>
    <x v="6"/>
    <x v="2"/>
    <s v="Amazon"/>
    <s v="Amazon"/>
    <x v="36"/>
    <d v="2024-01-01T00:00:00"/>
    <n v="1.1099999999999999"/>
    <n v="2695"/>
    <s v="LY"/>
    <s v="Search-Amazon"/>
    <s v="Amazon"/>
  </r>
  <r>
    <s v="Biolage"/>
    <x v="10"/>
    <x v="2"/>
    <s v="Google"/>
    <s v="Biolage"/>
    <x v="36"/>
    <d v="2024-01-01T00:00:00"/>
    <n v="93.210000000000008"/>
    <n v="419"/>
    <s v="LY"/>
    <s v="Search-Google"/>
    <s v="Search"/>
  </r>
  <r>
    <s v="Biolage"/>
    <x v="9"/>
    <x v="2"/>
    <s v="Google"/>
    <s v="Biolage"/>
    <x v="36"/>
    <d v="2024-01-01T00:00:00"/>
    <n v="51.309999999999995"/>
    <n v="258"/>
    <s v="LY"/>
    <s v="Search-Google"/>
    <s v="Search"/>
  </r>
  <r>
    <s v="Biolage"/>
    <x v="0"/>
    <x v="2"/>
    <s v="Google"/>
    <s v="Biolage"/>
    <x v="36"/>
    <d v="2024-01-01T00:00:00"/>
    <n v="10337.749999999996"/>
    <n v="34045"/>
    <s v="LY"/>
    <s v="Search-Google"/>
    <s v="Search"/>
  </r>
  <r>
    <s v="Biolage"/>
    <x v="2"/>
    <x v="2"/>
    <s v="Google"/>
    <s v="Biolage"/>
    <x v="36"/>
    <d v="2024-01-01T00:00:00"/>
    <n v="88.039999999999992"/>
    <n v="673"/>
    <s v="LY"/>
    <s v="Search-Google"/>
    <s v="Search"/>
  </r>
  <r>
    <s v="Biolage"/>
    <x v="11"/>
    <x v="2"/>
    <s v="Google"/>
    <s v="Biolage"/>
    <x v="36"/>
    <d v="2024-01-01T00:00:00"/>
    <n v="3.26"/>
    <n v="11"/>
    <s v="LY"/>
    <s v="Search-Google"/>
    <s v="Search"/>
  </r>
  <r>
    <s v="Biolage"/>
    <x v="1"/>
    <x v="2"/>
    <s v="Google"/>
    <s v="Biolage"/>
    <x v="36"/>
    <d v="2024-01-01T00:00:00"/>
    <n v="270.65999999999997"/>
    <n v="1732"/>
    <s v="LY"/>
    <s v="Search-Google"/>
    <s v="Search"/>
  </r>
  <r>
    <s v="Biolage"/>
    <x v="5"/>
    <x v="2"/>
    <s v="Google"/>
    <s v="Biolage"/>
    <x v="36"/>
    <d v="2024-01-01T00:00:00"/>
    <n v="459.98"/>
    <n v="1785"/>
    <s v="LY"/>
    <s v="Search-Google"/>
    <s v="Search"/>
  </r>
  <r>
    <s v="Biolage"/>
    <x v="8"/>
    <x v="2"/>
    <s v="Google"/>
    <s v="Biolage"/>
    <x v="36"/>
    <d v="2024-01-01T00:00:00"/>
    <n v="99.009999999999991"/>
    <n v="473"/>
    <s v="LY"/>
    <s v="Search-Google"/>
    <s v="Search"/>
  </r>
  <r>
    <s v="Biolage"/>
    <x v="3"/>
    <x v="2"/>
    <s v="Google"/>
    <s v="Biolage"/>
    <x v="36"/>
    <d v="2024-01-01T00:00:00"/>
    <n v="161.91000000000003"/>
    <n v="859"/>
    <s v="LY"/>
    <s v="Search-Google"/>
    <s v="Search"/>
  </r>
  <r>
    <s v="Biolage"/>
    <x v="4"/>
    <x v="2"/>
    <s v="Google"/>
    <s v="Biolage"/>
    <x v="36"/>
    <d v="2024-01-01T00:00:00"/>
    <n v="183.29999999999998"/>
    <n v="946"/>
    <s v="LY"/>
    <s v="Search-Google"/>
    <s v="Search"/>
  </r>
  <r>
    <s v="Biolage"/>
    <x v="5"/>
    <x v="0"/>
    <s v="Meta"/>
    <s v="Amazon"/>
    <x v="37"/>
    <d v="2024-01-01T00:00:00"/>
    <n v="32462.050018000002"/>
    <n v="6448941"/>
    <s v="LY"/>
    <s v="Social-Meta"/>
    <s v="Meta"/>
  </r>
  <r>
    <s v="Biolage"/>
    <x v="1"/>
    <x v="1"/>
    <s v="Amazon"/>
    <s v="Amazon"/>
    <x v="37"/>
    <d v="2024-01-01T00:00:00"/>
    <n v="5686.5447999999978"/>
    <n v="1361596"/>
    <s v="LY"/>
    <s v="Display-Amazon"/>
    <s v="Amazon"/>
  </r>
  <r>
    <s v="Biolage"/>
    <x v="1"/>
    <x v="2"/>
    <s v="Amazon"/>
    <s v="Amazon"/>
    <x v="37"/>
    <d v="2024-01-01T00:00:00"/>
    <n v="4907.5799999999963"/>
    <n v="997263"/>
    <s v="LY"/>
    <s v="Search-Amazon"/>
    <s v="Amazon"/>
  </r>
  <r>
    <s v="Biolage"/>
    <x v="0"/>
    <x v="1"/>
    <s v="Amazon"/>
    <s v="Amazon"/>
    <x v="37"/>
    <d v="2024-01-01T00:00:00"/>
    <n v="5836.5745999999972"/>
    <n v="880581"/>
    <s v="LY"/>
    <s v="Display-Amazon"/>
    <s v="Amazon"/>
  </r>
  <r>
    <s v="Biolage"/>
    <x v="0"/>
    <x v="2"/>
    <s v="Amazon"/>
    <s v="Amazon"/>
    <x v="37"/>
    <d v="2024-01-01T00:00:00"/>
    <n v="4432.1699999999983"/>
    <n v="1043795"/>
    <s v="LY"/>
    <s v="Search-Amazon"/>
    <s v="Amazon"/>
  </r>
  <r>
    <s v="Biolage"/>
    <x v="2"/>
    <x v="1"/>
    <s v="Amazon"/>
    <s v="Amazon"/>
    <x v="37"/>
    <d v="2024-01-01T00:00:00"/>
    <n v="5314.477100000001"/>
    <n v="771512"/>
    <s v="LY"/>
    <s v="Display-Amazon"/>
    <s v="Amazon"/>
  </r>
  <r>
    <s v="Biolage"/>
    <x v="2"/>
    <x v="2"/>
    <s v="Amazon"/>
    <s v="Amazon"/>
    <x v="37"/>
    <d v="2024-01-01T00:00:00"/>
    <n v="7251.72"/>
    <n v="1381239"/>
    <s v="LY"/>
    <s v="Search-Amazon"/>
    <s v="Amazon"/>
  </r>
  <r>
    <s v="Biolage"/>
    <x v="3"/>
    <x v="1"/>
    <s v="Amazon"/>
    <s v="Amazon"/>
    <x v="37"/>
    <d v="2024-01-01T00:00:00"/>
    <n v="5609.5313999999971"/>
    <n v="1588380"/>
    <s v="LY"/>
    <s v="Display-Amazon"/>
    <s v="Amazon"/>
  </r>
  <r>
    <s v="Biolage"/>
    <x v="3"/>
    <x v="2"/>
    <s v="Amazon"/>
    <s v="Amazon"/>
    <x v="37"/>
    <d v="2024-01-01T00:00:00"/>
    <n v="4763.0299999999979"/>
    <n v="1189621"/>
    <s v="LY"/>
    <s v="Search-Amazon"/>
    <s v="Amazon"/>
  </r>
  <r>
    <s v="Biolage"/>
    <x v="4"/>
    <x v="1"/>
    <s v="Amazon"/>
    <s v="Amazon"/>
    <x v="37"/>
    <d v="2024-01-01T00:00:00"/>
    <n v="5476.7584999999954"/>
    <n v="1809762"/>
    <s v="LY"/>
    <s v="Display-Amazon"/>
    <s v="Amazon"/>
  </r>
  <r>
    <s v="Biolage"/>
    <x v="4"/>
    <x v="2"/>
    <s v="Amazon"/>
    <s v="Amazon"/>
    <x v="37"/>
    <d v="2024-01-01T00:00:00"/>
    <n v="3903.3199999999993"/>
    <n v="1580471"/>
    <s v="LY"/>
    <s v="Search-Amazon"/>
    <s v="Amazon"/>
  </r>
  <r>
    <s v="Biolage"/>
    <x v="5"/>
    <x v="2"/>
    <s v="Amazon"/>
    <s v="Amazon"/>
    <x v="37"/>
    <d v="2024-01-01T00:00:00"/>
    <n v="3792.0300000000007"/>
    <n v="606598"/>
    <s v="LY"/>
    <s v="Search-Amazon"/>
    <s v="Amazon"/>
  </r>
  <r>
    <s v="Biolage"/>
    <x v="8"/>
    <x v="1"/>
    <s v="Amazon"/>
    <s v="Amazon"/>
    <x v="37"/>
    <d v="2024-01-01T00:00:00"/>
    <n v="4409.5598000000009"/>
    <n v="1013031"/>
    <s v="LY"/>
    <s v="Display-Amazon"/>
    <s v="Amazon"/>
  </r>
  <r>
    <s v="Biolage"/>
    <x v="8"/>
    <x v="2"/>
    <s v="Amazon"/>
    <s v="Amazon"/>
    <x v="37"/>
    <d v="2024-01-01T00:00:00"/>
    <n v="2529.3700000000003"/>
    <n v="729320"/>
    <s v="LY"/>
    <s v="Search-Amazon"/>
    <s v="Amazon"/>
  </r>
  <r>
    <s v="Biolage"/>
    <x v="9"/>
    <x v="1"/>
    <s v="Amazon"/>
    <s v="Amazon"/>
    <x v="37"/>
    <d v="2024-01-01T00:00:00"/>
    <n v="2297.9643999999998"/>
    <n v="819374"/>
    <s v="LY"/>
    <s v="Display-Amazon"/>
    <s v="Amazon"/>
  </r>
  <r>
    <s v="Biolage"/>
    <x v="9"/>
    <x v="2"/>
    <s v="Amazon"/>
    <s v="Amazon"/>
    <x v="37"/>
    <d v="2024-01-01T00:00:00"/>
    <n v="787.84000000000015"/>
    <n v="251088"/>
    <s v="LY"/>
    <s v="Search-Amazon"/>
    <s v="Amazon"/>
  </r>
  <r>
    <s v="Biolage"/>
    <x v="6"/>
    <x v="2"/>
    <s v="Amazon"/>
    <s v="Amazon"/>
    <x v="37"/>
    <d v="2024-01-01T00:00:00"/>
    <n v="0.37"/>
    <n v="646"/>
    <s v="LY"/>
    <s v="Search-Amazon"/>
    <s v="Amazon"/>
  </r>
  <r>
    <s v="Biolage"/>
    <x v="10"/>
    <x v="2"/>
    <s v="Google"/>
    <s v="Biolage"/>
    <x v="37"/>
    <d v="2024-01-01T00:00:00"/>
    <n v="107.19"/>
    <n v="409"/>
    <s v="LY"/>
    <s v="Search-Google"/>
    <s v="Search"/>
  </r>
  <r>
    <s v="Biolage"/>
    <x v="9"/>
    <x v="2"/>
    <s v="Google"/>
    <s v="Biolage"/>
    <x v="37"/>
    <d v="2024-01-01T00:00:00"/>
    <n v="49.679999999999993"/>
    <n v="255"/>
    <s v="LY"/>
    <s v="Search-Google"/>
    <s v="Search"/>
  </r>
  <r>
    <s v="Biolage"/>
    <x v="0"/>
    <x v="2"/>
    <s v="Google"/>
    <s v="Biolage"/>
    <x v="37"/>
    <d v="2024-01-01T00:00:00"/>
    <n v="9065.41"/>
    <n v="31472"/>
    <s v="LY"/>
    <s v="Search-Google"/>
    <s v="Search"/>
  </r>
  <r>
    <s v="Biolage"/>
    <x v="2"/>
    <x v="2"/>
    <s v="Google"/>
    <s v="Biolage"/>
    <x v="37"/>
    <d v="2024-01-01T00:00:00"/>
    <n v="81.11"/>
    <n v="664"/>
    <s v="LY"/>
    <s v="Search-Google"/>
    <s v="Search"/>
  </r>
  <r>
    <s v="Biolage"/>
    <x v="11"/>
    <x v="2"/>
    <s v="Google"/>
    <s v="Biolage"/>
    <x v="37"/>
    <d v="2024-01-01T00:00:00"/>
    <n v="9.16"/>
    <n v="49"/>
    <s v="LY"/>
    <s v="Search-Google"/>
    <s v="Search"/>
  </r>
  <r>
    <s v="Biolage"/>
    <x v="1"/>
    <x v="2"/>
    <s v="Google"/>
    <s v="Biolage"/>
    <x v="37"/>
    <d v="2024-01-01T00:00:00"/>
    <n v="237.32000000000002"/>
    <n v="1572"/>
    <s v="LY"/>
    <s v="Search-Google"/>
    <s v="Search"/>
  </r>
  <r>
    <s v="Biolage"/>
    <x v="5"/>
    <x v="2"/>
    <s v="Google"/>
    <s v="Biolage"/>
    <x v="37"/>
    <d v="2024-01-01T00:00:00"/>
    <n v="434.56"/>
    <n v="1963"/>
    <s v="LY"/>
    <s v="Search-Google"/>
    <s v="Search"/>
  </r>
  <r>
    <s v="Biolage"/>
    <x v="8"/>
    <x v="2"/>
    <s v="Google"/>
    <s v="Biolage"/>
    <x v="37"/>
    <d v="2024-01-01T00:00:00"/>
    <n v="95.19"/>
    <n v="465"/>
    <s v="LY"/>
    <s v="Search-Google"/>
    <s v="Search"/>
  </r>
  <r>
    <s v="Biolage"/>
    <x v="3"/>
    <x v="2"/>
    <s v="Google"/>
    <s v="Biolage"/>
    <x v="37"/>
    <d v="2024-01-01T00:00:00"/>
    <n v="89.929999999999993"/>
    <n v="466"/>
    <s v="LY"/>
    <s v="Search-Google"/>
    <s v="Search"/>
  </r>
  <r>
    <s v="Biolage"/>
    <x v="4"/>
    <x v="2"/>
    <s v="Google"/>
    <s v="Biolage"/>
    <x v="37"/>
    <d v="2024-01-01T00:00:00"/>
    <n v="176.25"/>
    <n v="894"/>
    <s v="LY"/>
    <s v="Search-Google"/>
    <s v="Search"/>
  </r>
  <r>
    <s v="Biolage"/>
    <x v="5"/>
    <x v="0"/>
    <s v="Meta"/>
    <s v="Amazon"/>
    <x v="38"/>
    <d v="2024-01-01T00:00:00"/>
    <n v="34007.000002000001"/>
    <n v="6926578"/>
    <s v="LY"/>
    <s v="Social-Meta"/>
    <s v="Meta"/>
  </r>
  <r>
    <s v="Biolage"/>
    <x v="1"/>
    <x v="1"/>
    <s v="Amazon"/>
    <s v="Amazon"/>
    <x v="38"/>
    <d v="2024-01-01T00:00:00"/>
    <n v="5828.9737000000023"/>
    <n v="1331175"/>
    <s v="LY"/>
    <s v="Display-Amazon"/>
    <s v="Amazon"/>
  </r>
  <r>
    <s v="Biolage"/>
    <x v="1"/>
    <x v="2"/>
    <s v="Amazon"/>
    <s v="Amazon"/>
    <x v="38"/>
    <d v="2024-01-01T00:00:00"/>
    <n v="7014.2599999999966"/>
    <n v="1621512"/>
    <s v="LY"/>
    <s v="Search-Amazon"/>
    <s v="Amazon"/>
  </r>
  <r>
    <s v="Biolage"/>
    <x v="0"/>
    <x v="1"/>
    <s v="Amazon"/>
    <s v="Amazon"/>
    <x v="38"/>
    <d v="2024-01-01T00:00:00"/>
    <n v="5634.7644"/>
    <n v="709220"/>
    <s v="LY"/>
    <s v="Display-Amazon"/>
    <s v="Amazon"/>
  </r>
  <r>
    <s v="Biolage"/>
    <x v="0"/>
    <x v="2"/>
    <s v="Amazon"/>
    <s v="Amazon"/>
    <x v="38"/>
    <d v="2024-01-01T00:00:00"/>
    <n v="4541.9400000000032"/>
    <n v="1160569"/>
    <s v="LY"/>
    <s v="Search-Amazon"/>
    <s v="Amazon"/>
  </r>
  <r>
    <s v="Biolage"/>
    <x v="2"/>
    <x v="1"/>
    <s v="Amazon"/>
    <s v="Amazon"/>
    <x v="38"/>
    <d v="2024-01-01T00:00:00"/>
    <n v="5419.9525000000012"/>
    <n v="829069"/>
    <s v="LY"/>
    <s v="Display-Amazon"/>
    <s v="Amazon"/>
  </r>
  <r>
    <s v="Biolage"/>
    <x v="2"/>
    <x v="2"/>
    <s v="Amazon"/>
    <s v="Amazon"/>
    <x v="38"/>
    <d v="2024-01-01T00:00:00"/>
    <n v="7676.3600000000006"/>
    <n v="1709971"/>
    <s v="LY"/>
    <s v="Search-Amazon"/>
    <s v="Amazon"/>
  </r>
  <r>
    <s v="Biolage"/>
    <x v="3"/>
    <x v="1"/>
    <s v="Amazon"/>
    <s v="Amazon"/>
    <x v="38"/>
    <d v="2024-01-01T00:00:00"/>
    <n v="5647.7424999999976"/>
    <n v="1291095"/>
    <s v="LY"/>
    <s v="Display-Amazon"/>
    <s v="Amazon"/>
  </r>
  <r>
    <s v="Biolage"/>
    <x v="3"/>
    <x v="2"/>
    <s v="Amazon"/>
    <s v="Amazon"/>
    <x v="38"/>
    <d v="2024-01-01T00:00:00"/>
    <n v="5309.619999999999"/>
    <n v="1388342"/>
    <s v="LY"/>
    <s v="Search-Amazon"/>
    <s v="Amazon"/>
  </r>
  <r>
    <s v="Biolage"/>
    <x v="4"/>
    <x v="1"/>
    <s v="Amazon"/>
    <s v="Amazon"/>
    <x v="38"/>
    <d v="2024-01-01T00:00:00"/>
    <n v="5443.6207999999997"/>
    <n v="1622812"/>
    <s v="LY"/>
    <s v="Display-Amazon"/>
    <s v="Amazon"/>
  </r>
  <r>
    <s v="Biolage"/>
    <x v="4"/>
    <x v="2"/>
    <s v="Amazon"/>
    <s v="Amazon"/>
    <x v="38"/>
    <d v="2024-01-01T00:00:00"/>
    <n v="7051.7300000000014"/>
    <n v="2463931"/>
    <s v="LY"/>
    <s v="Search-Amazon"/>
    <s v="Amazon"/>
  </r>
  <r>
    <s v="Biolage"/>
    <x v="5"/>
    <x v="2"/>
    <s v="Amazon"/>
    <s v="Amazon"/>
    <x v="38"/>
    <d v="2024-01-01T00:00:00"/>
    <n v="4486.43"/>
    <n v="842260"/>
    <s v="LY"/>
    <s v="Search-Amazon"/>
    <s v="Amazon"/>
  </r>
  <r>
    <s v="Biolage"/>
    <x v="8"/>
    <x v="1"/>
    <s v="Amazon"/>
    <s v="Amazon"/>
    <x v="38"/>
    <d v="2024-01-01T00:00:00"/>
    <n v="4459.3438999999989"/>
    <n v="1238874"/>
    <s v="LY"/>
    <s v="Display-Amazon"/>
    <s v="Amazon"/>
  </r>
  <r>
    <s v="Biolage"/>
    <x v="8"/>
    <x v="2"/>
    <s v="Amazon"/>
    <s v="Amazon"/>
    <x v="38"/>
    <d v="2024-01-01T00:00:00"/>
    <n v="3274.1199999999994"/>
    <n v="898608"/>
    <s v="LY"/>
    <s v="Search-Amazon"/>
    <s v="Amazon"/>
  </r>
  <r>
    <s v="Biolage"/>
    <x v="9"/>
    <x v="1"/>
    <s v="Amazon"/>
    <s v="Amazon"/>
    <x v="38"/>
    <d v="2024-01-01T00:00:00"/>
    <n v="2275.3664999999992"/>
    <n v="753534"/>
    <s v="LY"/>
    <s v="Display-Amazon"/>
    <s v="Amazon"/>
  </r>
  <r>
    <s v="Biolage"/>
    <x v="9"/>
    <x v="2"/>
    <s v="Amazon"/>
    <s v="Amazon"/>
    <x v="38"/>
    <d v="2024-01-01T00:00:00"/>
    <n v="499.90999999999997"/>
    <n v="136258"/>
    <s v="LY"/>
    <s v="Search-Amazon"/>
    <s v="Amazon"/>
  </r>
  <r>
    <s v="Biolage"/>
    <x v="10"/>
    <x v="2"/>
    <s v="Google"/>
    <s v="Biolage"/>
    <x v="38"/>
    <d v="2024-01-01T00:00:00"/>
    <n v="120.44"/>
    <n v="563"/>
    <s v="LY"/>
    <s v="Search-Google"/>
    <s v="Search"/>
  </r>
  <r>
    <s v="Biolage"/>
    <x v="9"/>
    <x v="2"/>
    <s v="Google"/>
    <s v="Biolage"/>
    <x v="38"/>
    <d v="2024-01-01T00:00:00"/>
    <n v="43.539999999999992"/>
    <n v="266"/>
    <s v="LY"/>
    <s v="Search-Google"/>
    <s v="Search"/>
  </r>
  <r>
    <s v="Biolage"/>
    <x v="0"/>
    <x v="2"/>
    <s v="Google"/>
    <s v="Biolage"/>
    <x v="38"/>
    <d v="2024-01-01T00:00:00"/>
    <n v="8387.0299999999988"/>
    <n v="30896"/>
    <s v="LY"/>
    <s v="Search-Google"/>
    <s v="Search"/>
  </r>
  <r>
    <s v="Biolage"/>
    <x v="2"/>
    <x v="2"/>
    <s v="Google"/>
    <s v="Biolage"/>
    <x v="38"/>
    <d v="2024-01-01T00:00:00"/>
    <n v="74.859999999999985"/>
    <n v="755"/>
    <s v="LY"/>
    <s v="Search-Google"/>
    <s v="Search"/>
  </r>
  <r>
    <s v="Biolage"/>
    <x v="11"/>
    <x v="2"/>
    <s v="Google"/>
    <s v="Biolage"/>
    <x v="38"/>
    <d v="2024-01-01T00:00:00"/>
    <n v="16.79"/>
    <n v="24"/>
    <s v="LY"/>
    <s v="Search-Google"/>
    <s v="Search"/>
  </r>
  <r>
    <s v="Biolage"/>
    <x v="1"/>
    <x v="2"/>
    <s v="Google"/>
    <s v="Biolage"/>
    <x v="38"/>
    <d v="2024-01-01T00:00:00"/>
    <n v="275.60000000000002"/>
    <n v="1708"/>
    <s v="LY"/>
    <s v="Search-Google"/>
    <s v="Search"/>
  </r>
  <r>
    <s v="Biolage"/>
    <x v="5"/>
    <x v="2"/>
    <s v="Google"/>
    <s v="Biolage"/>
    <x v="38"/>
    <d v="2024-01-01T00:00:00"/>
    <n v="429.36"/>
    <n v="2131"/>
    <s v="LY"/>
    <s v="Search-Google"/>
    <s v="Search"/>
  </r>
  <r>
    <s v="Biolage"/>
    <x v="8"/>
    <x v="2"/>
    <s v="Google"/>
    <s v="Biolage"/>
    <x v="38"/>
    <d v="2024-01-01T00:00:00"/>
    <n v="72.8"/>
    <n v="496"/>
    <s v="LY"/>
    <s v="Search-Google"/>
    <s v="Search"/>
  </r>
  <r>
    <s v="Biolage"/>
    <x v="3"/>
    <x v="2"/>
    <s v="Google"/>
    <s v="Biolage"/>
    <x v="38"/>
    <d v="2024-01-01T00:00:00"/>
    <n v="75.3"/>
    <n v="461"/>
    <s v="LY"/>
    <s v="Search-Google"/>
    <s v="Search"/>
  </r>
  <r>
    <s v="Biolage"/>
    <x v="4"/>
    <x v="2"/>
    <s v="Google"/>
    <s v="Biolage"/>
    <x v="38"/>
    <d v="2024-01-01T00:00:00"/>
    <n v="167.89000000000001"/>
    <n v="876"/>
    <s v="LY"/>
    <s v="Search-Google"/>
    <s v="Search"/>
  </r>
  <r>
    <s v="Biolage"/>
    <x v="5"/>
    <x v="0"/>
    <s v="Meta"/>
    <s v="Amazon"/>
    <x v="39"/>
    <d v="2024-01-01T00:00:00"/>
    <n v="24730.940003999996"/>
    <n v="5079868"/>
    <s v="LY"/>
    <s v="Social-Meta"/>
    <s v="Meta"/>
  </r>
  <r>
    <s v="Biolage"/>
    <x v="5"/>
    <x v="0"/>
    <s v="Meta"/>
    <s v="Ulta"/>
    <x v="39"/>
    <d v="2024-01-01T00:00:00"/>
    <n v="8934.980008999999"/>
    <n v="1489547"/>
    <s v="LY"/>
    <s v="Social-Meta"/>
    <s v="Ulta"/>
  </r>
  <r>
    <s v="Biolage"/>
    <x v="1"/>
    <x v="1"/>
    <s v="Amazon"/>
    <s v="Amazon"/>
    <x v="39"/>
    <d v="2024-01-01T00:00:00"/>
    <n v="4997.8640999999989"/>
    <n v="1218144"/>
    <s v="LY"/>
    <s v="Display-Amazon"/>
    <s v="Amazon"/>
  </r>
  <r>
    <s v="Biolage"/>
    <x v="1"/>
    <x v="2"/>
    <s v="Amazon"/>
    <s v="Amazon"/>
    <x v="39"/>
    <d v="2024-01-01T00:00:00"/>
    <n v="10452.990000000003"/>
    <n v="2412743"/>
    <s v="LY"/>
    <s v="Search-Amazon"/>
    <s v="Amazon"/>
  </r>
  <r>
    <s v="Biolage"/>
    <x v="0"/>
    <x v="1"/>
    <s v="Amazon"/>
    <s v="Amazon"/>
    <x v="39"/>
    <d v="2024-01-01T00:00:00"/>
    <n v="6613.0198000000019"/>
    <n v="1024524"/>
    <s v="LY"/>
    <s v="Display-Amazon"/>
    <s v="Amazon"/>
  </r>
  <r>
    <s v="Biolage"/>
    <x v="0"/>
    <x v="2"/>
    <s v="Amazon"/>
    <s v="Amazon"/>
    <x v="39"/>
    <d v="2024-01-01T00:00:00"/>
    <n v="4921.8"/>
    <n v="1286059"/>
    <s v="LY"/>
    <s v="Search-Amazon"/>
    <s v="Amazon"/>
  </r>
  <r>
    <s v="Biolage"/>
    <x v="2"/>
    <x v="1"/>
    <s v="Amazon"/>
    <s v="Amazon"/>
    <x v="39"/>
    <d v="2024-01-01T00:00:00"/>
    <n v="4678.0623999999971"/>
    <n v="701026"/>
    <s v="LY"/>
    <s v="Display-Amazon"/>
    <s v="Amazon"/>
  </r>
  <r>
    <s v="Biolage"/>
    <x v="2"/>
    <x v="2"/>
    <s v="Amazon"/>
    <s v="Amazon"/>
    <x v="39"/>
    <d v="2024-01-01T00:00:00"/>
    <n v="7304.0799999999972"/>
    <n v="1583344"/>
    <s v="LY"/>
    <s v="Search-Amazon"/>
    <s v="Amazon"/>
  </r>
  <r>
    <s v="Biolage"/>
    <x v="3"/>
    <x v="1"/>
    <s v="Amazon"/>
    <s v="Amazon"/>
    <x v="39"/>
    <d v="2024-01-01T00:00:00"/>
    <n v="5170.1101999999983"/>
    <n v="585118"/>
    <s v="LY"/>
    <s v="Display-Amazon"/>
    <s v="Amazon"/>
  </r>
  <r>
    <s v="Biolage"/>
    <x v="3"/>
    <x v="2"/>
    <s v="Amazon"/>
    <s v="Amazon"/>
    <x v="39"/>
    <d v="2024-01-01T00:00:00"/>
    <n v="4104.6499999999987"/>
    <n v="1114538"/>
    <s v="LY"/>
    <s v="Search-Amazon"/>
    <s v="Amazon"/>
  </r>
  <r>
    <s v="Biolage"/>
    <x v="4"/>
    <x v="1"/>
    <s v="Amazon"/>
    <s v="Amazon"/>
    <x v="39"/>
    <d v="2024-01-01T00:00:00"/>
    <n v="4597.78"/>
    <n v="1151580"/>
    <s v="LY"/>
    <s v="Display-Amazon"/>
    <s v="Amazon"/>
  </r>
  <r>
    <s v="Biolage"/>
    <x v="4"/>
    <x v="2"/>
    <s v="Amazon"/>
    <s v="Amazon"/>
    <x v="39"/>
    <d v="2024-01-01T00:00:00"/>
    <n v="9884.9500000000007"/>
    <n v="3279343"/>
    <s v="LY"/>
    <s v="Search-Amazon"/>
    <s v="Amazon"/>
  </r>
  <r>
    <s v="Biolage"/>
    <x v="5"/>
    <x v="2"/>
    <s v="Amazon"/>
    <s v="Amazon"/>
    <x v="39"/>
    <d v="2024-01-01T00:00:00"/>
    <n v="4345.4100000000008"/>
    <n v="811978"/>
    <s v="LY"/>
    <s v="Search-Amazon"/>
    <s v="Amazon"/>
  </r>
  <r>
    <s v="Biolage"/>
    <x v="8"/>
    <x v="1"/>
    <s v="Amazon"/>
    <s v="Amazon"/>
    <x v="39"/>
    <d v="2024-01-01T00:00:00"/>
    <n v="3677.6730000000002"/>
    <n v="1090677"/>
    <s v="LY"/>
    <s v="Display-Amazon"/>
    <s v="Amazon"/>
  </r>
  <r>
    <s v="Biolage"/>
    <x v="8"/>
    <x v="2"/>
    <s v="Amazon"/>
    <s v="Amazon"/>
    <x v="39"/>
    <d v="2024-01-01T00:00:00"/>
    <n v="3937.3800000000006"/>
    <n v="1020919"/>
    <s v="LY"/>
    <s v="Search-Amazon"/>
    <s v="Amazon"/>
  </r>
  <r>
    <s v="Biolage"/>
    <x v="9"/>
    <x v="1"/>
    <s v="Amazon"/>
    <s v="Amazon"/>
    <x v="39"/>
    <d v="2024-01-01T00:00:00"/>
    <n v="1870.5889999999999"/>
    <n v="562759"/>
    <s v="LY"/>
    <s v="Display-Amazon"/>
    <s v="Amazon"/>
  </r>
  <r>
    <s v="Biolage"/>
    <x v="6"/>
    <x v="2"/>
    <s v="Amazon"/>
    <s v="Amazon"/>
    <x v="39"/>
    <d v="2024-01-01T00:00:00"/>
    <n v="0.37"/>
    <n v="1437"/>
    <s v="LY"/>
    <s v="Search-Amazon"/>
    <s v="Amazon"/>
  </r>
  <r>
    <s v="Biolage"/>
    <x v="10"/>
    <x v="2"/>
    <s v="Google"/>
    <s v="Biolage"/>
    <x v="39"/>
    <d v="2024-01-01T00:00:00"/>
    <n v="91.12"/>
    <n v="408"/>
    <s v="LY"/>
    <s v="Search-Google"/>
    <s v="Search"/>
  </r>
  <r>
    <s v="Biolage"/>
    <x v="9"/>
    <x v="2"/>
    <s v="Google"/>
    <s v="Biolage"/>
    <x v="39"/>
    <d v="2024-01-01T00:00:00"/>
    <n v="45.699999999999996"/>
    <n v="277"/>
    <s v="LY"/>
    <s v="Search-Google"/>
    <s v="Search"/>
  </r>
  <r>
    <s v="Biolage"/>
    <x v="0"/>
    <x v="2"/>
    <s v="Google"/>
    <s v="Biolage"/>
    <x v="39"/>
    <d v="2024-01-01T00:00:00"/>
    <n v="8325.8722969999999"/>
    <n v="29542"/>
    <s v="LY"/>
    <s v="Search-Google"/>
    <s v="Search"/>
  </r>
  <r>
    <s v="Biolage"/>
    <x v="2"/>
    <x v="2"/>
    <s v="Google"/>
    <s v="Biolage"/>
    <x v="39"/>
    <d v="2024-01-01T00:00:00"/>
    <n v="102.71000000000001"/>
    <n v="836"/>
    <s v="LY"/>
    <s v="Search-Google"/>
    <s v="Search"/>
  </r>
  <r>
    <s v="Biolage"/>
    <x v="11"/>
    <x v="2"/>
    <s v="Google"/>
    <s v="Biolage"/>
    <x v="39"/>
    <d v="2024-01-01T00:00:00"/>
    <n v="15.669999999999998"/>
    <n v="69"/>
    <s v="LY"/>
    <s v="Search-Google"/>
    <s v="Search"/>
  </r>
  <r>
    <s v="Biolage"/>
    <x v="1"/>
    <x v="2"/>
    <s v="Google"/>
    <s v="Biolage"/>
    <x v="39"/>
    <d v="2024-01-01T00:00:00"/>
    <n v="201.87000000000003"/>
    <n v="1636"/>
    <s v="LY"/>
    <s v="Search-Google"/>
    <s v="Search"/>
  </r>
  <r>
    <s v="Biolage"/>
    <x v="5"/>
    <x v="2"/>
    <s v="Google"/>
    <s v="Biolage"/>
    <x v="39"/>
    <d v="2024-01-01T00:00:00"/>
    <n v="341.88999999999993"/>
    <n v="2248"/>
    <s v="LY"/>
    <s v="Search-Google"/>
    <s v="Search"/>
  </r>
  <r>
    <s v="Biolage"/>
    <x v="8"/>
    <x v="2"/>
    <s v="Google"/>
    <s v="Biolage"/>
    <x v="39"/>
    <d v="2024-01-01T00:00:00"/>
    <n v="81.27000000000001"/>
    <n v="500"/>
    <s v="LY"/>
    <s v="Search-Google"/>
    <s v="Search"/>
  </r>
  <r>
    <s v="Biolage"/>
    <x v="3"/>
    <x v="2"/>
    <s v="Google"/>
    <s v="Biolage"/>
    <x v="39"/>
    <d v="2024-01-01T00:00:00"/>
    <n v="60.72"/>
    <n v="508"/>
    <s v="LY"/>
    <s v="Search-Google"/>
    <s v="Search"/>
  </r>
  <r>
    <s v="Biolage"/>
    <x v="4"/>
    <x v="2"/>
    <s v="Google"/>
    <s v="Biolage"/>
    <x v="39"/>
    <d v="2024-01-01T00:00:00"/>
    <n v="154.26999999999998"/>
    <n v="942"/>
    <s v="LY"/>
    <s v="Search-Google"/>
    <s v="Search"/>
  </r>
  <r>
    <s v="Biolage"/>
    <x v="5"/>
    <x v="0"/>
    <s v="Meta"/>
    <s v="Amazon"/>
    <x v="40"/>
    <d v="2024-01-01T00:00:00"/>
    <n v="18361.370004"/>
    <n v="4254545"/>
    <s v="LY"/>
    <s v="Social-Meta"/>
    <s v="Meta"/>
  </r>
  <r>
    <s v="Biolage"/>
    <x v="5"/>
    <x v="0"/>
    <s v="Meta"/>
    <s v="Ulta"/>
    <x v="40"/>
    <d v="2024-01-01T00:00:00"/>
    <n v="15195.689995000001"/>
    <n v="3074357"/>
    <s v="LY"/>
    <s v="Social-Meta"/>
    <s v="Ulta"/>
  </r>
  <r>
    <s v="Biolage"/>
    <x v="1"/>
    <x v="1"/>
    <s v="Amazon"/>
    <s v="Amazon"/>
    <x v="40"/>
    <d v="2024-01-01T00:00:00"/>
    <n v="11785.019199999993"/>
    <n v="2592311"/>
    <s v="LY"/>
    <s v="Display-Amazon"/>
    <s v="Amazon"/>
  </r>
  <r>
    <s v="Biolage"/>
    <x v="1"/>
    <x v="2"/>
    <s v="Amazon"/>
    <s v="Amazon"/>
    <x v="40"/>
    <d v="2024-01-01T00:00:00"/>
    <n v="11799.800000000003"/>
    <n v="2536790"/>
    <s v="LY"/>
    <s v="Search-Amazon"/>
    <s v="Amazon"/>
  </r>
  <r>
    <s v="Biolage"/>
    <x v="0"/>
    <x v="1"/>
    <s v="Amazon"/>
    <s v="Amazon"/>
    <x v="40"/>
    <d v="2024-01-01T00:00:00"/>
    <n v="6744.3843999999999"/>
    <n v="1138127"/>
    <s v="LY"/>
    <s v="Display-Amazon"/>
    <s v="Amazon"/>
  </r>
  <r>
    <s v="Biolage"/>
    <x v="0"/>
    <x v="2"/>
    <s v="Amazon"/>
    <s v="Amazon"/>
    <x v="40"/>
    <d v="2024-01-01T00:00:00"/>
    <n v="5490.9500000000007"/>
    <n v="1266479"/>
    <s v="LY"/>
    <s v="Search-Amazon"/>
    <s v="Amazon"/>
  </r>
  <r>
    <s v="Biolage"/>
    <x v="2"/>
    <x v="1"/>
    <s v="Amazon"/>
    <s v="Amazon"/>
    <x v="40"/>
    <d v="2024-01-01T00:00:00"/>
    <n v="5697.4231000000018"/>
    <n v="975042"/>
    <s v="LY"/>
    <s v="Display-Amazon"/>
    <s v="Amazon"/>
  </r>
  <r>
    <s v="Biolage"/>
    <x v="2"/>
    <x v="2"/>
    <s v="Amazon"/>
    <s v="Amazon"/>
    <x v="40"/>
    <d v="2024-01-01T00:00:00"/>
    <n v="8249.980000000005"/>
    <n v="1826267"/>
    <s v="LY"/>
    <s v="Search-Amazon"/>
    <s v="Amazon"/>
  </r>
  <r>
    <s v="Biolage"/>
    <x v="3"/>
    <x v="1"/>
    <s v="Amazon"/>
    <s v="Amazon"/>
    <x v="40"/>
    <d v="2024-01-01T00:00:00"/>
    <n v="5417.0466999999981"/>
    <n v="900266"/>
    <s v="LY"/>
    <s v="Display-Amazon"/>
    <s v="Amazon"/>
  </r>
  <r>
    <s v="Biolage"/>
    <x v="3"/>
    <x v="2"/>
    <s v="Amazon"/>
    <s v="Amazon"/>
    <x v="40"/>
    <d v="2024-01-01T00:00:00"/>
    <n v="3517.9199999999978"/>
    <n v="1022832"/>
    <s v="LY"/>
    <s v="Search-Amazon"/>
    <s v="Amazon"/>
  </r>
  <r>
    <s v="Biolage"/>
    <x v="4"/>
    <x v="1"/>
    <s v="Amazon"/>
    <s v="Amazon"/>
    <x v="40"/>
    <d v="2024-01-01T00:00:00"/>
    <n v="11820.418499999998"/>
    <n v="2465604"/>
    <s v="LY"/>
    <s v="Display-Amazon"/>
    <s v="Amazon"/>
  </r>
  <r>
    <s v="Biolage"/>
    <x v="4"/>
    <x v="2"/>
    <s v="Amazon"/>
    <s v="Amazon"/>
    <x v="40"/>
    <d v="2024-01-01T00:00:00"/>
    <n v="9863.5500000000029"/>
    <n v="3232867"/>
    <s v="LY"/>
    <s v="Search-Amazon"/>
    <s v="Amazon"/>
  </r>
  <r>
    <s v="Biolage"/>
    <x v="5"/>
    <x v="1"/>
    <s v="Amazon"/>
    <s v="Amazon"/>
    <x v="40"/>
    <d v="2024-01-01T00:00:00"/>
    <n v="2502.9568000000004"/>
    <n v="685982"/>
    <s v="LY"/>
    <s v="Display-Amazon"/>
    <s v="Amazon"/>
  </r>
  <r>
    <s v="Biolage"/>
    <x v="5"/>
    <x v="2"/>
    <s v="Amazon"/>
    <s v="Amazon"/>
    <x v="40"/>
    <d v="2024-01-01T00:00:00"/>
    <n v="4155.57"/>
    <n v="751857"/>
    <s v="LY"/>
    <s v="Search-Amazon"/>
    <s v="Amazon"/>
  </r>
  <r>
    <s v="Biolage"/>
    <x v="8"/>
    <x v="1"/>
    <s v="Amazon"/>
    <s v="Amazon"/>
    <x v="40"/>
    <d v="2024-01-01T00:00:00"/>
    <n v="3065.2410000000004"/>
    <n v="904477"/>
    <s v="LY"/>
    <s v="Display-Amazon"/>
    <s v="Amazon"/>
  </r>
  <r>
    <s v="Biolage"/>
    <x v="8"/>
    <x v="2"/>
    <s v="Amazon"/>
    <s v="Amazon"/>
    <x v="40"/>
    <d v="2024-01-01T00:00:00"/>
    <n v="5528.7300000000041"/>
    <n v="1295296"/>
    <s v="LY"/>
    <s v="Search-Amazon"/>
    <s v="Amazon"/>
  </r>
  <r>
    <s v="Biolage"/>
    <x v="9"/>
    <x v="1"/>
    <s v="Amazon"/>
    <s v="Amazon"/>
    <x v="40"/>
    <d v="2024-01-01T00:00:00"/>
    <n v="125.91149999999999"/>
    <n v="55427"/>
    <s v="LY"/>
    <s v="Display-Amazon"/>
    <s v="Amazon"/>
  </r>
  <r>
    <s v="Biolage"/>
    <x v="6"/>
    <x v="2"/>
    <s v="Amazon"/>
    <s v="Amazon"/>
    <x v="40"/>
    <d v="2024-01-01T00:00:00"/>
    <n v="0.77"/>
    <n v="3586"/>
    <s v="LY"/>
    <s v="Search-Amazon"/>
    <s v="Amazon"/>
  </r>
  <r>
    <s v="Biolage"/>
    <x v="10"/>
    <x v="2"/>
    <s v="Google"/>
    <s v="Biolage"/>
    <x v="40"/>
    <d v="2024-01-01T00:00:00"/>
    <n v="100.25999999999999"/>
    <n v="418"/>
    <s v="LY"/>
    <s v="Search-Google"/>
    <s v="Search"/>
  </r>
  <r>
    <s v="Biolage"/>
    <x v="9"/>
    <x v="2"/>
    <s v="Google"/>
    <s v="Biolage"/>
    <x v="40"/>
    <d v="2024-01-01T00:00:00"/>
    <n v="44.11"/>
    <n v="211"/>
    <s v="LY"/>
    <s v="Search-Google"/>
    <s v="Search"/>
  </r>
  <r>
    <s v="Biolage"/>
    <x v="0"/>
    <x v="2"/>
    <s v="Google"/>
    <s v="Biolage"/>
    <x v="40"/>
    <d v="2024-01-01T00:00:00"/>
    <n v="8505.9989580000001"/>
    <n v="31858"/>
    <s v="LY"/>
    <s v="Search-Google"/>
    <s v="Search"/>
  </r>
  <r>
    <s v="Biolage"/>
    <x v="2"/>
    <x v="2"/>
    <s v="Google"/>
    <s v="Biolage"/>
    <x v="40"/>
    <d v="2024-01-01T00:00:00"/>
    <n v="102.03999999999999"/>
    <n v="941"/>
    <s v="LY"/>
    <s v="Search-Google"/>
    <s v="Search"/>
  </r>
  <r>
    <s v="Biolage"/>
    <x v="11"/>
    <x v="2"/>
    <s v="Google"/>
    <s v="Biolage"/>
    <x v="40"/>
    <d v="2024-01-01T00:00:00"/>
    <n v="339.32320599999997"/>
    <n v="668"/>
    <s v="LY"/>
    <s v="Search-Google"/>
    <s v="Search"/>
  </r>
  <r>
    <s v="Biolage"/>
    <x v="1"/>
    <x v="2"/>
    <s v="Google"/>
    <s v="Biolage"/>
    <x v="40"/>
    <d v="2024-01-01T00:00:00"/>
    <n v="235.44117900000001"/>
    <n v="1668"/>
    <s v="LY"/>
    <s v="Search-Google"/>
    <s v="Search"/>
  </r>
  <r>
    <s v="Biolage"/>
    <x v="5"/>
    <x v="2"/>
    <s v="Google"/>
    <s v="Biolage"/>
    <x v="40"/>
    <d v="2024-01-01T00:00:00"/>
    <n v="291.04181799999998"/>
    <n v="2100"/>
    <s v="LY"/>
    <s v="Search-Google"/>
    <s v="Search"/>
  </r>
  <r>
    <s v="Biolage"/>
    <x v="8"/>
    <x v="2"/>
    <s v="Google"/>
    <s v="Biolage"/>
    <x v="40"/>
    <d v="2024-01-01T00:00:00"/>
    <n v="59.379999999999995"/>
    <n v="494"/>
    <s v="LY"/>
    <s v="Search-Google"/>
    <s v="Search"/>
  </r>
  <r>
    <s v="Biolage"/>
    <x v="3"/>
    <x v="2"/>
    <s v="Google"/>
    <s v="Biolage"/>
    <x v="40"/>
    <d v="2024-01-01T00:00:00"/>
    <n v="64.290000000000006"/>
    <n v="470"/>
    <s v="LY"/>
    <s v="Search-Google"/>
    <s v="Search"/>
  </r>
  <r>
    <s v="Biolage"/>
    <x v="4"/>
    <x v="2"/>
    <s v="Google"/>
    <s v="Biolage"/>
    <x v="40"/>
    <d v="2024-01-01T00:00:00"/>
    <n v="106.03999999999999"/>
    <n v="822"/>
    <s v="LY"/>
    <s v="Search-Google"/>
    <s v="Search"/>
  </r>
  <r>
    <s v="Biolage"/>
    <x v="5"/>
    <x v="0"/>
    <s v="Meta"/>
    <s v="Amazon"/>
    <x v="41"/>
    <d v="2024-01-01T00:00:00"/>
    <n v="18797.490014999996"/>
    <n v="4201768"/>
    <s v="LY"/>
    <s v="Social-Meta"/>
    <s v="Meta"/>
  </r>
  <r>
    <s v="Biolage"/>
    <x v="5"/>
    <x v="0"/>
    <s v="Meta"/>
    <s v="Ulta"/>
    <x v="41"/>
    <d v="2024-01-01T00:00:00"/>
    <n v="15381.100011"/>
    <n v="2963532"/>
    <s v="LY"/>
    <s v="Social-Meta"/>
    <s v="Ulta"/>
  </r>
  <r>
    <s v="Biolage"/>
    <x v="1"/>
    <x v="1"/>
    <s v="Amazon"/>
    <s v="Amazon"/>
    <x v="41"/>
    <d v="2024-01-01T00:00:00"/>
    <n v="5351.6664999999994"/>
    <n v="1294175"/>
    <s v="LY"/>
    <s v="Display-Amazon"/>
    <s v="Amazon"/>
  </r>
  <r>
    <s v="Biolage"/>
    <x v="1"/>
    <x v="2"/>
    <s v="Amazon"/>
    <s v="Amazon"/>
    <x v="41"/>
    <d v="2024-01-01T00:00:00"/>
    <n v="8077.9700000000021"/>
    <n v="1917192"/>
    <s v="LY"/>
    <s v="Search-Amazon"/>
    <s v="Amazon"/>
  </r>
  <r>
    <s v="Biolage"/>
    <x v="0"/>
    <x v="1"/>
    <s v="Amazon"/>
    <s v="Amazon"/>
    <x v="41"/>
    <d v="2024-01-01T00:00:00"/>
    <n v="6043.7695999999996"/>
    <n v="960050"/>
    <s v="LY"/>
    <s v="Display-Amazon"/>
    <s v="Amazon"/>
  </r>
  <r>
    <s v="Biolage"/>
    <x v="0"/>
    <x v="2"/>
    <s v="Amazon"/>
    <s v="Amazon"/>
    <x v="41"/>
    <d v="2024-01-01T00:00:00"/>
    <n v="4850.5599999999995"/>
    <n v="1130461"/>
    <s v="LY"/>
    <s v="Search-Amazon"/>
    <s v="Amazon"/>
  </r>
  <r>
    <s v="Biolage"/>
    <x v="2"/>
    <x v="1"/>
    <s v="Amazon"/>
    <s v="Amazon"/>
    <x v="41"/>
    <d v="2024-01-01T00:00:00"/>
    <n v="6972.1745999999994"/>
    <n v="1205741"/>
    <s v="LY"/>
    <s v="Display-Amazon"/>
    <s v="Amazon"/>
  </r>
  <r>
    <s v="Biolage"/>
    <x v="2"/>
    <x v="2"/>
    <s v="Amazon"/>
    <s v="Amazon"/>
    <x v="41"/>
    <d v="2024-01-01T00:00:00"/>
    <n v="10199.040000000003"/>
    <n v="2323604"/>
    <s v="LY"/>
    <s v="Search-Amazon"/>
    <s v="Amazon"/>
  </r>
  <r>
    <s v="Biolage"/>
    <x v="3"/>
    <x v="1"/>
    <s v="Amazon"/>
    <s v="Amazon"/>
    <x v="41"/>
    <d v="2024-01-01T00:00:00"/>
    <n v="7143.3048000000017"/>
    <n v="1192619"/>
    <s v="LY"/>
    <s v="Display-Amazon"/>
    <s v="Amazon"/>
  </r>
  <r>
    <s v="Biolage"/>
    <x v="3"/>
    <x v="2"/>
    <s v="Amazon"/>
    <s v="Amazon"/>
    <x v="41"/>
    <d v="2024-01-01T00:00:00"/>
    <n v="6111.28"/>
    <n v="1469080"/>
    <s v="LY"/>
    <s v="Search-Amazon"/>
    <s v="Amazon"/>
  </r>
  <r>
    <s v="Biolage"/>
    <x v="4"/>
    <x v="1"/>
    <s v="Amazon"/>
    <s v="Amazon"/>
    <x v="41"/>
    <d v="2024-01-01T00:00:00"/>
    <n v="5290.145300000001"/>
    <n v="1448631"/>
    <s v="LY"/>
    <s v="Display-Amazon"/>
    <s v="Amazon"/>
  </r>
  <r>
    <s v="Biolage"/>
    <x v="4"/>
    <x v="2"/>
    <s v="Amazon"/>
    <s v="Amazon"/>
    <x v="41"/>
    <d v="2024-01-01T00:00:00"/>
    <n v="7098.7800000000007"/>
    <n v="2443805"/>
    <s v="LY"/>
    <s v="Search-Amazon"/>
    <s v="Amazon"/>
  </r>
  <r>
    <s v="Biolage"/>
    <x v="5"/>
    <x v="1"/>
    <s v="Amazon"/>
    <s v="Amazon"/>
    <x v="41"/>
    <d v="2024-01-01T00:00:00"/>
    <n v="3915.5297999999993"/>
    <n v="1064546"/>
    <s v="LY"/>
    <s v="Display-Amazon"/>
    <s v="Amazon"/>
  </r>
  <r>
    <s v="Biolage"/>
    <x v="5"/>
    <x v="2"/>
    <s v="Amazon"/>
    <s v="Amazon"/>
    <x v="41"/>
    <d v="2024-01-01T00:00:00"/>
    <n v="3106.690000000001"/>
    <n v="588058"/>
    <s v="LY"/>
    <s v="Search-Amazon"/>
    <s v="Amazon"/>
  </r>
  <r>
    <s v="Biolage"/>
    <x v="8"/>
    <x v="1"/>
    <s v="Amazon"/>
    <s v="Amazon"/>
    <x v="41"/>
    <d v="2024-01-01T00:00:00"/>
    <n v="5856.3028999999988"/>
    <n v="1512999"/>
    <s v="LY"/>
    <s v="Display-Amazon"/>
    <s v="Amazon"/>
  </r>
  <r>
    <s v="Biolage"/>
    <x v="8"/>
    <x v="2"/>
    <s v="Amazon"/>
    <s v="Amazon"/>
    <x v="41"/>
    <d v="2024-01-01T00:00:00"/>
    <n v="4823.760000000002"/>
    <n v="1077695"/>
    <s v="LY"/>
    <s v="Search-Amazon"/>
    <s v="Amazon"/>
  </r>
  <r>
    <s v="Biolage"/>
    <x v="6"/>
    <x v="2"/>
    <s v="Amazon"/>
    <s v="Amazon"/>
    <x v="41"/>
    <d v="2024-01-01T00:00:00"/>
    <n v="0.37"/>
    <n v="2051"/>
    <s v="LY"/>
    <s v="Search-Amazon"/>
    <s v="Amazon"/>
  </r>
  <r>
    <s v="Biolage"/>
    <x v="10"/>
    <x v="2"/>
    <s v="Google"/>
    <s v="Biolage"/>
    <x v="41"/>
    <d v="2024-01-01T00:00:00"/>
    <n v="81.94"/>
    <n v="358"/>
    <s v="LY"/>
    <s v="Search-Google"/>
    <s v="Search"/>
  </r>
  <r>
    <s v="Biolage"/>
    <x v="9"/>
    <x v="2"/>
    <s v="Google"/>
    <s v="Biolage"/>
    <x v="41"/>
    <d v="2024-01-01T00:00:00"/>
    <n v="32.639999999999993"/>
    <n v="168"/>
    <s v="LY"/>
    <s v="Search-Google"/>
    <s v="Search"/>
  </r>
  <r>
    <s v="Biolage"/>
    <x v="0"/>
    <x v="2"/>
    <s v="Google"/>
    <s v="Biolage"/>
    <x v="41"/>
    <d v="2024-01-01T00:00:00"/>
    <n v="8947.6126199999981"/>
    <n v="35254"/>
    <s v="LY"/>
    <s v="Search-Google"/>
    <s v="Search"/>
  </r>
  <r>
    <s v="Biolage"/>
    <x v="2"/>
    <x v="2"/>
    <s v="Google"/>
    <s v="Biolage"/>
    <x v="41"/>
    <d v="2024-01-01T00:00:00"/>
    <n v="105.71000000000001"/>
    <n v="942"/>
    <s v="LY"/>
    <s v="Search-Google"/>
    <s v="Search"/>
  </r>
  <r>
    <s v="Biolage"/>
    <x v="11"/>
    <x v="2"/>
    <s v="Google"/>
    <s v="Biolage"/>
    <x v="41"/>
    <d v="2024-01-01T00:00:00"/>
    <n v="244.45272600000001"/>
    <n v="590"/>
    <s v="LY"/>
    <s v="Search-Google"/>
    <s v="Search"/>
  </r>
  <r>
    <s v="Biolage"/>
    <x v="1"/>
    <x v="2"/>
    <s v="Google"/>
    <s v="Biolage"/>
    <x v="41"/>
    <d v="2024-01-01T00:00:00"/>
    <n v="245.91000000000003"/>
    <n v="1765"/>
    <s v="LY"/>
    <s v="Search-Google"/>
    <s v="Search"/>
  </r>
  <r>
    <s v="Biolage"/>
    <x v="5"/>
    <x v="2"/>
    <s v="Google"/>
    <s v="Biolage"/>
    <x v="41"/>
    <d v="2024-01-01T00:00:00"/>
    <n v="315.5"/>
    <n v="2218"/>
    <s v="LY"/>
    <s v="Search-Google"/>
    <s v="Search"/>
  </r>
  <r>
    <s v="Biolage"/>
    <x v="8"/>
    <x v="2"/>
    <s v="Google"/>
    <s v="Biolage"/>
    <x v="41"/>
    <d v="2024-01-01T00:00:00"/>
    <n v="87.269999999999982"/>
    <n v="424"/>
    <s v="LY"/>
    <s v="Search-Google"/>
    <s v="Search"/>
  </r>
  <r>
    <s v="Biolage"/>
    <x v="3"/>
    <x v="2"/>
    <s v="Google"/>
    <s v="Biolage"/>
    <x v="41"/>
    <d v="2024-01-01T00:00:00"/>
    <n v="73.387280000000004"/>
    <n v="423"/>
    <s v="LY"/>
    <s v="Search-Google"/>
    <s v="Search"/>
  </r>
  <r>
    <s v="Biolage"/>
    <x v="4"/>
    <x v="2"/>
    <s v="Google"/>
    <s v="Biolage"/>
    <x v="41"/>
    <d v="2024-01-01T00:00:00"/>
    <n v="104.4"/>
    <n v="792"/>
    <s v="LY"/>
    <s v="Search-Google"/>
    <s v="Search"/>
  </r>
  <r>
    <s v="Biolage"/>
    <x v="5"/>
    <x v="0"/>
    <s v="Meta"/>
    <s v="Amazon"/>
    <x v="42"/>
    <d v="2024-01-01T00:00:00"/>
    <n v="17913.090012000004"/>
    <n v="3972312"/>
    <s v="LY"/>
    <s v="Social-Meta"/>
    <s v="Meta"/>
  </r>
  <r>
    <s v="Biolage"/>
    <x v="5"/>
    <x v="0"/>
    <s v="Meta"/>
    <s v="Ulta"/>
    <x v="42"/>
    <d v="2024-01-01T00:00:00"/>
    <n v="15511.380012"/>
    <n v="2925705"/>
    <s v="LY"/>
    <s v="Social-Meta"/>
    <s v="Ulta"/>
  </r>
  <r>
    <s v="Biolage"/>
    <x v="5"/>
    <x v="0"/>
    <s v="Pinterest"/>
    <s v="Other"/>
    <x v="42"/>
    <d v="2024-01-01T00:00:00"/>
    <n v="19509.264289999999"/>
    <n v="8656464"/>
    <s v="LY"/>
    <s v="Social-Pinterest"/>
    <s v="Pinterest"/>
  </r>
  <r>
    <s v="Biolage"/>
    <x v="1"/>
    <x v="1"/>
    <s v="Amazon"/>
    <s v="Amazon"/>
    <x v="42"/>
    <d v="2024-01-01T00:00:00"/>
    <n v="6220.5291999999981"/>
    <n v="1183868"/>
    <s v="LY"/>
    <s v="Display-Amazon"/>
    <s v="Amazon"/>
  </r>
  <r>
    <s v="Biolage"/>
    <x v="1"/>
    <x v="2"/>
    <s v="Amazon"/>
    <s v="Amazon"/>
    <x v="42"/>
    <d v="2024-01-01T00:00:00"/>
    <n v="7298.38"/>
    <n v="1888143"/>
    <s v="LY"/>
    <s v="Search-Amazon"/>
    <s v="Amazon"/>
  </r>
  <r>
    <s v="Biolage"/>
    <x v="0"/>
    <x v="1"/>
    <s v="Amazon"/>
    <s v="Amazon"/>
    <x v="42"/>
    <d v="2024-01-01T00:00:00"/>
    <n v="1614.7319999999997"/>
    <n v="122785"/>
    <s v="LY"/>
    <s v="Display-Amazon"/>
    <s v="Amazon"/>
  </r>
  <r>
    <s v="Biolage"/>
    <x v="0"/>
    <x v="2"/>
    <s v="Amazon"/>
    <s v="Amazon"/>
    <x v="42"/>
    <d v="2024-01-01T00:00:00"/>
    <n v="7549.5599999999995"/>
    <n v="1476595"/>
    <s v="LY"/>
    <s v="Search-Amazon"/>
    <s v="Amazon"/>
  </r>
  <r>
    <s v="Biolage"/>
    <x v="2"/>
    <x v="1"/>
    <s v="Amazon"/>
    <s v="Amazon"/>
    <x v="42"/>
    <d v="2024-01-01T00:00:00"/>
    <n v="7775.753999999999"/>
    <n v="1339507"/>
    <s v="LY"/>
    <s v="Display-Amazon"/>
    <s v="Amazon"/>
  </r>
  <r>
    <s v="Biolage"/>
    <x v="2"/>
    <x v="2"/>
    <s v="Amazon"/>
    <s v="Amazon"/>
    <x v="42"/>
    <d v="2024-01-01T00:00:00"/>
    <n v="10692.359999999999"/>
    <n v="2777882"/>
    <s v="LY"/>
    <s v="Search-Amazon"/>
    <s v="Amazon"/>
  </r>
  <r>
    <s v="Biolage"/>
    <x v="3"/>
    <x v="1"/>
    <s v="Amazon"/>
    <s v="Amazon"/>
    <x v="42"/>
    <d v="2024-01-01T00:00:00"/>
    <n v="5046.263899999999"/>
    <n v="722557"/>
    <s v="LY"/>
    <s v="Display-Amazon"/>
    <s v="Amazon"/>
  </r>
  <r>
    <s v="Biolage"/>
    <x v="3"/>
    <x v="2"/>
    <s v="Amazon"/>
    <s v="Amazon"/>
    <x v="42"/>
    <d v="2024-01-01T00:00:00"/>
    <n v="11089.740000000005"/>
    <n v="2991511"/>
    <s v="LY"/>
    <s v="Search-Amazon"/>
    <s v="Amazon"/>
  </r>
  <r>
    <s v="Biolage"/>
    <x v="4"/>
    <x v="1"/>
    <s v="Amazon"/>
    <s v="Amazon"/>
    <x v="42"/>
    <d v="2024-01-01T00:00:00"/>
    <n v="3743.4843999999989"/>
    <n v="888574"/>
    <s v="LY"/>
    <s v="Display-Amazon"/>
    <s v="Amazon"/>
  </r>
  <r>
    <s v="Biolage"/>
    <x v="4"/>
    <x v="2"/>
    <s v="Amazon"/>
    <s v="Amazon"/>
    <x v="42"/>
    <d v="2024-01-01T00:00:00"/>
    <n v="8467.2599999999984"/>
    <n v="2409767"/>
    <s v="LY"/>
    <s v="Search-Amazon"/>
    <s v="Amazon"/>
  </r>
  <r>
    <s v="Biolage"/>
    <x v="5"/>
    <x v="1"/>
    <s v="Amazon"/>
    <s v="Amazon"/>
    <x v="42"/>
    <d v="2024-01-01T00:00:00"/>
    <n v="3423.4799999999991"/>
    <n v="1003431"/>
    <s v="LY"/>
    <s v="Display-Amazon"/>
    <s v="Amazon"/>
  </r>
  <r>
    <s v="Biolage"/>
    <x v="5"/>
    <x v="2"/>
    <s v="Amazon"/>
    <s v="Amazon"/>
    <x v="42"/>
    <d v="2024-01-01T00:00:00"/>
    <n v="4104.7600000000011"/>
    <n v="666701"/>
    <s v="LY"/>
    <s v="Search-Amazon"/>
    <s v="Amazon"/>
  </r>
  <r>
    <s v="Biolage"/>
    <x v="8"/>
    <x v="1"/>
    <s v="Amazon"/>
    <s v="Amazon"/>
    <x v="42"/>
    <d v="2024-01-01T00:00:00"/>
    <n v="2361.0650000000001"/>
    <n v="695775"/>
    <s v="LY"/>
    <s v="Display-Amazon"/>
    <s v="Amazon"/>
  </r>
  <r>
    <s v="Biolage"/>
    <x v="8"/>
    <x v="2"/>
    <s v="Amazon"/>
    <s v="Amazon"/>
    <x v="42"/>
    <d v="2024-01-01T00:00:00"/>
    <n v="4359.4999999999991"/>
    <n v="1978229"/>
    <s v="LY"/>
    <s v="Search-Amazon"/>
    <s v="Amazon"/>
  </r>
  <r>
    <s v="Biolage"/>
    <x v="10"/>
    <x v="2"/>
    <s v="Google"/>
    <s v="Biolage"/>
    <x v="42"/>
    <d v="2024-01-01T00:00:00"/>
    <n v="86.32"/>
    <n v="374"/>
    <s v="LY"/>
    <s v="Search-Google"/>
    <s v="Search"/>
  </r>
  <r>
    <s v="Biolage"/>
    <x v="9"/>
    <x v="2"/>
    <s v="Google"/>
    <s v="Biolage"/>
    <x v="42"/>
    <d v="2024-01-01T00:00:00"/>
    <n v="37.520000000000003"/>
    <n v="220"/>
    <s v="LY"/>
    <s v="Search-Google"/>
    <s v="Search"/>
  </r>
  <r>
    <s v="Biolage"/>
    <x v="0"/>
    <x v="2"/>
    <s v="Google"/>
    <s v="Biolage"/>
    <x v="42"/>
    <d v="2024-01-01T00:00:00"/>
    <n v="8529.7832739999994"/>
    <n v="34096"/>
    <s v="LY"/>
    <s v="Search-Google"/>
    <s v="Search"/>
  </r>
  <r>
    <s v="Biolage"/>
    <x v="2"/>
    <x v="2"/>
    <s v="Google"/>
    <s v="Biolage"/>
    <x v="42"/>
    <d v="2024-01-01T00:00:00"/>
    <n v="116.16"/>
    <n v="813"/>
    <s v="LY"/>
    <s v="Search-Google"/>
    <s v="Search"/>
  </r>
  <r>
    <s v="Biolage"/>
    <x v="11"/>
    <x v="2"/>
    <s v="Google"/>
    <s v="Biolage"/>
    <x v="42"/>
    <d v="2024-01-01T00:00:00"/>
    <n v="178.73999999999998"/>
    <n v="412"/>
    <s v="LY"/>
    <s v="Search-Google"/>
    <s v="Search"/>
  </r>
  <r>
    <s v="Biolage"/>
    <x v="1"/>
    <x v="2"/>
    <s v="Google"/>
    <s v="Biolage"/>
    <x v="42"/>
    <d v="2024-01-01T00:00:00"/>
    <n v="251.88"/>
    <n v="1907"/>
    <s v="LY"/>
    <s v="Search-Google"/>
    <s v="Search"/>
  </r>
  <r>
    <s v="Biolage"/>
    <x v="5"/>
    <x v="2"/>
    <s v="Google"/>
    <s v="Biolage"/>
    <x v="42"/>
    <d v="2024-01-01T00:00:00"/>
    <n v="370.21399999999994"/>
    <n v="2324"/>
    <s v="LY"/>
    <s v="Search-Google"/>
    <s v="Search"/>
  </r>
  <r>
    <s v="Biolage"/>
    <x v="8"/>
    <x v="2"/>
    <s v="Google"/>
    <s v="Biolage"/>
    <x v="42"/>
    <d v="2024-01-01T00:00:00"/>
    <n v="97.210000000000008"/>
    <n v="456"/>
    <s v="LY"/>
    <s v="Search-Google"/>
    <s v="Search"/>
  </r>
  <r>
    <s v="Biolage"/>
    <x v="3"/>
    <x v="2"/>
    <s v="Google"/>
    <s v="Biolage"/>
    <x v="42"/>
    <d v="2024-01-01T00:00:00"/>
    <n v="81.69"/>
    <n v="463"/>
    <s v="LY"/>
    <s v="Search-Google"/>
    <s v="Search"/>
  </r>
  <r>
    <s v="Biolage"/>
    <x v="6"/>
    <x v="2"/>
    <s v="Google"/>
    <s v="Biolage"/>
    <x v="42"/>
    <d v="2024-01-01T00:00:00"/>
    <n v="23.529999999999998"/>
    <n v="106"/>
    <s v="LY"/>
    <s v="Search-Google"/>
    <s v="Search"/>
  </r>
  <r>
    <s v="Biolage"/>
    <x v="4"/>
    <x v="2"/>
    <s v="Google"/>
    <s v="Biolage"/>
    <x v="42"/>
    <d v="2024-01-01T00:00:00"/>
    <n v="134.74"/>
    <n v="821"/>
    <s v="LY"/>
    <s v="Search-Google"/>
    <s v="Search"/>
  </r>
  <r>
    <s v="Biolage"/>
    <x v="5"/>
    <x v="0"/>
    <s v="Meta"/>
    <s v="Amazon"/>
    <x v="43"/>
    <d v="2024-01-01T00:00:00"/>
    <n v="2570.5500000000002"/>
    <n v="550616"/>
    <s v="LY"/>
    <s v="Social-Meta"/>
    <s v="Meta"/>
  </r>
  <r>
    <s v="Biolage"/>
    <x v="5"/>
    <x v="0"/>
    <s v="Meta"/>
    <s v="Ulta"/>
    <x v="43"/>
    <d v="2024-01-01T00:00:00"/>
    <n v="2306.7300070000001"/>
    <n v="437071"/>
    <s v="LY"/>
    <s v="Social-Meta"/>
    <s v="Ulta"/>
  </r>
  <r>
    <s v="Biolage"/>
    <x v="5"/>
    <x v="0"/>
    <s v="Pinterest"/>
    <s v="Other"/>
    <x v="43"/>
    <d v="2024-01-01T00:00:00"/>
    <n v="23529.212711000004"/>
    <n v="11006321"/>
    <s v="LY"/>
    <s v="Social-Pinterest"/>
    <s v="Pinterest"/>
  </r>
  <r>
    <s v="Biolage"/>
    <x v="5"/>
    <x v="0"/>
    <s v="Pinterest"/>
    <s v="Ulta"/>
    <x v="43"/>
    <d v="2024-01-01T00:00:00"/>
    <n v="10352.390868999999"/>
    <n v="2418419"/>
    <s v="LY"/>
    <s v="Social-Pinterest"/>
    <s v="Ulta"/>
  </r>
  <r>
    <s v="Biolage"/>
    <x v="1"/>
    <x v="1"/>
    <s v="Amazon"/>
    <s v="Amazon"/>
    <x v="43"/>
    <d v="2024-01-01T00:00:00"/>
    <n v="6285.893500000001"/>
    <n v="1091420"/>
    <s v="LY"/>
    <s v="Display-Amazon"/>
    <s v="Amazon"/>
  </r>
  <r>
    <s v="Biolage"/>
    <x v="1"/>
    <x v="2"/>
    <s v="Amazon"/>
    <s v="Amazon"/>
    <x v="43"/>
    <d v="2024-01-01T00:00:00"/>
    <n v="8214.7800000000007"/>
    <n v="1822879"/>
    <s v="LY"/>
    <s v="Search-Amazon"/>
    <s v="Amazon"/>
  </r>
  <r>
    <s v="Biolage"/>
    <x v="0"/>
    <x v="1"/>
    <s v="Amazon"/>
    <s v="Amazon"/>
    <x v="43"/>
    <d v="2024-01-01T00:00:00"/>
    <n v="1567.2702999999999"/>
    <n v="121985"/>
    <s v="LY"/>
    <s v="Display-Amazon"/>
    <s v="Amazon"/>
  </r>
  <r>
    <s v="Biolage"/>
    <x v="0"/>
    <x v="2"/>
    <s v="Amazon"/>
    <s v="Amazon"/>
    <x v="43"/>
    <d v="2024-01-01T00:00:00"/>
    <n v="8397.2800000000007"/>
    <n v="1732118"/>
    <s v="LY"/>
    <s v="Search-Amazon"/>
    <s v="Amazon"/>
  </r>
  <r>
    <s v="Biolage"/>
    <x v="2"/>
    <x v="1"/>
    <s v="Amazon"/>
    <s v="Amazon"/>
    <x v="43"/>
    <d v="2024-01-01T00:00:00"/>
    <n v="7911.2648999999992"/>
    <n v="1155660"/>
    <s v="LY"/>
    <s v="Display-Amazon"/>
    <s v="Amazon"/>
  </r>
  <r>
    <s v="Biolage"/>
    <x v="2"/>
    <x v="2"/>
    <s v="Amazon"/>
    <s v="Amazon"/>
    <x v="43"/>
    <d v="2024-01-01T00:00:00"/>
    <n v="9686.8300000000017"/>
    <n v="2330395"/>
    <s v="LY"/>
    <s v="Search-Amazon"/>
    <s v="Amazon"/>
  </r>
  <r>
    <s v="Biolage"/>
    <x v="3"/>
    <x v="1"/>
    <s v="Amazon"/>
    <s v="Amazon"/>
    <x v="43"/>
    <d v="2024-01-01T00:00:00"/>
    <n v="4555.7056999999986"/>
    <n v="649587"/>
    <s v="LY"/>
    <s v="Display-Amazon"/>
    <s v="Amazon"/>
  </r>
  <r>
    <s v="Biolage"/>
    <x v="3"/>
    <x v="2"/>
    <s v="Amazon"/>
    <s v="Amazon"/>
    <x v="43"/>
    <d v="2024-01-01T00:00:00"/>
    <n v="9661.4299999999985"/>
    <n v="2144664"/>
    <s v="LY"/>
    <s v="Search-Amazon"/>
    <s v="Amazon"/>
  </r>
  <r>
    <s v="Biolage"/>
    <x v="4"/>
    <x v="1"/>
    <s v="Amazon"/>
    <s v="Amazon"/>
    <x v="43"/>
    <d v="2024-01-01T00:00:00"/>
    <n v="3132.7918000000009"/>
    <n v="703411"/>
    <s v="LY"/>
    <s v="Display-Amazon"/>
    <s v="Amazon"/>
  </r>
  <r>
    <s v="Biolage"/>
    <x v="4"/>
    <x v="2"/>
    <s v="Amazon"/>
    <s v="Amazon"/>
    <x v="43"/>
    <d v="2024-01-01T00:00:00"/>
    <n v="4568.1800000000012"/>
    <n v="1363715"/>
    <s v="LY"/>
    <s v="Search-Amazon"/>
    <s v="Amazon"/>
  </r>
  <r>
    <s v="Biolage"/>
    <x v="5"/>
    <x v="1"/>
    <s v="Amazon"/>
    <s v="Amazon"/>
    <x v="43"/>
    <d v="2024-01-01T00:00:00"/>
    <n v="3318.5928000000013"/>
    <n v="831262"/>
    <s v="LY"/>
    <s v="Display-Amazon"/>
    <s v="Amazon"/>
  </r>
  <r>
    <s v="Biolage"/>
    <x v="5"/>
    <x v="2"/>
    <s v="Amazon"/>
    <s v="Amazon"/>
    <x v="43"/>
    <d v="2024-01-01T00:00:00"/>
    <n v="4492.22"/>
    <n v="845776"/>
    <s v="LY"/>
    <s v="Search-Amazon"/>
    <s v="Amazon"/>
  </r>
  <r>
    <s v="Biolage"/>
    <x v="8"/>
    <x v="1"/>
    <s v="Amazon"/>
    <s v="Amazon"/>
    <x v="43"/>
    <d v="2024-01-01T00:00:00"/>
    <n v="1117.6423999999995"/>
    <n v="243966"/>
    <s v="LY"/>
    <s v="Display-Amazon"/>
    <s v="Amazon"/>
  </r>
  <r>
    <s v="Biolage"/>
    <x v="8"/>
    <x v="2"/>
    <s v="Amazon"/>
    <s v="Amazon"/>
    <x v="43"/>
    <d v="2024-01-01T00:00:00"/>
    <n v="3387.7199999999993"/>
    <n v="1075832"/>
    <s v="LY"/>
    <s v="Search-Amazon"/>
    <s v="Amazon"/>
  </r>
  <r>
    <s v="Biolage"/>
    <x v="10"/>
    <x v="2"/>
    <s v="Google"/>
    <s v="Biolage"/>
    <x v="43"/>
    <d v="2024-01-01T00:00:00"/>
    <n v="81.53"/>
    <n v="451"/>
    <s v="LY"/>
    <s v="Search-Google"/>
    <s v="Search"/>
  </r>
  <r>
    <s v="Biolage"/>
    <x v="9"/>
    <x v="2"/>
    <s v="Google"/>
    <s v="Biolage"/>
    <x v="43"/>
    <d v="2024-01-01T00:00:00"/>
    <n v="37.949999999999996"/>
    <n v="231"/>
    <s v="LY"/>
    <s v="Search-Google"/>
    <s v="Search"/>
  </r>
  <r>
    <s v="Biolage"/>
    <x v="0"/>
    <x v="2"/>
    <s v="Google"/>
    <s v="Biolage"/>
    <x v="43"/>
    <d v="2024-01-01T00:00:00"/>
    <n v="8844.1343230000002"/>
    <n v="34039"/>
    <s v="LY"/>
    <s v="Search-Google"/>
    <s v="Search"/>
  </r>
  <r>
    <s v="Biolage"/>
    <x v="2"/>
    <x v="2"/>
    <s v="Google"/>
    <s v="Biolage"/>
    <x v="43"/>
    <d v="2024-01-01T00:00:00"/>
    <n v="113.38999999999999"/>
    <n v="939"/>
    <s v="LY"/>
    <s v="Search-Google"/>
    <s v="Search"/>
  </r>
  <r>
    <s v="Biolage"/>
    <x v="11"/>
    <x v="2"/>
    <s v="Google"/>
    <s v="Biolage"/>
    <x v="43"/>
    <d v="2024-01-01T00:00:00"/>
    <n v="212.01000000000002"/>
    <n v="454"/>
    <s v="LY"/>
    <s v="Search-Google"/>
    <s v="Search"/>
  </r>
  <r>
    <s v="Biolage"/>
    <x v="1"/>
    <x v="2"/>
    <s v="Google"/>
    <s v="Biolage"/>
    <x v="43"/>
    <d v="2024-01-01T00:00:00"/>
    <n v="318.74319200000002"/>
    <n v="2095"/>
    <s v="LY"/>
    <s v="Search-Google"/>
    <s v="Search"/>
  </r>
  <r>
    <s v="Biolage"/>
    <x v="5"/>
    <x v="2"/>
    <s v="Google"/>
    <s v="Biolage"/>
    <x v="43"/>
    <d v="2024-01-01T00:00:00"/>
    <n v="318.80999999999995"/>
    <n v="2130"/>
    <s v="LY"/>
    <s v="Search-Google"/>
    <s v="Search"/>
  </r>
  <r>
    <s v="Biolage"/>
    <x v="8"/>
    <x v="2"/>
    <s v="Google"/>
    <s v="Biolage"/>
    <x v="43"/>
    <d v="2024-01-01T00:00:00"/>
    <n v="84.59"/>
    <n v="495"/>
    <s v="LY"/>
    <s v="Search-Google"/>
    <s v="Search"/>
  </r>
  <r>
    <s v="Biolage"/>
    <x v="3"/>
    <x v="2"/>
    <s v="Google"/>
    <s v="Biolage"/>
    <x v="43"/>
    <d v="2024-01-01T00:00:00"/>
    <n v="105.263735"/>
    <n v="648"/>
    <s v="LY"/>
    <s v="Search-Google"/>
    <s v="Search"/>
  </r>
  <r>
    <s v="Biolage"/>
    <x v="6"/>
    <x v="2"/>
    <s v="Google"/>
    <s v="Biolage"/>
    <x v="43"/>
    <d v="2024-01-01T00:00:00"/>
    <n v="95.839999999999989"/>
    <n v="505"/>
    <s v="LY"/>
    <s v="Search-Google"/>
    <s v="Search"/>
  </r>
  <r>
    <s v="Biolage"/>
    <x v="4"/>
    <x v="2"/>
    <s v="Google"/>
    <s v="Biolage"/>
    <x v="43"/>
    <d v="2024-01-01T00:00:00"/>
    <n v="128.12"/>
    <n v="866"/>
    <s v="LY"/>
    <s v="Search-Google"/>
    <s v="Search"/>
  </r>
  <r>
    <s v="Biolage"/>
    <x v="5"/>
    <x v="0"/>
    <s v="Pinterest"/>
    <s v="Other"/>
    <x v="44"/>
    <d v="2024-01-01T00:00:00"/>
    <n v="23511.768031000003"/>
    <n v="11031123"/>
    <s v="LY"/>
    <s v="Social-Pinterest"/>
    <s v="Pinterest"/>
  </r>
  <r>
    <s v="Biolage"/>
    <x v="5"/>
    <x v="0"/>
    <s v="Pinterest"/>
    <s v="Ulta"/>
    <x v="44"/>
    <d v="2024-01-01T00:00:00"/>
    <n v="12210.272929000001"/>
    <n v="3325508"/>
    <s v="LY"/>
    <s v="Social-Pinterest"/>
    <s v="Ulta"/>
  </r>
  <r>
    <s v="Biolage"/>
    <x v="1"/>
    <x v="1"/>
    <s v="Amazon"/>
    <s v="Amazon"/>
    <x v="44"/>
    <d v="2024-01-01T00:00:00"/>
    <n v="6275.0828999999976"/>
    <n v="1528211"/>
    <s v="LY"/>
    <s v="Display-Amazon"/>
    <s v="Amazon"/>
  </r>
  <r>
    <s v="Biolage"/>
    <x v="1"/>
    <x v="2"/>
    <s v="Amazon"/>
    <s v="Amazon"/>
    <x v="44"/>
    <d v="2024-01-01T00:00:00"/>
    <n v="11866.780000000004"/>
    <n v="2194202"/>
    <s v="LY"/>
    <s v="Search-Amazon"/>
    <s v="Amazon"/>
  </r>
  <r>
    <s v="Biolage"/>
    <x v="0"/>
    <x v="1"/>
    <s v="Amazon"/>
    <s v="Amazon"/>
    <x v="44"/>
    <d v="2024-01-01T00:00:00"/>
    <n v="1731.2059999999999"/>
    <n v="176964"/>
    <s v="LY"/>
    <s v="Display-Amazon"/>
    <s v="Amazon"/>
  </r>
  <r>
    <s v="Biolage"/>
    <x v="0"/>
    <x v="2"/>
    <s v="Amazon"/>
    <s v="Amazon"/>
    <x v="44"/>
    <d v="2024-01-01T00:00:00"/>
    <n v="9702.5100000000039"/>
    <n v="1948963"/>
    <s v="LY"/>
    <s v="Search-Amazon"/>
    <s v="Amazon"/>
  </r>
  <r>
    <s v="Biolage"/>
    <x v="2"/>
    <x v="1"/>
    <s v="Amazon"/>
    <s v="Amazon"/>
    <x v="44"/>
    <d v="2024-01-01T00:00:00"/>
    <n v="6958.256000000004"/>
    <n v="1026928"/>
    <s v="LY"/>
    <s v="Display-Amazon"/>
    <s v="Amazon"/>
  </r>
  <r>
    <s v="Biolage"/>
    <x v="2"/>
    <x v="2"/>
    <s v="Amazon"/>
    <s v="Amazon"/>
    <x v="44"/>
    <d v="2024-01-01T00:00:00"/>
    <n v="10958.749999999998"/>
    <n v="3121063"/>
    <s v="LY"/>
    <s v="Search-Amazon"/>
    <s v="Amazon"/>
  </r>
  <r>
    <s v="Biolage"/>
    <x v="3"/>
    <x v="1"/>
    <s v="Amazon"/>
    <s v="Amazon"/>
    <x v="44"/>
    <d v="2024-01-01T00:00:00"/>
    <n v="4971.2066000000004"/>
    <n v="756164"/>
    <s v="LY"/>
    <s v="Display-Amazon"/>
    <s v="Amazon"/>
  </r>
  <r>
    <s v="Biolage"/>
    <x v="3"/>
    <x v="2"/>
    <s v="Amazon"/>
    <s v="Amazon"/>
    <x v="44"/>
    <d v="2024-01-01T00:00:00"/>
    <n v="11751.45"/>
    <n v="2923735"/>
    <s v="LY"/>
    <s v="Search-Amazon"/>
    <s v="Amazon"/>
  </r>
  <r>
    <s v="Biolage"/>
    <x v="4"/>
    <x v="1"/>
    <s v="Amazon"/>
    <s v="Amazon"/>
    <x v="44"/>
    <d v="2024-01-01T00:00:00"/>
    <n v="3488.1769999999992"/>
    <n v="1137741"/>
    <s v="LY"/>
    <s v="Display-Amazon"/>
    <s v="Amazon"/>
  </r>
  <r>
    <s v="Biolage"/>
    <x v="4"/>
    <x v="2"/>
    <s v="Amazon"/>
    <s v="Amazon"/>
    <x v="44"/>
    <d v="2024-01-01T00:00:00"/>
    <n v="3854.3899999999994"/>
    <n v="1361116"/>
    <s v="LY"/>
    <s v="Search-Amazon"/>
    <s v="Amazon"/>
  </r>
  <r>
    <s v="Biolage"/>
    <x v="5"/>
    <x v="1"/>
    <s v="Amazon"/>
    <s v="Amazon"/>
    <x v="44"/>
    <d v="2024-01-01T00:00:00"/>
    <n v="4378.7928999999995"/>
    <n v="1371739"/>
    <s v="LY"/>
    <s v="Display-Amazon"/>
    <s v="Amazon"/>
  </r>
  <r>
    <s v="Biolage"/>
    <x v="5"/>
    <x v="2"/>
    <s v="Amazon"/>
    <s v="Amazon"/>
    <x v="44"/>
    <d v="2024-01-01T00:00:00"/>
    <n v="5087.5300000000034"/>
    <n v="974305"/>
    <s v="LY"/>
    <s v="Search-Amazon"/>
    <s v="Amazon"/>
  </r>
  <r>
    <s v="Biolage"/>
    <x v="8"/>
    <x v="1"/>
    <s v="Amazon"/>
    <s v="Amazon"/>
    <x v="44"/>
    <d v="2024-01-01T00:00:00"/>
    <n v="2014.6624000000002"/>
    <n v="638522"/>
    <s v="LY"/>
    <s v="Display-Amazon"/>
    <s v="Amazon"/>
  </r>
  <r>
    <s v="Biolage"/>
    <x v="8"/>
    <x v="2"/>
    <s v="Amazon"/>
    <s v="Amazon"/>
    <x v="44"/>
    <d v="2024-01-01T00:00:00"/>
    <n v="2160.1899999999996"/>
    <n v="827872"/>
    <s v="LY"/>
    <s v="Search-Amazon"/>
    <s v="Amazon"/>
  </r>
  <r>
    <s v="Biolage"/>
    <x v="6"/>
    <x v="2"/>
    <s v="Amazon"/>
    <s v="Amazon"/>
    <x v="44"/>
    <d v="2024-01-01T00:00:00"/>
    <n v="0.74"/>
    <n v="438"/>
    <s v="LY"/>
    <s v="Search-Amazon"/>
    <s v="Amazon"/>
  </r>
  <r>
    <s v="Biolage"/>
    <x v="10"/>
    <x v="2"/>
    <s v="Google"/>
    <s v="Biolage"/>
    <x v="44"/>
    <d v="2024-01-01T00:00:00"/>
    <n v="72.64"/>
    <n v="336"/>
    <s v="LY"/>
    <s v="Search-Google"/>
    <s v="Search"/>
  </r>
  <r>
    <s v="Biolage"/>
    <x v="9"/>
    <x v="2"/>
    <s v="Google"/>
    <s v="Biolage"/>
    <x v="44"/>
    <d v="2024-01-01T00:00:00"/>
    <n v="38.14"/>
    <n v="226"/>
    <s v="LY"/>
    <s v="Search-Google"/>
    <s v="Search"/>
  </r>
  <r>
    <s v="Biolage"/>
    <x v="0"/>
    <x v="2"/>
    <s v="Google"/>
    <s v="Biolage"/>
    <x v="44"/>
    <d v="2024-01-01T00:00:00"/>
    <n v="7562.0014150000006"/>
    <n v="28414"/>
    <s v="LY"/>
    <s v="Search-Google"/>
    <s v="Search"/>
  </r>
  <r>
    <s v="Biolage"/>
    <x v="2"/>
    <x v="2"/>
    <s v="Google"/>
    <s v="Biolage"/>
    <x v="44"/>
    <d v="2024-01-01T00:00:00"/>
    <n v="117.46"/>
    <n v="918"/>
    <s v="LY"/>
    <s v="Search-Google"/>
    <s v="Search"/>
  </r>
  <r>
    <s v="Biolage"/>
    <x v="11"/>
    <x v="2"/>
    <s v="Google"/>
    <s v="Biolage"/>
    <x v="44"/>
    <d v="2024-01-01T00:00:00"/>
    <n v="209.54000000000002"/>
    <n v="501"/>
    <s v="LY"/>
    <s v="Search-Google"/>
    <s v="Search"/>
  </r>
  <r>
    <s v="Biolage"/>
    <x v="1"/>
    <x v="2"/>
    <s v="Google"/>
    <s v="Biolage"/>
    <x v="44"/>
    <d v="2024-01-01T00:00:00"/>
    <n v="264.5"/>
    <n v="2040"/>
    <s v="LY"/>
    <s v="Search-Google"/>
    <s v="Search"/>
  </r>
  <r>
    <s v="Biolage"/>
    <x v="5"/>
    <x v="2"/>
    <s v="Google"/>
    <s v="Biolage"/>
    <x v="44"/>
    <d v="2024-01-01T00:00:00"/>
    <n v="310.85999999999996"/>
    <n v="2084"/>
    <s v="LY"/>
    <s v="Search-Google"/>
    <s v="Search"/>
  </r>
  <r>
    <s v="Biolage"/>
    <x v="8"/>
    <x v="2"/>
    <s v="Google"/>
    <s v="Biolage"/>
    <x v="44"/>
    <d v="2024-01-01T00:00:00"/>
    <n v="99.023240999999999"/>
    <n v="522"/>
    <s v="LY"/>
    <s v="Search-Google"/>
    <s v="Search"/>
  </r>
  <r>
    <s v="Biolage"/>
    <x v="3"/>
    <x v="2"/>
    <s v="Google"/>
    <s v="Biolage"/>
    <x v="44"/>
    <d v="2024-01-01T00:00:00"/>
    <n v="74.699999999999989"/>
    <n v="607"/>
    <s v="LY"/>
    <s v="Search-Google"/>
    <s v="Search"/>
  </r>
  <r>
    <s v="Biolage"/>
    <x v="6"/>
    <x v="2"/>
    <s v="Google"/>
    <s v="Biolage"/>
    <x v="44"/>
    <d v="2024-01-01T00:00:00"/>
    <n v="82.169999999999987"/>
    <n v="622"/>
    <s v="LY"/>
    <s v="Search-Google"/>
    <s v="Search"/>
  </r>
  <r>
    <s v="Biolage"/>
    <x v="4"/>
    <x v="2"/>
    <s v="Google"/>
    <s v="Biolage"/>
    <x v="44"/>
    <d v="2024-01-01T00:00:00"/>
    <n v="132.98000000000002"/>
    <n v="881"/>
    <s v="LY"/>
    <s v="Search-Google"/>
    <s v="Search"/>
  </r>
  <r>
    <s v="Biolage"/>
    <x v="5"/>
    <x v="0"/>
    <s v="Pinterest"/>
    <s v="Other"/>
    <x v="45"/>
    <d v="2024-01-01T00:00:00"/>
    <n v="23547.020368999998"/>
    <n v="10549998"/>
    <s v="LY"/>
    <s v="Social-Pinterest"/>
    <s v="Pinterest"/>
  </r>
  <r>
    <s v="Biolage"/>
    <x v="5"/>
    <x v="0"/>
    <s v="Pinterest"/>
    <s v="Ulta"/>
    <x v="45"/>
    <d v="2024-01-01T00:00:00"/>
    <n v="11893.582205999999"/>
    <n v="3403755"/>
    <s v="LY"/>
    <s v="Social-Pinterest"/>
    <s v="Ulta"/>
  </r>
  <r>
    <s v="Biolage"/>
    <x v="1"/>
    <x v="1"/>
    <s v="Amazon"/>
    <s v="Amazon"/>
    <x v="45"/>
    <d v="2024-01-01T00:00:00"/>
    <n v="6432.1991000000007"/>
    <n v="1474459"/>
    <s v="LY"/>
    <s v="Display-Amazon"/>
    <s v="Amazon"/>
  </r>
  <r>
    <s v="Biolage"/>
    <x v="1"/>
    <x v="2"/>
    <s v="Amazon"/>
    <s v="Amazon"/>
    <x v="45"/>
    <d v="2024-01-01T00:00:00"/>
    <n v="5711.8300000000008"/>
    <n v="1207781"/>
    <s v="LY"/>
    <s v="Search-Amazon"/>
    <s v="Amazon"/>
  </r>
  <r>
    <s v="Biolage"/>
    <x v="0"/>
    <x v="1"/>
    <s v="Amazon"/>
    <s v="Amazon"/>
    <x v="45"/>
    <d v="2024-01-01T00:00:00"/>
    <n v="1775.6202000000003"/>
    <n v="117085"/>
    <s v="LY"/>
    <s v="Display-Amazon"/>
    <s v="Amazon"/>
  </r>
  <r>
    <s v="Biolage"/>
    <x v="0"/>
    <x v="2"/>
    <s v="Amazon"/>
    <s v="Amazon"/>
    <x v="45"/>
    <d v="2024-01-01T00:00:00"/>
    <n v="10371.069999999998"/>
    <n v="1936143"/>
    <s v="LY"/>
    <s v="Search-Amazon"/>
    <s v="Amazon"/>
  </r>
  <r>
    <s v="Biolage"/>
    <x v="2"/>
    <x v="1"/>
    <s v="Amazon"/>
    <s v="Amazon"/>
    <x v="45"/>
    <d v="2024-01-01T00:00:00"/>
    <n v="7437.2620000000052"/>
    <n v="1240242"/>
    <s v="LY"/>
    <s v="Display-Amazon"/>
    <s v="Amazon"/>
  </r>
  <r>
    <s v="Biolage"/>
    <x v="2"/>
    <x v="2"/>
    <s v="Amazon"/>
    <s v="Amazon"/>
    <x v="45"/>
    <d v="2024-01-01T00:00:00"/>
    <n v="12529.640000000003"/>
    <n v="3519964"/>
    <s v="LY"/>
    <s v="Search-Amazon"/>
    <s v="Amazon"/>
  </r>
  <r>
    <s v="Biolage"/>
    <x v="3"/>
    <x v="1"/>
    <s v="Amazon"/>
    <s v="Amazon"/>
    <x v="45"/>
    <d v="2024-01-01T00:00:00"/>
    <n v="5077.7660999999989"/>
    <n v="770550"/>
    <s v="LY"/>
    <s v="Display-Amazon"/>
    <s v="Amazon"/>
  </r>
  <r>
    <s v="Biolage"/>
    <x v="3"/>
    <x v="2"/>
    <s v="Amazon"/>
    <s v="Amazon"/>
    <x v="45"/>
    <d v="2024-01-01T00:00:00"/>
    <n v="14041.000000000005"/>
    <n v="2804773"/>
    <s v="LY"/>
    <s v="Search-Amazon"/>
    <s v="Amazon"/>
  </r>
  <r>
    <s v="Biolage"/>
    <x v="4"/>
    <x v="1"/>
    <s v="Amazon"/>
    <s v="Amazon"/>
    <x v="45"/>
    <d v="2024-01-01T00:00:00"/>
    <n v="5626.529300000002"/>
    <n v="1621307"/>
    <s v="LY"/>
    <s v="Display-Amazon"/>
    <s v="Amazon"/>
  </r>
  <r>
    <s v="Biolage"/>
    <x v="4"/>
    <x v="2"/>
    <s v="Amazon"/>
    <s v="Amazon"/>
    <x v="45"/>
    <d v="2024-01-01T00:00:00"/>
    <n v="4683.7299999999977"/>
    <n v="1522065"/>
    <s v="LY"/>
    <s v="Search-Amazon"/>
    <s v="Amazon"/>
  </r>
  <r>
    <s v="Biolage"/>
    <x v="5"/>
    <x v="1"/>
    <s v="Amazon"/>
    <s v="Amazon"/>
    <x v="45"/>
    <d v="2024-01-01T00:00:00"/>
    <n v="5121.5629999999974"/>
    <n v="1598545"/>
    <s v="LY"/>
    <s v="Display-Amazon"/>
    <s v="Amazon"/>
  </r>
  <r>
    <s v="Biolage"/>
    <x v="5"/>
    <x v="2"/>
    <s v="Amazon"/>
    <s v="Amazon"/>
    <x v="45"/>
    <d v="2024-01-01T00:00:00"/>
    <n v="6758.97"/>
    <n v="933182"/>
    <s v="LY"/>
    <s v="Search-Amazon"/>
    <s v="Amazon"/>
  </r>
  <r>
    <s v="Biolage"/>
    <x v="8"/>
    <x v="1"/>
    <s v="Amazon"/>
    <s v="Amazon"/>
    <x v="45"/>
    <d v="2024-01-01T00:00:00"/>
    <n v="3074.0080999999996"/>
    <n v="909045"/>
    <s v="LY"/>
    <s v="Display-Amazon"/>
    <s v="Amazon"/>
  </r>
  <r>
    <s v="Biolage"/>
    <x v="8"/>
    <x v="2"/>
    <s v="Amazon"/>
    <s v="Amazon"/>
    <x v="45"/>
    <d v="2024-01-01T00:00:00"/>
    <n v="2152.96"/>
    <n v="715702"/>
    <s v="LY"/>
    <s v="Search-Amazon"/>
    <s v="Amazon"/>
  </r>
  <r>
    <s v="Biolage"/>
    <x v="6"/>
    <x v="2"/>
    <s v="Amazon"/>
    <s v="Amazon"/>
    <x v="45"/>
    <d v="2024-01-01T00:00:00"/>
    <n v="1.1099999999999999"/>
    <n v="760"/>
    <s v="LY"/>
    <s v="Search-Amazon"/>
    <s v="Amazon"/>
  </r>
  <r>
    <s v="Biolage"/>
    <x v="10"/>
    <x v="2"/>
    <s v="Google"/>
    <s v="Biolage"/>
    <x v="45"/>
    <d v="2024-01-01T00:00:00"/>
    <n v="87.11"/>
    <n v="373"/>
    <s v="LY"/>
    <s v="Search-Google"/>
    <s v="Search"/>
  </r>
  <r>
    <s v="Biolage"/>
    <x v="9"/>
    <x v="2"/>
    <s v="Google"/>
    <s v="Biolage"/>
    <x v="45"/>
    <d v="2024-01-01T00:00:00"/>
    <n v="47.24"/>
    <n v="217"/>
    <s v="LY"/>
    <s v="Search-Google"/>
    <s v="Search"/>
  </r>
  <r>
    <s v="Biolage"/>
    <x v="0"/>
    <x v="2"/>
    <s v="Google"/>
    <s v="Biolage"/>
    <x v="45"/>
    <d v="2024-01-01T00:00:00"/>
    <n v="7276.1032540000006"/>
    <n v="28780"/>
    <s v="LY"/>
    <s v="Search-Google"/>
    <s v="Search"/>
  </r>
  <r>
    <s v="Biolage"/>
    <x v="2"/>
    <x v="2"/>
    <s v="Google"/>
    <s v="Biolage"/>
    <x v="45"/>
    <d v="2024-01-01T00:00:00"/>
    <n v="96.050000000000011"/>
    <n v="889"/>
    <s v="LY"/>
    <s v="Search-Google"/>
    <s v="Search"/>
  </r>
  <r>
    <s v="Biolage"/>
    <x v="11"/>
    <x v="2"/>
    <s v="Google"/>
    <s v="Biolage"/>
    <x v="45"/>
    <d v="2024-01-01T00:00:00"/>
    <n v="160.833035"/>
    <n v="361"/>
    <s v="LY"/>
    <s v="Search-Google"/>
    <s v="Search"/>
  </r>
  <r>
    <s v="Biolage"/>
    <x v="1"/>
    <x v="2"/>
    <s v="Google"/>
    <s v="Biolage"/>
    <x v="45"/>
    <d v="2024-01-01T00:00:00"/>
    <n v="324.72999999999996"/>
    <n v="2079"/>
    <s v="LY"/>
    <s v="Search-Google"/>
    <s v="Search"/>
  </r>
  <r>
    <s v="Biolage"/>
    <x v="5"/>
    <x v="2"/>
    <s v="Google"/>
    <s v="Biolage"/>
    <x v="45"/>
    <d v="2024-01-01T00:00:00"/>
    <n v="312.11999999999995"/>
    <n v="2108"/>
    <s v="LY"/>
    <s v="Search-Google"/>
    <s v="Search"/>
  </r>
  <r>
    <s v="Biolage"/>
    <x v="8"/>
    <x v="2"/>
    <s v="Google"/>
    <s v="Biolage"/>
    <x v="45"/>
    <d v="2024-01-01T00:00:00"/>
    <n v="83.49"/>
    <n v="556"/>
    <s v="LY"/>
    <s v="Search-Google"/>
    <s v="Search"/>
  </r>
  <r>
    <s v="Biolage"/>
    <x v="3"/>
    <x v="2"/>
    <s v="Google"/>
    <s v="Biolage"/>
    <x v="45"/>
    <d v="2024-01-01T00:00:00"/>
    <n v="107.26"/>
    <n v="594"/>
    <s v="LY"/>
    <s v="Search-Google"/>
    <s v="Search"/>
  </r>
  <r>
    <s v="Biolage"/>
    <x v="6"/>
    <x v="2"/>
    <s v="Google"/>
    <s v="Biolage"/>
    <x v="45"/>
    <d v="2024-01-01T00:00:00"/>
    <n v="95.74027199999999"/>
    <n v="626"/>
    <s v="LY"/>
    <s v="Search-Google"/>
    <s v="Search"/>
  </r>
  <r>
    <s v="Biolage"/>
    <x v="4"/>
    <x v="2"/>
    <s v="Google"/>
    <s v="Biolage"/>
    <x v="45"/>
    <d v="2024-01-01T00:00:00"/>
    <n v="106.59"/>
    <n v="837"/>
    <s v="LY"/>
    <s v="Search-Google"/>
    <s v="Search"/>
  </r>
  <r>
    <s v="Biolage"/>
    <x v="5"/>
    <x v="0"/>
    <s v="Pinterest"/>
    <s v="Other"/>
    <x v="46"/>
    <d v="2024-01-01T00:00:00"/>
    <n v="23664.568042999999"/>
    <n v="10183373"/>
    <s v="LY"/>
    <s v="Social-Pinterest"/>
    <s v="Pinterest"/>
  </r>
  <r>
    <s v="Biolage"/>
    <x v="5"/>
    <x v="0"/>
    <s v="Pinterest"/>
    <s v="Ulta"/>
    <x v="46"/>
    <d v="2024-01-01T00:00:00"/>
    <n v="11716.052162"/>
    <n v="3073467"/>
    <s v="LY"/>
    <s v="Social-Pinterest"/>
    <s v="Ulta"/>
  </r>
  <r>
    <s v="Biolage"/>
    <x v="1"/>
    <x v="1"/>
    <s v="Amazon"/>
    <s v="Amazon"/>
    <x v="46"/>
    <d v="2024-01-01T00:00:00"/>
    <n v="6633.9854000000005"/>
    <n v="1081497"/>
    <s v="LY"/>
    <s v="Display-Amazon"/>
    <s v="Amazon"/>
  </r>
  <r>
    <s v="Biolage"/>
    <x v="1"/>
    <x v="2"/>
    <s v="Amazon"/>
    <s v="Amazon"/>
    <x v="46"/>
    <d v="2024-01-01T00:00:00"/>
    <n v="9561.2199999999993"/>
    <n v="1401663"/>
    <s v="LY"/>
    <s v="Search-Amazon"/>
    <s v="Amazon"/>
  </r>
  <r>
    <s v="Biolage"/>
    <x v="0"/>
    <x v="1"/>
    <s v="Amazon"/>
    <s v="Amazon"/>
    <x v="46"/>
    <d v="2024-01-01T00:00:00"/>
    <n v="1787.3392000000001"/>
    <n v="110977"/>
    <s v="LY"/>
    <s v="Display-Amazon"/>
    <s v="Amazon"/>
  </r>
  <r>
    <s v="Biolage"/>
    <x v="0"/>
    <x v="2"/>
    <s v="Amazon"/>
    <s v="Amazon"/>
    <x v="46"/>
    <d v="2024-01-01T00:00:00"/>
    <n v="11032.830000000002"/>
    <n v="1896406"/>
    <s v="LY"/>
    <s v="Search-Amazon"/>
    <s v="Amazon"/>
  </r>
  <r>
    <s v="Biolage"/>
    <x v="2"/>
    <x v="1"/>
    <s v="Amazon"/>
    <s v="Amazon"/>
    <x v="46"/>
    <d v="2024-01-01T00:00:00"/>
    <n v="7011.0145999999986"/>
    <n v="1064484"/>
    <s v="LY"/>
    <s v="Display-Amazon"/>
    <s v="Amazon"/>
  </r>
  <r>
    <s v="Biolage"/>
    <x v="2"/>
    <x v="2"/>
    <s v="Amazon"/>
    <s v="Amazon"/>
    <x v="46"/>
    <d v="2024-01-01T00:00:00"/>
    <n v="11375.900000000007"/>
    <n v="3187719"/>
    <s v="LY"/>
    <s v="Search-Amazon"/>
    <s v="Amazon"/>
  </r>
  <r>
    <s v="Biolage"/>
    <x v="3"/>
    <x v="1"/>
    <s v="Amazon"/>
    <s v="Amazon"/>
    <x v="46"/>
    <d v="2024-01-01T00:00:00"/>
    <n v="4879.5247999999983"/>
    <n v="612402"/>
    <s v="LY"/>
    <s v="Display-Amazon"/>
    <s v="Amazon"/>
  </r>
  <r>
    <s v="Biolage"/>
    <x v="3"/>
    <x v="2"/>
    <s v="Amazon"/>
    <s v="Amazon"/>
    <x v="46"/>
    <d v="2024-01-01T00:00:00"/>
    <n v="9946.6500000000033"/>
    <n v="1972140"/>
    <s v="LY"/>
    <s v="Search-Amazon"/>
    <s v="Amazon"/>
  </r>
  <r>
    <s v="Biolage"/>
    <x v="4"/>
    <x v="1"/>
    <s v="Amazon"/>
    <s v="Amazon"/>
    <x v="46"/>
    <d v="2024-01-01T00:00:00"/>
    <n v="5677.1150000000016"/>
    <n v="1278134"/>
    <s v="LY"/>
    <s v="Display-Amazon"/>
    <s v="Amazon"/>
  </r>
  <r>
    <s v="Biolage"/>
    <x v="4"/>
    <x v="2"/>
    <s v="Amazon"/>
    <s v="Amazon"/>
    <x v="46"/>
    <d v="2024-01-01T00:00:00"/>
    <n v="9328.31"/>
    <n v="3019010"/>
    <s v="LY"/>
    <s v="Search-Amazon"/>
    <s v="Amazon"/>
  </r>
  <r>
    <s v="Biolage"/>
    <x v="5"/>
    <x v="1"/>
    <s v="Amazon"/>
    <s v="Amazon"/>
    <x v="46"/>
    <d v="2024-01-01T00:00:00"/>
    <n v="4257.7149000000009"/>
    <n v="1006942"/>
    <s v="LY"/>
    <s v="Display-Amazon"/>
    <s v="Amazon"/>
  </r>
  <r>
    <s v="Biolage"/>
    <x v="5"/>
    <x v="2"/>
    <s v="Amazon"/>
    <s v="Amazon"/>
    <x v="46"/>
    <d v="2024-01-01T00:00:00"/>
    <n v="6920.71"/>
    <n v="1002736"/>
    <s v="LY"/>
    <s v="Search-Amazon"/>
    <s v="Amazon"/>
  </r>
  <r>
    <s v="Biolage"/>
    <x v="8"/>
    <x v="1"/>
    <s v="Amazon"/>
    <s v="Amazon"/>
    <x v="46"/>
    <d v="2024-01-01T00:00:00"/>
    <n v="2959.0874000000003"/>
    <n v="800880"/>
    <s v="LY"/>
    <s v="Display-Amazon"/>
    <s v="Amazon"/>
  </r>
  <r>
    <s v="Biolage"/>
    <x v="8"/>
    <x v="2"/>
    <s v="Amazon"/>
    <s v="Amazon"/>
    <x v="46"/>
    <d v="2024-01-01T00:00:00"/>
    <n v="3255.8899999999994"/>
    <n v="745288"/>
    <s v="LY"/>
    <s v="Search-Amazon"/>
    <s v="Amazon"/>
  </r>
  <r>
    <s v="Biolage"/>
    <x v="10"/>
    <x v="2"/>
    <s v="Google"/>
    <s v="Biolage"/>
    <x v="46"/>
    <d v="2024-01-01T00:00:00"/>
    <n v="84.06"/>
    <n v="389"/>
    <s v="LY"/>
    <s v="Search-Google"/>
    <s v="Search"/>
  </r>
  <r>
    <s v="Biolage"/>
    <x v="9"/>
    <x v="2"/>
    <s v="Google"/>
    <s v="Biolage"/>
    <x v="46"/>
    <d v="2024-01-01T00:00:00"/>
    <n v="48.15"/>
    <n v="236"/>
    <s v="LY"/>
    <s v="Search-Google"/>
    <s v="Search"/>
  </r>
  <r>
    <s v="Biolage"/>
    <x v="0"/>
    <x v="2"/>
    <s v="Google"/>
    <s v="Biolage"/>
    <x v="46"/>
    <d v="2024-01-01T00:00:00"/>
    <n v="7417.0357950000007"/>
    <n v="28131"/>
    <s v="LY"/>
    <s v="Search-Google"/>
    <s v="Search"/>
  </r>
  <r>
    <s v="Biolage"/>
    <x v="2"/>
    <x v="2"/>
    <s v="Google"/>
    <s v="Biolage"/>
    <x v="46"/>
    <d v="2024-01-01T00:00:00"/>
    <n v="128.62"/>
    <n v="890"/>
    <s v="LY"/>
    <s v="Search-Google"/>
    <s v="Search"/>
  </r>
  <r>
    <s v="Biolage"/>
    <x v="11"/>
    <x v="2"/>
    <s v="Google"/>
    <s v="Biolage"/>
    <x v="46"/>
    <d v="2024-01-01T00:00:00"/>
    <n v="73.709859000000009"/>
    <n v="176"/>
    <s v="LY"/>
    <s v="Search-Google"/>
    <s v="Search"/>
  </r>
  <r>
    <s v="Biolage"/>
    <x v="1"/>
    <x v="2"/>
    <s v="Google"/>
    <s v="Biolage"/>
    <x v="46"/>
    <d v="2024-01-01T00:00:00"/>
    <n v="336.73058000000003"/>
    <n v="2027"/>
    <s v="LY"/>
    <s v="Search-Google"/>
    <s v="Search"/>
  </r>
  <r>
    <s v="Biolage"/>
    <x v="5"/>
    <x v="2"/>
    <s v="Google"/>
    <s v="Biolage"/>
    <x v="46"/>
    <d v="2024-01-01T00:00:00"/>
    <n v="327.36949100000004"/>
    <n v="1964"/>
    <s v="LY"/>
    <s v="Search-Google"/>
    <s v="Search"/>
  </r>
  <r>
    <s v="Biolage"/>
    <x v="8"/>
    <x v="2"/>
    <s v="Google"/>
    <s v="Biolage"/>
    <x v="46"/>
    <d v="2024-01-01T00:00:00"/>
    <n v="79.27000000000001"/>
    <n v="568"/>
    <s v="LY"/>
    <s v="Search-Google"/>
    <s v="Search"/>
  </r>
  <r>
    <s v="Biolage"/>
    <x v="3"/>
    <x v="2"/>
    <s v="Google"/>
    <s v="Biolage"/>
    <x v="46"/>
    <d v="2024-01-01T00:00:00"/>
    <n v="88.28"/>
    <n v="562"/>
    <s v="LY"/>
    <s v="Search-Google"/>
    <s v="Search"/>
  </r>
  <r>
    <s v="Biolage"/>
    <x v="6"/>
    <x v="2"/>
    <s v="Google"/>
    <s v="Biolage"/>
    <x v="46"/>
    <d v="2024-01-01T00:00:00"/>
    <n v="113.72000000000001"/>
    <n v="621"/>
    <s v="LY"/>
    <s v="Search-Google"/>
    <s v="Search"/>
  </r>
  <r>
    <s v="Biolage"/>
    <x v="4"/>
    <x v="2"/>
    <s v="Google"/>
    <s v="Biolage"/>
    <x v="46"/>
    <d v="2024-01-01T00:00:00"/>
    <n v="137.11000000000001"/>
    <n v="844"/>
    <s v="LY"/>
    <s v="Search-Google"/>
    <s v="Search"/>
  </r>
  <r>
    <s v="Biolage"/>
    <x v="5"/>
    <x v="0"/>
    <s v="Pinterest"/>
    <s v="Other"/>
    <x v="47"/>
    <d v="2024-01-01T00:00:00"/>
    <n v="23503.562337000003"/>
    <n v="9584341"/>
    <s v="LY"/>
    <s v="Social-Pinterest"/>
    <s v="Pinterest"/>
  </r>
  <r>
    <s v="Biolage"/>
    <x v="5"/>
    <x v="0"/>
    <s v="Pinterest"/>
    <s v="Ulta"/>
    <x v="47"/>
    <d v="2024-01-01T00:00:00"/>
    <n v="11536.083415999999"/>
    <n v="2860742"/>
    <s v="LY"/>
    <s v="Social-Pinterest"/>
    <s v="Ulta"/>
  </r>
  <r>
    <s v="Biolage"/>
    <x v="1"/>
    <x v="1"/>
    <s v="Amazon"/>
    <s v="Amazon"/>
    <x v="47"/>
    <d v="2024-01-01T00:00:00"/>
    <n v="8318.6617000000006"/>
    <n v="1622629"/>
    <s v="LY"/>
    <s v="Display-Amazon"/>
    <s v="Amazon"/>
  </r>
  <r>
    <s v="Biolage"/>
    <x v="1"/>
    <x v="2"/>
    <s v="Amazon"/>
    <s v="Amazon"/>
    <x v="47"/>
    <d v="2024-01-01T00:00:00"/>
    <n v="11819.949999999995"/>
    <n v="1584926"/>
    <s v="LY"/>
    <s v="Search-Amazon"/>
    <s v="Amazon"/>
  </r>
  <r>
    <s v="Biolage"/>
    <x v="0"/>
    <x v="1"/>
    <s v="Amazon"/>
    <s v="Amazon"/>
    <x v="47"/>
    <d v="2024-01-01T00:00:00"/>
    <n v="1788.3779"/>
    <n v="132855"/>
    <s v="LY"/>
    <s v="Display-Amazon"/>
    <s v="Amazon"/>
  </r>
  <r>
    <s v="Biolage"/>
    <x v="0"/>
    <x v="2"/>
    <s v="Amazon"/>
    <s v="Amazon"/>
    <x v="47"/>
    <d v="2024-01-01T00:00:00"/>
    <n v="10230.150000000001"/>
    <n v="1760422"/>
    <s v="LY"/>
    <s v="Search-Amazon"/>
    <s v="Amazon"/>
  </r>
  <r>
    <s v="Biolage"/>
    <x v="2"/>
    <x v="1"/>
    <s v="Amazon"/>
    <s v="Amazon"/>
    <x v="47"/>
    <d v="2024-01-01T00:00:00"/>
    <n v="7299.7984999999981"/>
    <n v="1339265"/>
    <s v="LY"/>
    <s v="Display-Amazon"/>
    <s v="Amazon"/>
  </r>
  <r>
    <s v="Biolage"/>
    <x v="2"/>
    <x v="2"/>
    <s v="Amazon"/>
    <s v="Amazon"/>
    <x v="47"/>
    <d v="2024-01-01T00:00:00"/>
    <n v="10666.44"/>
    <n v="2668502"/>
    <s v="LY"/>
    <s v="Search-Amazon"/>
    <s v="Amazon"/>
  </r>
  <r>
    <s v="Biolage"/>
    <x v="3"/>
    <x v="1"/>
    <s v="Amazon"/>
    <s v="Amazon"/>
    <x v="47"/>
    <d v="2024-01-01T00:00:00"/>
    <n v="5004.9694000000027"/>
    <n v="532733"/>
    <s v="LY"/>
    <s v="Display-Amazon"/>
    <s v="Amazon"/>
  </r>
  <r>
    <s v="Biolage"/>
    <x v="3"/>
    <x v="2"/>
    <s v="Amazon"/>
    <s v="Amazon"/>
    <x v="47"/>
    <d v="2024-01-01T00:00:00"/>
    <n v="7359.6599999999971"/>
    <n v="1702387"/>
    <s v="LY"/>
    <s v="Search-Amazon"/>
    <s v="Amazon"/>
  </r>
  <r>
    <s v="Biolage"/>
    <x v="4"/>
    <x v="1"/>
    <s v="Amazon"/>
    <s v="Amazon"/>
    <x v="47"/>
    <d v="2024-01-01T00:00:00"/>
    <n v="6194.6886000000031"/>
    <n v="1297820"/>
    <s v="LY"/>
    <s v="Display-Amazon"/>
    <s v="Amazon"/>
  </r>
  <r>
    <s v="Biolage"/>
    <x v="4"/>
    <x v="2"/>
    <s v="Amazon"/>
    <s v="Amazon"/>
    <x v="47"/>
    <d v="2024-01-01T00:00:00"/>
    <n v="8773.1"/>
    <n v="2937948"/>
    <s v="LY"/>
    <s v="Search-Amazon"/>
    <s v="Amazon"/>
  </r>
  <r>
    <s v="Biolage"/>
    <x v="5"/>
    <x v="1"/>
    <s v="Amazon"/>
    <s v="Amazon"/>
    <x v="47"/>
    <d v="2024-01-01T00:00:00"/>
    <n v="3548.3088000000002"/>
    <n v="1152268"/>
    <s v="LY"/>
    <s v="Display-Amazon"/>
    <s v="Amazon"/>
  </r>
  <r>
    <s v="Biolage"/>
    <x v="5"/>
    <x v="2"/>
    <s v="Amazon"/>
    <s v="Amazon"/>
    <x v="47"/>
    <d v="2024-01-01T00:00:00"/>
    <n v="6829.7499999999991"/>
    <n v="1087076"/>
    <s v="LY"/>
    <s v="Search-Amazon"/>
    <s v="Amazon"/>
  </r>
  <r>
    <s v="Biolage"/>
    <x v="8"/>
    <x v="1"/>
    <s v="Amazon"/>
    <s v="Amazon"/>
    <x v="47"/>
    <d v="2024-01-01T00:00:00"/>
    <n v="3054.2692000000006"/>
    <n v="762287"/>
    <s v="LY"/>
    <s v="Display-Amazon"/>
    <s v="Amazon"/>
  </r>
  <r>
    <s v="Biolage"/>
    <x v="8"/>
    <x v="2"/>
    <s v="Amazon"/>
    <s v="Amazon"/>
    <x v="47"/>
    <d v="2024-01-01T00:00:00"/>
    <n v="3858.7699999999995"/>
    <n v="621288"/>
    <s v="LY"/>
    <s v="Search-Amazon"/>
    <s v="Amazon"/>
  </r>
  <r>
    <s v="Biolage"/>
    <x v="10"/>
    <x v="2"/>
    <s v="Google"/>
    <s v="Biolage"/>
    <x v="47"/>
    <d v="2024-01-01T00:00:00"/>
    <n v="104.11999999999999"/>
    <n v="377"/>
    <s v="LY"/>
    <s v="Search-Google"/>
    <s v="Search"/>
  </r>
  <r>
    <s v="Biolage"/>
    <x v="9"/>
    <x v="2"/>
    <s v="Google"/>
    <s v="Biolage"/>
    <x v="47"/>
    <d v="2024-01-01T00:00:00"/>
    <n v="50.089999999999996"/>
    <n v="215"/>
    <s v="LY"/>
    <s v="Search-Google"/>
    <s v="Search"/>
  </r>
  <r>
    <s v="Biolage"/>
    <x v="0"/>
    <x v="2"/>
    <s v="Google"/>
    <s v="Biolage"/>
    <x v="47"/>
    <d v="2024-01-01T00:00:00"/>
    <n v="7676.6573399999997"/>
    <n v="28716"/>
    <s v="LY"/>
    <s v="Search-Google"/>
    <s v="Search"/>
  </r>
  <r>
    <s v="Biolage"/>
    <x v="2"/>
    <x v="2"/>
    <s v="Google"/>
    <s v="Biolage"/>
    <x v="47"/>
    <d v="2024-01-01T00:00:00"/>
    <n v="83.481572999999997"/>
    <n v="852"/>
    <s v="LY"/>
    <s v="Search-Google"/>
    <s v="Search"/>
  </r>
  <r>
    <s v="Biolage"/>
    <x v="11"/>
    <x v="2"/>
    <s v="Google"/>
    <s v="Biolage"/>
    <x v="47"/>
    <d v="2024-01-01T00:00:00"/>
    <n v="70.27"/>
    <n v="162"/>
    <s v="LY"/>
    <s v="Search-Google"/>
    <s v="Search"/>
  </r>
  <r>
    <s v="Biolage"/>
    <x v="1"/>
    <x v="2"/>
    <s v="Google"/>
    <s v="Biolage"/>
    <x v="47"/>
    <d v="2024-01-01T00:00:00"/>
    <n v="313.89256699999999"/>
    <n v="2193"/>
    <s v="LY"/>
    <s v="Search-Google"/>
    <s v="Search"/>
  </r>
  <r>
    <s v="Biolage"/>
    <x v="5"/>
    <x v="2"/>
    <s v="Google"/>
    <s v="Biolage"/>
    <x v="47"/>
    <d v="2024-01-01T00:00:00"/>
    <n v="295"/>
    <n v="1918"/>
    <s v="LY"/>
    <s v="Search-Google"/>
    <s v="Search"/>
  </r>
  <r>
    <s v="Biolage"/>
    <x v="8"/>
    <x v="2"/>
    <s v="Google"/>
    <s v="Biolage"/>
    <x v="47"/>
    <d v="2024-01-01T00:00:00"/>
    <n v="95.85"/>
    <n v="602"/>
    <s v="LY"/>
    <s v="Search-Google"/>
    <s v="Search"/>
  </r>
  <r>
    <s v="Biolage"/>
    <x v="3"/>
    <x v="2"/>
    <s v="Google"/>
    <s v="Biolage"/>
    <x v="47"/>
    <d v="2024-01-01T00:00:00"/>
    <n v="75.52"/>
    <n v="500"/>
    <s v="LY"/>
    <s v="Search-Google"/>
    <s v="Search"/>
  </r>
  <r>
    <s v="Biolage"/>
    <x v="6"/>
    <x v="2"/>
    <s v="Google"/>
    <s v="Biolage"/>
    <x v="47"/>
    <d v="2024-01-01T00:00:00"/>
    <n v="120.21"/>
    <n v="649"/>
    <s v="LY"/>
    <s v="Search-Google"/>
    <s v="Search"/>
  </r>
  <r>
    <s v="Biolage"/>
    <x v="4"/>
    <x v="2"/>
    <s v="Google"/>
    <s v="Biolage"/>
    <x v="47"/>
    <d v="2024-01-01T00:00:00"/>
    <n v="116.38000000000001"/>
    <n v="821"/>
    <s v="LY"/>
    <s v="Search-Google"/>
    <s v="Search"/>
  </r>
  <r>
    <s v="Biolage"/>
    <x v="5"/>
    <x v="0"/>
    <s v="Pinterest"/>
    <s v="Other"/>
    <x v="48"/>
    <d v="2024-01-01T00:00:00"/>
    <n v="19884.604219000001"/>
    <n v="7777600"/>
    <s v="LY"/>
    <s v="Social-Pinterest"/>
    <s v="Pinterest"/>
  </r>
  <r>
    <s v="Biolage"/>
    <x v="5"/>
    <x v="0"/>
    <s v="Pinterest"/>
    <s v="Ulta"/>
    <x v="48"/>
    <d v="2024-01-01T00:00:00"/>
    <n v="9641.2184180000004"/>
    <n v="2486671"/>
    <s v="LY"/>
    <s v="Social-Pinterest"/>
    <s v="Ulta"/>
  </r>
  <r>
    <s v="Biolage"/>
    <x v="1"/>
    <x v="1"/>
    <s v="Amazon"/>
    <s v="Amazon"/>
    <x v="48"/>
    <d v="2024-01-01T00:00:00"/>
    <n v="8283.4269999999979"/>
    <n v="1788108"/>
    <s v="LY"/>
    <s v="Display-Amazon"/>
    <s v="Amazon"/>
  </r>
  <r>
    <s v="Biolage"/>
    <x v="1"/>
    <x v="2"/>
    <s v="Amazon"/>
    <s v="Amazon"/>
    <x v="48"/>
    <d v="2024-01-01T00:00:00"/>
    <n v="7542.2699999999995"/>
    <n v="1091596"/>
    <s v="LY"/>
    <s v="Search-Amazon"/>
    <s v="Amazon"/>
  </r>
  <r>
    <s v="Biolage"/>
    <x v="0"/>
    <x v="1"/>
    <s v="Amazon"/>
    <s v="Amazon"/>
    <x v="48"/>
    <d v="2024-01-01T00:00:00"/>
    <n v="3736.6814999999997"/>
    <n v="414969"/>
    <s v="LY"/>
    <s v="Display-Amazon"/>
    <s v="Amazon"/>
  </r>
  <r>
    <s v="Biolage"/>
    <x v="0"/>
    <x v="2"/>
    <s v="Amazon"/>
    <s v="Amazon"/>
    <x v="48"/>
    <d v="2024-01-01T00:00:00"/>
    <n v="8302.31"/>
    <n v="1397277"/>
    <s v="LY"/>
    <s v="Search-Amazon"/>
    <s v="Amazon"/>
  </r>
  <r>
    <s v="Biolage"/>
    <x v="2"/>
    <x v="1"/>
    <s v="Amazon"/>
    <s v="Amazon"/>
    <x v="48"/>
    <d v="2024-01-01T00:00:00"/>
    <n v="7096.5883999999951"/>
    <n v="1509675"/>
    <s v="LY"/>
    <s v="Display-Amazon"/>
    <s v="Amazon"/>
  </r>
  <r>
    <s v="Biolage"/>
    <x v="2"/>
    <x v="2"/>
    <s v="Amazon"/>
    <s v="Amazon"/>
    <x v="48"/>
    <d v="2024-01-01T00:00:00"/>
    <n v="8255.7599999999984"/>
    <n v="1682349"/>
    <s v="LY"/>
    <s v="Search-Amazon"/>
    <s v="Amazon"/>
  </r>
  <r>
    <s v="Biolage"/>
    <x v="3"/>
    <x v="1"/>
    <s v="Amazon"/>
    <s v="Amazon"/>
    <x v="48"/>
    <d v="2024-01-01T00:00:00"/>
    <n v="4825.0331999999999"/>
    <n v="451209"/>
    <s v="LY"/>
    <s v="Display-Amazon"/>
    <s v="Amazon"/>
  </r>
  <r>
    <s v="Biolage"/>
    <x v="3"/>
    <x v="2"/>
    <s v="Amazon"/>
    <s v="Amazon"/>
    <x v="48"/>
    <d v="2024-01-01T00:00:00"/>
    <n v="4014.0199999999991"/>
    <n v="1053647"/>
    <s v="LY"/>
    <s v="Search-Amazon"/>
    <s v="Amazon"/>
  </r>
  <r>
    <s v="Biolage"/>
    <x v="4"/>
    <x v="1"/>
    <s v="Amazon"/>
    <s v="Amazon"/>
    <x v="48"/>
    <d v="2024-01-01T00:00:00"/>
    <n v="5699.2451999999994"/>
    <n v="1418429"/>
    <s v="LY"/>
    <s v="Display-Amazon"/>
    <s v="Amazon"/>
  </r>
  <r>
    <s v="Biolage"/>
    <x v="4"/>
    <x v="2"/>
    <s v="Amazon"/>
    <s v="Amazon"/>
    <x v="48"/>
    <d v="2024-01-01T00:00:00"/>
    <n v="7167.0100000000011"/>
    <n v="2387037"/>
    <s v="LY"/>
    <s v="Search-Amazon"/>
    <s v="Amazon"/>
  </r>
  <r>
    <s v="Biolage"/>
    <x v="5"/>
    <x v="1"/>
    <s v="Amazon"/>
    <s v="Amazon"/>
    <x v="48"/>
    <d v="2024-01-01T00:00:00"/>
    <n v="4475.6559000000016"/>
    <n v="1602845"/>
    <s v="LY"/>
    <s v="Display-Amazon"/>
    <s v="Amazon"/>
  </r>
  <r>
    <s v="Biolage"/>
    <x v="5"/>
    <x v="2"/>
    <s v="Amazon"/>
    <s v="Amazon"/>
    <x v="48"/>
    <d v="2024-01-01T00:00:00"/>
    <n v="5670.5800000000008"/>
    <n v="1004577"/>
    <s v="LY"/>
    <s v="Search-Amazon"/>
    <s v="Amazon"/>
  </r>
  <r>
    <s v="Biolage"/>
    <x v="8"/>
    <x v="1"/>
    <s v="Amazon"/>
    <s v="Amazon"/>
    <x v="48"/>
    <d v="2024-01-01T00:00:00"/>
    <n v="2861.6305000000011"/>
    <n v="819812"/>
    <s v="LY"/>
    <s v="Display-Amazon"/>
    <s v="Amazon"/>
  </r>
  <r>
    <s v="Biolage"/>
    <x v="8"/>
    <x v="2"/>
    <s v="Amazon"/>
    <s v="Amazon"/>
    <x v="48"/>
    <d v="2024-01-01T00:00:00"/>
    <n v="3279.5999999999995"/>
    <n v="740847"/>
    <s v="LY"/>
    <s v="Search-Amazon"/>
    <s v="Amazon"/>
  </r>
  <r>
    <s v="Biolage"/>
    <x v="6"/>
    <x v="2"/>
    <s v="Amazon"/>
    <s v="Amazon"/>
    <x v="48"/>
    <d v="2024-01-01T00:00:00"/>
    <n v="0.37"/>
    <n v="1797"/>
    <s v="LY"/>
    <s v="Search-Amazon"/>
    <s v="Amazon"/>
  </r>
  <r>
    <s v="Biolage"/>
    <x v="10"/>
    <x v="2"/>
    <s v="Google"/>
    <s v="Biolage"/>
    <x v="48"/>
    <d v="2024-01-01T00:00:00"/>
    <n v="91.31"/>
    <n v="384"/>
    <s v="LY"/>
    <s v="Search-Google"/>
    <s v="Search"/>
  </r>
  <r>
    <s v="Biolage"/>
    <x v="9"/>
    <x v="2"/>
    <s v="Google"/>
    <s v="Biolage"/>
    <x v="48"/>
    <d v="2024-01-01T00:00:00"/>
    <n v="51.63000000000001"/>
    <n v="218"/>
    <s v="LY"/>
    <s v="Search-Google"/>
    <s v="Search"/>
  </r>
  <r>
    <s v="Biolage"/>
    <x v="0"/>
    <x v="2"/>
    <s v="Google"/>
    <s v="Biolage"/>
    <x v="48"/>
    <d v="2024-01-01T00:00:00"/>
    <n v="7090.7125310000019"/>
    <n v="27124"/>
    <s v="LY"/>
    <s v="Search-Google"/>
    <s v="Search"/>
  </r>
  <r>
    <s v="Biolage"/>
    <x v="2"/>
    <x v="2"/>
    <s v="Google"/>
    <s v="Biolage"/>
    <x v="48"/>
    <d v="2024-01-01T00:00:00"/>
    <n v="101.01"/>
    <n v="896"/>
    <s v="LY"/>
    <s v="Search-Google"/>
    <s v="Search"/>
  </r>
  <r>
    <s v="Biolage"/>
    <x v="11"/>
    <x v="2"/>
    <s v="Google"/>
    <s v="Biolage"/>
    <x v="48"/>
    <d v="2024-01-01T00:00:00"/>
    <n v="60.43"/>
    <n v="166"/>
    <s v="LY"/>
    <s v="Search-Google"/>
    <s v="Search"/>
  </r>
  <r>
    <s v="Biolage"/>
    <x v="1"/>
    <x v="2"/>
    <s v="Google"/>
    <s v="Biolage"/>
    <x v="48"/>
    <d v="2024-01-01T00:00:00"/>
    <n v="287.28968100000003"/>
    <n v="2159"/>
    <s v="LY"/>
    <s v="Search-Google"/>
    <s v="Search"/>
  </r>
  <r>
    <s v="Biolage"/>
    <x v="5"/>
    <x v="2"/>
    <s v="Google"/>
    <s v="Biolage"/>
    <x v="48"/>
    <d v="2024-01-01T00:00:00"/>
    <n v="232.47"/>
    <n v="1836"/>
    <s v="LY"/>
    <s v="Search-Google"/>
    <s v="Search"/>
  </r>
  <r>
    <s v="Biolage"/>
    <x v="8"/>
    <x v="2"/>
    <s v="Google"/>
    <s v="Biolage"/>
    <x v="48"/>
    <d v="2024-01-01T00:00:00"/>
    <n v="114.80000000000001"/>
    <n v="536"/>
    <s v="LY"/>
    <s v="Search-Google"/>
    <s v="Search"/>
  </r>
  <r>
    <s v="Biolage"/>
    <x v="3"/>
    <x v="2"/>
    <s v="Google"/>
    <s v="Biolage"/>
    <x v="48"/>
    <d v="2024-01-01T00:00:00"/>
    <n v="73.41"/>
    <n v="470"/>
    <s v="LY"/>
    <s v="Search-Google"/>
    <s v="Search"/>
  </r>
  <r>
    <s v="Biolage"/>
    <x v="6"/>
    <x v="2"/>
    <s v="Google"/>
    <s v="Biolage"/>
    <x v="48"/>
    <d v="2024-01-01T00:00:00"/>
    <n v="107.99654"/>
    <n v="597"/>
    <s v="LY"/>
    <s v="Search-Google"/>
    <s v="Search"/>
  </r>
  <r>
    <s v="Biolage"/>
    <x v="4"/>
    <x v="2"/>
    <s v="Google"/>
    <s v="Biolage"/>
    <x v="48"/>
    <d v="2024-01-01T00:00:00"/>
    <n v="137.17000000000002"/>
    <n v="825"/>
    <s v="LY"/>
    <s v="Search-Google"/>
    <s v="Search"/>
  </r>
  <r>
    <s v="Biolage"/>
    <x v="1"/>
    <x v="1"/>
    <s v="Amazon"/>
    <s v="Amazon"/>
    <x v="49"/>
    <d v="2024-01-01T00:00:00"/>
    <n v="7026.718499999999"/>
    <n v="1446564"/>
    <s v="LY"/>
    <s v="Display-Amazon"/>
    <s v="Amazon"/>
  </r>
  <r>
    <s v="Biolage"/>
    <x v="1"/>
    <x v="2"/>
    <s v="Amazon"/>
    <s v="Amazon"/>
    <x v="49"/>
    <d v="2024-01-01T00:00:00"/>
    <n v="7408.23"/>
    <n v="1103279"/>
    <s v="LY"/>
    <s v="Search-Amazon"/>
    <s v="Amazon"/>
  </r>
  <r>
    <s v="Biolage"/>
    <x v="0"/>
    <x v="1"/>
    <s v="Amazon"/>
    <s v="Amazon"/>
    <x v="49"/>
    <d v="2024-01-01T00:00:00"/>
    <n v="16401.866100000003"/>
    <n v="2936276"/>
    <s v="LY"/>
    <s v="Display-Amazon"/>
    <s v="Amazon"/>
  </r>
  <r>
    <s v="Biolage"/>
    <x v="0"/>
    <x v="2"/>
    <s v="Amazon"/>
    <s v="Amazon"/>
    <x v="49"/>
    <d v="2024-01-01T00:00:00"/>
    <n v="9289.6399999999976"/>
    <n v="1592835"/>
    <s v="LY"/>
    <s v="Search-Amazon"/>
    <s v="Amazon"/>
  </r>
  <r>
    <s v="Biolage"/>
    <x v="2"/>
    <x v="1"/>
    <s v="Amazon"/>
    <s v="Amazon"/>
    <x v="49"/>
    <d v="2024-01-01T00:00:00"/>
    <n v="12454.006200000013"/>
    <n v="2656124"/>
    <s v="LY"/>
    <s v="Display-Amazon"/>
    <s v="Amazon"/>
  </r>
  <r>
    <s v="Biolage"/>
    <x v="2"/>
    <x v="2"/>
    <s v="Amazon"/>
    <s v="Amazon"/>
    <x v="49"/>
    <d v="2024-01-01T00:00:00"/>
    <n v="9942.159999999998"/>
    <n v="2122421"/>
    <s v="LY"/>
    <s v="Search-Amazon"/>
    <s v="Amazon"/>
  </r>
  <r>
    <s v="Biolage"/>
    <x v="3"/>
    <x v="1"/>
    <s v="Amazon"/>
    <s v="Amazon"/>
    <x v="49"/>
    <d v="2024-01-01T00:00:00"/>
    <n v="4343.7521000000006"/>
    <n v="407698"/>
    <s v="LY"/>
    <s v="Display-Amazon"/>
    <s v="Amazon"/>
  </r>
  <r>
    <s v="Biolage"/>
    <x v="3"/>
    <x v="2"/>
    <s v="Amazon"/>
    <s v="Amazon"/>
    <x v="49"/>
    <d v="2024-01-01T00:00:00"/>
    <n v="6085.869999999999"/>
    <n v="1311079"/>
    <s v="LY"/>
    <s v="Search-Amazon"/>
    <s v="Amazon"/>
  </r>
  <r>
    <s v="Biolage"/>
    <x v="4"/>
    <x v="1"/>
    <s v="Amazon"/>
    <s v="Amazon"/>
    <x v="49"/>
    <d v="2024-01-01T00:00:00"/>
    <n v="5115.6659000000027"/>
    <n v="1292080"/>
    <s v="LY"/>
    <s v="Display-Amazon"/>
    <s v="Amazon"/>
  </r>
  <r>
    <s v="Biolage"/>
    <x v="4"/>
    <x v="2"/>
    <s v="Amazon"/>
    <s v="Amazon"/>
    <x v="49"/>
    <d v="2024-01-01T00:00:00"/>
    <n v="6891.57"/>
    <n v="1642643"/>
    <s v="LY"/>
    <s v="Search-Amazon"/>
    <s v="Amazon"/>
  </r>
  <r>
    <s v="Biolage"/>
    <x v="5"/>
    <x v="1"/>
    <s v="Amazon"/>
    <s v="Amazon"/>
    <x v="49"/>
    <d v="2024-01-01T00:00:00"/>
    <n v="3512.6432999999997"/>
    <n v="1314883"/>
    <s v="LY"/>
    <s v="Display-Amazon"/>
    <s v="Amazon"/>
  </r>
  <r>
    <s v="Biolage"/>
    <x v="5"/>
    <x v="2"/>
    <s v="Amazon"/>
    <s v="Amazon"/>
    <x v="49"/>
    <d v="2024-01-01T00:00:00"/>
    <n v="5022.3199999999988"/>
    <n v="933871"/>
    <s v="LY"/>
    <s v="Search-Amazon"/>
    <s v="Amazon"/>
  </r>
  <r>
    <s v="Biolage"/>
    <x v="8"/>
    <x v="1"/>
    <s v="Amazon"/>
    <s v="Amazon"/>
    <x v="49"/>
    <d v="2024-01-01T00:00:00"/>
    <n v="2746.2931000000008"/>
    <n v="830174"/>
    <s v="LY"/>
    <s v="Display-Amazon"/>
    <s v="Amazon"/>
  </r>
  <r>
    <s v="Biolage"/>
    <x v="8"/>
    <x v="2"/>
    <s v="Amazon"/>
    <s v="Amazon"/>
    <x v="49"/>
    <d v="2024-01-01T00:00:00"/>
    <n v="3180.4"/>
    <n v="765209"/>
    <s v="LY"/>
    <s v="Search-Amazon"/>
    <s v="Amazon"/>
  </r>
  <r>
    <s v="Biolage"/>
    <x v="6"/>
    <x v="2"/>
    <s v="Amazon"/>
    <s v="Amazon"/>
    <x v="49"/>
    <d v="2024-01-01T00:00:00"/>
    <n v="0.37"/>
    <n v="2199"/>
    <s v="LY"/>
    <s v="Search-Amazon"/>
    <s v="Amazon"/>
  </r>
  <r>
    <s v="Biolage"/>
    <x v="10"/>
    <x v="2"/>
    <s v="Google"/>
    <s v="Biolage"/>
    <x v="49"/>
    <d v="2024-01-01T00:00:00"/>
    <n v="65.91"/>
    <n v="397"/>
    <s v="LY"/>
    <s v="Search-Google"/>
    <s v="Search"/>
  </r>
  <r>
    <s v="Biolage"/>
    <x v="9"/>
    <x v="2"/>
    <s v="Google"/>
    <s v="Biolage"/>
    <x v="49"/>
    <d v="2024-01-01T00:00:00"/>
    <n v="26.209999999999997"/>
    <n v="117"/>
    <s v="LY"/>
    <s v="Search-Google"/>
    <s v="Search"/>
  </r>
  <r>
    <s v="Biolage"/>
    <x v="0"/>
    <x v="2"/>
    <s v="Google"/>
    <s v="Biolage"/>
    <x v="49"/>
    <d v="2024-01-01T00:00:00"/>
    <n v="7568.6398499999968"/>
    <n v="29159"/>
    <s v="LY"/>
    <s v="Search-Google"/>
    <s v="Search"/>
  </r>
  <r>
    <s v="Biolage"/>
    <x v="2"/>
    <x v="2"/>
    <s v="Google"/>
    <s v="Biolage"/>
    <x v="49"/>
    <d v="2024-01-01T00:00:00"/>
    <n v="111.30999999999999"/>
    <n v="922"/>
    <s v="LY"/>
    <s v="Search-Google"/>
    <s v="Search"/>
  </r>
  <r>
    <s v="Biolage"/>
    <x v="11"/>
    <x v="2"/>
    <s v="Google"/>
    <s v="Biolage"/>
    <x v="49"/>
    <d v="2024-01-01T00:00:00"/>
    <n v="181.3"/>
    <n v="434"/>
    <s v="LY"/>
    <s v="Search-Google"/>
    <s v="Search"/>
  </r>
  <r>
    <s v="Biolage"/>
    <x v="1"/>
    <x v="2"/>
    <s v="Google"/>
    <s v="Biolage"/>
    <x v="49"/>
    <d v="2024-01-01T00:00:00"/>
    <n v="421.96999999999991"/>
    <n v="2496"/>
    <s v="LY"/>
    <s v="Search-Google"/>
    <s v="Search"/>
  </r>
  <r>
    <s v="Biolage"/>
    <x v="5"/>
    <x v="2"/>
    <s v="Google"/>
    <s v="Biolage"/>
    <x v="49"/>
    <d v="2024-01-01T00:00:00"/>
    <n v="228.45"/>
    <n v="1653"/>
    <s v="LY"/>
    <s v="Search-Google"/>
    <s v="Search"/>
  </r>
  <r>
    <s v="Biolage"/>
    <x v="8"/>
    <x v="2"/>
    <s v="Google"/>
    <s v="Biolage"/>
    <x v="49"/>
    <d v="2024-01-01T00:00:00"/>
    <n v="124.88"/>
    <n v="564"/>
    <s v="LY"/>
    <s v="Search-Google"/>
    <s v="Search"/>
  </r>
  <r>
    <s v="Biolage"/>
    <x v="3"/>
    <x v="2"/>
    <s v="Google"/>
    <s v="Biolage"/>
    <x v="49"/>
    <d v="2024-01-01T00:00:00"/>
    <n v="109.86"/>
    <n v="619"/>
    <s v="LY"/>
    <s v="Search-Google"/>
    <s v="Search"/>
  </r>
  <r>
    <s v="Biolage"/>
    <x v="6"/>
    <x v="2"/>
    <s v="Google"/>
    <s v="Biolage"/>
    <x v="49"/>
    <d v="2024-01-01T00:00:00"/>
    <n v="100.96"/>
    <n v="697"/>
    <s v="LY"/>
    <s v="Search-Google"/>
    <s v="Search"/>
  </r>
  <r>
    <s v="Biolage"/>
    <x v="4"/>
    <x v="2"/>
    <s v="Google"/>
    <s v="Biolage"/>
    <x v="49"/>
    <d v="2024-01-01T00:00:00"/>
    <n v="130.71"/>
    <n v="784"/>
    <s v="LY"/>
    <s v="Search-Google"/>
    <s v="Search"/>
  </r>
  <r>
    <s v="Biolage"/>
    <x v="1"/>
    <x v="1"/>
    <s v="Amazon"/>
    <s v="Amazon"/>
    <x v="50"/>
    <d v="2024-01-01T00:00:00"/>
    <n v="7275.8719999999976"/>
    <n v="1653869"/>
    <s v="LY"/>
    <s v="Display-Amazon"/>
    <s v="Amazon"/>
  </r>
  <r>
    <s v="Biolage"/>
    <x v="1"/>
    <x v="2"/>
    <s v="Amazon"/>
    <s v="Amazon"/>
    <x v="50"/>
    <d v="2024-01-01T00:00:00"/>
    <n v="7746.2"/>
    <n v="1047379"/>
    <s v="LY"/>
    <s v="Search-Amazon"/>
    <s v="Amazon"/>
  </r>
  <r>
    <s v="Biolage"/>
    <x v="0"/>
    <x v="1"/>
    <s v="Amazon"/>
    <s v="Amazon"/>
    <x v="50"/>
    <d v="2024-01-01T00:00:00"/>
    <n v="16643.962999999996"/>
    <n v="3944269"/>
    <s v="LY"/>
    <s v="Display-Amazon"/>
    <s v="Amazon"/>
  </r>
  <r>
    <s v="Biolage"/>
    <x v="0"/>
    <x v="3"/>
    <s v="Amazon"/>
    <s v="Amazon"/>
    <x v="50"/>
    <d v="2024-01-01T00:00:00"/>
    <n v="273.60270000000003"/>
    <n v="89824"/>
    <s v="LY"/>
    <s v="OTT-Amazon"/>
    <s v="Amazon"/>
  </r>
  <r>
    <s v="Biolage"/>
    <x v="0"/>
    <x v="2"/>
    <s v="Amazon"/>
    <s v="Amazon"/>
    <x v="50"/>
    <d v="2024-01-01T00:00:00"/>
    <n v="9192.380000000001"/>
    <n v="1480291"/>
    <s v="LY"/>
    <s v="Search-Amazon"/>
    <s v="Amazon"/>
  </r>
  <r>
    <s v="Biolage"/>
    <x v="2"/>
    <x v="1"/>
    <s v="Amazon"/>
    <s v="Amazon"/>
    <x v="50"/>
    <d v="2024-01-01T00:00:00"/>
    <n v="15719.700500000004"/>
    <n v="3315977"/>
    <s v="LY"/>
    <s v="Display-Amazon"/>
    <s v="Amazon"/>
  </r>
  <r>
    <s v="Biolage"/>
    <x v="2"/>
    <x v="2"/>
    <s v="Amazon"/>
    <s v="Amazon"/>
    <x v="50"/>
    <d v="2024-01-01T00:00:00"/>
    <n v="9987.7000000000007"/>
    <n v="2584708"/>
    <s v="LY"/>
    <s v="Search-Amazon"/>
    <s v="Amazon"/>
  </r>
  <r>
    <s v="Biolage"/>
    <x v="3"/>
    <x v="1"/>
    <s v="Amazon"/>
    <s v="Amazon"/>
    <x v="50"/>
    <d v="2024-01-01T00:00:00"/>
    <n v="4872.1052"/>
    <n v="400325"/>
    <s v="LY"/>
    <s v="Display-Amazon"/>
    <s v="Amazon"/>
  </r>
  <r>
    <s v="Biolage"/>
    <x v="3"/>
    <x v="2"/>
    <s v="Amazon"/>
    <s v="Amazon"/>
    <x v="50"/>
    <d v="2024-01-01T00:00:00"/>
    <n v="12008.620000000004"/>
    <n v="2352520"/>
    <s v="LY"/>
    <s v="Search-Amazon"/>
    <s v="Amazon"/>
  </r>
  <r>
    <s v="Biolage"/>
    <x v="4"/>
    <x v="1"/>
    <s v="Amazon"/>
    <s v="Amazon"/>
    <x v="50"/>
    <d v="2024-01-01T00:00:00"/>
    <n v="5133.7747999999974"/>
    <n v="1397267"/>
    <s v="LY"/>
    <s v="Display-Amazon"/>
    <s v="Amazon"/>
  </r>
  <r>
    <s v="Biolage"/>
    <x v="4"/>
    <x v="2"/>
    <s v="Amazon"/>
    <s v="Amazon"/>
    <x v="50"/>
    <d v="2024-01-01T00:00:00"/>
    <n v="6025.04"/>
    <n v="1460313"/>
    <s v="LY"/>
    <s v="Search-Amazon"/>
    <s v="Amazon"/>
  </r>
  <r>
    <s v="Biolage"/>
    <x v="5"/>
    <x v="1"/>
    <s v="Amazon"/>
    <s v="Amazon"/>
    <x v="50"/>
    <d v="2024-01-01T00:00:00"/>
    <n v="3298.7966000000001"/>
    <n v="1170804"/>
    <s v="LY"/>
    <s v="Display-Amazon"/>
    <s v="Amazon"/>
  </r>
  <r>
    <s v="Biolage"/>
    <x v="5"/>
    <x v="3"/>
    <s v="Amazon"/>
    <s v="Amazon"/>
    <x v="50"/>
    <d v="2024-01-01T00:00:00"/>
    <n v="1145.9955"/>
    <n v="134823"/>
    <s v="LY"/>
    <s v="OTT-Amazon"/>
    <s v="Amazon"/>
  </r>
  <r>
    <s v="Biolage"/>
    <x v="5"/>
    <x v="2"/>
    <s v="Amazon"/>
    <s v="Amazon"/>
    <x v="50"/>
    <d v="2024-01-01T00:00:00"/>
    <n v="5112.46"/>
    <n v="905616"/>
    <s v="LY"/>
    <s v="Search-Amazon"/>
    <s v="Amazon"/>
  </r>
  <r>
    <s v="Biolage"/>
    <x v="8"/>
    <x v="1"/>
    <s v="Amazon"/>
    <s v="Amazon"/>
    <x v="50"/>
    <d v="2024-01-01T00:00:00"/>
    <n v="2781.3281999999986"/>
    <n v="871949"/>
    <s v="LY"/>
    <s v="Display-Amazon"/>
    <s v="Amazon"/>
  </r>
  <r>
    <s v="Biolage"/>
    <x v="8"/>
    <x v="2"/>
    <s v="Amazon"/>
    <s v="Amazon"/>
    <x v="50"/>
    <d v="2024-01-01T00:00:00"/>
    <n v="3285.2799999999997"/>
    <n v="741637"/>
    <s v="LY"/>
    <s v="Search-Amazon"/>
    <s v="Amazon"/>
  </r>
  <r>
    <s v="Biolage"/>
    <x v="6"/>
    <x v="2"/>
    <s v="Amazon"/>
    <s v="Amazon"/>
    <x v="50"/>
    <d v="2024-01-01T00:00:00"/>
    <n v="0.37"/>
    <n v="428"/>
    <s v="LY"/>
    <s v="Search-Amazon"/>
    <s v="Amazon"/>
  </r>
  <r>
    <s v="Biolage"/>
    <x v="10"/>
    <x v="2"/>
    <s v="Google"/>
    <s v="Biolage"/>
    <x v="50"/>
    <d v="2024-01-01T00:00:00"/>
    <n v="90.35"/>
    <n v="420"/>
    <s v="LY"/>
    <s v="Search-Google"/>
    <s v="Search"/>
  </r>
  <r>
    <s v="Biolage"/>
    <x v="9"/>
    <x v="2"/>
    <s v="Google"/>
    <s v="Biolage"/>
    <x v="50"/>
    <d v="2024-01-01T00:00:00"/>
    <n v="22.130000000000003"/>
    <n v="120"/>
    <s v="LY"/>
    <s v="Search-Google"/>
    <s v="Search"/>
  </r>
  <r>
    <s v="Biolage"/>
    <x v="0"/>
    <x v="2"/>
    <s v="Google"/>
    <s v="Biolage"/>
    <x v="50"/>
    <d v="2024-01-01T00:00:00"/>
    <n v="7170.3243610000036"/>
    <n v="28180"/>
    <s v="LY"/>
    <s v="Search-Google"/>
    <s v="Search"/>
  </r>
  <r>
    <s v="Biolage"/>
    <x v="2"/>
    <x v="2"/>
    <s v="Google"/>
    <s v="Biolage"/>
    <x v="50"/>
    <d v="2024-01-01T00:00:00"/>
    <n v="106.74"/>
    <n v="981"/>
    <s v="LY"/>
    <s v="Search-Google"/>
    <s v="Search"/>
  </r>
  <r>
    <s v="Biolage"/>
    <x v="11"/>
    <x v="2"/>
    <s v="Google"/>
    <s v="Biolage"/>
    <x v="50"/>
    <d v="2024-01-01T00:00:00"/>
    <n v="209.37258299999999"/>
    <n v="472"/>
    <s v="LY"/>
    <s v="Search-Google"/>
    <s v="Search"/>
  </r>
  <r>
    <s v="Biolage"/>
    <x v="1"/>
    <x v="2"/>
    <s v="Google"/>
    <s v="Biolage"/>
    <x v="50"/>
    <d v="2024-01-01T00:00:00"/>
    <n v="342.05000000000007"/>
    <n v="2338"/>
    <s v="LY"/>
    <s v="Search-Google"/>
    <s v="Search"/>
  </r>
  <r>
    <s v="Biolage"/>
    <x v="5"/>
    <x v="2"/>
    <s v="Google"/>
    <s v="Biolage"/>
    <x v="50"/>
    <d v="2024-01-01T00:00:00"/>
    <n v="222.14933900000003"/>
    <n v="1811"/>
    <s v="LY"/>
    <s v="Search-Google"/>
    <s v="Search"/>
  </r>
  <r>
    <s v="Biolage"/>
    <x v="8"/>
    <x v="2"/>
    <s v="Google"/>
    <s v="Biolage"/>
    <x v="50"/>
    <d v="2024-01-01T00:00:00"/>
    <n v="94.82"/>
    <n v="587"/>
    <s v="LY"/>
    <s v="Search-Google"/>
    <s v="Search"/>
  </r>
  <r>
    <s v="Biolage"/>
    <x v="3"/>
    <x v="2"/>
    <s v="Google"/>
    <s v="Biolage"/>
    <x v="50"/>
    <d v="2024-01-01T00:00:00"/>
    <n v="80.709999999999994"/>
    <n v="465"/>
    <s v="LY"/>
    <s v="Search-Google"/>
    <s v="Search"/>
  </r>
  <r>
    <s v="Biolage"/>
    <x v="6"/>
    <x v="2"/>
    <s v="Google"/>
    <s v="Biolage"/>
    <x v="50"/>
    <d v="2024-01-01T00:00:00"/>
    <n v="95.86999999999999"/>
    <n v="657"/>
    <s v="LY"/>
    <s v="Search-Google"/>
    <s v="Search"/>
  </r>
  <r>
    <s v="Biolage"/>
    <x v="4"/>
    <x v="2"/>
    <s v="Google"/>
    <s v="Biolage"/>
    <x v="50"/>
    <d v="2024-01-01T00:00:00"/>
    <n v="119.698694"/>
    <n v="836"/>
    <s v="LY"/>
    <s v="Search-Google"/>
    <s v="Search"/>
  </r>
  <r>
    <s v="Biolage"/>
    <x v="1"/>
    <x v="1"/>
    <s v="Amazon"/>
    <s v="Amazon"/>
    <x v="51"/>
    <d v="2024-01-01T00:00:00"/>
    <n v="7773.7899000000043"/>
    <n v="1838849"/>
    <s v="LY"/>
    <s v="Display-Amazon"/>
    <s v="Amazon"/>
  </r>
  <r>
    <s v="Biolage"/>
    <x v="1"/>
    <x v="2"/>
    <s v="Amazon"/>
    <s v="Amazon"/>
    <x v="51"/>
    <d v="2024-01-01T00:00:00"/>
    <n v="9306.75"/>
    <n v="1055038"/>
    <s v="LY"/>
    <s v="Search-Amazon"/>
    <s v="Amazon"/>
  </r>
  <r>
    <s v="Biolage"/>
    <x v="0"/>
    <x v="1"/>
    <s v="Amazon"/>
    <s v="Amazon"/>
    <x v="51"/>
    <d v="2024-01-01T00:00:00"/>
    <n v="16734.409200000002"/>
    <n v="4310264"/>
    <s v="LY"/>
    <s v="Display-Amazon"/>
    <s v="Amazon"/>
  </r>
  <r>
    <s v="Biolage"/>
    <x v="0"/>
    <x v="3"/>
    <s v="Amazon"/>
    <s v="Amazon"/>
    <x v="51"/>
    <d v="2024-01-01T00:00:00"/>
    <n v="1784.9059999999999"/>
    <n v="585831"/>
    <s v="LY"/>
    <s v="OTT-Amazon"/>
    <s v="Amazon"/>
  </r>
  <r>
    <s v="Biolage"/>
    <x v="0"/>
    <x v="2"/>
    <s v="Amazon"/>
    <s v="Amazon"/>
    <x v="51"/>
    <d v="2024-01-01T00:00:00"/>
    <n v="9450.9"/>
    <n v="1495320"/>
    <s v="LY"/>
    <s v="Search-Amazon"/>
    <s v="Amazon"/>
  </r>
  <r>
    <s v="Biolage"/>
    <x v="2"/>
    <x v="1"/>
    <s v="Amazon"/>
    <s v="Amazon"/>
    <x v="51"/>
    <d v="2024-01-01T00:00:00"/>
    <n v="14335.960600000008"/>
    <n v="3005367"/>
    <s v="LY"/>
    <s v="Display-Amazon"/>
    <s v="Amazon"/>
  </r>
  <r>
    <s v="Biolage"/>
    <x v="2"/>
    <x v="2"/>
    <s v="Amazon"/>
    <s v="Amazon"/>
    <x v="51"/>
    <d v="2024-01-01T00:00:00"/>
    <n v="11078.639999999996"/>
    <n v="2790583"/>
    <s v="LY"/>
    <s v="Search-Amazon"/>
    <s v="Amazon"/>
  </r>
  <r>
    <s v="Biolage"/>
    <x v="3"/>
    <x v="1"/>
    <s v="Amazon"/>
    <s v="Amazon"/>
    <x v="51"/>
    <d v="2024-01-01T00:00:00"/>
    <n v="4945.9644000000017"/>
    <n v="378190"/>
    <s v="LY"/>
    <s v="Display-Amazon"/>
    <s v="Amazon"/>
  </r>
  <r>
    <s v="Biolage"/>
    <x v="3"/>
    <x v="2"/>
    <s v="Amazon"/>
    <s v="Amazon"/>
    <x v="51"/>
    <d v="2024-01-01T00:00:00"/>
    <n v="13801.55"/>
    <n v="2467356"/>
    <s v="LY"/>
    <s v="Search-Amazon"/>
    <s v="Amazon"/>
  </r>
  <r>
    <s v="Biolage"/>
    <x v="4"/>
    <x v="1"/>
    <s v="Amazon"/>
    <s v="Amazon"/>
    <x v="51"/>
    <d v="2024-01-01T00:00:00"/>
    <n v="5288.122800000001"/>
    <n v="993546"/>
    <s v="LY"/>
    <s v="Display-Amazon"/>
    <s v="Amazon"/>
  </r>
  <r>
    <s v="Biolage"/>
    <x v="4"/>
    <x v="2"/>
    <s v="Amazon"/>
    <s v="Amazon"/>
    <x v="51"/>
    <d v="2024-01-01T00:00:00"/>
    <n v="6784.2300000000032"/>
    <n v="1470743"/>
    <s v="LY"/>
    <s v="Search-Amazon"/>
    <s v="Amazon"/>
  </r>
  <r>
    <s v="Biolage"/>
    <x v="5"/>
    <x v="1"/>
    <s v="Amazon"/>
    <s v="Amazon"/>
    <x v="51"/>
    <d v="2024-01-01T00:00:00"/>
    <n v="3829.0717000000009"/>
    <n v="1238798"/>
    <s v="LY"/>
    <s v="Display-Amazon"/>
    <s v="Amazon"/>
  </r>
  <r>
    <s v="Biolage"/>
    <x v="5"/>
    <x v="3"/>
    <s v="Amazon"/>
    <s v="Amazon"/>
    <x v="51"/>
    <d v="2024-01-01T00:00:00"/>
    <n v="9252.5305000000008"/>
    <n v="1088533"/>
    <s v="LY"/>
    <s v="OTT-Amazon"/>
    <s v="Amazon"/>
  </r>
  <r>
    <s v="Biolage"/>
    <x v="5"/>
    <x v="2"/>
    <s v="Amazon"/>
    <s v="Amazon"/>
    <x v="51"/>
    <d v="2024-01-01T00:00:00"/>
    <n v="7463.21"/>
    <n v="893473"/>
    <s v="LY"/>
    <s v="Search-Amazon"/>
    <s v="Amazon"/>
  </r>
  <r>
    <s v="Biolage"/>
    <x v="8"/>
    <x v="1"/>
    <s v="Amazon"/>
    <s v="Amazon"/>
    <x v="51"/>
    <d v="2024-01-01T00:00:00"/>
    <n v="2760.5767000000014"/>
    <n v="768774"/>
    <s v="LY"/>
    <s v="Display-Amazon"/>
    <s v="Amazon"/>
  </r>
  <r>
    <s v="Biolage"/>
    <x v="8"/>
    <x v="2"/>
    <s v="Amazon"/>
    <s v="Amazon"/>
    <x v="51"/>
    <d v="2024-01-01T00:00:00"/>
    <n v="3462.05"/>
    <n v="612956"/>
    <s v="LY"/>
    <s v="Search-Amazon"/>
    <s v="Amazon"/>
  </r>
  <r>
    <s v="Biolage"/>
    <x v="10"/>
    <x v="2"/>
    <s v="Google"/>
    <s v="Biolage"/>
    <x v="51"/>
    <d v="2024-01-01T00:00:00"/>
    <n v="83.34"/>
    <n v="437"/>
    <s v="LY"/>
    <s v="Search-Google"/>
    <s v="Search"/>
  </r>
  <r>
    <s v="Biolage"/>
    <x v="9"/>
    <x v="2"/>
    <s v="Google"/>
    <s v="Biolage"/>
    <x v="51"/>
    <d v="2024-01-01T00:00:00"/>
    <n v="43.59"/>
    <n v="221"/>
    <s v="LY"/>
    <s v="Search-Google"/>
    <s v="Search"/>
  </r>
  <r>
    <s v="Biolage"/>
    <x v="0"/>
    <x v="2"/>
    <s v="Google"/>
    <s v="Biolage"/>
    <x v="51"/>
    <d v="2024-01-01T00:00:00"/>
    <n v="7559.404070999999"/>
    <n v="30597"/>
    <s v="LY"/>
    <s v="Search-Google"/>
    <s v="Search"/>
  </r>
  <r>
    <s v="Biolage"/>
    <x v="2"/>
    <x v="2"/>
    <s v="Google"/>
    <s v="Biolage"/>
    <x v="51"/>
    <d v="2024-01-01T00:00:00"/>
    <n v="136.72999999999999"/>
    <n v="996"/>
    <s v="LY"/>
    <s v="Search-Google"/>
    <s v="Search"/>
  </r>
  <r>
    <s v="Biolage"/>
    <x v="11"/>
    <x v="2"/>
    <s v="Google"/>
    <s v="Biolage"/>
    <x v="51"/>
    <d v="2024-01-01T00:00:00"/>
    <n v="155.60000000000002"/>
    <n v="280"/>
    <s v="LY"/>
    <s v="Search-Google"/>
    <s v="Search"/>
  </r>
  <r>
    <s v="Biolage"/>
    <x v="1"/>
    <x v="2"/>
    <s v="Google"/>
    <s v="Biolage"/>
    <x v="51"/>
    <d v="2024-01-01T00:00:00"/>
    <n v="401.50379299999997"/>
    <n v="2432"/>
    <s v="LY"/>
    <s v="Search-Google"/>
    <s v="Search"/>
  </r>
  <r>
    <s v="Biolage"/>
    <x v="5"/>
    <x v="2"/>
    <s v="Google"/>
    <s v="Biolage"/>
    <x v="51"/>
    <d v="2024-01-01T00:00:00"/>
    <n v="217.37"/>
    <n v="2053"/>
    <s v="LY"/>
    <s v="Search-Google"/>
    <s v="Search"/>
  </r>
  <r>
    <s v="Biolage"/>
    <x v="8"/>
    <x v="2"/>
    <s v="Google"/>
    <s v="Biolage"/>
    <x v="51"/>
    <d v="2024-01-01T00:00:00"/>
    <n v="100.22"/>
    <n v="571"/>
    <s v="LY"/>
    <s v="Search-Google"/>
    <s v="Search"/>
  </r>
  <r>
    <s v="Biolage"/>
    <x v="3"/>
    <x v="2"/>
    <s v="Google"/>
    <s v="Biolage"/>
    <x v="51"/>
    <d v="2024-01-01T00:00:00"/>
    <n v="76.8"/>
    <n v="471"/>
    <s v="LY"/>
    <s v="Search-Google"/>
    <s v="Search"/>
  </r>
  <r>
    <s v="Biolage"/>
    <x v="6"/>
    <x v="2"/>
    <s v="Google"/>
    <s v="Biolage"/>
    <x v="51"/>
    <d v="2024-01-01T00:00:00"/>
    <n v="139.34999999999997"/>
    <n v="719"/>
    <s v="LY"/>
    <s v="Search-Google"/>
    <s v="Search"/>
  </r>
  <r>
    <s v="Biolage"/>
    <x v="4"/>
    <x v="2"/>
    <s v="Google"/>
    <s v="Biolage"/>
    <x v="51"/>
    <d v="2024-01-01T00:00:00"/>
    <n v="196.89"/>
    <n v="1145"/>
    <s v="LY"/>
    <s v="Search-Google"/>
    <s v="Search"/>
  </r>
  <r>
    <s v="Biolage"/>
    <x v="1"/>
    <x v="1"/>
    <s v="Amazon"/>
    <s v="Amazon"/>
    <x v="52"/>
    <d v="2024-01-01T00:00:00"/>
    <n v="6970.948699999999"/>
    <n v="1389758"/>
    <s v="LY"/>
    <s v="Display-Amazon"/>
    <s v="Amazon"/>
  </r>
  <r>
    <s v="Biolage"/>
    <x v="1"/>
    <x v="2"/>
    <s v="Amazon"/>
    <s v="Amazon"/>
    <x v="52"/>
    <d v="2024-01-01T00:00:00"/>
    <n v="10691.380000000001"/>
    <n v="1645806"/>
    <s v="LY"/>
    <s v="Search-Amazon"/>
    <s v="Amazon"/>
  </r>
  <r>
    <s v="Biolage"/>
    <x v="0"/>
    <x v="1"/>
    <s v="Amazon"/>
    <s v="Amazon"/>
    <x v="52"/>
    <d v="2024-01-01T00:00:00"/>
    <n v="15599.232"/>
    <n v="3554503"/>
    <s v="LY"/>
    <s v="Display-Amazon"/>
    <s v="Amazon"/>
  </r>
  <r>
    <s v="Biolage"/>
    <x v="0"/>
    <x v="3"/>
    <s v="Amazon"/>
    <s v="Amazon"/>
    <x v="52"/>
    <d v="2024-01-01T00:00:00"/>
    <n v="1749.7381"/>
    <n v="575098"/>
    <s v="LY"/>
    <s v="OTT-Amazon"/>
    <s v="Amazon"/>
  </r>
  <r>
    <s v="Biolage"/>
    <x v="0"/>
    <x v="2"/>
    <s v="Amazon"/>
    <s v="Amazon"/>
    <x v="52"/>
    <d v="2024-01-01T00:00:00"/>
    <n v="17439.609999999997"/>
    <n v="2023848"/>
    <s v="LY"/>
    <s v="Search-Amazon"/>
    <s v="Amazon"/>
  </r>
  <r>
    <s v="Biolage"/>
    <x v="2"/>
    <x v="1"/>
    <s v="Amazon"/>
    <s v="Amazon"/>
    <x v="52"/>
    <d v="2024-01-01T00:00:00"/>
    <n v="13608.718099999995"/>
    <n v="2762164"/>
    <s v="LY"/>
    <s v="Display-Amazon"/>
    <s v="Amazon"/>
  </r>
  <r>
    <s v="Biolage"/>
    <x v="2"/>
    <x v="2"/>
    <s v="Amazon"/>
    <s v="Amazon"/>
    <x v="52"/>
    <d v="2024-01-01T00:00:00"/>
    <n v="18048.659999999996"/>
    <n v="4382522"/>
    <s v="LY"/>
    <s v="Search-Amazon"/>
    <s v="Amazon"/>
  </r>
  <r>
    <s v="Biolage"/>
    <x v="3"/>
    <x v="1"/>
    <s v="Amazon"/>
    <s v="Amazon"/>
    <x v="52"/>
    <d v="2024-01-01T00:00:00"/>
    <n v="4556.9813999999997"/>
    <n v="331957"/>
    <s v="LY"/>
    <s v="Display-Amazon"/>
    <s v="Amazon"/>
  </r>
  <r>
    <s v="Biolage"/>
    <x v="3"/>
    <x v="2"/>
    <s v="Amazon"/>
    <s v="Amazon"/>
    <x v="52"/>
    <d v="2024-01-01T00:00:00"/>
    <n v="14100.420000000004"/>
    <n v="2888116"/>
    <s v="LY"/>
    <s v="Search-Amazon"/>
    <s v="Amazon"/>
  </r>
  <r>
    <s v="Biolage"/>
    <x v="4"/>
    <x v="1"/>
    <s v="Amazon"/>
    <s v="Amazon"/>
    <x v="52"/>
    <d v="2024-01-01T00:00:00"/>
    <n v="5009.6037000000015"/>
    <n v="1014080"/>
    <s v="LY"/>
    <s v="Display-Amazon"/>
    <s v="Amazon"/>
  </r>
  <r>
    <s v="Biolage"/>
    <x v="4"/>
    <x v="2"/>
    <s v="Amazon"/>
    <s v="Amazon"/>
    <x v="52"/>
    <d v="2024-01-01T00:00:00"/>
    <n v="11151.809999999998"/>
    <n v="2019016"/>
    <s v="LY"/>
    <s v="Search-Amazon"/>
    <s v="Amazon"/>
  </r>
  <r>
    <s v="Biolage"/>
    <x v="5"/>
    <x v="1"/>
    <s v="Amazon"/>
    <s v="Amazon"/>
    <x v="52"/>
    <d v="2024-01-01T00:00:00"/>
    <n v="4193.6985000000004"/>
    <n v="1258506"/>
    <s v="LY"/>
    <s v="Display-Amazon"/>
    <s v="Amazon"/>
  </r>
  <r>
    <s v="Biolage"/>
    <x v="5"/>
    <x v="3"/>
    <s v="Amazon"/>
    <s v="Amazon"/>
    <x v="52"/>
    <d v="2024-01-01T00:00:00"/>
    <n v="9142.0049999999992"/>
    <n v="1075530"/>
    <s v="LY"/>
    <s v="OTT-Amazon"/>
    <s v="Amazon"/>
  </r>
  <r>
    <s v="Biolage"/>
    <x v="5"/>
    <x v="2"/>
    <s v="Amazon"/>
    <s v="Amazon"/>
    <x v="52"/>
    <d v="2024-01-01T00:00:00"/>
    <n v="6932.7299999999968"/>
    <n v="965223"/>
    <s v="LY"/>
    <s v="Search-Amazon"/>
    <s v="Amazon"/>
  </r>
  <r>
    <s v="Biolage"/>
    <x v="8"/>
    <x v="1"/>
    <s v="Amazon"/>
    <s v="Amazon"/>
    <x v="52"/>
    <d v="2024-01-01T00:00:00"/>
    <n v="2651.1025000000009"/>
    <n v="731691"/>
    <s v="LY"/>
    <s v="Display-Amazon"/>
    <s v="Amazon"/>
  </r>
  <r>
    <s v="Biolage"/>
    <x v="8"/>
    <x v="2"/>
    <s v="Amazon"/>
    <s v="Amazon"/>
    <x v="52"/>
    <d v="2024-01-01T00:00:00"/>
    <n v="3965.1499999999992"/>
    <n v="627005"/>
    <s v="LY"/>
    <s v="Search-Amazon"/>
    <s v="Amazon"/>
  </r>
  <r>
    <s v="Biolage"/>
    <x v="10"/>
    <x v="2"/>
    <s v="Google"/>
    <s v="Biolage"/>
    <x v="52"/>
    <d v="2024-01-01T00:00:00"/>
    <n v="92.91"/>
    <n v="386"/>
    <s v="LY"/>
    <s v="Search-Google"/>
    <s v="Search"/>
  </r>
  <r>
    <s v="Biolage"/>
    <x v="9"/>
    <x v="2"/>
    <s v="Google"/>
    <s v="Biolage"/>
    <x v="52"/>
    <d v="2024-01-01T00:00:00"/>
    <n v="28.740000000000002"/>
    <n v="246"/>
    <s v="LY"/>
    <s v="Search-Google"/>
    <s v="Search"/>
  </r>
  <r>
    <s v="Biolage"/>
    <x v="0"/>
    <x v="2"/>
    <s v="Google"/>
    <s v="Biolage"/>
    <x v="52"/>
    <d v="2024-01-01T00:00:00"/>
    <n v="8182.6840920000004"/>
    <n v="32600"/>
    <s v="LY"/>
    <s v="Search-Google"/>
    <s v="Search"/>
  </r>
  <r>
    <s v="Biolage"/>
    <x v="2"/>
    <x v="2"/>
    <s v="Google"/>
    <s v="Biolage"/>
    <x v="52"/>
    <d v="2024-01-01T00:00:00"/>
    <n v="130.30000000000001"/>
    <n v="1111"/>
    <s v="LY"/>
    <s v="Search-Google"/>
    <s v="Search"/>
  </r>
  <r>
    <s v="Biolage"/>
    <x v="11"/>
    <x v="2"/>
    <s v="Google"/>
    <s v="Biolage"/>
    <x v="52"/>
    <d v="2024-01-01T00:00:00"/>
    <n v="190.91000000000003"/>
    <n v="383"/>
    <s v="LY"/>
    <s v="Search-Google"/>
    <s v="Search"/>
  </r>
  <r>
    <s v="Biolage"/>
    <x v="1"/>
    <x v="2"/>
    <s v="Google"/>
    <s v="Biolage"/>
    <x v="52"/>
    <d v="2024-01-01T00:00:00"/>
    <n v="330.78000000000003"/>
    <n v="2503"/>
    <s v="LY"/>
    <s v="Search-Google"/>
    <s v="Search"/>
  </r>
  <r>
    <s v="Biolage"/>
    <x v="5"/>
    <x v="2"/>
    <s v="Google"/>
    <s v="Biolage"/>
    <x v="52"/>
    <d v="2024-01-01T00:00:00"/>
    <n v="242.77266599999996"/>
    <n v="1793"/>
    <s v="LY"/>
    <s v="Search-Google"/>
    <s v="Search"/>
  </r>
  <r>
    <s v="Biolage"/>
    <x v="8"/>
    <x v="2"/>
    <s v="Google"/>
    <s v="Biolage"/>
    <x v="52"/>
    <d v="2024-01-01T00:00:00"/>
    <n v="119.99000000000001"/>
    <n v="710"/>
    <s v="LY"/>
    <s v="Search-Google"/>
    <s v="Search"/>
  </r>
  <r>
    <s v="Biolage"/>
    <x v="3"/>
    <x v="2"/>
    <s v="Google"/>
    <s v="Biolage"/>
    <x v="52"/>
    <d v="2024-01-01T00:00:00"/>
    <n v="74.44"/>
    <n v="540"/>
    <s v="LY"/>
    <s v="Search-Google"/>
    <s v="Search"/>
  </r>
  <r>
    <s v="Biolage"/>
    <x v="6"/>
    <x v="2"/>
    <s v="Google"/>
    <s v="Biolage"/>
    <x v="52"/>
    <d v="2024-01-01T00:00:00"/>
    <n v="114.33000000000003"/>
    <n v="791"/>
    <s v="LY"/>
    <s v="Search-Google"/>
    <s v="Search"/>
  </r>
  <r>
    <s v="Biolage"/>
    <x v="4"/>
    <x v="2"/>
    <s v="Google"/>
    <s v="Biolage"/>
    <x v="52"/>
    <d v="2024-01-01T00:00:00"/>
    <n v="159.55000000000004"/>
    <n v="969"/>
    <s v="LY"/>
    <s v="Search-Google"/>
    <s v="Search"/>
  </r>
  <r>
    <s v="Biolage"/>
    <x v="12"/>
    <x v="0"/>
    <s v="Meta"/>
    <s v="Amazon"/>
    <x v="53"/>
    <d v="2024-01-01T00:00:00"/>
    <n v="24424.720026999996"/>
    <n v="3392096"/>
    <s v="LY"/>
    <s v="Social-Meta"/>
    <s v="Meta"/>
  </r>
  <r>
    <s v="Biolage"/>
    <x v="1"/>
    <x v="1"/>
    <s v="Amazon"/>
    <s v="Amazon"/>
    <x v="53"/>
    <d v="2024-01-01T00:00:00"/>
    <n v="5848.8713000000043"/>
    <n v="1840713"/>
    <s v="LY"/>
    <s v="Display-Amazon"/>
    <s v="Amazon"/>
  </r>
  <r>
    <s v="Biolage"/>
    <x v="1"/>
    <x v="2"/>
    <s v="Amazon"/>
    <s v="Amazon"/>
    <x v="53"/>
    <d v="2024-01-01T00:00:00"/>
    <n v="11837.810000000009"/>
    <n v="1813029"/>
    <s v="LY"/>
    <s v="Search-Amazon"/>
    <s v="Amazon"/>
  </r>
  <r>
    <s v="Biolage"/>
    <x v="0"/>
    <x v="1"/>
    <s v="Amazon"/>
    <s v="Amazon"/>
    <x v="53"/>
    <d v="2024-01-01T00:00:00"/>
    <n v="18503.618600000009"/>
    <n v="4473512"/>
    <s v="LY"/>
    <s v="Display-Amazon"/>
    <s v="Amazon"/>
  </r>
  <r>
    <s v="Biolage"/>
    <x v="0"/>
    <x v="3"/>
    <s v="Amazon"/>
    <s v="Amazon"/>
    <x v="53"/>
    <d v="2024-01-01T00:00:00"/>
    <n v="1723.3786000000002"/>
    <n v="566050"/>
    <s v="LY"/>
    <s v="OTT-Amazon"/>
    <s v="Amazon"/>
  </r>
  <r>
    <s v="Biolage"/>
    <x v="0"/>
    <x v="2"/>
    <s v="Amazon"/>
    <s v="Amazon"/>
    <x v="53"/>
    <d v="2024-01-01T00:00:00"/>
    <n v="16232.81"/>
    <n v="1965678"/>
    <s v="LY"/>
    <s v="Search-Amazon"/>
    <s v="Amazon"/>
  </r>
  <r>
    <s v="Biolage"/>
    <x v="2"/>
    <x v="1"/>
    <s v="Amazon"/>
    <s v="Amazon"/>
    <x v="53"/>
    <d v="2024-01-01T00:00:00"/>
    <n v="6419.6618999999973"/>
    <n v="1798709"/>
    <s v="LY"/>
    <s v="Display-Amazon"/>
    <s v="Amazon"/>
  </r>
  <r>
    <s v="Biolage"/>
    <x v="2"/>
    <x v="2"/>
    <s v="Amazon"/>
    <s v="Amazon"/>
    <x v="53"/>
    <d v="2024-01-01T00:00:00"/>
    <n v="18641.490000000009"/>
    <n v="3898367"/>
    <s v="LY"/>
    <s v="Search-Amazon"/>
    <s v="Amazon"/>
  </r>
  <r>
    <s v="Biolage"/>
    <x v="3"/>
    <x v="1"/>
    <s v="Amazon"/>
    <s v="Amazon"/>
    <x v="53"/>
    <d v="2024-01-01T00:00:00"/>
    <n v="3781.5192000000029"/>
    <n v="390041"/>
    <s v="LY"/>
    <s v="Display-Amazon"/>
    <s v="Amazon"/>
  </r>
  <r>
    <s v="Biolage"/>
    <x v="3"/>
    <x v="2"/>
    <s v="Amazon"/>
    <s v="Amazon"/>
    <x v="53"/>
    <d v="2024-01-01T00:00:00"/>
    <n v="12565.890000000003"/>
    <n v="2615513"/>
    <s v="LY"/>
    <s v="Search-Amazon"/>
    <s v="Amazon"/>
  </r>
  <r>
    <s v="Biolage"/>
    <x v="4"/>
    <x v="1"/>
    <s v="Amazon"/>
    <s v="Amazon"/>
    <x v="53"/>
    <d v="2024-01-01T00:00:00"/>
    <n v="4243.3991000000005"/>
    <n v="1341897"/>
    <s v="LY"/>
    <s v="Display-Amazon"/>
    <s v="Amazon"/>
  </r>
  <r>
    <s v="Biolage"/>
    <x v="4"/>
    <x v="2"/>
    <s v="Amazon"/>
    <s v="Amazon"/>
    <x v="53"/>
    <d v="2024-01-01T00:00:00"/>
    <n v="9182.5099999999966"/>
    <n v="1674567"/>
    <s v="LY"/>
    <s v="Search-Amazon"/>
    <s v="Amazon"/>
  </r>
  <r>
    <s v="Biolage"/>
    <x v="5"/>
    <x v="1"/>
    <s v="Amazon"/>
    <s v="Amazon"/>
    <x v="53"/>
    <d v="2024-01-01T00:00:00"/>
    <n v="3390.5334999999991"/>
    <n v="1091897"/>
    <s v="LY"/>
    <s v="Display-Amazon"/>
    <s v="Amazon"/>
  </r>
  <r>
    <s v="Biolage"/>
    <x v="5"/>
    <x v="3"/>
    <s v="Amazon"/>
    <s v="Amazon"/>
    <x v="53"/>
    <d v="2024-01-01T00:00:00"/>
    <n v="9097.1504999999997"/>
    <n v="1070253"/>
    <s v="LY"/>
    <s v="OTT-Amazon"/>
    <s v="Amazon"/>
  </r>
  <r>
    <s v="Biolage"/>
    <x v="5"/>
    <x v="2"/>
    <s v="Amazon"/>
    <s v="Amazon"/>
    <x v="53"/>
    <d v="2024-01-01T00:00:00"/>
    <n v="5869.0500000000011"/>
    <n v="819212"/>
    <s v="LY"/>
    <s v="Search-Amazon"/>
    <s v="Amazon"/>
  </r>
  <r>
    <s v="Biolage"/>
    <x v="8"/>
    <x v="1"/>
    <s v="Amazon"/>
    <s v="Amazon"/>
    <x v="53"/>
    <d v="2024-01-01T00:00:00"/>
    <n v="2202.7001999999998"/>
    <n v="769107"/>
    <s v="LY"/>
    <s v="Display-Amazon"/>
    <s v="Amazon"/>
  </r>
  <r>
    <s v="Biolage"/>
    <x v="8"/>
    <x v="2"/>
    <s v="Amazon"/>
    <s v="Amazon"/>
    <x v="53"/>
    <d v="2024-01-01T00:00:00"/>
    <n v="4526.9799999999996"/>
    <n v="640468"/>
    <s v="LY"/>
    <s v="Search-Amazon"/>
    <s v="Amazon"/>
  </r>
  <r>
    <s v="Biolage"/>
    <x v="10"/>
    <x v="2"/>
    <s v="Google"/>
    <s v="Biolage"/>
    <x v="53"/>
    <d v="2024-01-01T00:00:00"/>
    <n v="91.100000000000009"/>
    <n v="395"/>
    <s v="LY"/>
    <s v="Search-Google"/>
    <s v="Search"/>
  </r>
  <r>
    <s v="Biolage"/>
    <x v="9"/>
    <x v="2"/>
    <s v="Google"/>
    <s v="Biolage"/>
    <x v="53"/>
    <d v="2024-01-01T00:00:00"/>
    <n v="42.28"/>
    <n v="238"/>
    <s v="LY"/>
    <s v="Search-Google"/>
    <s v="Search"/>
  </r>
  <r>
    <s v="Biolage"/>
    <x v="0"/>
    <x v="2"/>
    <s v="Google"/>
    <s v="Biolage"/>
    <x v="53"/>
    <d v="2024-01-01T00:00:00"/>
    <n v="7285.5753510000022"/>
    <n v="29725"/>
    <s v="LY"/>
    <s v="Search-Google"/>
    <s v="Search"/>
  </r>
  <r>
    <s v="Biolage"/>
    <x v="2"/>
    <x v="2"/>
    <s v="Google"/>
    <s v="Biolage"/>
    <x v="53"/>
    <d v="2024-01-01T00:00:00"/>
    <n v="130.28297800000001"/>
    <n v="962"/>
    <s v="LY"/>
    <s v="Search-Google"/>
    <s v="Search"/>
  </r>
  <r>
    <s v="Biolage"/>
    <x v="11"/>
    <x v="2"/>
    <s v="Google"/>
    <s v="Biolage"/>
    <x v="53"/>
    <d v="2024-01-01T00:00:00"/>
    <n v="160.31211399999998"/>
    <n v="383"/>
    <s v="LY"/>
    <s v="Search-Google"/>
    <s v="Search"/>
  </r>
  <r>
    <s v="Biolage"/>
    <x v="1"/>
    <x v="2"/>
    <s v="Google"/>
    <s v="Biolage"/>
    <x v="53"/>
    <d v="2024-01-01T00:00:00"/>
    <n v="349.07157699999999"/>
    <n v="2323"/>
    <s v="LY"/>
    <s v="Search-Google"/>
    <s v="Search"/>
  </r>
  <r>
    <s v="Biolage"/>
    <x v="5"/>
    <x v="2"/>
    <s v="Google"/>
    <s v="Biolage"/>
    <x v="53"/>
    <d v="2024-01-01T00:00:00"/>
    <n v="206.07000000000002"/>
    <n v="1544"/>
    <s v="LY"/>
    <s v="Search-Google"/>
    <s v="Search"/>
  </r>
  <r>
    <s v="Biolage"/>
    <x v="8"/>
    <x v="2"/>
    <s v="Google"/>
    <s v="Biolage"/>
    <x v="53"/>
    <d v="2024-01-01T00:00:00"/>
    <n v="108.89000000000001"/>
    <n v="615"/>
    <s v="LY"/>
    <s v="Search-Google"/>
    <s v="Search"/>
  </r>
  <r>
    <s v="Biolage"/>
    <x v="3"/>
    <x v="2"/>
    <s v="Google"/>
    <s v="Biolage"/>
    <x v="53"/>
    <d v="2024-01-01T00:00:00"/>
    <n v="72.955839999999995"/>
    <n v="538"/>
    <s v="LY"/>
    <s v="Search-Google"/>
    <s v="Search"/>
  </r>
  <r>
    <s v="Biolage"/>
    <x v="6"/>
    <x v="2"/>
    <s v="Google"/>
    <s v="Biolage"/>
    <x v="53"/>
    <d v="2024-01-01T00:00:00"/>
    <n v="116.52"/>
    <n v="789"/>
    <s v="LY"/>
    <s v="Search-Google"/>
    <s v="Search"/>
  </r>
  <r>
    <s v="Biolage"/>
    <x v="4"/>
    <x v="2"/>
    <s v="Google"/>
    <s v="Biolage"/>
    <x v="53"/>
    <d v="2024-01-01T00:00:00"/>
    <n v="124.72999999999999"/>
    <n v="878"/>
    <s v="LY"/>
    <s v="Search-Google"/>
    <s v="Search"/>
  </r>
  <r>
    <s v="Biolage"/>
    <x v="12"/>
    <x v="0"/>
    <s v="Meta"/>
    <s v="Amazon"/>
    <x v="54"/>
    <d v="2024-01-01T00:00:00"/>
    <n v="81965.99004400002"/>
    <n v="11050292"/>
    <s v="TTM"/>
    <s v="Social-Meta"/>
    <s v="Meta"/>
  </r>
  <r>
    <s v="Biolage"/>
    <x v="12"/>
    <x v="0"/>
    <s v="Meta"/>
    <s v="Other"/>
    <x v="54"/>
    <d v="2024-01-01T00:00:00"/>
    <n v="30159.660002000001"/>
    <n v="3064494"/>
    <s v="TTM"/>
    <s v="Social-Meta"/>
    <s v="Meta"/>
  </r>
  <r>
    <s v="Biolage"/>
    <x v="1"/>
    <x v="1"/>
    <s v="Amazon"/>
    <s v="Amazon"/>
    <x v="54"/>
    <d v="2024-01-01T00:00:00"/>
    <n v="5896.5947000000024"/>
    <n v="2043111"/>
    <s v="TTM"/>
    <s v="Display-Amazon"/>
    <s v="Amazon"/>
  </r>
  <r>
    <s v="Biolage"/>
    <x v="1"/>
    <x v="2"/>
    <s v="Amazon"/>
    <s v="Amazon"/>
    <x v="54"/>
    <d v="2024-01-01T00:00:00"/>
    <n v="11519.870000000003"/>
    <n v="1555250"/>
    <s v="TTM"/>
    <s v="Search-Amazon"/>
    <s v="Amazon"/>
  </r>
  <r>
    <s v="Biolage"/>
    <x v="0"/>
    <x v="1"/>
    <s v="Amazon"/>
    <s v="Amazon"/>
    <x v="54"/>
    <d v="2024-01-01T00:00:00"/>
    <n v="19340.006600000012"/>
    <n v="4631748"/>
    <s v="TTM"/>
    <s v="Display-Amazon"/>
    <s v="Amazon"/>
  </r>
  <r>
    <s v="Biolage"/>
    <x v="0"/>
    <x v="3"/>
    <s v="Amazon"/>
    <s v="Amazon"/>
    <x v="54"/>
    <d v="2024-01-01T00:00:00"/>
    <n v="1774.6779000000001"/>
    <n v="583104"/>
    <s v="TTM"/>
    <s v="OTT-Amazon"/>
    <s v="Amazon"/>
  </r>
  <r>
    <s v="Biolage"/>
    <x v="0"/>
    <x v="2"/>
    <s v="Amazon"/>
    <s v="Amazon"/>
    <x v="54"/>
    <d v="2024-01-01T00:00:00"/>
    <n v="16456.060000000005"/>
    <n v="2007962"/>
    <s v="TTM"/>
    <s v="Search-Amazon"/>
    <s v="Amazon"/>
  </r>
  <r>
    <s v="Biolage"/>
    <x v="2"/>
    <x v="1"/>
    <s v="Amazon"/>
    <s v="Amazon"/>
    <x v="54"/>
    <d v="2024-01-01T00:00:00"/>
    <n v="5462.6431999999977"/>
    <n v="1527595"/>
    <s v="TTM"/>
    <s v="Display-Amazon"/>
    <s v="Amazon"/>
  </r>
  <r>
    <s v="Biolage"/>
    <x v="2"/>
    <x v="2"/>
    <s v="Amazon"/>
    <s v="Amazon"/>
    <x v="54"/>
    <d v="2024-01-01T00:00:00"/>
    <n v="18644.260000000006"/>
    <n v="3344353"/>
    <s v="TTM"/>
    <s v="Search-Amazon"/>
    <s v="Amazon"/>
  </r>
  <r>
    <s v="Biolage"/>
    <x v="3"/>
    <x v="1"/>
    <s v="Amazon"/>
    <s v="Amazon"/>
    <x v="54"/>
    <d v="2024-01-01T00:00:00"/>
    <n v="3797.8841999999986"/>
    <n v="409674"/>
    <s v="TTM"/>
    <s v="Display-Amazon"/>
    <s v="Amazon"/>
  </r>
  <r>
    <s v="Biolage"/>
    <x v="3"/>
    <x v="2"/>
    <s v="Amazon"/>
    <s v="Amazon"/>
    <x v="54"/>
    <d v="2024-01-01T00:00:00"/>
    <n v="13158.420000000007"/>
    <n v="2437396"/>
    <s v="TTM"/>
    <s v="Search-Amazon"/>
    <s v="Amazon"/>
  </r>
  <r>
    <s v="Biolage"/>
    <x v="4"/>
    <x v="1"/>
    <s v="Amazon"/>
    <s v="Amazon"/>
    <x v="54"/>
    <d v="2024-01-01T00:00:00"/>
    <n v="4239.3718999999992"/>
    <n v="1599537"/>
    <s v="TTM"/>
    <s v="Display-Amazon"/>
    <s v="Amazon"/>
  </r>
  <r>
    <s v="Biolage"/>
    <x v="4"/>
    <x v="2"/>
    <s v="Amazon"/>
    <s v="Amazon"/>
    <x v="54"/>
    <d v="2024-01-01T00:00:00"/>
    <n v="7462.8800000000019"/>
    <n v="1499788"/>
    <s v="TTM"/>
    <s v="Search-Amazon"/>
    <s v="Amazon"/>
  </r>
  <r>
    <s v="Biolage"/>
    <x v="5"/>
    <x v="1"/>
    <s v="Amazon"/>
    <s v="Amazon"/>
    <x v="54"/>
    <d v="2024-01-01T00:00:00"/>
    <n v="3508.3649"/>
    <n v="1100044"/>
    <s v="TTM"/>
    <s v="Display-Amazon"/>
    <s v="Amazon"/>
  </r>
  <r>
    <s v="Biolage"/>
    <x v="5"/>
    <x v="3"/>
    <s v="Amazon"/>
    <s v="Amazon"/>
    <x v="54"/>
    <d v="2024-01-01T00:00:00"/>
    <n v="8831.6785"/>
    <n v="1039021"/>
    <s v="TTM"/>
    <s v="OTT-Amazon"/>
    <s v="Amazon"/>
  </r>
  <r>
    <s v="Biolage"/>
    <x v="5"/>
    <x v="2"/>
    <s v="Amazon"/>
    <s v="Amazon"/>
    <x v="54"/>
    <d v="2024-01-01T00:00:00"/>
    <n v="6438.6699999999973"/>
    <n v="966813"/>
    <s v="TTM"/>
    <s v="Search-Amazon"/>
    <s v="Amazon"/>
  </r>
  <r>
    <s v="Biolage"/>
    <x v="8"/>
    <x v="1"/>
    <s v="Amazon"/>
    <s v="Amazon"/>
    <x v="54"/>
    <d v="2024-01-01T00:00:00"/>
    <n v="2265.7084000000004"/>
    <n v="712468"/>
    <s v="TTM"/>
    <s v="Display-Amazon"/>
    <s v="Amazon"/>
  </r>
  <r>
    <s v="Biolage"/>
    <x v="8"/>
    <x v="2"/>
    <s v="Amazon"/>
    <s v="Amazon"/>
    <x v="54"/>
    <d v="2024-01-01T00:00:00"/>
    <n v="4142.4400000000014"/>
    <n v="568981"/>
    <s v="TTM"/>
    <s v="Search-Amazon"/>
    <s v="Amazon"/>
  </r>
  <r>
    <s v="Biolage"/>
    <x v="10"/>
    <x v="2"/>
    <s v="Google"/>
    <s v="Biolage"/>
    <x v="54"/>
    <d v="2024-01-01T00:00:00"/>
    <n v="105.24838699999999"/>
    <n v="476"/>
    <s v="TTM"/>
    <s v="Search-Google"/>
    <s v="Search"/>
  </r>
  <r>
    <s v="Biolage"/>
    <x v="9"/>
    <x v="2"/>
    <s v="Google"/>
    <s v="Biolage"/>
    <x v="54"/>
    <d v="2024-01-01T00:00:00"/>
    <n v="52.083331999999992"/>
    <n v="282"/>
    <s v="TTM"/>
    <s v="Search-Google"/>
    <s v="Search"/>
  </r>
  <r>
    <s v="Biolage"/>
    <x v="0"/>
    <x v="2"/>
    <s v="Google"/>
    <s v="Biolage"/>
    <x v="54"/>
    <d v="2024-01-01T00:00:00"/>
    <n v="8017.4743689999987"/>
    <n v="31157"/>
    <s v="TTM"/>
    <s v="Search-Google"/>
    <s v="Search"/>
  </r>
  <r>
    <s v="Biolage"/>
    <x v="2"/>
    <x v="2"/>
    <s v="Google"/>
    <s v="Biolage"/>
    <x v="54"/>
    <d v="2024-01-01T00:00:00"/>
    <n v="119.52000000000001"/>
    <n v="960"/>
    <s v="TTM"/>
    <s v="Search-Google"/>
    <s v="Search"/>
  </r>
  <r>
    <s v="Biolage"/>
    <x v="11"/>
    <x v="2"/>
    <s v="Google"/>
    <s v="Biolage"/>
    <x v="54"/>
    <d v="2024-01-01T00:00:00"/>
    <n v="316.50627500000002"/>
    <n v="734"/>
    <s v="TTM"/>
    <s v="Search-Google"/>
    <s v="Search"/>
  </r>
  <r>
    <s v="Biolage"/>
    <x v="1"/>
    <x v="2"/>
    <s v="Google"/>
    <s v="Biolage"/>
    <x v="54"/>
    <d v="2024-01-01T00:00:00"/>
    <n v="355"/>
    <n v="2502"/>
    <s v="TTM"/>
    <s v="Search-Google"/>
    <s v="Search"/>
  </r>
  <r>
    <s v="Biolage"/>
    <x v="5"/>
    <x v="2"/>
    <s v="Google"/>
    <s v="Biolage"/>
    <x v="54"/>
    <d v="2024-01-01T00:00:00"/>
    <n v="260.88"/>
    <n v="1946"/>
    <s v="TTM"/>
    <s v="Search-Google"/>
    <s v="Search"/>
  </r>
  <r>
    <s v="Biolage"/>
    <x v="8"/>
    <x v="2"/>
    <s v="Google"/>
    <s v="Biolage"/>
    <x v="54"/>
    <d v="2024-01-01T00:00:00"/>
    <n v="139.88"/>
    <n v="677"/>
    <s v="TTM"/>
    <s v="Search-Google"/>
    <s v="Search"/>
  </r>
  <r>
    <s v="Biolage"/>
    <x v="3"/>
    <x v="2"/>
    <s v="Google"/>
    <s v="Biolage"/>
    <x v="54"/>
    <d v="2024-01-01T00:00:00"/>
    <n v="76.45"/>
    <n v="610"/>
    <s v="TTM"/>
    <s v="Search-Google"/>
    <s v="Search"/>
  </r>
  <r>
    <s v="Biolage"/>
    <x v="6"/>
    <x v="2"/>
    <s v="Google"/>
    <s v="Biolage"/>
    <x v="54"/>
    <d v="2024-01-01T00:00:00"/>
    <n v="176.42"/>
    <n v="961"/>
    <s v="TTM"/>
    <s v="Search-Google"/>
    <s v="Search"/>
  </r>
  <r>
    <s v="Biolage"/>
    <x v="4"/>
    <x v="2"/>
    <s v="Google"/>
    <s v="Biolage"/>
    <x v="54"/>
    <d v="2024-01-01T00:00:00"/>
    <n v="156.41"/>
    <n v="1032"/>
    <s v="TTM"/>
    <s v="Search-Google"/>
    <s v="Search"/>
  </r>
  <r>
    <s v="Biolage"/>
    <x v="12"/>
    <x v="0"/>
    <s v="Meta"/>
    <s v="Amazon"/>
    <x v="55"/>
    <d v="2024-01-01T00:00:00"/>
    <n v="63609.289988000004"/>
    <n v="9444788"/>
    <s v="TTM"/>
    <s v="Social-Meta"/>
    <s v="Meta"/>
  </r>
  <r>
    <s v="Biolage"/>
    <x v="12"/>
    <x v="0"/>
    <s v="Meta"/>
    <s v="Other"/>
    <x v="55"/>
    <d v="2024-01-01T00:00:00"/>
    <n v="19835.46"/>
    <n v="2067453"/>
    <s v="TTM"/>
    <s v="Social-Meta"/>
    <s v="Meta"/>
  </r>
  <r>
    <s v="Biolage"/>
    <x v="1"/>
    <x v="1"/>
    <s v="Amazon"/>
    <s v="Amazon"/>
    <x v="55"/>
    <d v="2024-01-01T00:00:00"/>
    <n v="4188.5794999999998"/>
    <n v="952207"/>
    <s v="TTM"/>
    <s v="Display-Amazon"/>
    <s v="Amazon"/>
  </r>
  <r>
    <s v="Biolage"/>
    <x v="1"/>
    <x v="2"/>
    <s v="Amazon"/>
    <s v="Amazon"/>
    <x v="55"/>
    <d v="2024-01-01T00:00:00"/>
    <n v="41172.98000000001"/>
    <n v="2973413"/>
    <s v="TTM"/>
    <s v="Search-Amazon"/>
    <s v="Amazon"/>
  </r>
  <r>
    <s v="Biolage"/>
    <x v="0"/>
    <x v="1"/>
    <s v="Amazon"/>
    <s v="Amazon"/>
    <x v="55"/>
    <d v="2024-01-01T00:00:00"/>
    <n v="40342.340600000003"/>
    <n v="8721859"/>
    <s v="TTM"/>
    <s v="Display-Amazon"/>
    <s v="Amazon"/>
  </r>
  <r>
    <s v="Biolage"/>
    <x v="0"/>
    <x v="3"/>
    <s v="Amazon"/>
    <s v="Amazon"/>
    <x v="55"/>
    <d v="2024-01-01T00:00:00"/>
    <n v="1821.8292000000001"/>
    <n v="591250"/>
    <s v="TTM"/>
    <s v="OTT-Amazon"/>
    <s v="Amazon"/>
  </r>
  <r>
    <s v="Biolage"/>
    <x v="0"/>
    <x v="2"/>
    <s v="Amazon"/>
    <s v="Amazon"/>
    <x v="55"/>
    <d v="2024-01-01T00:00:00"/>
    <n v="51930.590000000011"/>
    <n v="3148777"/>
    <s v="TTM"/>
    <s v="Search-Amazon"/>
    <s v="Amazon"/>
  </r>
  <r>
    <s v="Biolage"/>
    <x v="2"/>
    <x v="1"/>
    <s v="Amazon"/>
    <s v="Amazon"/>
    <x v="55"/>
    <d v="2024-01-01T00:00:00"/>
    <n v="3985.3638000000019"/>
    <n v="927020"/>
    <s v="TTM"/>
    <s v="Display-Amazon"/>
    <s v="Amazon"/>
  </r>
  <r>
    <s v="Biolage"/>
    <x v="2"/>
    <x v="2"/>
    <s v="Amazon"/>
    <s v="Amazon"/>
    <x v="55"/>
    <d v="2024-01-01T00:00:00"/>
    <n v="119138.89999999997"/>
    <n v="10577276"/>
    <s v="TTM"/>
    <s v="Search-Amazon"/>
    <s v="Amazon"/>
  </r>
  <r>
    <s v="Biolage"/>
    <x v="3"/>
    <x v="1"/>
    <s v="Amazon"/>
    <s v="Amazon"/>
    <x v="55"/>
    <d v="2024-01-01T00:00:00"/>
    <n v="2709.2779"/>
    <n v="224649"/>
    <s v="TTM"/>
    <s v="Display-Amazon"/>
    <s v="Amazon"/>
  </r>
  <r>
    <s v="Biolage"/>
    <x v="3"/>
    <x v="2"/>
    <s v="Amazon"/>
    <s v="Amazon"/>
    <x v="55"/>
    <d v="2024-01-01T00:00:00"/>
    <n v="44521.04"/>
    <n v="6767775"/>
    <s v="TTM"/>
    <s v="Search-Amazon"/>
    <s v="Amazon"/>
  </r>
  <r>
    <s v="Biolage"/>
    <x v="4"/>
    <x v="1"/>
    <s v="Amazon"/>
    <s v="Amazon"/>
    <x v="55"/>
    <d v="2024-01-01T00:00:00"/>
    <n v="3059.0468000000001"/>
    <n v="917642"/>
    <s v="TTM"/>
    <s v="Display-Amazon"/>
    <s v="Amazon"/>
  </r>
  <r>
    <s v="Biolage"/>
    <x v="4"/>
    <x v="2"/>
    <s v="Amazon"/>
    <s v="Amazon"/>
    <x v="55"/>
    <d v="2024-01-01T00:00:00"/>
    <n v="7504.079999999999"/>
    <n v="2222193"/>
    <s v="TTM"/>
    <s v="Search-Amazon"/>
    <s v="Amazon"/>
  </r>
  <r>
    <s v="Biolage"/>
    <x v="5"/>
    <x v="1"/>
    <s v="Amazon"/>
    <s v="Amazon"/>
    <x v="55"/>
    <d v="2024-01-01T00:00:00"/>
    <n v="2499.0062000000003"/>
    <n v="741311"/>
    <s v="TTM"/>
    <s v="Display-Amazon"/>
    <s v="Amazon"/>
  </r>
  <r>
    <s v="Biolage"/>
    <x v="5"/>
    <x v="3"/>
    <s v="Amazon"/>
    <s v="Amazon"/>
    <x v="55"/>
    <d v="2024-01-01T00:00:00"/>
    <n v="8527.2424999999985"/>
    <n v="1003205"/>
    <s v="TTM"/>
    <s v="OTT-Amazon"/>
    <s v="Amazon"/>
  </r>
  <r>
    <s v="Biolage"/>
    <x v="5"/>
    <x v="2"/>
    <s v="Amazon"/>
    <s v="Amazon"/>
    <x v="55"/>
    <d v="2024-01-01T00:00:00"/>
    <n v="30519.24"/>
    <n v="2059122"/>
    <s v="TTM"/>
    <s v="Search-Amazon"/>
    <s v="Amazon"/>
  </r>
  <r>
    <s v="Biolage"/>
    <x v="8"/>
    <x v="1"/>
    <s v="Amazon"/>
    <s v="Amazon"/>
    <x v="55"/>
    <d v="2024-01-01T00:00:00"/>
    <n v="1556.7872999999997"/>
    <n v="381910"/>
    <s v="TTM"/>
    <s v="Display-Amazon"/>
    <s v="Amazon"/>
  </r>
  <r>
    <s v="Biolage"/>
    <x v="8"/>
    <x v="2"/>
    <s v="Amazon"/>
    <s v="Amazon"/>
    <x v="55"/>
    <d v="2024-01-01T00:00:00"/>
    <n v="4099.0800000000008"/>
    <n v="941940"/>
    <s v="TTM"/>
    <s v="Search-Amazon"/>
    <s v="Amazon"/>
  </r>
  <r>
    <s v="Biolage"/>
    <x v="6"/>
    <x v="2"/>
    <s v="Amazon"/>
    <s v="Amazon"/>
    <x v="55"/>
    <d v="2024-01-01T00:00:00"/>
    <n v="0.74"/>
    <n v="730"/>
    <s v="TTM"/>
    <s v="Search-Amazon"/>
    <s v="Amazon"/>
  </r>
  <r>
    <s v="Biolage"/>
    <x v="10"/>
    <x v="2"/>
    <s v="Google"/>
    <s v="Biolage"/>
    <x v="55"/>
    <d v="2024-01-01T00:00:00"/>
    <n v="68.720000000000013"/>
    <n v="360"/>
    <s v="TTM"/>
    <s v="Search-Google"/>
    <s v="Search"/>
  </r>
  <r>
    <s v="Biolage"/>
    <x v="9"/>
    <x v="2"/>
    <s v="Google"/>
    <s v="Biolage"/>
    <x v="55"/>
    <d v="2024-01-01T00:00:00"/>
    <n v="45.66"/>
    <n v="217"/>
    <s v="TTM"/>
    <s v="Search-Google"/>
    <s v="Search"/>
  </r>
  <r>
    <s v="Biolage"/>
    <x v="0"/>
    <x v="2"/>
    <s v="Google"/>
    <s v="Biolage"/>
    <x v="55"/>
    <d v="2024-01-01T00:00:00"/>
    <n v="8550.2894309999992"/>
    <n v="31677"/>
    <s v="TTM"/>
    <s v="Search-Google"/>
    <s v="Search"/>
  </r>
  <r>
    <s v="Biolage"/>
    <x v="2"/>
    <x v="2"/>
    <s v="Google"/>
    <s v="Biolage"/>
    <x v="55"/>
    <d v="2024-01-01T00:00:00"/>
    <n v="134.274237"/>
    <n v="928"/>
    <s v="TTM"/>
    <s v="Search-Google"/>
    <s v="Search"/>
  </r>
  <r>
    <s v="Biolage"/>
    <x v="11"/>
    <x v="2"/>
    <s v="Google"/>
    <s v="Biolage"/>
    <x v="55"/>
    <d v="2024-01-01T00:00:00"/>
    <n v="93.72"/>
    <n v="289"/>
    <s v="TTM"/>
    <s v="Search-Google"/>
    <s v="Search"/>
  </r>
  <r>
    <s v="Biolage"/>
    <x v="1"/>
    <x v="2"/>
    <s v="Google"/>
    <s v="Biolage"/>
    <x v="55"/>
    <d v="2024-01-01T00:00:00"/>
    <n v="355.05"/>
    <n v="2468"/>
    <s v="TTM"/>
    <s v="Search-Google"/>
    <s v="Search"/>
  </r>
  <r>
    <s v="Biolage"/>
    <x v="5"/>
    <x v="2"/>
    <s v="Google"/>
    <s v="Biolage"/>
    <x v="55"/>
    <d v="2024-01-01T00:00:00"/>
    <n v="211.92"/>
    <n v="1605"/>
    <s v="TTM"/>
    <s v="Search-Google"/>
    <s v="Search"/>
  </r>
  <r>
    <s v="Biolage"/>
    <x v="8"/>
    <x v="2"/>
    <s v="Google"/>
    <s v="Biolage"/>
    <x v="55"/>
    <d v="2024-01-01T00:00:00"/>
    <n v="89.74"/>
    <n v="584"/>
    <s v="TTM"/>
    <s v="Search-Google"/>
    <s v="Search"/>
  </r>
  <r>
    <s v="Biolage"/>
    <x v="3"/>
    <x v="2"/>
    <s v="Google"/>
    <s v="Biolage"/>
    <x v="55"/>
    <d v="2024-01-01T00:00:00"/>
    <n v="95.04"/>
    <n v="577"/>
    <s v="TTM"/>
    <s v="Search-Google"/>
    <s v="Search"/>
  </r>
  <r>
    <s v="Biolage"/>
    <x v="6"/>
    <x v="2"/>
    <s v="Google"/>
    <s v="Biolage"/>
    <x v="55"/>
    <d v="2024-01-01T00:00:00"/>
    <n v="124.46999999999997"/>
    <n v="897"/>
    <s v="TTM"/>
    <s v="Search-Google"/>
    <s v="Search"/>
  </r>
  <r>
    <s v="Biolage"/>
    <x v="4"/>
    <x v="2"/>
    <s v="Google"/>
    <s v="Biolage"/>
    <x v="55"/>
    <d v="2024-01-01T00:00:00"/>
    <n v="146.55000000000001"/>
    <n v="990"/>
    <s v="TTM"/>
    <s v="Search-Google"/>
    <s v="Search"/>
  </r>
  <r>
    <s v="Biolage"/>
    <x v="1"/>
    <x v="1"/>
    <s v="Amazon"/>
    <s v="Amazon"/>
    <x v="56"/>
    <d v="2024-01-01T00:00:00"/>
    <n v="6465.9066000000003"/>
    <n v="1884488"/>
    <s v="TTM"/>
    <s v="Display-Amazon"/>
    <s v="Amazon"/>
  </r>
  <r>
    <s v="Biolage"/>
    <x v="1"/>
    <x v="2"/>
    <s v="Amazon"/>
    <s v="Amazon"/>
    <x v="56"/>
    <d v="2024-01-01T00:00:00"/>
    <n v="5564.21"/>
    <n v="740739"/>
    <s v="TTM"/>
    <s v="Search-Amazon"/>
    <s v="Amazon"/>
  </r>
  <r>
    <s v="Biolage"/>
    <x v="0"/>
    <x v="1"/>
    <s v="Amazon"/>
    <s v="Amazon"/>
    <x v="56"/>
    <d v="2024-01-01T00:00:00"/>
    <n v="11731.0458"/>
    <n v="5503471"/>
    <s v="TTM"/>
    <s v="Display-Amazon"/>
    <s v="Amazon"/>
  </r>
  <r>
    <s v="Biolage"/>
    <x v="0"/>
    <x v="3"/>
    <s v="Amazon"/>
    <s v="Amazon"/>
    <x v="56"/>
    <d v="2024-01-01T00:00:00"/>
    <n v="1789.8894"/>
    <n v="588605"/>
    <s v="TTM"/>
    <s v="OTT-Amazon"/>
    <s v="Amazon"/>
  </r>
  <r>
    <s v="Biolage"/>
    <x v="0"/>
    <x v="2"/>
    <s v="Amazon"/>
    <s v="Amazon"/>
    <x v="56"/>
    <d v="2024-01-01T00:00:00"/>
    <n v="6917.4900000000034"/>
    <n v="1010083"/>
    <s v="TTM"/>
    <s v="Search-Amazon"/>
    <s v="Amazon"/>
  </r>
  <r>
    <s v="Biolage"/>
    <x v="2"/>
    <x v="1"/>
    <s v="Amazon"/>
    <s v="Amazon"/>
    <x v="56"/>
    <d v="2024-01-01T00:00:00"/>
    <n v="6544.4733000000006"/>
    <n v="1792984"/>
    <s v="TTM"/>
    <s v="Display-Amazon"/>
    <s v="Amazon"/>
  </r>
  <r>
    <s v="Biolage"/>
    <x v="2"/>
    <x v="2"/>
    <s v="Amazon"/>
    <s v="Amazon"/>
    <x v="56"/>
    <d v="2024-01-01T00:00:00"/>
    <n v="12994.579999999998"/>
    <n v="1926591"/>
    <s v="TTM"/>
    <s v="Search-Amazon"/>
    <s v="Amazon"/>
  </r>
  <r>
    <s v="Biolage"/>
    <x v="3"/>
    <x v="1"/>
    <s v="Amazon"/>
    <s v="Amazon"/>
    <x v="56"/>
    <d v="2024-01-01T00:00:00"/>
    <n v="4492.3219000000008"/>
    <n v="678716"/>
    <s v="TTM"/>
    <s v="Display-Amazon"/>
    <s v="Amazon"/>
  </r>
  <r>
    <s v="Biolage"/>
    <x v="3"/>
    <x v="2"/>
    <s v="Amazon"/>
    <s v="Amazon"/>
    <x v="56"/>
    <d v="2024-01-01T00:00:00"/>
    <n v="6349.4299999999994"/>
    <n v="1517424"/>
    <s v="TTM"/>
    <s v="Search-Amazon"/>
    <s v="Amazon"/>
  </r>
  <r>
    <s v="Biolage"/>
    <x v="4"/>
    <x v="1"/>
    <s v="Amazon"/>
    <s v="Amazon"/>
    <x v="56"/>
    <d v="2024-01-01T00:00:00"/>
    <n v="5106.9132"/>
    <n v="1919940"/>
    <s v="TTM"/>
    <s v="Display-Amazon"/>
    <s v="Amazon"/>
  </r>
  <r>
    <s v="Biolage"/>
    <x v="4"/>
    <x v="2"/>
    <s v="Amazon"/>
    <s v="Amazon"/>
    <x v="56"/>
    <d v="2024-01-01T00:00:00"/>
    <n v="4627.78"/>
    <n v="1272916"/>
    <s v="TTM"/>
    <s v="Search-Amazon"/>
    <s v="Amazon"/>
  </r>
  <r>
    <s v="Biolage"/>
    <x v="5"/>
    <x v="1"/>
    <s v="Amazon"/>
    <s v="Amazon"/>
    <x v="56"/>
    <d v="2024-01-01T00:00:00"/>
    <n v="4269.8576000000003"/>
    <n v="1120944"/>
    <s v="TTM"/>
    <s v="Display-Amazon"/>
    <s v="Amazon"/>
  </r>
  <r>
    <s v="Biolage"/>
    <x v="5"/>
    <x v="3"/>
    <s v="Amazon"/>
    <s v="Amazon"/>
    <x v="56"/>
    <d v="2024-01-01T00:00:00"/>
    <n v="7994.8110000000006"/>
    <n v="940566"/>
    <s v="TTM"/>
    <s v="OTT-Amazon"/>
    <s v="Amazon"/>
  </r>
  <r>
    <s v="Biolage"/>
    <x v="5"/>
    <x v="2"/>
    <s v="Amazon"/>
    <s v="Amazon"/>
    <x v="56"/>
    <d v="2024-01-01T00:00:00"/>
    <n v="4945.88"/>
    <n v="481010"/>
    <s v="TTM"/>
    <s v="Search-Amazon"/>
    <s v="Amazon"/>
  </r>
  <r>
    <s v="Biolage"/>
    <x v="8"/>
    <x v="1"/>
    <s v="Amazon"/>
    <s v="Amazon"/>
    <x v="56"/>
    <d v="2024-01-01T00:00:00"/>
    <n v="2646.5654000000009"/>
    <n v="690583"/>
    <s v="TTM"/>
    <s v="Display-Amazon"/>
    <s v="Amazon"/>
  </r>
  <r>
    <s v="Biolage"/>
    <x v="8"/>
    <x v="2"/>
    <s v="Amazon"/>
    <s v="Amazon"/>
    <x v="56"/>
    <d v="2024-01-01T00:00:00"/>
    <n v="2149.37"/>
    <n v="335371"/>
    <s v="TTM"/>
    <s v="Search-Amazon"/>
    <s v="Amazon"/>
  </r>
  <r>
    <s v="Biolage"/>
    <x v="6"/>
    <x v="2"/>
    <s v="Amazon"/>
    <s v="Amazon"/>
    <x v="56"/>
    <d v="2024-01-01T00:00:00"/>
    <n v="0.37"/>
    <n v="571"/>
    <s v="TTM"/>
    <s v="Search-Amazon"/>
    <s v="Amazon"/>
  </r>
  <r>
    <s v="Biolage"/>
    <x v="10"/>
    <x v="2"/>
    <s v="Google"/>
    <s v="Biolage"/>
    <x v="56"/>
    <d v="2024-01-01T00:00:00"/>
    <n v="77.050000000000011"/>
    <n v="349"/>
    <s v="TTM"/>
    <s v="Search-Google"/>
    <s v="Search"/>
  </r>
  <r>
    <s v="Biolage"/>
    <x v="9"/>
    <x v="2"/>
    <s v="Google"/>
    <s v="Biolage"/>
    <x v="56"/>
    <d v="2024-01-01T00:00:00"/>
    <n v="37.28"/>
    <n v="195"/>
    <s v="TTM"/>
    <s v="Search-Google"/>
    <s v="Search"/>
  </r>
  <r>
    <s v="Biolage"/>
    <x v="0"/>
    <x v="2"/>
    <s v="Google"/>
    <s v="Biolage"/>
    <x v="56"/>
    <d v="2024-01-01T00:00:00"/>
    <n v="7946.35"/>
    <n v="28503"/>
    <s v="TTM"/>
    <s v="Search-Google"/>
    <s v="Search"/>
  </r>
  <r>
    <s v="Biolage"/>
    <x v="2"/>
    <x v="2"/>
    <s v="Google"/>
    <s v="Biolage"/>
    <x v="56"/>
    <d v="2024-01-01T00:00:00"/>
    <n v="77.240000000000009"/>
    <n v="848"/>
    <s v="TTM"/>
    <s v="Search-Google"/>
    <s v="Search"/>
  </r>
  <r>
    <s v="Biolage"/>
    <x v="11"/>
    <x v="2"/>
    <s v="Google"/>
    <s v="Biolage"/>
    <x v="56"/>
    <d v="2024-01-01T00:00:00"/>
    <n v="83.02"/>
    <n v="192"/>
    <s v="TTM"/>
    <s v="Search-Google"/>
    <s v="Search"/>
  </r>
  <r>
    <s v="Biolage"/>
    <x v="1"/>
    <x v="2"/>
    <s v="Google"/>
    <s v="Biolage"/>
    <x v="56"/>
    <d v="2024-01-01T00:00:00"/>
    <n v="353.15"/>
    <n v="2137"/>
    <s v="TTM"/>
    <s v="Search-Google"/>
    <s v="Search"/>
  </r>
  <r>
    <s v="Biolage"/>
    <x v="5"/>
    <x v="2"/>
    <s v="Google"/>
    <s v="Biolage"/>
    <x v="56"/>
    <d v="2024-01-01T00:00:00"/>
    <n v="176.07"/>
    <n v="1561"/>
    <s v="TTM"/>
    <s v="Search-Google"/>
    <s v="Search"/>
  </r>
  <r>
    <s v="Biolage"/>
    <x v="8"/>
    <x v="2"/>
    <s v="Google"/>
    <s v="Biolage"/>
    <x v="56"/>
    <d v="2024-01-01T00:00:00"/>
    <n v="93.18"/>
    <n v="593"/>
    <s v="TTM"/>
    <s v="Search-Google"/>
    <s v="Search"/>
  </r>
  <r>
    <s v="Biolage"/>
    <x v="3"/>
    <x v="2"/>
    <s v="Google"/>
    <s v="Biolage"/>
    <x v="56"/>
    <d v="2024-01-01T00:00:00"/>
    <n v="55.230000000000004"/>
    <n v="444"/>
    <s v="TTM"/>
    <s v="Search-Google"/>
    <s v="Search"/>
  </r>
  <r>
    <s v="Biolage"/>
    <x v="6"/>
    <x v="2"/>
    <s v="Google"/>
    <s v="Biolage"/>
    <x v="56"/>
    <d v="2024-01-01T00:00:00"/>
    <n v="127.69999999999999"/>
    <n v="767"/>
    <s v="TTM"/>
    <s v="Search-Google"/>
    <s v="Search"/>
  </r>
  <r>
    <s v="Biolage"/>
    <x v="4"/>
    <x v="2"/>
    <s v="Google"/>
    <s v="Biolage"/>
    <x v="56"/>
    <d v="2024-01-01T00:00:00"/>
    <n v="142.28"/>
    <n v="922"/>
    <s v="TTM"/>
    <s v="Search-Google"/>
    <s v="Search"/>
  </r>
  <r>
    <s v="Biolage"/>
    <x v="1"/>
    <x v="1"/>
    <s v="Amazon"/>
    <s v="Amazon"/>
    <x v="57"/>
    <d v="2024-01-01T00:00:00"/>
    <n v="6421.3289999999988"/>
    <n v="1922848"/>
    <s v="TTM"/>
    <s v="Display-Amazon"/>
    <s v="Amazon"/>
  </r>
  <r>
    <s v="Biolage"/>
    <x v="1"/>
    <x v="2"/>
    <s v="Amazon"/>
    <s v="Amazon"/>
    <x v="57"/>
    <d v="2024-01-01T00:00:00"/>
    <n v="4877.0999999999995"/>
    <n v="641809"/>
    <s v="TTM"/>
    <s v="Search-Amazon"/>
    <s v="Amazon"/>
  </r>
  <r>
    <s v="Biolage"/>
    <x v="0"/>
    <x v="1"/>
    <s v="Amazon"/>
    <s v="Amazon"/>
    <x v="57"/>
    <d v="2024-01-01T00:00:00"/>
    <n v="9154.9514000000017"/>
    <n v="4964764"/>
    <s v="TTM"/>
    <s v="Display-Amazon"/>
    <s v="Amazon"/>
  </r>
  <r>
    <s v="Biolage"/>
    <x v="0"/>
    <x v="3"/>
    <s v="Amazon"/>
    <s v="Amazon"/>
    <x v="57"/>
    <d v="2024-01-01T00:00:00"/>
    <n v="688.82029999999997"/>
    <n v="227086"/>
    <s v="TTM"/>
    <s v="OTT-Amazon"/>
    <s v="Amazon"/>
  </r>
  <r>
    <s v="Biolage"/>
    <x v="0"/>
    <x v="2"/>
    <s v="Amazon"/>
    <s v="Amazon"/>
    <x v="57"/>
    <d v="2024-01-01T00:00:00"/>
    <n v="7267.33"/>
    <n v="935657"/>
    <s v="TTM"/>
    <s v="Search-Amazon"/>
    <s v="Amazon"/>
  </r>
  <r>
    <s v="Biolage"/>
    <x v="2"/>
    <x v="1"/>
    <s v="Amazon"/>
    <s v="Amazon"/>
    <x v="57"/>
    <d v="2024-01-01T00:00:00"/>
    <n v="5720.512000000007"/>
    <n v="1700850"/>
    <s v="TTM"/>
    <s v="Display-Amazon"/>
    <s v="Amazon"/>
  </r>
  <r>
    <s v="Biolage"/>
    <x v="2"/>
    <x v="2"/>
    <s v="Amazon"/>
    <s v="Amazon"/>
    <x v="57"/>
    <d v="2024-01-01T00:00:00"/>
    <n v="10939.349999999997"/>
    <n v="1597468"/>
    <s v="TTM"/>
    <s v="Search-Amazon"/>
    <s v="Amazon"/>
  </r>
  <r>
    <s v="Biolage"/>
    <x v="3"/>
    <x v="1"/>
    <s v="Amazon"/>
    <s v="Amazon"/>
    <x v="57"/>
    <d v="2024-01-01T00:00:00"/>
    <n v="3927.7318000000018"/>
    <n v="573244"/>
    <s v="TTM"/>
    <s v="Display-Amazon"/>
    <s v="Amazon"/>
  </r>
  <r>
    <s v="Biolage"/>
    <x v="3"/>
    <x v="2"/>
    <s v="Amazon"/>
    <s v="Amazon"/>
    <x v="57"/>
    <d v="2024-01-01T00:00:00"/>
    <n v="5789.1799999999985"/>
    <n v="1224756"/>
    <s v="TTM"/>
    <s v="Search-Amazon"/>
    <s v="Amazon"/>
  </r>
  <r>
    <s v="Biolage"/>
    <x v="4"/>
    <x v="1"/>
    <s v="Amazon"/>
    <s v="Amazon"/>
    <x v="57"/>
    <d v="2024-01-01T00:00:00"/>
    <n v="4489.3201000000017"/>
    <n v="1254008"/>
    <s v="TTM"/>
    <s v="Display-Amazon"/>
    <s v="Amazon"/>
  </r>
  <r>
    <s v="Biolage"/>
    <x v="4"/>
    <x v="2"/>
    <s v="Amazon"/>
    <s v="Amazon"/>
    <x v="57"/>
    <d v="2024-01-01T00:00:00"/>
    <n v="4372.8599999999988"/>
    <n v="1185140"/>
    <s v="TTM"/>
    <s v="Search-Amazon"/>
    <s v="Amazon"/>
  </r>
  <r>
    <s v="Biolage"/>
    <x v="5"/>
    <x v="1"/>
    <s v="Amazon"/>
    <s v="Amazon"/>
    <x v="57"/>
    <d v="2024-01-01T00:00:00"/>
    <n v="3838.9439999999995"/>
    <n v="939534"/>
    <s v="TTM"/>
    <s v="Display-Amazon"/>
    <s v="Amazon"/>
  </r>
  <r>
    <s v="Biolage"/>
    <x v="5"/>
    <x v="3"/>
    <s v="Amazon"/>
    <s v="Amazon"/>
    <x v="57"/>
    <d v="2024-01-01T00:00:00"/>
    <n v="4125.3389999999999"/>
    <n v="485334"/>
    <s v="TTM"/>
    <s v="OTT-Amazon"/>
    <s v="Amazon"/>
  </r>
  <r>
    <s v="Biolage"/>
    <x v="5"/>
    <x v="2"/>
    <s v="Amazon"/>
    <s v="Amazon"/>
    <x v="57"/>
    <d v="2024-01-01T00:00:00"/>
    <n v="4503.3800000000028"/>
    <n v="562318"/>
    <s v="TTM"/>
    <s v="Search-Amazon"/>
    <s v="Amazon"/>
  </r>
  <r>
    <s v="Biolage"/>
    <x v="8"/>
    <x v="1"/>
    <s v="Amazon"/>
    <s v="Amazon"/>
    <x v="57"/>
    <d v="2024-01-01T00:00:00"/>
    <n v="2501.0246000000002"/>
    <n v="780990"/>
    <s v="TTM"/>
    <s v="Display-Amazon"/>
    <s v="Amazon"/>
  </r>
  <r>
    <s v="Biolage"/>
    <x v="8"/>
    <x v="2"/>
    <s v="Amazon"/>
    <s v="Amazon"/>
    <x v="57"/>
    <d v="2024-01-01T00:00:00"/>
    <n v="2473.4399999999996"/>
    <n v="299878"/>
    <s v="TTM"/>
    <s v="Search-Amazon"/>
    <s v="Amazon"/>
  </r>
  <r>
    <s v="Biolage"/>
    <x v="6"/>
    <x v="2"/>
    <s v="Amazon"/>
    <s v="Amazon"/>
    <x v="57"/>
    <d v="2024-01-01T00:00:00"/>
    <n v="0.37"/>
    <n v="683"/>
    <s v="TTM"/>
    <s v="Search-Amazon"/>
    <s v="Amazon"/>
  </r>
  <r>
    <s v="Biolage"/>
    <x v="10"/>
    <x v="2"/>
    <s v="Google"/>
    <s v="Biolage"/>
    <x v="57"/>
    <d v="2024-01-01T00:00:00"/>
    <n v="72.12"/>
    <n v="380"/>
    <s v="TTM"/>
    <s v="Search-Google"/>
    <s v="Search"/>
  </r>
  <r>
    <s v="Biolage"/>
    <x v="9"/>
    <x v="2"/>
    <s v="Google"/>
    <s v="Biolage"/>
    <x v="57"/>
    <d v="2024-01-01T00:00:00"/>
    <n v="38.06"/>
    <n v="175"/>
    <s v="TTM"/>
    <s v="Search-Google"/>
    <s v="Search"/>
  </r>
  <r>
    <s v="Biolage"/>
    <x v="0"/>
    <x v="2"/>
    <s v="Google"/>
    <s v="Biolage"/>
    <x v="57"/>
    <d v="2024-01-01T00:00:00"/>
    <n v="7854.9873459999981"/>
    <n v="28637"/>
    <s v="TTM"/>
    <s v="Search-Google"/>
    <s v="Search"/>
  </r>
  <r>
    <s v="Biolage"/>
    <x v="2"/>
    <x v="2"/>
    <s v="Google"/>
    <s v="Biolage"/>
    <x v="57"/>
    <d v="2024-01-01T00:00:00"/>
    <n v="155.60999999999999"/>
    <n v="1035"/>
    <s v="TTM"/>
    <s v="Search-Google"/>
    <s v="Search"/>
  </r>
  <r>
    <s v="Biolage"/>
    <x v="11"/>
    <x v="2"/>
    <s v="Google"/>
    <s v="Biolage"/>
    <x v="57"/>
    <d v="2024-01-01T00:00:00"/>
    <n v="50.860000000000007"/>
    <n v="102"/>
    <s v="TTM"/>
    <s v="Search-Google"/>
    <s v="Search"/>
  </r>
  <r>
    <s v="Biolage"/>
    <x v="1"/>
    <x v="2"/>
    <s v="Google"/>
    <s v="Biolage"/>
    <x v="57"/>
    <d v="2024-01-01T00:00:00"/>
    <n v="291.97173399999997"/>
    <n v="2171"/>
    <s v="TTM"/>
    <s v="Search-Google"/>
    <s v="Search"/>
  </r>
  <r>
    <s v="Biolage"/>
    <x v="5"/>
    <x v="2"/>
    <s v="Google"/>
    <s v="Biolage"/>
    <x v="57"/>
    <d v="2024-01-01T00:00:00"/>
    <n v="186.95999999999998"/>
    <n v="1542"/>
    <s v="TTM"/>
    <s v="Search-Google"/>
    <s v="Search"/>
  </r>
  <r>
    <s v="Biolage"/>
    <x v="8"/>
    <x v="2"/>
    <s v="Google"/>
    <s v="Biolage"/>
    <x v="57"/>
    <d v="2024-01-01T00:00:00"/>
    <n v="109.94"/>
    <n v="627"/>
    <s v="TTM"/>
    <s v="Search-Google"/>
    <s v="Search"/>
  </r>
  <r>
    <s v="Biolage"/>
    <x v="3"/>
    <x v="2"/>
    <s v="Google"/>
    <s v="Biolage"/>
    <x v="57"/>
    <d v="2024-01-01T00:00:00"/>
    <n v="60.89"/>
    <n v="442"/>
    <s v="TTM"/>
    <s v="Search-Google"/>
    <s v="Search"/>
  </r>
  <r>
    <s v="Biolage"/>
    <x v="6"/>
    <x v="2"/>
    <s v="Google"/>
    <s v="Biolage"/>
    <x v="57"/>
    <d v="2024-01-01T00:00:00"/>
    <n v="115.59000000000002"/>
    <n v="784"/>
    <s v="TTM"/>
    <s v="Search-Google"/>
    <s v="Search"/>
  </r>
  <r>
    <s v="Biolage"/>
    <x v="4"/>
    <x v="2"/>
    <s v="Google"/>
    <s v="Biolage"/>
    <x v="57"/>
    <d v="2024-01-01T00:00:00"/>
    <n v="131.35000000000002"/>
    <n v="893"/>
    <s v="TTM"/>
    <s v="Search-Google"/>
    <s v="Search"/>
  </r>
  <r>
    <s v="Biolage"/>
    <x v="1"/>
    <x v="1"/>
    <s v="Amazon"/>
    <s v="Amazon"/>
    <x v="58"/>
    <d v="2024-01-01T00:00:00"/>
    <n v="5857.0210000000034"/>
    <n v="2118480"/>
    <s v="TTM"/>
    <s v="Display-Amazon"/>
    <s v="Amazon"/>
  </r>
  <r>
    <s v="Biolage"/>
    <x v="1"/>
    <x v="2"/>
    <s v="Amazon"/>
    <s v="Amazon"/>
    <x v="58"/>
    <d v="2024-01-01T00:00:00"/>
    <n v="5867.3300000000008"/>
    <n v="788897"/>
    <s v="TTM"/>
    <s v="Search-Amazon"/>
    <s v="Amazon"/>
  </r>
  <r>
    <s v="Biolage"/>
    <x v="0"/>
    <x v="1"/>
    <s v="Amazon"/>
    <s v="Amazon"/>
    <x v="58"/>
    <d v="2024-01-01T00:00:00"/>
    <n v="4549.4023000000016"/>
    <n v="2102950"/>
    <s v="TTM"/>
    <s v="Display-Amazon"/>
    <s v="Amazon"/>
  </r>
  <r>
    <s v="Biolage"/>
    <x v="0"/>
    <x v="2"/>
    <s v="Amazon"/>
    <s v="Amazon"/>
    <x v="58"/>
    <d v="2024-01-01T00:00:00"/>
    <n v="8551.0799999999963"/>
    <n v="920244"/>
    <s v="TTM"/>
    <s v="Search-Amazon"/>
    <s v="Amazon"/>
  </r>
  <r>
    <s v="Biolage"/>
    <x v="2"/>
    <x v="1"/>
    <s v="Amazon"/>
    <s v="Amazon"/>
    <x v="58"/>
    <d v="2024-01-01T00:00:00"/>
    <n v="5663.8552999999993"/>
    <n v="1790774"/>
    <s v="TTM"/>
    <s v="Display-Amazon"/>
    <s v="Amazon"/>
  </r>
  <r>
    <s v="Biolage"/>
    <x v="2"/>
    <x v="2"/>
    <s v="Amazon"/>
    <s v="Amazon"/>
    <x v="58"/>
    <d v="2024-01-01T00:00:00"/>
    <n v="10800.960000000003"/>
    <n v="1605280"/>
    <s v="TTM"/>
    <s v="Search-Amazon"/>
    <s v="Amazon"/>
  </r>
  <r>
    <s v="Biolage"/>
    <x v="3"/>
    <x v="1"/>
    <s v="Amazon"/>
    <s v="Amazon"/>
    <x v="58"/>
    <d v="2024-01-01T00:00:00"/>
    <n v="3875.8870999999999"/>
    <n v="381959"/>
    <s v="TTM"/>
    <s v="Display-Amazon"/>
    <s v="Amazon"/>
  </r>
  <r>
    <s v="Biolage"/>
    <x v="3"/>
    <x v="2"/>
    <s v="Amazon"/>
    <s v="Amazon"/>
    <x v="58"/>
    <d v="2024-01-01T00:00:00"/>
    <n v="5695.7400000000016"/>
    <n v="1042083"/>
    <s v="TTM"/>
    <s v="Search-Amazon"/>
    <s v="Amazon"/>
  </r>
  <r>
    <s v="Biolage"/>
    <x v="4"/>
    <x v="1"/>
    <s v="Amazon"/>
    <s v="Amazon"/>
    <x v="58"/>
    <d v="2024-01-01T00:00:00"/>
    <n v="4266.7728000000034"/>
    <n v="1232221"/>
    <s v="TTM"/>
    <s v="Display-Amazon"/>
    <s v="Amazon"/>
  </r>
  <r>
    <s v="Biolage"/>
    <x v="4"/>
    <x v="2"/>
    <s v="Amazon"/>
    <s v="Amazon"/>
    <x v="58"/>
    <d v="2024-01-01T00:00:00"/>
    <n v="5085.5999999999958"/>
    <n v="1404284"/>
    <s v="TTM"/>
    <s v="Search-Amazon"/>
    <s v="Amazon"/>
  </r>
  <r>
    <s v="Biolage"/>
    <x v="5"/>
    <x v="1"/>
    <s v="Amazon"/>
    <s v="Amazon"/>
    <x v="58"/>
    <d v="2024-01-01T00:00:00"/>
    <n v="3406.9060999999992"/>
    <n v="818180"/>
    <s v="TTM"/>
    <s v="Display-Amazon"/>
    <s v="Amazon"/>
  </r>
  <r>
    <s v="Biolage"/>
    <x v="5"/>
    <x v="2"/>
    <s v="Amazon"/>
    <s v="Amazon"/>
    <x v="58"/>
    <d v="2024-01-01T00:00:00"/>
    <n v="4359.6099999999997"/>
    <n v="497694"/>
    <s v="TTM"/>
    <s v="Search-Amazon"/>
    <s v="Amazon"/>
  </r>
  <r>
    <s v="Biolage"/>
    <x v="8"/>
    <x v="1"/>
    <s v="Amazon"/>
    <s v="Amazon"/>
    <x v="58"/>
    <d v="2024-01-01T00:00:00"/>
    <n v="2264.2832000000008"/>
    <n v="656603"/>
    <s v="TTM"/>
    <s v="Display-Amazon"/>
    <s v="Amazon"/>
  </r>
  <r>
    <s v="Biolage"/>
    <x v="8"/>
    <x v="2"/>
    <s v="Amazon"/>
    <s v="Amazon"/>
    <x v="58"/>
    <d v="2024-01-01T00:00:00"/>
    <n v="2448.4599999999996"/>
    <n v="286686"/>
    <s v="TTM"/>
    <s v="Search-Amazon"/>
    <s v="Amazon"/>
  </r>
  <r>
    <s v="Biolage"/>
    <x v="10"/>
    <x v="2"/>
    <s v="Google"/>
    <s v="Biolage"/>
    <x v="58"/>
    <d v="2024-01-01T00:00:00"/>
    <n v="61.610000000000007"/>
    <n v="315"/>
    <s v="TTM"/>
    <s v="Search-Google"/>
    <s v="Search"/>
  </r>
  <r>
    <s v="Biolage"/>
    <x v="9"/>
    <x v="2"/>
    <s v="Google"/>
    <s v="Biolage"/>
    <x v="58"/>
    <d v="2024-01-01T00:00:00"/>
    <n v="31.65"/>
    <n v="133"/>
    <s v="TTM"/>
    <s v="Search-Google"/>
    <s v="Search"/>
  </r>
  <r>
    <s v="Biolage"/>
    <x v="0"/>
    <x v="2"/>
    <s v="Google"/>
    <s v="Biolage"/>
    <x v="58"/>
    <d v="2024-01-01T00:00:00"/>
    <n v="8705.2033069999998"/>
    <n v="28461"/>
    <s v="TTM"/>
    <s v="Search-Google"/>
    <s v="Search"/>
  </r>
  <r>
    <s v="Biolage"/>
    <x v="2"/>
    <x v="2"/>
    <s v="Google"/>
    <s v="Biolage"/>
    <x v="58"/>
    <d v="2024-01-01T00:00:00"/>
    <n v="74.52"/>
    <n v="772"/>
    <s v="TTM"/>
    <s v="Search-Google"/>
    <s v="Search"/>
  </r>
  <r>
    <s v="Biolage"/>
    <x v="11"/>
    <x v="2"/>
    <s v="Google"/>
    <s v="Biolage"/>
    <x v="58"/>
    <d v="2024-01-01T00:00:00"/>
    <n v="165.457516"/>
    <n v="340"/>
    <s v="TTM"/>
    <s v="Search-Google"/>
    <s v="Search"/>
  </r>
  <r>
    <s v="Biolage"/>
    <x v="1"/>
    <x v="2"/>
    <s v="Google"/>
    <s v="Biolage"/>
    <x v="58"/>
    <d v="2024-01-01T00:00:00"/>
    <n v="270.67"/>
    <n v="1863"/>
    <s v="TTM"/>
    <s v="Search-Google"/>
    <s v="Search"/>
  </r>
  <r>
    <s v="Biolage"/>
    <x v="5"/>
    <x v="2"/>
    <s v="Google"/>
    <s v="Biolage"/>
    <x v="58"/>
    <d v="2024-01-01T00:00:00"/>
    <n v="184.2"/>
    <n v="1293"/>
    <s v="TTM"/>
    <s v="Search-Google"/>
    <s v="Search"/>
  </r>
  <r>
    <s v="Biolage"/>
    <x v="8"/>
    <x v="2"/>
    <s v="Google"/>
    <s v="Biolage"/>
    <x v="58"/>
    <d v="2024-01-01T00:00:00"/>
    <n v="104.19"/>
    <n v="468"/>
    <s v="TTM"/>
    <s v="Search-Google"/>
    <s v="Search"/>
  </r>
  <r>
    <s v="Biolage"/>
    <x v="3"/>
    <x v="2"/>
    <s v="Google"/>
    <s v="Biolage"/>
    <x v="58"/>
    <d v="2024-01-01T00:00:00"/>
    <n v="56.84"/>
    <n v="391"/>
    <s v="TTM"/>
    <s v="Search-Google"/>
    <s v="Search"/>
  </r>
  <r>
    <s v="Biolage"/>
    <x v="6"/>
    <x v="2"/>
    <s v="Google"/>
    <s v="Biolage"/>
    <x v="58"/>
    <d v="2024-01-01T00:00:00"/>
    <n v="86.609999999999985"/>
    <n v="550"/>
    <s v="TTM"/>
    <s v="Search-Google"/>
    <s v="Search"/>
  </r>
  <r>
    <s v="Biolage"/>
    <x v="4"/>
    <x v="2"/>
    <s v="Google"/>
    <s v="Biolage"/>
    <x v="58"/>
    <d v="2024-01-01T00:00:00"/>
    <n v="138.913816"/>
    <n v="789"/>
    <s v="TTM"/>
    <s v="Search-Google"/>
    <s v="Search"/>
  </r>
  <r>
    <s v="Biolage"/>
    <x v="1"/>
    <x v="1"/>
    <s v="Amazon"/>
    <s v="Amazon"/>
    <x v="59"/>
    <d v="2024-01-01T00:00:00"/>
    <n v="5958.0917000000027"/>
    <n v="2064950"/>
    <s v="TTM"/>
    <s v="Display-Amazon"/>
    <s v="Amazon"/>
  </r>
  <r>
    <s v="Biolage"/>
    <x v="1"/>
    <x v="2"/>
    <s v="Amazon"/>
    <s v="Amazon"/>
    <x v="59"/>
    <d v="2024-01-01T00:00:00"/>
    <n v="6577.1100000000006"/>
    <n v="620384"/>
    <s v="TTM"/>
    <s v="Search-Amazon"/>
    <s v="Amazon"/>
  </r>
  <r>
    <s v="Biolage"/>
    <x v="0"/>
    <x v="1"/>
    <s v="Amazon"/>
    <s v="Amazon"/>
    <x v="59"/>
    <d v="2024-01-01T00:00:00"/>
    <n v="4461.0186999999987"/>
    <n v="2685435"/>
    <s v="TTM"/>
    <s v="Display-Amazon"/>
    <s v="Amazon"/>
  </r>
  <r>
    <s v="Biolage"/>
    <x v="0"/>
    <x v="2"/>
    <s v="Amazon"/>
    <s v="Amazon"/>
    <x v="59"/>
    <d v="2024-01-01T00:00:00"/>
    <n v="7064.7000000000007"/>
    <n v="784636"/>
    <s v="TTM"/>
    <s v="Search-Amazon"/>
    <s v="Amazon"/>
  </r>
  <r>
    <s v="Biolage"/>
    <x v="2"/>
    <x v="1"/>
    <s v="Amazon"/>
    <s v="Amazon"/>
    <x v="59"/>
    <d v="2024-01-01T00:00:00"/>
    <n v="5591.6180000000013"/>
    <n v="1633791"/>
    <s v="TTM"/>
    <s v="Display-Amazon"/>
    <s v="Amazon"/>
  </r>
  <r>
    <s v="Biolage"/>
    <x v="2"/>
    <x v="2"/>
    <s v="Amazon"/>
    <s v="Amazon"/>
    <x v="59"/>
    <d v="2024-01-01T00:00:00"/>
    <n v="8216.369999999999"/>
    <n v="1041815"/>
    <s v="TTM"/>
    <s v="Search-Amazon"/>
    <s v="Amazon"/>
  </r>
  <r>
    <s v="Biolage"/>
    <x v="3"/>
    <x v="1"/>
    <s v="Amazon"/>
    <s v="Amazon"/>
    <x v="59"/>
    <d v="2024-01-01T00:00:00"/>
    <n v="3808.0692000000004"/>
    <n v="271473"/>
    <s v="TTM"/>
    <s v="Display-Amazon"/>
    <s v="Amazon"/>
  </r>
  <r>
    <s v="Biolage"/>
    <x v="3"/>
    <x v="2"/>
    <s v="Amazon"/>
    <s v="Amazon"/>
    <x v="59"/>
    <d v="2024-01-01T00:00:00"/>
    <n v="5590.8299999999981"/>
    <n v="1075691"/>
    <s v="TTM"/>
    <s v="Search-Amazon"/>
    <s v="Amazon"/>
  </r>
  <r>
    <s v="Biolage"/>
    <x v="4"/>
    <x v="1"/>
    <s v="Amazon"/>
    <s v="Amazon"/>
    <x v="59"/>
    <d v="2024-01-01T00:00:00"/>
    <n v="4253.0930000000017"/>
    <n v="1234188"/>
    <s v="TTM"/>
    <s v="Display-Amazon"/>
    <s v="Amazon"/>
  </r>
  <r>
    <s v="Biolage"/>
    <x v="4"/>
    <x v="2"/>
    <s v="Amazon"/>
    <s v="Amazon"/>
    <x v="59"/>
    <d v="2024-01-01T00:00:00"/>
    <n v="6777.92"/>
    <n v="1533777"/>
    <s v="TTM"/>
    <s v="Search-Amazon"/>
    <s v="Amazon"/>
  </r>
  <r>
    <s v="Biolage"/>
    <x v="5"/>
    <x v="1"/>
    <s v="Amazon"/>
    <s v="Amazon"/>
    <x v="59"/>
    <d v="2024-01-01T00:00:00"/>
    <n v="3695.0268999999985"/>
    <n v="961822"/>
    <s v="TTM"/>
    <s v="Display-Amazon"/>
    <s v="Amazon"/>
  </r>
  <r>
    <s v="Biolage"/>
    <x v="5"/>
    <x v="2"/>
    <s v="Amazon"/>
    <s v="Amazon"/>
    <x v="59"/>
    <d v="2024-01-01T00:00:00"/>
    <n v="4768.68"/>
    <n v="486479"/>
    <s v="TTM"/>
    <s v="Search-Amazon"/>
    <s v="Amazon"/>
  </r>
  <r>
    <s v="Biolage"/>
    <x v="8"/>
    <x v="1"/>
    <s v="Amazon"/>
    <s v="Amazon"/>
    <x v="59"/>
    <d v="2024-01-01T00:00:00"/>
    <n v="2168.7584999999999"/>
    <n v="569411"/>
    <s v="TTM"/>
    <s v="Display-Amazon"/>
    <s v="Amazon"/>
  </r>
  <r>
    <s v="Biolage"/>
    <x v="8"/>
    <x v="2"/>
    <s v="Amazon"/>
    <s v="Amazon"/>
    <x v="59"/>
    <d v="2024-01-01T00:00:00"/>
    <n v="1951.6999999999996"/>
    <n v="273564"/>
    <s v="TTM"/>
    <s v="Search-Amazon"/>
    <s v="Amazon"/>
  </r>
  <r>
    <s v="Biolage"/>
    <x v="10"/>
    <x v="2"/>
    <s v="Google"/>
    <s v="Biolage"/>
    <x v="59"/>
    <d v="2024-01-01T00:00:00"/>
    <n v="55.86"/>
    <n v="317"/>
    <s v="TTM"/>
    <s v="Search-Google"/>
    <s v="Search"/>
  </r>
  <r>
    <s v="Biolage"/>
    <x v="9"/>
    <x v="2"/>
    <s v="Google"/>
    <s v="Biolage"/>
    <x v="59"/>
    <d v="2024-01-01T00:00:00"/>
    <n v="41.949999999999996"/>
    <n v="225"/>
    <s v="TTM"/>
    <s v="Search-Google"/>
    <s v="Search"/>
  </r>
  <r>
    <s v="Biolage"/>
    <x v="0"/>
    <x v="2"/>
    <s v="Google"/>
    <s v="Biolage"/>
    <x v="59"/>
    <d v="2024-01-01T00:00:00"/>
    <n v="8149.8167180000028"/>
    <n v="27641"/>
    <s v="TTM"/>
    <s v="Search-Google"/>
    <s v="Search"/>
  </r>
  <r>
    <s v="Biolage"/>
    <x v="2"/>
    <x v="2"/>
    <s v="Google"/>
    <s v="Biolage"/>
    <x v="59"/>
    <d v="2024-01-01T00:00:00"/>
    <n v="114.97000000000001"/>
    <n v="809"/>
    <s v="TTM"/>
    <s v="Search-Google"/>
    <s v="Search"/>
  </r>
  <r>
    <s v="Biolage"/>
    <x v="11"/>
    <x v="2"/>
    <s v="Google"/>
    <s v="Biolage"/>
    <x v="59"/>
    <d v="2024-01-01T00:00:00"/>
    <n v="168.64000000000001"/>
    <n v="346"/>
    <s v="TTM"/>
    <s v="Search-Google"/>
    <s v="Search"/>
  </r>
  <r>
    <s v="Biolage"/>
    <x v="1"/>
    <x v="2"/>
    <s v="Google"/>
    <s v="Biolage"/>
    <x v="59"/>
    <d v="2024-01-01T00:00:00"/>
    <n v="286.55"/>
    <n v="2041"/>
    <s v="TTM"/>
    <s v="Search-Google"/>
    <s v="Search"/>
  </r>
  <r>
    <s v="Biolage"/>
    <x v="5"/>
    <x v="2"/>
    <s v="Google"/>
    <s v="Biolage"/>
    <x v="59"/>
    <d v="2024-01-01T00:00:00"/>
    <n v="220.15333300000003"/>
    <n v="1561"/>
    <s v="TTM"/>
    <s v="Search-Google"/>
    <s v="Search"/>
  </r>
  <r>
    <s v="Biolage"/>
    <x v="8"/>
    <x v="2"/>
    <s v="Google"/>
    <s v="Biolage"/>
    <x v="59"/>
    <d v="2024-01-01T00:00:00"/>
    <n v="74.62"/>
    <n v="538"/>
    <s v="TTM"/>
    <s v="Search-Google"/>
    <s v="Search"/>
  </r>
  <r>
    <s v="Biolage"/>
    <x v="3"/>
    <x v="2"/>
    <s v="Google"/>
    <s v="Biolage"/>
    <x v="59"/>
    <d v="2024-01-01T00:00:00"/>
    <n v="49.81"/>
    <n v="385"/>
    <s v="TTM"/>
    <s v="Search-Google"/>
    <s v="Search"/>
  </r>
  <r>
    <s v="Biolage"/>
    <x v="6"/>
    <x v="2"/>
    <s v="Google"/>
    <s v="Biolage"/>
    <x v="59"/>
    <d v="2024-01-01T00:00:00"/>
    <n v="95.949999999999989"/>
    <n v="654"/>
    <s v="TTM"/>
    <s v="Search-Google"/>
    <s v="Search"/>
  </r>
  <r>
    <s v="Biolage"/>
    <x v="4"/>
    <x v="2"/>
    <s v="Google"/>
    <s v="Biolage"/>
    <x v="59"/>
    <d v="2024-01-01T00:00:00"/>
    <n v="104.24000000000001"/>
    <n v="830"/>
    <s v="TTM"/>
    <s v="Search-Google"/>
    <s v="Search"/>
  </r>
  <r>
    <s v="Biolage"/>
    <x v="1"/>
    <x v="1"/>
    <s v="Amazon"/>
    <s v="Amazon"/>
    <x v="60"/>
    <d v="2024-01-01T00:00:00"/>
    <n v="5926.1203000000041"/>
    <n v="1902233"/>
    <s v="TTM"/>
    <s v="Display-Amazon"/>
    <s v="Amazon"/>
  </r>
  <r>
    <s v="Biolage"/>
    <x v="1"/>
    <x v="2"/>
    <s v="Amazon"/>
    <s v="Amazon"/>
    <x v="60"/>
    <d v="2024-01-01T00:00:00"/>
    <n v="8397.7100000000009"/>
    <n v="785517"/>
    <s v="TTM"/>
    <s v="Search-Amazon"/>
    <s v="Amazon"/>
  </r>
  <r>
    <s v="Biolage"/>
    <x v="0"/>
    <x v="1"/>
    <s v="Amazon"/>
    <s v="Amazon"/>
    <x v="60"/>
    <d v="2024-01-01T00:00:00"/>
    <n v="4550.1957999999995"/>
    <n v="2716060"/>
    <s v="TTM"/>
    <s v="Display-Amazon"/>
    <s v="Amazon"/>
  </r>
  <r>
    <s v="Biolage"/>
    <x v="0"/>
    <x v="2"/>
    <s v="Amazon"/>
    <s v="Amazon"/>
    <x v="60"/>
    <d v="2024-01-01T00:00:00"/>
    <n v="6992.0199999999986"/>
    <n v="941804"/>
    <s v="TTM"/>
    <s v="Search-Amazon"/>
    <s v="Amazon"/>
  </r>
  <r>
    <s v="Biolage"/>
    <x v="2"/>
    <x v="1"/>
    <s v="Amazon"/>
    <s v="Amazon"/>
    <x v="60"/>
    <d v="2024-01-01T00:00:00"/>
    <n v="5620.3661000000047"/>
    <n v="1674106"/>
    <s v="TTM"/>
    <s v="Display-Amazon"/>
    <s v="Amazon"/>
  </r>
  <r>
    <s v="Biolage"/>
    <x v="2"/>
    <x v="2"/>
    <s v="Amazon"/>
    <s v="Amazon"/>
    <x v="60"/>
    <d v="2024-01-01T00:00:00"/>
    <n v="8132.2499999999991"/>
    <n v="893299"/>
    <s v="TTM"/>
    <s v="Search-Amazon"/>
    <s v="Amazon"/>
  </r>
  <r>
    <s v="Biolage"/>
    <x v="3"/>
    <x v="1"/>
    <s v="Amazon"/>
    <s v="Amazon"/>
    <x v="60"/>
    <d v="2024-01-01T00:00:00"/>
    <n v="3863.3629000000001"/>
    <n v="379083"/>
    <s v="TTM"/>
    <s v="Display-Amazon"/>
    <s v="Amazon"/>
  </r>
  <r>
    <s v="Biolage"/>
    <x v="3"/>
    <x v="2"/>
    <s v="Amazon"/>
    <s v="Amazon"/>
    <x v="60"/>
    <d v="2024-01-01T00:00:00"/>
    <n v="5471.8999999999942"/>
    <n v="939766"/>
    <s v="TTM"/>
    <s v="Search-Amazon"/>
    <s v="Amazon"/>
  </r>
  <r>
    <s v="Biolage"/>
    <x v="4"/>
    <x v="1"/>
    <s v="Amazon"/>
    <s v="Amazon"/>
    <x v="60"/>
    <d v="2024-01-01T00:00:00"/>
    <n v="4317.2237000000005"/>
    <n v="1212931"/>
    <s v="TTM"/>
    <s v="Display-Amazon"/>
    <s v="Amazon"/>
  </r>
  <r>
    <s v="Biolage"/>
    <x v="4"/>
    <x v="2"/>
    <s v="Amazon"/>
    <s v="Amazon"/>
    <x v="60"/>
    <d v="2024-01-01T00:00:00"/>
    <n v="9689.32"/>
    <n v="1814789"/>
    <s v="TTM"/>
    <s v="Search-Amazon"/>
    <s v="Amazon"/>
  </r>
  <r>
    <s v="Biolage"/>
    <x v="5"/>
    <x v="1"/>
    <s v="Amazon"/>
    <s v="Amazon"/>
    <x v="60"/>
    <d v="2024-01-01T00:00:00"/>
    <n v="3621.1738999999989"/>
    <n v="1644643"/>
    <s v="TTM"/>
    <s v="Display-Amazon"/>
    <s v="Amazon"/>
  </r>
  <r>
    <s v="Biolage"/>
    <x v="5"/>
    <x v="2"/>
    <s v="Amazon"/>
    <s v="Amazon"/>
    <x v="60"/>
    <d v="2024-01-01T00:00:00"/>
    <n v="5476.369999999999"/>
    <n v="503556"/>
    <s v="TTM"/>
    <s v="Search-Amazon"/>
    <s v="Amazon"/>
  </r>
  <r>
    <s v="Biolage"/>
    <x v="8"/>
    <x v="1"/>
    <s v="Amazon"/>
    <s v="Amazon"/>
    <x v="60"/>
    <d v="2024-01-01T00:00:00"/>
    <n v="2380.976099999999"/>
    <n v="589375"/>
    <s v="TTM"/>
    <s v="Display-Amazon"/>
    <s v="Amazon"/>
  </r>
  <r>
    <s v="Biolage"/>
    <x v="8"/>
    <x v="2"/>
    <s v="Amazon"/>
    <s v="Amazon"/>
    <x v="60"/>
    <d v="2024-01-01T00:00:00"/>
    <n v="1932.4700000000003"/>
    <n v="262949"/>
    <s v="TTM"/>
    <s v="Search-Amazon"/>
    <s v="Amazon"/>
  </r>
  <r>
    <s v="Biolage"/>
    <x v="6"/>
    <x v="2"/>
    <s v="Amazon"/>
    <s v="Amazon"/>
    <x v="60"/>
    <d v="2024-01-01T00:00:00"/>
    <n v="0.37"/>
    <n v="227"/>
    <s v="TTM"/>
    <s v="Search-Amazon"/>
    <s v="Amazon"/>
  </r>
  <r>
    <s v="Biolage"/>
    <x v="10"/>
    <x v="2"/>
    <s v="Google"/>
    <s v="Biolage"/>
    <x v="60"/>
    <d v="2024-01-01T00:00:00"/>
    <n v="49.84"/>
    <n v="319"/>
    <s v="TTM"/>
    <s v="Search-Google"/>
    <s v="Search"/>
  </r>
  <r>
    <s v="Biolage"/>
    <x v="9"/>
    <x v="2"/>
    <s v="Google"/>
    <s v="Biolage"/>
    <x v="60"/>
    <d v="2024-01-01T00:00:00"/>
    <n v="35.31"/>
    <n v="180"/>
    <s v="TTM"/>
    <s v="Search-Google"/>
    <s v="Search"/>
  </r>
  <r>
    <s v="Biolage"/>
    <x v="0"/>
    <x v="2"/>
    <s v="Google"/>
    <s v="Biolage"/>
    <x v="60"/>
    <d v="2024-01-01T00:00:00"/>
    <n v="7863.9839549999997"/>
    <n v="27921"/>
    <s v="TTM"/>
    <s v="Search-Google"/>
    <s v="Search"/>
  </r>
  <r>
    <s v="Biolage"/>
    <x v="2"/>
    <x v="2"/>
    <s v="Google"/>
    <s v="Biolage"/>
    <x v="60"/>
    <d v="2024-01-01T00:00:00"/>
    <n v="135.33530300000001"/>
    <n v="866"/>
    <s v="TTM"/>
    <s v="Search-Google"/>
    <s v="Search"/>
  </r>
  <r>
    <s v="Biolage"/>
    <x v="11"/>
    <x v="2"/>
    <s v="Google"/>
    <s v="Biolage"/>
    <x v="60"/>
    <d v="2024-01-01T00:00:00"/>
    <n v="149.03"/>
    <n v="352"/>
    <s v="TTM"/>
    <s v="Search-Google"/>
    <s v="Search"/>
  </r>
  <r>
    <s v="Biolage"/>
    <x v="1"/>
    <x v="2"/>
    <s v="Google"/>
    <s v="Biolage"/>
    <x v="60"/>
    <d v="2024-01-01T00:00:00"/>
    <n v="340.71"/>
    <n v="2226"/>
    <s v="TTM"/>
    <s v="Search-Google"/>
    <s v="Search"/>
  </r>
  <r>
    <s v="Biolage"/>
    <x v="5"/>
    <x v="2"/>
    <s v="Google"/>
    <s v="Biolage"/>
    <x v="60"/>
    <d v="2024-01-01T00:00:00"/>
    <n v="201.30916199999999"/>
    <n v="1580"/>
    <s v="TTM"/>
    <s v="Search-Google"/>
    <s v="Search"/>
  </r>
  <r>
    <s v="Biolage"/>
    <x v="8"/>
    <x v="2"/>
    <s v="Google"/>
    <s v="Biolage"/>
    <x v="60"/>
    <d v="2024-01-01T00:00:00"/>
    <n v="94.775715000000005"/>
    <n v="530"/>
    <s v="TTM"/>
    <s v="Search-Google"/>
    <s v="Search"/>
  </r>
  <r>
    <s v="Biolage"/>
    <x v="3"/>
    <x v="2"/>
    <s v="Google"/>
    <s v="Biolage"/>
    <x v="60"/>
    <d v="2024-01-01T00:00:00"/>
    <n v="72.490000000000009"/>
    <n v="416"/>
    <s v="TTM"/>
    <s v="Search-Google"/>
    <s v="Search"/>
  </r>
  <r>
    <s v="Biolage"/>
    <x v="6"/>
    <x v="2"/>
    <s v="Google"/>
    <s v="Biolage"/>
    <x v="60"/>
    <d v="2024-01-01T00:00:00"/>
    <n v="140.52999999999997"/>
    <n v="743"/>
    <s v="TTM"/>
    <s v="Search-Google"/>
    <s v="Search"/>
  </r>
  <r>
    <s v="Biolage"/>
    <x v="4"/>
    <x v="2"/>
    <s v="Google"/>
    <s v="Biolage"/>
    <x v="60"/>
    <d v="2024-01-01T00:00:00"/>
    <n v="125.91"/>
    <n v="856"/>
    <s v="TTM"/>
    <s v="Search-Google"/>
    <s v="Search"/>
  </r>
  <r>
    <s v="Biolage"/>
    <x v="1"/>
    <x v="1"/>
    <s v="Amazon"/>
    <s v="Amazon"/>
    <x v="61"/>
    <d v="2024-01-01T00:00:00"/>
    <n v="7754.319199999999"/>
    <n v="3039290"/>
    <s v="TTM"/>
    <s v="Display-Amazon"/>
    <s v="Amazon"/>
  </r>
  <r>
    <s v="Biolage"/>
    <x v="1"/>
    <x v="2"/>
    <s v="Amazon"/>
    <s v="Amazon"/>
    <x v="61"/>
    <d v="2024-01-01T00:00:00"/>
    <n v="9744.6299999999974"/>
    <n v="865689"/>
    <s v="TTM"/>
    <s v="Search-Amazon"/>
    <s v="Amazon"/>
  </r>
  <r>
    <s v="Biolage"/>
    <x v="0"/>
    <x v="1"/>
    <s v="Amazon"/>
    <s v="Amazon"/>
    <x v="61"/>
    <d v="2024-01-01T00:00:00"/>
    <n v="4346.8267999999998"/>
    <n v="2573064"/>
    <s v="TTM"/>
    <s v="Display-Amazon"/>
    <s v="Amazon"/>
  </r>
  <r>
    <s v="Biolage"/>
    <x v="0"/>
    <x v="2"/>
    <s v="Amazon"/>
    <s v="Amazon"/>
    <x v="61"/>
    <d v="2024-01-01T00:00:00"/>
    <n v="7438.96"/>
    <n v="901645"/>
    <s v="TTM"/>
    <s v="Search-Amazon"/>
    <s v="Amazon"/>
  </r>
  <r>
    <s v="Biolage"/>
    <x v="2"/>
    <x v="1"/>
    <s v="Amazon"/>
    <s v="Amazon"/>
    <x v="61"/>
    <d v="2024-01-01T00:00:00"/>
    <n v="7576.036900000001"/>
    <n v="2037767"/>
    <s v="TTM"/>
    <s v="Display-Amazon"/>
    <s v="Amazon"/>
  </r>
  <r>
    <s v="Biolage"/>
    <x v="2"/>
    <x v="2"/>
    <s v="Amazon"/>
    <s v="Amazon"/>
    <x v="61"/>
    <d v="2024-01-01T00:00:00"/>
    <n v="8737.8800000000028"/>
    <n v="1024885"/>
    <s v="TTM"/>
    <s v="Search-Amazon"/>
    <s v="Amazon"/>
  </r>
  <r>
    <s v="Biolage"/>
    <x v="3"/>
    <x v="1"/>
    <s v="Amazon"/>
    <s v="Amazon"/>
    <x v="61"/>
    <d v="2024-01-01T00:00:00"/>
    <n v="3619.2930999999994"/>
    <n v="332881"/>
    <s v="TTM"/>
    <s v="Display-Amazon"/>
    <s v="Amazon"/>
  </r>
  <r>
    <s v="Biolage"/>
    <x v="3"/>
    <x v="2"/>
    <s v="Amazon"/>
    <s v="Amazon"/>
    <x v="61"/>
    <d v="2024-01-01T00:00:00"/>
    <n v="5674.199999999998"/>
    <n v="1038285"/>
    <s v="TTM"/>
    <s v="Search-Amazon"/>
    <s v="Amazon"/>
  </r>
  <r>
    <s v="Biolage"/>
    <x v="4"/>
    <x v="1"/>
    <s v="Amazon"/>
    <s v="Amazon"/>
    <x v="61"/>
    <d v="2024-01-01T00:00:00"/>
    <n v="6578.3256000000029"/>
    <n v="2742347"/>
    <s v="TTM"/>
    <s v="Display-Amazon"/>
    <s v="Amazon"/>
  </r>
  <r>
    <s v="Biolage"/>
    <x v="4"/>
    <x v="2"/>
    <s v="Amazon"/>
    <s v="Amazon"/>
    <x v="61"/>
    <d v="2024-01-01T00:00:00"/>
    <n v="10096.570000000002"/>
    <n v="1810676"/>
    <s v="TTM"/>
    <s v="Search-Amazon"/>
    <s v="Amazon"/>
  </r>
  <r>
    <s v="Biolage"/>
    <x v="5"/>
    <x v="1"/>
    <s v="Amazon"/>
    <s v="Amazon"/>
    <x v="61"/>
    <d v="2024-01-01T00:00:00"/>
    <n v="3450.5375999999983"/>
    <n v="1446050"/>
    <s v="TTM"/>
    <s v="Display-Amazon"/>
    <s v="Amazon"/>
  </r>
  <r>
    <s v="Biolage"/>
    <x v="5"/>
    <x v="2"/>
    <s v="Amazon"/>
    <s v="Amazon"/>
    <x v="61"/>
    <d v="2024-01-01T00:00:00"/>
    <n v="6522.79"/>
    <n v="534392"/>
    <s v="TTM"/>
    <s v="Search-Amazon"/>
    <s v="Amazon"/>
  </r>
  <r>
    <s v="Biolage"/>
    <x v="8"/>
    <x v="1"/>
    <s v="Amazon"/>
    <s v="Amazon"/>
    <x v="61"/>
    <d v="2024-01-01T00:00:00"/>
    <n v="2286.9296999999997"/>
    <n v="583763"/>
    <s v="TTM"/>
    <s v="Display-Amazon"/>
    <s v="Amazon"/>
  </r>
  <r>
    <s v="Biolage"/>
    <x v="8"/>
    <x v="2"/>
    <s v="Amazon"/>
    <s v="Amazon"/>
    <x v="61"/>
    <d v="2024-01-01T00:00:00"/>
    <n v="1613.36"/>
    <n v="301632"/>
    <s v="TTM"/>
    <s v="Search-Amazon"/>
    <s v="Amazon"/>
  </r>
  <r>
    <s v="Biolage"/>
    <x v="6"/>
    <x v="2"/>
    <s v="Amazon"/>
    <s v="Amazon"/>
    <x v="61"/>
    <d v="2024-01-01T00:00:00"/>
    <n v="0.37"/>
    <n v="1586"/>
    <s v="TTM"/>
    <s v="Search-Amazon"/>
    <s v="Amazon"/>
  </r>
  <r>
    <s v="Biolage"/>
    <x v="10"/>
    <x v="2"/>
    <s v="Google"/>
    <s v="Biolage"/>
    <x v="61"/>
    <d v="2024-01-01T00:00:00"/>
    <n v="40.71"/>
    <n v="278"/>
    <s v="TTM"/>
    <s v="Search-Google"/>
    <s v="Search"/>
  </r>
  <r>
    <s v="Biolage"/>
    <x v="9"/>
    <x v="2"/>
    <s v="Google"/>
    <s v="Biolage"/>
    <x v="61"/>
    <d v="2024-01-01T00:00:00"/>
    <n v="39.36"/>
    <n v="161"/>
    <s v="TTM"/>
    <s v="Search-Google"/>
    <s v="Search"/>
  </r>
  <r>
    <s v="Biolage"/>
    <x v="0"/>
    <x v="2"/>
    <s v="Google"/>
    <s v="Biolage"/>
    <x v="61"/>
    <d v="2024-01-01T00:00:00"/>
    <n v="7572.2157110000016"/>
    <n v="27751"/>
    <s v="TTM"/>
    <s v="Search-Google"/>
    <s v="Search"/>
  </r>
  <r>
    <s v="Biolage"/>
    <x v="2"/>
    <x v="2"/>
    <s v="Google"/>
    <s v="Biolage"/>
    <x v="61"/>
    <d v="2024-01-01T00:00:00"/>
    <n v="139.58421000000001"/>
    <n v="904"/>
    <s v="TTM"/>
    <s v="Search-Google"/>
    <s v="Search"/>
  </r>
  <r>
    <s v="Biolage"/>
    <x v="11"/>
    <x v="2"/>
    <s v="Google"/>
    <s v="Biolage"/>
    <x v="61"/>
    <d v="2024-01-01T00:00:00"/>
    <n v="135.61000000000001"/>
    <n v="325"/>
    <s v="TTM"/>
    <s v="Search-Google"/>
    <s v="Search"/>
  </r>
  <r>
    <s v="Biolage"/>
    <x v="1"/>
    <x v="2"/>
    <s v="Google"/>
    <s v="Biolage"/>
    <x v="61"/>
    <d v="2024-01-01T00:00:00"/>
    <n v="248.67"/>
    <n v="1841"/>
    <s v="TTM"/>
    <s v="Search-Google"/>
    <s v="Search"/>
  </r>
  <r>
    <s v="Biolage"/>
    <x v="5"/>
    <x v="2"/>
    <s v="Google"/>
    <s v="Biolage"/>
    <x v="61"/>
    <d v="2024-01-01T00:00:00"/>
    <n v="161.30338499999999"/>
    <n v="1379"/>
    <s v="TTM"/>
    <s v="Search-Google"/>
    <s v="Search"/>
  </r>
  <r>
    <s v="Biolage"/>
    <x v="8"/>
    <x v="2"/>
    <s v="Google"/>
    <s v="Biolage"/>
    <x v="61"/>
    <d v="2024-01-01T00:00:00"/>
    <n v="81.652903000000009"/>
    <n v="487"/>
    <s v="TTM"/>
    <s v="Search-Google"/>
    <s v="Search"/>
  </r>
  <r>
    <s v="Biolage"/>
    <x v="3"/>
    <x v="2"/>
    <s v="Google"/>
    <s v="Biolage"/>
    <x v="61"/>
    <d v="2024-01-01T00:00:00"/>
    <n v="47.433672999999999"/>
    <n v="356"/>
    <s v="TTM"/>
    <s v="Search-Google"/>
    <s v="Search"/>
  </r>
  <r>
    <s v="Biolage"/>
    <x v="6"/>
    <x v="2"/>
    <s v="Google"/>
    <s v="Biolage"/>
    <x v="61"/>
    <d v="2024-01-01T00:00:00"/>
    <n v="117.38"/>
    <n v="733"/>
    <s v="TTM"/>
    <s v="Search-Google"/>
    <s v="Search"/>
  </r>
  <r>
    <s v="Biolage"/>
    <x v="4"/>
    <x v="2"/>
    <s v="Google"/>
    <s v="Biolage"/>
    <x v="61"/>
    <d v="2024-01-01T00:00:00"/>
    <n v="124.71862000000002"/>
    <n v="875"/>
    <s v="TTM"/>
    <s v="Search-Google"/>
    <s v="Search"/>
  </r>
  <r>
    <s v="Biolage"/>
    <x v="1"/>
    <x v="1"/>
    <s v="Amazon"/>
    <s v="Amazon"/>
    <x v="62"/>
    <d v="2024-01-01T00:00:00"/>
    <n v="9978.2111000000059"/>
    <n v="3751255"/>
    <s v="TTM"/>
    <s v="Display-Amazon"/>
    <s v="Amazon"/>
  </r>
  <r>
    <s v="Biolage"/>
    <x v="1"/>
    <x v="2"/>
    <s v="Amazon"/>
    <s v="Amazon"/>
    <x v="62"/>
    <d v="2024-01-01T00:00:00"/>
    <n v="10180.799999999999"/>
    <n v="986887"/>
    <s v="TTM"/>
    <s v="Search-Amazon"/>
    <s v="Amazon"/>
  </r>
  <r>
    <s v="Biolage"/>
    <x v="0"/>
    <x v="1"/>
    <s v="Amazon"/>
    <s v="Amazon"/>
    <x v="62"/>
    <d v="2024-01-01T00:00:00"/>
    <n v="1409.1728999999998"/>
    <n v="888115"/>
    <s v="TTM"/>
    <s v="Display-Amazon"/>
    <s v="Amazon"/>
  </r>
  <r>
    <s v="Biolage"/>
    <x v="0"/>
    <x v="2"/>
    <s v="Amazon"/>
    <s v="Amazon"/>
    <x v="62"/>
    <d v="2024-01-01T00:00:00"/>
    <n v="7340.3999999999987"/>
    <n v="903241"/>
    <s v="TTM"/>
    <s v="Search-Amazon"/>
    <s v="Amazon"/>
  </r>
  <r>
    <s v="Biolage"/>
    <x v="2"/>
    <x v="1"/>
    <s v="Amazon"/>
    <s v="Amazon"/>
    <x v="62"/>
    <d v="2024-01-01T00:00:00"/>
    <n v="9659.0651999999991"/>
    <n v="2241173"/>
    <s v="TTM"/>
    <s v="Display-Amazon"/>
    <s v="Amazon"/>
  </r>
  <r>
    <s v="Biolage"/>
    <x v="2"/>
    <x v="2"/>
    <s v="Amazon"/>
    <s v="Amazon"/>
    <x v="62"/>
    <d v="2024-01-01T00:00:00"/>
    <n v="9205.07"/>
    <n v="1247407"/>
    <s v="TTM"/>
    <s v="Search-Amazon"/>
    <s v="Amazon"/>
  </r>
  <r>
    <s v="Biolage"/>
    <x v="3"/>
    <x v="1"/>
    <s v="Amazon"/>
    <s v="Amazon"/>
    <x v="62"/>
    <d v="2024-01-01T00:00:00"/>
    <n v="3973.7300999999998"/>
    <n v="336205"/>
    <s v="TTM"/>
    <s v="Display-Amazon"/>
    <s v="Amazon"/>
  </r>
  <r>
    <s v="Biolage"/>
    <x v="3"/>
    <x v="2"/>
    <s v="Amazon"/>
    <s v="Amazon"/>
    <x v="62"/>
    <d v="2024-01-01T00:00:00"/>
    <n v="5793.3099999999977"/>
    <n v="1080414"/>
    <s v="TTM"/>
    <s v="Search-Amazon"/>
    <s v="Amazon"/>
  </r>
  <r>
    <s v="Biolage"/>
    <x v="4"/>
    <x v="1"/>
    <s v="Amazon"/>
    <s v="Amazon"/>
    <x v="62"/>
    <d v="2024-01-01T00:00:00"/>
    <n v="8363.6358000000018"/>
    <n v="3325015"/>
    <s v="TTM"/>
    <s v="Display-Amazon"/>
    <s v="Amazon"/>
  </r>
  <r>
    <s v="Biolage"/>
    <x v="4"/>
    <x v="2"/>
    <s v="Amazon"/>
    <s v="Amazon"/>
    <x v="62"/>
    <d v="2024-01-01T00:00:00"/>
    <n v="9015.3799999999992"/>
    <n v="1910006"/>
    <s v="TTM"/>
    <s v="Search-Amazon"/>
    <s v="Amazon"/>
  </r>
  <r>
    <s v="Biolage"/>
    <x v="5"/>
    <x v="1"/>
    <s v="Amazon"/>
    <s v="Amazon"/>
    <x v="62"/>
    <d v="2024-01-01T00:00:00"/>
    <n v="3667.9390000000008"/>
    <n v="1140795"/>
    <s v="TTM"/>
    <s v="Display-Amazon"/>
    <s v="Amazon"/>
  </r>
  <r>
    <s v="Biolage"/>
    <x v="5"/>
    <x v="2"/>
    <s v="Amazon"/>
    <s v="Amazon"/>
    <x v="62"/>
    <d v="2024-01-01T00:00:00"/>
    <n v="6625.4800000000023"/>
    <n v="582904"/>
    <s v="TTM"/>
    <s v="Search-Amazon"/>
    <s v="Amazon"/>
  </r>
  <r>
    <s v="Biolage"/>
    <x v="8"/>
    <x v="1"/>
    <s v="Amazon"/>
    <s v="Amazon"/>
    <x v="62"/>
    <d v="2024-01-01T00:00:00"/>
    <n v="2325.6322999999988"/>
    <n v="829198"/>
    <s v="TTM"/>
    <s v="Display-Amazon"/>
    <s v="Amazon"/>
  </r>
  <r>
    <s v="Biolage"/>
    <x v="8"/>
    <x v="2"/>
    <s v="Amazon"/>
    <s v="Amazon"/>
    <x v="62"/>
    <d v="2024-01-01T00:00:00"/>
    <n v="1821.7199999999996"/>
    <n v="288304"/>
    <s v="TTM"/>
    <s v="Search-Amazon"/>
    <s v="Amazon"/>
  </r>
  <r>
    <s v="Biolage"/>
    <x v="6"/>
    <x v="2"/>
    <s v="Amazon"/>
    <s v="Amazon"/>
    <x v="62"/>
    <d v="2024-01-01T00:00:00"/>
    <n v="1.48"/>
    <n v="3938"/>
    <s v="TTM"/>
    <s v="Search-Amazon"/>
    <s v="Amazon"/>
  </r>
  <r>
    <s v="Biolage"/>
    <x v="10"/>
    <x v="2"/>
    <s v="Google"/>
    <s v="Biolage"/>
    <x v="62"/>
    <d v="2024-01-01T00:00:00"/>
    <n v="54.79"/>
    <n v="298"/>
    <s v="TTM"/>
    <s v="Search-Google"/>
    <s v="Search"/>
  </r>
  <r>
    <s v="Biolage"/>
    <x v="9"/>
    <x v="2"/>
    <s v="Google"/>
    <s v="Biolage"/>
    <x v="62"/>
    <d v="2024-01-01T00:00:00"/>
    <n v="34.620000000000005"/>
    <n v="178"/>
    <s v="TTM"/>
    <s v="Search-Google"/>
    <s v="Search"/>
  </r>
  <r>
    <s v="Biolage"/>
    <x v="0"/>
    <x v="2"/>
    <s v="Google"/>
    <s v="Biolage"/>
    <x v="62"/>
    <d v="2024-01-01T00:00:00"/>
    <n v="8309.7273860000023"/>
    <n v="28438"/>
    <s v="TTM"/>
    <s v="Search-Google"/>
    <s v="Search"/>
  </r>
  <r>
    <s v="Biolage"/>
    <x v="2"/>
    <x v="2"/>
    <s v="Google"/>
    <s v="Biolage"/>
    <x v="62"/>
    <d v="2024-01-01T00:00:00"/>
    <n v="147.71"/>
    <n v="905"/>
    <s v="TTM"/>
    <s v="Search-Google"/>
    <s v="Search"/>
  </r>
  <r>
    <s v="Biolage"/>
    <x v="11"/>
    <x v="2"/>
    <s v="Google"/>
    <s v="Biolage"/>
    <x v="62"/>
    <d v="2024-01-01T00:00:00"/>
    <n v="304.61570899999998"/>
    <n v="557"/>
    <s v="TTM"/>
    <s v="Search-Google"/>
    <s v="Search"/>
  </r>
  <r>
    <s v="Biolage"/>
    <x v="1"/>
    <x v="2"/>
    <s v="Google"/>
    <s v="Biolage"/>
    <x v="62"/>
    <d v="2024-01-01T00:00:00"/>
    <n v="305.01"/>
    <n v="1975"/>
    <s v="TTM"/>
    <s v="Search-Google"/>
    <s v="Search"/>
  </r>
  <r>
    <s v="Biolage"/>
    <x v="5"/>
    <x v="2"/>
    <s v="Google"/>
    <s v="Biolage"/>
    <x v="62"/>
    <d v="2024-01-01T00:00:00"/>
    <n v="197.90614000000002"/>
    <n v="1463"/>
    <s v="TTM"/>
    <s v="Search-Google"/>
    <s v="Search"/>
  </r>
  <r>
    <s v="Biolage"/>
    <x v="8"/>
    <x v="2"/>
    <s v="Google"/>
    <s v="Biolage"/>
    <x v="62"/>
    <d v="2024-01-01T00:00:00"/>
    <n v="82.02000000000001"/>
    <n v="511"/>
    <s v="TTM"/>
    <s v="Search-Google"/>
    <s v="Search"/>
  </r>
  <r>
    <s v="Biolage"/>
    <x v="3"/>
    <x v="2"/>
    <s v="Google"/>
    <s v="Biolage"/>
    <x v="62"/>
    <d v="2024-01-01T00:00:00"/>
    <n v="52.65"/>
    <n v="430"/>
    <s v="TTM"/>
    <s v="Search-Google"/>
    <s v="Search"/>
  </r>
  <r>
    <s v="Biolage"/>
    <x v="6"/>
    <x v="2"/>
    <s v="Google"/>
    <s v="Biolage"/>
    <x v="62"/>
    <d v="2024-01-01T00:00:00"/>
    <n v="108.85000000000001"/>
    <n v="690"/>
    <s v="TTM"/>
    <s v="Search-Google"/>
    <s v="Search"/>
  </r>
  <r>
    <s v="Biolage"/>
    <x v="4"/>
    <x v="2"/>
    <s v="Google"/>
    <s v="Biolage"/>
    <x v="62"/>
    <d v="2024-01-01T00:00:00"/>
    <n v="160.97999999999999"/>
    <n v="934"/>
    <s v="TTM"/>
    <s v="Search-Google"/>
    <s v="Search"/>
  </r>
  <r>
    <s v="Biolage"/>
    <x v="1"/>
    <x v="1"/>
    <s v="Amazon"/>
    <s v="Amazon"/>
    <x v="63"/>
    <d v="2024-01-01T00:00:00"/>
    <n v="10095.0715"/>
    <n v="3470910"/>
    <s v="TTM"/>
    <s v="Display-Amazon"/>
    <s v="Amazon"/>
  </r>
  <r>
    <s v="Biolage"/>
    <x v="1"/>
    <x v="2"/>
    <s v="Amazon"/>
    <s v="Amazon"/>
    <x v="63"/>
    <d v="2024-01-01T00:00:00"/>
    <n v="5685.8899999999976"/>
    <n v="656822"/>
    <s v="TTM"/>
    <s v="Search-Amazon"/>
    <s v="Amazon"/>
  </r>
  <r>
    <s v="Biolage"/>
    <x v="0"/>
    <x v="1"/>
    <s v="Amazon"/>
    <s v="Amazon"/>
    <x v="63"/>
    <d v="2024-01-01T00:00:00"/>
    <n v="1432.1981000000003"/>
    <n v="916953"/>
    <s v="TTM"/>
    <s v="Display-Amazon"/>
    <s v="Amazon"/>
  </r>
  <r>
    <s v="Biolage"/>
    <x v="0"/>
    <x v="2"/>
    <s v="Amazon"/>
    <s v="Amazon"/>
    <x v="63"/>
    <d v="2024-01-01T00:00:00"/>
    <n v="7077.36"/>
    <n v="911427"/>
    <s v="TTM"/>
    <s v="Search-Amazon"/>
    <s v="Amazon"/>
  </r>
  <r>
    <s v="Biolage"/>
    <x v="2"/>
    <x v="1"/>
    <s v="Amazon"/>
    <s v="Amazon"/>
    <x v="63"/>
    <d v="2024-01-01T00:00:00"/>
    <n v="9735.6572000000069"/>
    <n v="2344205"/>
    <s v="TTM"/>
    <s v="Display-Amazon"/>
    <s v="Amazon"/>
  </r>
  <r>
    <s v="Biolage"/>
    <x v="2"/>
    <x v="2"/>
    <s v="Amazon"/>
    <s v="Amazon"/>
    <x v="63"/>
    <d v="2024-01-01T00:00:00"/>
    <n v="10137.550000000005"/>
    <n v="1349807"/>
    <s v="TTM"/>
    <s v="Search-Amazon"/>
    <s v="Amazon"/>
  </r>
  <r>
    <s v="Biolage"/>
    <x v="3"/>
    <x v="1"/>
    <s v="Amazon"/>
    <s v="Amazon"/>
    <x v="63"/>
    <d v="2024-01-01T00:00:00"/>
    <n v="4018.8783000000003"/>
    <n v="269303"/>
    <s v="TTM"/>
    <s v="Display-Amazon"/>
    <s v="Amazon"/>
  </r>
  <r>
    <s v="Biolage"/>
    <x v="3"/>
    <x v="2"/>
    <s v="Amazon"/>
    <s v="Amazon"/>
    <x v="63"/>
    <d v="2024-01-01T00:00:00"/>
    <n v="6219.8099999999986"/>
    <n v="1324149"/>
    <s v="TTM"/>
    <s v="Search-Amazon"/>
    <s v="Amazon"/>
  </r>
  <r>
    <s v="Biolage"/>
    <x v="4"/>
    <x v="1"/>
    <s v="Amazon"/>
    <s v="Amazon"/>
    <x v="63"/>
    <d v="2024-01-01T00:00:00"/>
    <n v="8454.2747999999938"/>
    <n v="3222894"/>
    <s v="TTM"/>
    <s v="Display-Amazon"/>
    <s v="Amazon"/>
  </r>
  <r>
    <s v="Biolage"/>
    <x v="4"/>
    <x v="2"/>
    <s v="Amazon"/>
    <s v="Amazon"/>
    <x v="63"/>
    <d v="2024-01-01T00:00:00"/>
    <n v="5501.1900000000005"/>
    <n v="1511624"/>
    <s v="TTM"/>
    <s v="Search-Amazon"/>
    <s v="Amazon"/>
  </r>
  <r>
    <s v="Biolage"/>
    <x v="5"/>
    <x v="1"/>
    <s v="Amazon"/>
    <s v="Amazon"/>
    <x v="63"/>
    <d v="2024-01-01T00:00:00"/>
    <n v="3018.0008000000003"/>
    <n v="1072510"/>
    <s v="TTM"/>
    <s v="Display-Amazon"/>
    <s v="Amazon"/>
  </r>
  <r>
    <s v="Biolage"/>
    <x v="5"/>
    <x v="2"/>
    <s v="Amazon"/>
    <s v="Amazon"/>
    <x v="63"/>
    <d v="2024-01-01T00:00:00"/>
    <n v="6395.7199999999975"/>
    <n v="615905"/>
    <s v="TTM"/>
    <s v="Search-Amazon"/>
    <s v="Amazon"/>
  </r>
  <r>
    <s v="Biolage"/>
    <x v="8"/>
    <x v="1"/>
    <s v="Amazon"/>
    <s v="Amazon"/>
    <x v="63"/>
    <d v="2024-01-01T00:00:00"/>
    <n v="2378.3753999999999"/>
    <n v="1085556"/>
    <s v="TTM"/>
    <s v="Display-Amazon"/>
    <s v="Amazon"/>
  </r>
  <r>
    <s v="Biolage"/>
    <x v="8"/>
    <x v="2"/>
    <s v="Amazon"/>
    <s v="Amazon"/>
    <x v="63"/>
    <d v="2024-01-01T00:00:00"/>
    <n v="1891.5600000000006"/>
    <n v="295106"/>
    <s v="TTM"/>
    <s v="Search-Amazon"/>
    <s v="Amazon"/>
  </r>
  <r>
    <s v="Biolage"/>
    <x v="6"/>
    <x v="2"/>
    <s v="Amazon"/>
    <s v="Amazon"/>
    <x v="63"/>
    <d v="2024-01-01T00:00:00"/>
    <n v="0.37"/>
    <n v="1010"/>
    <s v="TTM"/>
    <s v="Search-Amazon"/>
    <s v="Amazon"/>
  </r>
  <r>
    <s v="Biolage"/>
    <x v="10"/>
    <x v="2"/>
    <s v="Google"/>
    <s v="Biolage"/>
    <x v="63"/>
    <d v="2024-01-01T00:00:00"/>
    <n v="59.901908999999996"/>
    <n v="353"/>
    <s v="TTM"/>
    <s v="Search-Google"/>
    <s v="Search"/>
  </r>
  <r>
    <s v="Biolage"/>
    <x v="9"/>
    <x v="2"/>
    <s v="Google"/>
    <s v="Biolage"/>
    <x v="63"/>
    <d v="2024-01-01T00:00:00"/>
    <n v="33.76"/>
    <n v="189"/>
    <s v="TTM"/>
    <s v="Search-Google"/>
    <s v="Search"/>
  </r>
  <r>
    <s v="Biolage"/>
    <x v="0"/>
    <x v="2"/>
    <s v="Google"/>
    <s v="Biolage"/>
    <x v="63"/>
    <d v="2024-01-01T00:00:00"/>
    <n v="7845.6329089999981"/>
    <n v="28662"/>
    <s v="TTM"/>
    <s v="Search-Google"/>
    <s v="Search"/>
  </r>
  <r>
    <s v="Biolage"/>
    <x v="2"/>
    <x v="2"/>
    <s v="Google"/>
    <s v="Biolage"/>
    <x v="63"/>
    <d v="2024-01-01T00:00:00"/>
    <n v="158.94999999999999"/>
    <n v="889"/>
    <s v="TTM"/>
    <s v="Search-Google"/>
    <s v="Search"/>
  </r>
  <r>
    <s v="Biolage"/>
    <x v="11"/>
    <x v="2"/>
    <s v="Google"/>
    <s v="Biolage"/>
    <x v="63"/>
    <d v="2024-01-01T00:00:00"/>
    <n v="242.417393"/>
    <n v="577"/>
    <s v="TTM"/>
    <s v="Search-Google"/>
    <s v="Search"/>
  </r>
  <r>
    <s v="Biolage"/>
    <x v="1"/>
    <x v="2"/>
    <s v="Google"/>
    <s v="Biolage"/>
    <x v="63"/>
    <d v="2024-01-01T00:00:00"/>
    <n v="360.53261299999997"/>
    <n v="2278"/>
    <s v="TTM"/>
    <s v="Search-Google"/>
    <s v="Search"/>
  </r>
  <r>
    <s v="Biolage"/>
    <x v="5"/>
    <x v="2"/>
    <s v="Google"/>
    <s v="Biolage"/>
    <x v="63"/>
    <d v="2024-01-01T00:00:00"/>
    <n v="207.06141500000001"/>
    <n v="1787"/>
    <s v="TTM"/>
    <s v="Search-Google"/>
    <s v="Search"/>
  </r>
  <r>
    <s v="Biolage"/>
    <x v="8"/>
    <x v="2"/>
    <s v="Google"/>
    <s v="Biolage"/>
    <x v="63"/>
    <d v="2024-01-01T00:00:00"/>
    <n v="106.10000000000001"/>
    <n v="519"/>
    <s v="TTM"/>
    <s v="Search-Google"/>
    <s v="Search"/>
  </r>
  <r>
    <s v="Biolage"/>
    <x v="3"/>
    <x v="2"/>
    <s v="Google"/>
    <s v="Biolage"/>
    <x v="63"/>
    <d v="2024-01-01T00:00:00"/>
    <n v="76.862088999999997"/>
    <n v="514"/>
    <s v="TTM"/>
    <s v="Search-Google"/>
    <s v="Search"/>
  </r>
  <r>
    <s v="Biolage"/>
    <x v="6"/>
    <x v="2"/>
    <s v="Google"/>
    <s v="Biolage"/>
    <x v="63"/>
    <d v="2024-01-01T00:00:00"/>
    <n v="146.28362999999999"/>
    <n v="760"/>
    <s v="TTM"/>
    <s v="Search-Google"/>
    <s v="Search"/>
  </r>
  <r>
    <s v="Biolage"/>
    <x v="4"/>
    <x v="2"/>
    <s v="Google"/>
    <s v="Biolage"/>
    <x v="63"/>
    <d v="2024-01-01T00:00:00"/>
    <n v="177.64638600000001"/>
    <n v="913"/>
    <s v="TTM"/>
    <s v="Search-Google"/>
    <s v="Search"/>
  </r>
  <r>
    <s v="Biolage"/>
    <x v="1"/>
    <x v="1"/>
    <s v="Amazon"/>
    <s v="Amazon"/>
    <x v="64"/>
    <d v="2024-01-01T00:00:00"/>
    <n v="10171.994399999996"/>
    <n v="2254914"/>
    <s v="TTM"/>
    <s v="Display-Amazon"/>
    <s v="Amazon"/>
  </r>
  <r>
    <s v="Biolage"/>
    <x v="1"/>
    <x v="2"/>
    <s v="Amazon"/>
    <s v="Amazon"/>
    <x v="64"/>
    <d v="2024-01-01T00:00:00"/>
    <n v="3939.43"/>
    <n v="586615"/>
    <s v="TTM"/>
    <s v="Search-Amazon"/>
    <s v="Amazon"/>
  </r>
  <r>
    <s v="Biolage"/>
    <x v="0"/>
    <x v="1"/>
    <s v="Amazon"/>
    <s v="Amazon"/>
    <x v="64"/>
    <d v="2024-01-01T00:00:00"/>
    <n v="1428.1926000000001"/>
    <n v="953819"/>
    <s v="TTM"/>
    <s v="Display-Amazon"/>
    <s v="Amazon"/>
  </r>
  <r>
    <s v="Biolage"/>
    <x v="0"/>
    <x v="2"/>
    <s v="Amazon"/>
    <s v="Amazon"/>
    <x v="64"/>
    <d v="2024-01-01T00:00:00"/>
    <n v="6918.2400000000007"/>
    <n v="809967"/>
    <s v="TTM"/>
    <s v="Search-Amazon"/>
    <s v="Amazon"/>
  </r>
  <r>
    <s v="Biolage"/>
    <x v="2"/>
    <x v="1"/>
    <s v="Amazon"/>
    <s v="Amazon"/>
    <x v="64"/>
    <d v="2024-01-01T00:00:00"/>
    <n v="9794.821699999995"/>
    <n v="2361275"/>
    <s v="TTM"/>
    <s v="Display-Amazon"/>
    <s v="Amazon"/>
  </r>
  <r>
    <s v="Biolage"/>
    <x v="2"/>
    <x v="2"/>
    <s v="Amazon"/>
    <s v="Amazon"/>
    <x v="64"/>
    <d v="2024-01-01T00:00:00"/>
    <n v="8969.6500000000015"/>
    <n v="1143539"/>
    <s v="TTM"/>
    <s v="Search-Amazon"/>
    <s v="Amazon"/>
  </r>
  <r>
    <s v="Biolage"/>
    <x v="3"/>
    <x v="1"/>
    <s v="Amazon"/>
    <s v="Amazon"/>
    <x v="64"/>
    <d v="2024-01-01T00:00:00"/>
    <n v="3581.4115999999999"/>
    <n v="179244"/>
    <s v="TTM"/>
    <s v="Display-Amazon"/>
    <s v="Amazon"/>
  </r>
  <r>
    <s v="Biolage"/>
    <x v="3"/>
    <x v="2"/>
    <s v="Amazon"/>
    <s v="Amazon"/>
    <x v="64"/>
    <d v="2024-01-01T00:00:00"/>
    <n v="6045.2000000000016"/>
    <n v="1369316"/>
    <s v="TTM"/>
    <s v="Search-Amazon"/>
    <s v="Amazon"/>
  </r>
  <r>
    <s v="Biolage"/>
    <x v="4"/>
    <x v="1"/>
    <s v="Amazon"/>
    <s v="Amazon"/>
    <x v="64"/>
    <d v="2024-01-01T00:00:00"/>
    <n v="7981.8233000000009"/>
    <n v="1603266"/>
    <s v="TTM"/>
    <s v="Display-Amazon"/>
    <s v="Amazon"/>
  </r>
  <r>
    <s v="Biolage"/>
    <x v="4"/>
    <x v="2"/>
    <s v="Amazon"/>
    <s v="Amazon"/>
    <x v="64"/>
    <d v="2024-01-01T00:00:00"/>
    <n v="5121.1800000000012"/>
    <n v="1430201"/>
    <s v="TTM"/>
    <s v="Search-Amazon"/>
    <s v="Amazon"/>
  </r>
  <r>
    <s v="Biolage"/>
    <x v="5"/>
    <x v="1"/>
    <s v="Amazon"/>
    <s v="Amazon"/>
    <x v="64"/>
    <d v="2024-01-01T00:00:00"/>
    <n v="3157.5508000000009"/>
    <n v="858830"/>
    <s v="TTM"/>
    <s v="Display-Amazon"/>
    <s v="Amazon"/>
  </r>
  <r>
    <s v="Biolage"/>
    <x v="5"/>
    <x v="2"/>
    <s v="Amazon"/>
    <s v="Amazon"/>
    <x v="64"/>
    <d v="2024-01-01T00:00:00"/>
    <n v="6068.2100000000019"/>
    <n v="590185"/>
    <s v="TTM"/>
    <s v="Search-Amazon"/>
    <s v="Amazon"/>
  </r>
  <r>
    <s v="Biolage"/>
    <x v="8"/>
    <x v="1"/>
    <s v="Amazon"/>
    <s v="Amazon"/>
    <x v="64"/>
    <d v="2024-01-01T00:00:00"/>
    <n v="2364.7366999999999"/>
    <n v="616532"/>
    <s v="TTM"/>
    <s v="Display-Amazon"/>
    <s v="Amazon"/>
  </r>
  <r>
    <s v="Biolage"/>
    <x v="8"/>
    <x v="2"/>
    <s v="Amazon"/>
    <s v="Amazon"/>
    <x v="64"/>
    <d v="2024-01-01T00:00:00"/>
    <n v="2145.5999999999985"/>
    <n v="348307"/>
    <s v="TTM"/>
    <s v="Search-Amazon"/>
    <s v="Amazon"/>
  </r>
  <r>
    <s v="Biolage"/>
    <x v="6"/>
    <x v="2"/>
    <s v="Amazon"/>
    <s v="Amazon"/>
    <x v="64"/>
    <d v="2024-01-01T00:00:00"/>
    <n v="0.37"/>
    <n v="826"/>
    <s v="TTM"/>
    <s v="Search-Amazon"/>
    <s v="Amazon"/>
  </r>
  <r>
    <s v="Biolage"/>
    <x v="10"/>
    <x v="2"/>
    <s v="Google"/>
    <s v="Biolage"/>
    <x v="64"/>
    <d v="2024-01-01T00:00:00"/>
    <n v="51.759999999999991"/>
    <n v="297"/>
    <s v="TTM"/>
    <s v="Search-Google"/>
    <s v="Search"/>
  </r>
  <r>
    <s v="Biolage"/>
    <x v="9"/>
    <x v="2"/>
    <s v="Google"/>
    <s v="Biolage"/>
    <x v="64"/>
    <d v="2024-01-01T00:00:00"/>
    <n v="52.783485999999996"/>
    <n v="186"/>
    <s v="TTM"/>
    <s v="Search-Google"/>
    <s v="Search"/>
  </r>
  <r>
    <s v="Biolage"/>
    <x v="0"/>
    <x v="2"/>
    <s v="Google"/>
    <s v="Biolage"/>
    <x v="64"/>
    <d v="2024-01-01T00:00:00"/>
    <n v="7409.6000650000005"/>
    <n v="26753"/>
    <s v="TTM"/>
    <s v="Search-Google"/>
    <s v="Search"/>
  </r>
  <r>
    <s v="Biolage"/>
    <x v="2"/>
    <x v="2"/>
    <s v="Google"/>
    <s v="Biolage"/>
    <x v="64"/>
    <d v="2024-01-01T00:00:00"/>
    <n v="138.24"/>
    <n v="1011"/>
    <s v="TTM"/>
    <s v="Search-Google"/>
    <s v="Search"/>
  </r>
  <r>
    <s v="Biolage"/>
    <x v="11"/>
    <x v="2"/>
    <s v="Google"/>
    <s v="Biolage"/>
    <x v="64"/>
    <d v="2024-01-01T00:00:00"/>
    <n v="248.51185600000002"/>
    <n v="568"/>
    <s v="TTM"/>
    <s v="Search-Google"/>
    <s v="Search"/>
  </r>
  <r>
    <s v="Biolage"/>
    <x v="1"/>
    <x v="2"/>
    <s v="Google"/>
    <s v="Biolage"/>
    <x v="64"/>
    <d v="2024-01-01T00:00:00"/>
    <n v="445.71481200000005"/>
    <n v="2400"/>
    <s v="TTM"/>
    <s v="Search-Google"/>
    <s v="Search"/>
  </r>
  <r>
    <s v="Biolage"/>
    <x v="5"/>
    <x v="2"/>
    <s v="Google"/>
    <s v="Biolage"/>
    <x v="64"/>
    <d v="2024-01-01T00:00:00"/>
    <n v="274.80999700000001"/>
    <n v="1849"/>
    <s v="TTM"/>
    <s v="Search-Google"/>
    <s v="Search"/>
  </r>
  <r>
    <s v="Biolage"/>
    <x v="8"/>
    <x v="2"/>
    <s v="Google"/>
    <s v="Biolage"/>
    <x v="64"/>
    <d v="2024-01-01T00:00:00"/>
    <n v="101.11156200000001"/>
    <n v="556"/>
    <s v="TTM"/>
    <s v="Search-Google"/>
    <s v="Search"/>
  </r>
  <r>
    <s v="Biolage"/>
    <x v="3"/>
    <x v="2"/>
    <s v="Google"/>
    <s v="Biolage"/>
    <x v="64"/>
    <d v="2024-01-01T00:00:00"/>
    <n v="62.538694"/>
    <n v="504"/>
    <s v="TTM"/>
    <s v="Search-Google"/>
    <s v="Search"/>
  </r>
  <r>
    <s v="Biolage"/>
    <x v="6"/>
    <x v="2"/>
    <s v="Google"/>
    <s v="Biolage"/>
    <x v="64"/>
    <d v="2024-01-01T00:00:00"/>
    <n v="258.76401800000002"/>
    <n v="840"/>
    <s v="TTM"/>
    <s v="Search-Google"/>
    <s v="Search"/>
  </r>
  <r>
    <s v="Biolage"/>
    <x v="4"/>
    <x v="2"/>
    <s v="Google"/>
    <s v="Biolage"/>
    <x v="64"/>
    <d v="2024-01-01T00:00:00"/>
    <n v="172.48994300000001"/>
    <n v="1044"/>
    <s v="TTM"/>
    <s v="Search-Google"/>
    <s v="Search"/>
  </r>
  <r>
    <s v="Biolage"/>
    <x v="1"/>
    <x v="0"/>
    <s v="Meta"/>
    <s v="Ulta"/>
    <x v="65"/>
    <d v="2024-01-01T00:00:00"/>
    <n v="35631.240027"/>
    <n v="4928271"/>
    <s v="TTM"/>
    <s v="Social-Meta"/>
    <s v="Ulta"/>
  </r>
  <r>
    <s v="Biolage"/>
    <x v="1"/>
    <x v="1"/>
    <s v="Amazon"/>
    <s v="Amazon"/>
    <x v="65"/>
    <d v="2024-01-01T00:00:00"/>
    <n v="10015.456900000003"/>
    <n v="2032516"/>
    <s v="TTM"/>
    <s v="Display-Amazon"/>
    <s v="Amazon"/>
  </r>
  <r>
    <s v="Biolage"/>
    <x v="1"/>
    <x v="2"/>
    <s v="Amazon"/>
    <s v="Amazon"/>
    <x v="65"/>
    <d v="2024-01-01T00:00:00"/>
    <n v="5370.15"/>
    <n v="762616"/>
    <s v="TTM"/>
    <s v="Search-Amazon"/>
    <s v="Amazon"/>
  </r>
  <r>
    <s v="Biolage"/>
    <x v="0"/>
    <x v="1"/>
    <s v="Amazon"/>
    <s v="Amazon"/>
    <x v="65"/>
    <d v="2024-01-01T00:00:00"/>
    <n v="1400.7916000000002"/>
    <n v="865026"/>
    <s v="TTM"/>
    <s v="Display-Amazon"/>
    <s v="Amazon"/>
  </r>
  <r>
    <s v="Biolage"/>
    <x v="0"/>
    <x v="2"/>
    <s v="Amazon"/>
    <s v="Amazon"/>
    <x v="65"/>
    <d v="2024-01-01T00:00:00"/>
    <n v="7083.1000000000022"/>
    <n v="918069"/>
    <s v="TTM"/>
    <s v="Search-Amazon"/>
    <s v="Amazon"/>
  </r>
  <r>
    <s v="Biolage"/>
    <x v="2"/>
    <x v="1"/>
    <s v="Amazon"/>
    <s v="Amazon"/>
    <x v="65"/>
    <d v="2024-01-01T00:00:00"/>
    <n v="9758.4418999999962"/>
    <n v="2309108"/>
    <s v="TTM"/>
    <s v="Display-Amazon"/>
    <s v="Amazon"/>
  </r>
  <r>
    <s v="Biolage"/>
    <x v="2"/>
    <x v="2"/>
    <s v="Amazon"/>
    <s v="Amazon"/>
    <x v="65"/>
    <d v="2024-01-01T00:00:00"/>
    <n v="9669.1899999999932"/>
    <n v="1355070"/>
    <s v="TTM"/>
    <s v="Search-Amazon"/>
    <s v="Amazon"/>
  </r>
  <r>
    <s v="Biolage"/>
    <x v="3"/>
    <x v="1"/>
    <s v="Amazon"/>
    <s v="Amazon"/>
    <x v="65"/>
    <d v="2024-01-01T00:00:00"/>
    <n v="3013.6907999999989"/>
    <n v="268021"/>
    <s v="TTM"/>
    <s v="Display-Amazon"/>
    <s v="Amazon"/>
  </r>
  <r>
    <s v="Biolage"/>
    <x v="3"/>
    <x v="2"/>
    <s v="Amazon"/>
    <s v="Amazon"/>
    <x v="65"/>
    <d v="2024-01-01T00:00:00"/>
    <n v="6493.5199999999977"/>
    <n v="1308122"/>
    <s v="TTM"/>
    <s v="Search-Amazon"/>
    <s v="Amazon"/>
  </r>
  <r>
    <s v="Biolage"/>
    <x v="4"/>
    <x v="1"/>
    <s v="Amazon"/>
    <s v="Amazon"/>
    <x v="65"/>
    <d v="2024-01-01T00:00:00"/>
    <n v="7335.7093000000004"/>
    <n v="1383942"/>
    <s v="TTM"/>
    <s v="Display-Amazon"/>
    <s v="Amazon"/>
  </r>
  <r>
    <s v="Biolage"/>
    <x v="4"/>
    <x v="2"/>
    <s v="Amazon"/>
    <s v="Amazon"/>
    <x v="65"/>
    <d v="2024-01-01T00:00:00"/>
    <n v="5557.31"/>
    <n v="1653033"/>
    <s v="TTM"/>
    <s v="Search-Amazon"/>
    <s v="Amazon"/>
  </r>
  <r>
    <s v="Biolage"/>
    <x v="5"/>
    <x v="1"/>
    <s v="Amazon"/>
    <s v="Amazon"/>
    <x v="65"/>
    <d v="2024-01-01T00:00:00"/>
    <n v="3784.5102999999995"/>
    <n v="937069"/>
    <s v="TTM"/>
    <s v="Display-Amazon"/>
    <s v="Amazon"/>
  </r>
  <r>
    <s v="Biolage"/>
    <x v="5"/>
    <x v="2"/>
    <s v="Amazon"/>
    <s v="Amazon"/>
    <x v="65"/>
    <d v="2024-01-01T00:00:00"/>
    <n v="6193.1699999999992"/>
    <n v="646076"/>
    <s v="TTM"/>
    <s v="Search-Amazon"/>
    <s v="Amazon"/>
  </r>
  <r>
    <s v="Biolage"/>
    <x v="8"/>
    <x v="1"/>
    <s v="Amazon"/>
    <s v="Amazon"/>
    <x v="65"/>
    <d v="2024-01-01T00:00:00"/>
    <n v="2424.9718000000007"/>
    <n v="501566"/>
    <s v="TTM"/>
    <s v="Display-Amazon"/>
    <s v="Amazon"/>
  </r>
  <r>
    <s v="Biolage"/>
    <x v="8"/>
    <x v="2"/>
    <s v="Amazon"/>
    <s v="Amazon"/>
    <x v="65"/>
    <d v="2024-01-01T00:00:00"/>
    <n v="3532.6999999999994"/>
    <n v="870706"/>
    <s v="TTM"/>
    <s v="Search-Amazon"/>
    <s v="Amazon"/>
  </r>
  <r>
    <s v="Biolage"/>
    <x v="6"/>
    <x v="2"/>
    <s v="Amazon"/>
    <s v="Amazon"/>
    <x v="65"/>
    <d v="2024-01-01T00:00:00"/>
    <n v="0.28999999999999998"/>
    <n v="1128"/>
    <s v="TTM"/>
    <s v="Search-Amazon"/>
    <s v="Amazon"/>
  </r>
  <r>
    <s v="Biolage"/>
    <x v="10"/>
    <x v="2"/>
    <s v="Google"/>
    <s v="Biolage"/>
    <x v="65"/>
    <d v="2024-01-01T00:00:00"/>
    <n v="95.990000000000009"/>
    <n v="338"/>
    <s v="TTM"/>
    <s v="Search-Google"/>
    <s v="Search"/>
  </r>
  <r>
    <s v="Biolage"/>
    <x v="9"/>
    <x v="2"/>
    <s v="Google"/>
    <s v="Biolage"/>
    <x v="65"/>
    <d v="2024-01-01T00:00:00"/>
    <n v="34.49"/>
    <n v="178"/>
    <s v="TTM"/>
    <s v="Search-Google"/>
    <s v="Search"/>
  </r>
  <r>
    <s v="Biolage"/>
    <x v="0"/>
    <x v="2"/>
    <s v="Google"/>
    <s v="Biolage"/>
    <x v="65"/>
    <d v="2024-01-01T00:00:00"/>
    <n v="7337.6632870000012"/>
    <n v="26010"/>
    <s v="TTM"/>
    <s v="Search-Google"/>
    <s v="Search"/>
  </r>
  <r>
    <s v="Biolage"/>
    <x v="2"/>
    <x v="2"/>
    <s v="Google"/>
    <s v="Biolage"/>
    <x v="65"/>
    <d v="2024-01-01T00:00:00"/>
    <n v="113.14000000000001"/>
    <n v="847"/>
    <s v="TTM"/>
    <s v="Search-Google"/>
    <s v="Search"/>
  </r>
  <r>
    <s v="Biolage"/>
    <x v="11"/>
    <x v="2"/>
    <s v="Google"/>
    <s v="Biolage"/>
    <x v="65"/>
    <d v="2024-01-01T00:00:00"/>
    <n v="272.107957"/>
    <n v="642"/>
    <s v="TTM"/>
    <s v="Search-Google"/>
    <s v="Search"/>
  </r>
  <r>
    <s v="Biolage"/>
    <x v="1"/>
    <x v="2"/>
    <s v="Google"/>
    <s v="Biolage"/>
    <x v="65"/>
    <d v="2024-01-01T00:00:00"/>
    <n v="328.30767900000001"/>
    <n v="2101"/>
    <s v="TTM"/>
    <s v="Search-Google"/>
    <s v="Search"/>
  </r>
  <r>
    <s v="Biolage"/>
    <x v="5"/>
    <x v="2"/>
    <s v="Google"/>
    <s v="Biolage"/>
    <x v="65"/>
    <d v="2024-01-01T00:00:00"/>
    <n v="254.22137899999998"/>
    <n v="1624"/>
    <s v="TTM"/>
    <s v="Search-Google"/>
    <s v="Search"/>
  </r>
  <r>
    <s v="Biolage"/>
    <x v="8"/>
    <x v="2"/>
    <s v="Google"/>
    <s v="Biolage"/>
    <x v="65"/>
    <d v="2024-01-01T00:00:00"/>
    <n v="81.919999999999987"/>
    <n v="429"/>
    <s v="TTM"/>
    <s v="Search-Google"/>
    <s v="Search"/>
  </r>
  <r>
    <s v="Biolage"/>
    <x v="3"/>
    <x v="2"/>
    <s v="Google"/>
    <s v="Biolage"/>
    <x v="65"/>
    <d v="2024-01-01T00:00:00"/>
    <n v="59.840000000000011"/>
    <n v="417"/>
    <s v="TTM"/>
    <s v="Search-Google"/>
    <s v="Search"/>
  </r>
  <r>
    <s v="Biolage"/>
    <x v="6"/>
    <x v="2"/>
    <s v="Google"/>
    <s v="Biolage"/>
    <x v="65"/>
    <d v="2024-01-01T00:00:00"/>
    <n v="120.73"/>
    <n v="690"/>
    <s v="TTM"/>
    <s v="Search-Google"/>
    <s v="Search"/>
  </r>
  <r>
    <s v="Biolage"/>
    <x v="4"/>
    <x v="2"/>
    <s v="Google"/>
    <s v="Biolage"/>
    <x v="65"/>
    <d v="2024-01-01T00:00:00"/>
    <n v="128.41342599999999"/>
    <n v="971"/>
    <s v="TTM"/>
    <s v="Search-Google"/>
    <s v="Search"/>
  </r>
  <r>
    <s v="Biolage"/>
    <x v="1"/>
    <x v="0"/>
    <s v="Meta"/>
    <s v="Ulta"/>
    <x v="66"/>
    <d v="2024-01-01T00:00:00"/>
    <n v="44596.750003000008"/>
    <n v="6891066"/>
    <s v="TTM"/>
    <s v="Social-Meta"/>
    <s v="Ulta"/>
  </r>
  <r>
    <s v="Biolage"/>
    <x v="1"/>
    <x v="1"/>
    <s v="Amazon"/>
    <s v="Amazon"/>
    <x v="66"/>
    <d v="2024-01-01T00:00:00"/>
    <n v="8199.3154000000013"/>
    <n v="2015951"/>
    <s v="TTM"/>
    <s v="Display-Amazon"/>
    <s v="Amazon"/>
  </r>
  <r>
    <s v="Biolage"/>
    <x v="1"/>
    <x v="2"/>
    <s v="Amazon"/>
    <s v="Amazon"/>
    <x v="66"/>
    <d v="2024-01-01T00:00:00"/>
    <n v="5864.19"/>
    <n v="791603"/>
    <s v="TTM"/>
    <s v="Search-Amazon"/>
    <s v="Amazon"/>
  </r>
  <r>
    <s v="Biolage"/>
    <x v="0"/>
    <x v="1"/>
    <s v="Amazon"/>
    <s v="Amazon"/>
    <x v="66"/>
    <d v="2024-01-01T00:00:00"/>
    <n v="2078.8935000000006"/>
    <n v="637467"/>
    <s v="TTM"/>
    <s v="Display-Amazon"/>
    <s v="Amazon"/>
  </r>
  <r>
    <s v="Biolage"/>
    <x v="0"/>
    <x v="2"/>
    <s v="Amazon"/>
    <s v="Amazon"/>
    <x v="66"/>
    <d v="2024-01-01T00:00:00"/>
    <n v="7050.2200000000012"/>
    <n v="921717"/>
    <s v="TTM"/>
    <s v="Search-Amazon"/>
    <s v="Amazon"/>
  </r>
  <r>
    <s v="Biolage"/>
    <x v="2"/>
    <x v="1"/>
    <s v="Amazon"/>
    <s v="Amazon"/>
    <x v="66"/>
    <d v="2024-01-01T00:00:00"/>
    <n v="8334.4894000000022"/>
    <n v="2289715"/>
    <s v="TTM"/>
    <s v="Display-Amazon"/>
    <s v="Amazon"/>
  </r>
  <r>
    <s v="Biolage"/>
    <x v="2"/>
    <x v="2"/>
    <s v="Amazon"/>
    <s v="Amazon"/>
    <x v="66"/>
    <d v="2024-01-01T00:00:00"/>
    <n v="9191.1999999999971"/>
    <n v="1181800"/>
    <s v="TTM"/>
    <s v="Search-Amazon"/>
    <s v="Amazon"/>
  </r>
  <r>
    <s v="Biolage"/>
    <x v="3"/>
    <x v="1"/>
    <s v="Amazon"/>
    <s v="Amazon"/>
    <x v="66"/>
    <d v="2024-01-01T00:00:00"/>
    <n v="5049.5283000000027"/>
    <n v="542178"/>
    <s v="TTM"/>
    <s v="Display-Amazon"/>
    <s v="Amazon"/>
  </r>
  <r>
    <s v="Biolage"/>
    <x v="3"/>
    <x v="2"/>
    <s v="Amazon"/>
    <s v="Amazon"/>
    <x v="66"/>
    <d v="2024-01-01T00:00:00"/>
    <n v="6737.9100000000008"/>
    <n v="1410010"/>
    <s v="TTM"/>
    <s v="Search-Amazon"/>
    <s v="Amazon"/>
  </r>
  <r>
    <s v="Biolage"/>
    <x v="4"/>
    <x v="1"/>
    <s v="Amazon"/>
    <s v="Amazon"/>
    <x v="66"/>
    <d v="2024-01-01T00:00:00"/>
    <n v="6258.0273000000025"/>
    <n v="1144394"/>
    <s v="TTM"/>
    <s v="Display-Amazon"/>
    <s v="Amazon"/>
  </r>
  <r>
    <s v="Biolage"/>
    <x v="4"/>
    <x v="2"/>
    <s v="Amazon"/>
    <s v="Amazon"/>
    <x v="66"/>
    <d v="2024-01-01T00:00:00"/>
    <n v="5842.82"/>
    <n v="1809204"/>
    <s v="TTM"/>
    <s v="Search-Amazon"/>
    <s v="Amazon"/>
  </r>
  <r>
    <s v="Biolage"/>
    <x v="5"/>
    <x v="1"/>
    <s v="Amazon"/>
    <s v="Amazon"/>
    <x v="66"/>
    <d v="2024-01-01T00:00:00"/>
    <n v="4553.0021999999999"/>
    <n v="1104548"/>
    <s v="TTM"/>
    <s v="Display-Amazon"/>
    <s v="Amazon"/>
  </r>
  <r>
    <s v="Biolage"/>
    <x v="5"/>
    <x v="2"/>
    <s v="Amazon"/>
    <s v="Amazon"/>
    <x v="66"/>
    <d v="2024-01-01T00:00:00"/>
    <n v="6412.2899999999991"/>
    <n v="614601"/>
    <s v="TTM"/>
    <s v="Search-Amazon"/>
    <s v="Amazon"/>
  </r>
  <r>
    <s v="Biolage"/>
    <x v="8"/>
    <x v="1"/>
    <s v="Amazon"/>
    <s v="Amazon"/>
    <x v="66"/>
    <d v="2024-01-01T00:00:00"/>
    <n v="3167.9745000000003"/>
    <n v="739529"/>
    <s v="TTM"/>
    <s v="Display-Amazon"/>
    <s v="Amazon"/>
  </r>
  <r>
    <s v="Biolage"/>
    <x v="8"/>
    <x v="2"/>
    <s v="Amazon"/>
    <s v="Amazon"/>
    <x v="66"/>
    <d v="2024-01-01T00:00:00"/>
    <n v="3670.6900000000005"/>
    <n v="1198239"/>
    <s v="TTM"/>
    <s v="Search-Amazon"/>
    <s v="Amazon"/>
  </r>
  <r>
    <s v="Biolage"/>
    <x v="6"/>
    <x v="2"/>
    <s v="Amazon"/>
    <s v="Amazon"/>
    <x v="66"/>
    <d v="2024-01-01T00:00:00"/>
    <n v="0.37"/>
    <n v="776"/>
    <s v="TTM"/>
    <s v="Search-Amazon"/>
    <s v="Amazon"/>
  </r>
  <r>
    <s v="Biolage"/>
    <x v="10"/>
    <x v="2"/>
    <s v="Google"/>
    <s v="Biolage"/>
    <x v="66"/>
    <d v="2024-01-01T00:00:00"/>
    <n v="68.37"/>
    <n v="288"/>
    <s v="TTM"/>
    <s v="Search-Google"/>
    <s v="Search"/>
  </r>
  <r>
    <s v="Biolage"/>
    <x v="9"/>
    <x v="2"/>
    <s v="Google"/>
    <s v="Biolage"/>
    <x v="66"/>
    <d v="2024-01-01T00:00:00"/>
    <n v="44.86"/>
    <n v="166"/>
    <s v="TTM"/>
    <s v="Search-Google"/>
    <s v="Search"/>
  </r>
  <r>
    <s v="Biolage"/>
    <x v="0"/>
    <x v="2"/>
    <s v="Google"/>
    <s v="Biolage"/>
    <x v="66"/>
    <d v="2024-01-01T00:00:00"/>
    <n v="7478.167991999997"/>
    <n v="27862"/>
    <s v="TTM"/>
    <s v="Search-Google"/>
    <s v="Search"/>
  </r>
  <r>
    <s v="Biolage"/>
    <x v="2"/>
    <x v="2"/>
    <s v="Google"/>
    <s v="Biolage"/>
    <x v="66"/>
    <d v="2024-01-01T00:00:00"/>
    <n v="136.31"/>
    <n v="993"/>
    <s v="TTM"/>
    <s v="Search-Google"/>
    <s v="Search"/>
  </r>
  <r>
    <s v="Biolage"/>
    <x v="11"/>
    <x v="2"/>
    <s v="Google"/>
    <s v="Biolage"/>
    <x v="66"/>
    <d v="2024-01-01T00:00:00"/>
    <n v="143.65325300000003"/>
    <n v="383"/>
    <s v="TTM"/>
    <s v="Search-Google"/>
    <s v="Search"/>
  </r>
  <r>
    <s v="Biolage"/>
    <x v="1"/>
    <x v="2"/>
    <s v="Google"/>
    <s v="Biolage"/>
    <x v="66"/>
    <d v="2024-01-01T00:00:00"/>
    <n v="328.36"/>
    <n v="2058"/>
    <s v="TTM"/>
    <s v="Search-Google"/>
    <s v="Search"/>
  </r>
  <r>
    <s v="Biolage"/>
    <x v="5"/>
    <x v="2"/>
    <s v="Google"/>
    <s v="Biolage"/>
    <x v="66"/>
    <d v="2024-01-01T00:00:00"/>
    <n v="283.15999999999997"/>
    <n v="1744"/>
    <s v="TTM"/>
    <s v="Search-Google"/>
    <s v="Search"/>
  </r>
  <r>
    <s v="Biolage"/>
    <x v="8"/>
    <x v="2"/>
    <s v="Google"/>
    <s v="Biolage"/>
    <x v="66"/>
    <d v="2024-01-01T00:00:00"/>
    <n v="79.491395000000011"/>
    <n v="439"/>
    <s v="TTM"/>
    <s v="Search-Google"/>
    <s v="Search"/>
  </r>
  <r>
    <s v="Biolage"/>
    <x v="3"/>
    <x v="2"/>
    <s v="Google"/>
    <s v="Biolage"/>
    <x v="66"/>
    <d v="2024-01-01T00:00:00"/>
    <n v="60.400000000000006"/>
    <n v="396"/>
    <s v="TTM"/>
    <s v="Search-Google"/>
    <s v="Search"/>
  </r>
  <r>
    <s v="Biolage"/>
    <x v="6"/>
    <x v="2"/>
    <s v="Google"/>
    <s v="Biolage"/>
    <x v="66"/>
    <d v="2024-01-01T00:00:00"/>
    <n v="133.29"/>
    <n v="686"/>
    <s v="TTM"/>
    <s v="Search-Google"/>
    <s v="Search"/>
  </r>
  <r>
    <s v="Biolage"/>
    <x v="4"/>
    <x v="2"/>
    <s v="Google"/>
    <s v="Biolage"/>
    <x v="66"/>
    <d v="2024-01-01T00:00:00"/>
    <n v="140.68"/>
    <n v="870"/>
    <s v="TTM"/>
    <s v="Search-Google"/>
    <s v="Search"/>
  </r>
  <r>
    <s v="Biolage"/>
    <x v="1"/>
    <x v="0"/>
    <s v="Meta"/>
    <s v="Ulta"/>
    <x v="67"/>
    <d v="2024-01-01T00:00:00"/>
    <n v="43427.780012000003"/>
    <n v="6861510"/>
    <s v="TTM"/>
    <s v="Social-Meta"/>
    <s v="Ulta"/>
  </r>
  <r>
    <s v="Biolage"/>
    <x v="12"/>
    <x v="0"/>
    <s v="Meta"/>
    <s v="Amazon"/>
    <x v="67"/>
    <d v="2024-01-01T00:00:00"/>
    <n v="27674.170019000005"/>
    <n v="5351815"/>
    <s v="TTM"/>
    <s v="Social-Meta"/>
    <s v="Meta"/>
  </r>
  <r>
    <s v="Biolage"/>
    <x v="1"/>
    <x v="1"/>
    <s v="Amazon"/>
    <s v="Amazon"/>
    <x v="67"/>
    <d v="2024-01-01T00:00:00"/>
    <n v="9057.0264999999981"/>
    <n v="2153557"/>
    <s v="TTM"/>
    <s v="Display-Amazon"/>
    <s v="Amazon"/>
  </r>
  <r>
    <s v="Biolage"/>
    <x v="1"/>
    <x v="2"/>
    <s v="Amazon"/>
    <s v="Amazon"/>
    <x v="67"/>
    <d v="2024-01-01T00:00:00"/>
    <n v="4910.8200000000006"/>
    <n v="899551"/>
    <s v="TTM"/>
    <s v="Search-Amazon"/>
    <s v="Amazon"/>
  </r>
  <r>
    <s v="Biolage"/>
    <x v="0"/>
    <x v="1"/>
    <s v="Amazon"/>
    <s v="Amazon"/>
    <x v="67"/>
    <d v="2024-01-01T00:00:00"/>
    <n v="10842.368600000003"/>
    <n v="3962096"/>
    <s v="TTM"/>
    <s v="Display-Amazon"/>
    <s v="Amazon"/>
  </r>
  <r>
    <s v="Biolage"/>
    <x v="0"/>
    <x v="2"/>
    <s v="Amazon"/>
    <s v="Amazon"/>
    <x v="67"/>
    <d v="2024-01-01T00:00:00"/>
    <n v="19206.60999999999"/>
    <n v="2154802"/>
    <s v="TTM"/>
    <s v="Search-Amazon"/>
    <s v="Amazon"/>
  </r>
  <r>
    <s v="Biolage"/>
    <x v="2"/>
    <x v="1"/>
    <s v="Amazon"/>
    <s v="Amazon"/>
    <x v="67"/>
    <d v="2024-01-01T00:00:00"/>
    <n v="8824.4339999999956"/>
    <n v="2138255"/>
    <s v="TTM"/>
    <s v="Display-Amazon"/>
    <s v="Amazon"/>
  </r>
  <r>
    <s v="Biolage"/>
    <x v="2"/>
    <x v="2"/>
    <s v="Amazon"/>
    <s v="Amazon"/>
    <x v="67"/>
    <d v="2024-01-01T00:00:00"/>
    <n v="17724.05000000001"/>
    <n v="1602659"/>
    <s v="TTM"/>
    <s v="Search-Amazon"/>
    <s v="Amazon"/>
  </r>
  <r>
    <s v="Biolage"/>
    <x v="3"/>
    <x v="1"/>
    <s v="Amazon"/>
    <s v="Amazon"/>
    <x v="67"/>
    <d v="2024-01-01T00:00:00"/>
    <n v="5954.2887000000001"/>
    <n v="584005"/>
    <s v="TTM"/>
    <s v="Display-Amazon"/>
    <s v="Amazon"/>
  </r>
  <r>
    <s v="Biolage"/>
    <x v="3"/>
    <x v="2"/>
    <s v="Amazon"/>
    <s v="Amazon"/>
    <x v="67"/>
    <d v="2024-01-01T00:00:00"/>
    <n v="38742.649999999994"/>
    <n v="4956025"/>
    <s v="TTM"/>
    <s v="Search-Amazon"/>
    <s v="Amazon"/>
  </r>
  <r>
    <s v="Biolage"/>
    <x v="4"/>
    <x v="1"/>
    <s v="Amazon"/>
    <s v="Amazon"/>
    <x v="67"/>
    <d v="2024-01-01T00:00:00"/>
    <n v="6824.5480999999982"/>
    <n v="1019985"/>
    <s v="TTM"/>
    <s v="Display-Amazon"/>
    <s v="Amazon"/>
  </r>
  <r>
    <s v="Biolage"/>
    <x v="4"/>
    <x v="2"/>
    <s v="Amazon"/>
    <s v="Amazon"/>
    <x v="67"/>
    <d v="2024-01-01T00:00:00"/>
    <n v="37256.219999999994"/>
    <n v="4895523"/>
    <s v="TTM"/>
    <s v="Search-Amazon"/>
    <s v="Amazon"/>
  </r>
  <r>
    <s v="Biolage"/>
    <x v="5"/>
    <x v="1"/>
    <s v="Amazon"/>
    <s v="Amazon"/>
    <x v="67"/>
    <d v="2024-01-01T00:00:00"/>
    <n v="4905.4888000000019"/>
    <n v="1063801"/>
    <s v="TTM"/>
    <s v="Display-Amazon"/>
    <s v="Amazon"/>
  </r>
  <r>
    <s v="Biolage"/>
    <x v="5"/>
    <x v="2"/>
    <s v="Amazon"/>
    <s v="Amazon"/>
    <x v="67"/>
    <d v="2024-01-01T00:00:00"/>
    <n v="8111.369999999999"/>
    <n v="773479"/>
    <s v="TTM"/>
    <s v="Search-Amazon"/>
    <s v="Amazon"/>
  </r>
  <r>
    <s v="Biolage"/>
    <x v="8"/>
    <x v="1"/>
    <s v="Amazon"/>
    <s v="Amazon"/>
    <x v="67"/>
    <d v="2024-01-01T00:00:00"/>
    <n v="3468.343800000001"/>
    <n v="714763"/>
    <s v="TTM"/>
    <s v="Display-Amazon"/>
    <s v="Amazon"/>
  </r>
  <r>
    <s v="Biolage"/>
    <x v="8"/>
    <x v="2"/>
    <s v="Amazon"/>
    <s v="Amazon"/>
    <x v="67"/>
    <d v="2024-01-01T00:00:00"/>
    <n v="3259.0299999999993"/>
    <n v="1719998"/>
    <s v="TTM"/>
    <s v="Search-Amazon"/>
    <s v="Amazon"/>
  </r>
  <r>
    <s v="Biolage"/>
    <x v="6"/>
    <x v="2"/>
    <s v="Amazon"/>
    <s v="Amazon"/>
    <x v="67"/>
    <d v="2024-01-01T00:00:00"/>
    <n v="0.37"/>
    <n v="891"/>
    <s v="TTM"/>
    <s v="Search-Amazon"/>
    <s v="Amazon"/>
  </r>
  <r>
    <s v="Biolage"/>
    <x v="10"/>
    <x v="2"/>
    <s v="Google"/>
    <s v="Biolage"/>
    <x v="67"/>
    <d v="2024-01-01T00:00:00"/>
    <n v="63.019999999999996"/>
    <n v="306"/>
    <s v="TTM"/>
    <s v="Search-Google"/>
    <s v="Search"/>
  </r>
  <r>
    <s v="Biolage"/>
    <x v="9"/>
    <x v="2"/>
    <s v="Google"/>
    <s v="Biolage"/>
    <x v="67"/>
    <d v="2024-01-01T00:00:00"/>
    <n v="35.120000000000005"/>
    <n v="224"/>
    <s v="TTM"/>
    <s v="Search-Google"/>
    <s v="Search"/>
  </r>
  <r>
    <s v="Biolage"/>
    <x v="0"/>
    <x v="2"/>
    <s v="Google"/>
    <s v="Biolage"/>
    <x v="67"/>
    <d v="2024-01-01T00:00:00"/>
    <n v="7942.8542799999996"/>
    <n v="28983"/>
    <s v="TTM"/>
    <s v="Search-Google"/>
    <s v="Search"/>
  </r>
  <r>
    <s v="Biolage"/>
    <x v="2"/>
    <x v="2"/>
    <s v="Google"/>
    <s v="Biolage"/>
    <x v="67"/>
    <d v="2024-01-01T00:00:00"/>
    <n v="149.38547800000001"/>
    <n v="986"/>
    <s v="TTM"/>
    <s v="Search-Google"/>
    <s v="Search"/>
  </r>
  <r>
    <s v="Biolage"/>
    <x v="11"/>
    <x v="2"/>
    <s v="Google"/>
    <s v="Biolage"/>
    <x v="67"/>
    <d v="2024-01-01T00:00:00"/>
    <n v="162.98157600000002"/>
    <n v="330"/>
    <s v="TTM"/>
    <s v="Search-Google"/>
    <s v="Search"/>
  </r>
  <r>
    <s v="Biolage"/>
    <x v="1"/>
    <x v="2"/>
    <s v="Google"/>
    <s v="Biolage"/>
    <x v="67"/>
    <d v="2024-01-01T00:00:00"/>
    <n v="332.88945900000004"/>
    <n v="2044"/>
    <s v="TTM"/>
    <s v="Search-Google"/>
    <s v="Search"/>
  </r>
  <r>
    <s v="Biolage"/>
    <x v="5"/>
    <x v="2"/>
    <s v="Google"/>
    <s v="Biolage"/>
    <x v="67"/>
    <d v="2024-01-01T00:00:00"/>
    <n v="334.14426099999997"/>
    <n v="2344"/>
    <s v="TTM"/>
    <s v="Search-Google"/>
    <s v="Search"/>
  </r>
  <r>
    <s v="Biolage"/>
    <x v="8"/>
    <x v="2"/>
    <s v="Google"/>
    <s v="Biolage"/>
    <x v="67"/>
    <d v="2024-01-01T00:00:00"/>
    <n v="68.420379999999994"/>
    <n v="396"/>
    <s v="TTM"/>
    <s v="Search-Google"/>
    <s v="Search"/>
  </r>
  <r>
    <s v="Biolage"/>
    <x v="3"/>
    <x v="2"/>
    <s v="Google"/>
    <s v="Biolage"/>
    <x v="67"/>
    <d v="2024-01-01T00:00:00"/>
    <n v="94.647777000000005"/>
    <n v="481"/>
    <s v="TTM"/>
    <s v="Search-Google"/>
    <s v="Search"/>
  </r>
  <r>
    <s v="Biolage"/>
    <x v="6"/>
    <x v="2"/>
    <s v="Google"/>
    <s v="Biolage"/>
    <x v="67"/>
    <d v="2024-01-01T00:00:00"/>
    <n v="177.80742199999995"/>
    <n v="735"/>
    <s v="TTM"/>
    <s v="Search-Google"/>
    <s v="Search"/>
  </r>
  <r>
    <s v="Biolage"/>
    <x v="4"/>
    <x v="2"/>
    <s v="Google"/>
    <s v="Biolage"/>
    <x v="67"/>
    <d v="2024-01-01T00:00:00"/>
    <n v="143.11012099999999"/>
    <n v="971"/>
    <s v="TTM"/>
    <s v="Search-Google"/>
    <s v="Search"/>
  </r>
  <r>
    <s v="Biolage"/>
    <x v="1"/>
    <x v="0"/>
    <s v="Meta"/>
    <s v="Ulta"/>
    <x v="68"/>
    <d v="2024-01-01T00:00:00"/>
    <n v="43565.130045000005"/>
    <n v="7096076"/>
    <s v="TTM"/>
    <s v="Social-Meta"/>
    <s v="Ulta"/>
  </r>
  <r>
    <s v="Biolage"/>
    <x v="1"/>
    <x v="1"/>
    <s v="Amazon"/>
    <s v="Amazon"/>
    <x v="68"/>
    <d v="2024-01-01T00:00:00"/>
    <n v="8231.2347000000009"/>
    <n v="1737622"/>
    <s v="TTM"/>
    <s v="Display-Amazon"/>
    <s v="Amazon"/>
  </r>
  <r>
    <s v="Biolage"/>
    <x v="1"/>
    <x v="2"/>
    <s v="Amazon"/>
    <s v="Amazon"/>
    <x v="68"/>
    <d v="2024-01-01T00:00:00"/>
    <n v="3576"/>
    <n v="517269"/>
    <s v="TTM"/>
    <s v="Search-Amazon"/>
    <s v="Amazon"/>
  </r>
  <r>
    <s v="Biolage"/>
    <x v="0"/>
    <x v="1"/>
    <s v="Amazon"/>
    <s v="Amazon"/>
    <x v="68"/>
    <d v="2024-01-01T00:00:00"/>
    <n v="4476.2005000000008"/>
    <n v="2631002"/>
    <s v="TTM"/>
    <s v="Display-Amazon"/>
    <s v="Amazon"/>
  </r>
  <r>
    <s v="Biolage"/>
    <x v="0"/>
    <x v="2"/>
    <s v="Amazon"/>
    <s v="Amazon"/>
    <x v="68"/>
    <d v="2024-01-01T00:00:00"/>
    <n v="13362.960000000001"/>
    <n v="1479269"/>
    <s v="TTM"/>
    <s v="Search-Amazon"/>
    <s v="Amazon"/>
  </r>
  <r>
    <s v="Biolage"/>
    <x v="2"/>
    <x v="1"/>
    <s v="Amazon"/>
    <s v="Amazon"/>
    <x v="68"/>
    <d v="2024-01-01T00:00:00"/>
    <n v="7314.5318000000043"/>
    <n v="4265804"/>
    <s v="TTM"/>
    <s v="Display-Amazon"/>
    <s v="Amazon"/>
  </r>
  <r>
    <s v="Biolage"/>
    <x v="2"/>
    <x v="2"/>
    <s v="Amazon"/>
    <s v="Amazon"/>
    <x v="68"/>
    <d v="2024-01-01T00:00:00"/>
    <n v="6309.83"/>
    <n v="688820"/>
    <s v="TTM"/>
    <s v="Search-Amazon"/>
    <s v="Amazon"/>
  </r>
  <r>
    <s v="Biolage"/>
    <x v="3"/>
    <x v="1"/>
    <s v="Amazon"/>
    <s v="Amazon"/>
    <x v="68"/>
    <d v="2024-01-01T00:00:00"/>
    <n v="5721.1953000000021"/>
    <n v="677779"/>
    <s v="TTM"/>
    <s v="Display-Amazon"/>
    <s v="Amazon"/>
  </r>
  <r>
    <s v="Biolage"/>
    <x v="3"/>
    <x v="2"/>
    <s v="Amazon"/>
    <s v="Amazon"/>
    <x v="68"/>
    <d v="2024-01-01T00:00:00"/>
    <n v="14991.080000000005"/>
    <n v="2892180"/>
    <s v="TTM"/>
    <s v="Search-Amazon"/>
    <s v="Amazon"/>
  </r>
  <r>
    <s v="Biolage"/>
    <x v="4"/>
    <x v="1"/>
    <s v="Amazon"/>
    <s v="Amazon"/>
    <x v="68"/>
    <d v="2024-01-01T00:00:00"/>
    <n v="6757.0432000000001"/>
    <n v="1434952"/>
    <s v="TTM"/>
    <s v="Display-Amazon"/>
    <s v="Amazon"/>
  </r>
  <r>
    <s v="Biolage"/>
    <x v="4"/>
    <x v="2"/>
    <s v="Amazon"/>
    <s v="Amazon"/>
    <x v="68"/>
    <d v="2024-01-01T00:00:00"/>
    <n v="14096.289999999988"/>
    <n v="2460439"/>
    <s v="TTM"/>
    <s v="Search-Amazon"/>
    <s v="Amazon"/>
  </r>
  <r>
    <s v="Biolage"/>
    <x v="5"/>
    <x v="1"/>
    <s v="Amazon"/>
    <s v="Amazon"/>
    <x v="68"/>
    <d v="2024-01-01T00:00:00"/>
    <n v="5335.3124000000043"/>
    <n v="1299186"/>
    <s v="TTM"/>
    <s v="Display-Amazon"/>
    <s v="Amazon"/>
  </r>
  <r>
    <s v="Biolage"/>
    <x v="5"/>
    <x v="2"/>
    <s v="Amazon"/>
    <s v="Amazon"/>
    <x v="68"/>
    <d v="2024-01-01T00:00:00"/>
    <n v="5024.3799999999992"/>
    <n v="421034"/>
    <s v="TTM"/>
    <s v="Search-Amazon"/>
    <s v="Amazon"/>
  </r>
  <r>
    <s v="Biolage"/>
    <x v="8"/>
    <x v="1"/>
    <s v="Amazon"/>
    <s v="Amazon"/>
    <x v="68"/>
    <d v="2024-01-01T00:00:00"/>
    <n v="3766.4814000000006"/>
    <n v="879059"/>
    <s v="TTM"/>
    <s v="Display-Amazon"/>
    <s v="Amazon"/>
  </r>
  <r>
    <s v="Biolage"/>
    <x v="8"/>
    <x v="2"/>
    <s v="Amazon"/>
    <s v="Amazon"/>
    <x v="68"/>
    <d v="2024-01-01T00:00:00"/>
    <n v="2063.4899999999998"/>
    <n v="871709"/>
    <s v="TTM"/>
    <s v="Search-Amazon"/>
    <s v="Amazon"/>
  </r>
  <r>
    <s v="Biolage"/>
    <x v="6"/>
    <x v="2"/>
    <s v="Amazon"/>
    <s v="Amazon"/>
    <x v="68"/>
    <d v="2024-01-01T00:00:00"/>
    <n v="0.74"/>
    <n v="2054"/>
    <s v="TTM"/>
    <s v="Search-Amazon"/>
    <s v="Amazon"/>
  </r>
  <r>
    <s v="Biolage"/>
    <x v="10"/>
    <x v="2"/>
    <s v="Google"/>
    <s v="Biolage"/>
    <x v="68"/>
    <d v="2024-01-01T00:00:00"/>
    <n v="55.777752000000007"/>
    <n v="305"/>
    <s v="TTM"/>
    <s v="Search-Google"/>
    <s v="Search"/>
  </r>
  <r>
    <s v="Biolage"/>
    <x v="9"/>
    <x v="2"/>
    <s v="Google"/>
    <s v="Biolage"/>
    <x v="68"/>
    <d v="2024-01-01T00:00:00"/>
    <n v="72.504999999999995"/>
    <n v="373"/>
    <s v="TTM"/>
    <s v="Search-Google"/>
    <s v="Search"/>
  </r>
  <r>
    <s v="Biolage"/>
    <x v="0"/>
    <x v="2"/>
    <s v="Google"/>
    <s v="Biolage"/>
    <x v="68"/>
    <d v="2024-01-01T00:00:00"/>
    <n v="7460.5304850000011"/>
    <n v="26814"/>
    <s v="TTM"/>
    <s v="Search-Google"/>
    <s v="Search"/>
  </r>
  <r>
    <s v="Biolage"/>
    <x v="2"/>
    <x v="2"/>
    <s v="Google"/>
    <s v="Biolage"/>
    <x v="68"/>
    <d v="2024-01-01T00:00:00"/>
    <n v="170.16177999999999"/>
    <n v="978"/>
    <s v="TTM"/>
    <s v="Search-Google"/>
    <s v="Search"/>
  </r>
  <r>
    <s v="Biolage"/>
    <x v="11"/>
    <x v="2"/>
    <s v="Google"/>
    <s v="Biolage"/>
    <x v="68"/>
    <d v="2024-01-01T00:00:00"/>
    <n v="250.96888500000003"/>
    <n v="498"/>
    <s v="TTM"/>
    <s v="Search-Google"/>
    <s v="Search"/>
  </r>
  <r>
    <s v="Biolage"/>
    <x v="1"/>
    <x v="2"/>
    <s v="Google"/>
    <s v="Biolage"/>
    <x v="68"/>
    <d v="2024-01-01T00:00:00"/>
    <n v="377.384004"/>
    <n v="2359"/>
    <s v="TTM"/>
    <s v="Search-Google"/>
    <s v="Search"/>
  </r>
  <r>
    <s v="Biolage"/>
    <x v="5"/>
    <x v="2"/>
    <s v="Google"/>
    <s v="Biolage"/>
    <x v="68"/>
    <d v="2024-01-01T00:00:00"/>
    <n v="259.89919099999997"/>
    <n v="1938"/>
    <s v="TTM"/>
    <s v="Search-Google"/>
    <s v="Search"/>
  </r>
  <r>
    <s v="Biolage"/>
    <x v="8"/>
    <x v="2"/>
    <s v="Google"/>
    <s v="Biolage"/>
    <x v="68"/>
    <d v="2024-01-01T00:00:00"/>
    <n v="56.706128"/>
    <n v="507"/>
    <s v="TTM"/>
    <s v="Search-Google"/>
    <s v="Search"/>
  </r>
  <r>
    <s v="Biolage"/>
    <x v="3"/>
    <x v="2"/>
    <s v="Google"/>
    <s v="Biolage"/>
    <x v="68"/>
    <d v="2024-01-01T00:00:00"/>
    <n v="81.83249099999999"/>
    <n v="493"/>
    <s v="TTM"/>
    <s v="Search-Google"/>
    <s v="Search"/>
  </r>
  <r>
    <s v="Biolage"/>
    <x v="6"/>
    <x v="2"/>
    <s v="Google"/>
    <s v="Biolage"/>
    <x v="68"/>
    <d v="2024-01-01T00:00:00"/>
    <n v="182.05041500000002"/>
    <n v="793"/>
    <s v="TTM"/>
    <s v="Search-Google"/>
    <s v="Search"/>
  </r>
  <r>
    <s v="Biolage"/>
    <x v="4"/>
    <x v="2"/>
    <s v="Google"/>
    <s v="Biolage"/>
    <x v="68"/>
    <d v="2024-01-01T00:00:00"/>
    <n v="209.50883100000004"/>
    <n v="1077"/>
    <s v="TTM"/>
    <s v="Search-Google"/>
    <s v="Search"/>
  </r>
  <r>
    <s v="Biolage"/>
    <x v="1"/>
    <x v="0"/>
    <s v="Meta"/>
    <s v="Ulta"/>
    <x v="69"/>
    <d v="2024-01-01T00:00:00"/>
    <n v="42324.580056999992"/>
    <n v="7044341"/>
    <s v="TTM"/>
    <s v="Social-Meta"/>
    <s v="Ulta"/>
  </r>
  <r>
    <s v="Biolage"/>
    <x v="1"/>
    <x v="1"/>
    <s v="Amazon"/>
    <s v="Amazon"/>
    <x v="69"/>
    <d v="2024-01-01T00:00:00"/>
    <n v="7962.2841000000071"/>
    <n v="1879669"/>
    <s v="TTM"/>
    <s v="Display-Amazon"/>
    <s v="Amazon"/>
  </r>
  <r>
    <s v="Biolage"/>
    <x v="1"/>
    <x v="2"/>
    <s v="Amazon"/>
    <s v="Amazon"/>
    <x v="69"/>
    <d v="2024-01-01T00:00:00"/>
    <n v="6509.5000000000009"/>
    <n v="922351"/>
    <s v="TTM"/>
    <s v="Search-Amazon"/>
    <s v="Amazon"/>
  </r>
  <r>
    <s v="Biolage"/>
    <x v="0"/>
    <x v="1"/>
    <s v="Amazon"/>
    <s v="Amazon"/>
    <x v="69"/>
    <d v="2024-01-01T00:00:00"/>
    <n v="4163.9141"/>
    <n v="2549554"/>
    <s v="TTM"/>
    <s v="Display-Amazon"/>
    <s v="Amazon"/>
  </r>
  <r>
    <s v="Biolage"/>
    <x v="0"/>
    <x v="2"/>
    <s v="Amazon"/>
    <s v="Amazon"/>
    <x v="69"/>
    <d v="2024-01-01T00:00:00"/>
    <n v="13626.760000000002"/>
    <n v="1325885"/>
    <s v="TTM"/>
    <s v="Search-Amazon"/>
    <s v="Amazon"/>
  </r>
  <r>
    <s v="Biolage"/>
    <x v="2"/>
    <x v="1"/>
    <s v="Amazon"/>
    <s v="Amazon"/>
    <x v="69"/>
    <d v="2024-01-01T00:00:00"/>
    <n v="10091.927600000005"/>
    <n v="7023755"/>
    <s v="TTM"/>
    <s v="Display-Amazon"/>
    <s v="Amazon"/>
  </r>
  <r>
    <s v="Biolage"/>
    <x v="2"/>
    <x v="2"/>
    <s v="Amazon"/>
    <s v="Amazon"/>
    <x v="69"/>
    <d v="2024-01-01T00:00:00"/>
    <n v="7374.5000000000018"/>
    <n v="1274154"/>
    <s v="TTM"/>
    <s v="Search-Amazon"/>
    <s v="Amazon"/>
  </r>
  <r>
    <s v="Biolage"/>
    <x v="3"/>
    <x v="1"/>
    <s v="Amazon"/>
    <s v="Amazon"/>
    <x v="69"/>
    <d v="2024-01-01T00:00:00"/>
    <n v="5844.5855999999976"/>
    <n v="772959"/>
    <s v="TTM"/>
    <s v="Display-Amazon"/>
    <s v="Amazon"/>
  </r>
  <r>
    <s v="Biolage"/>
    <x v="3"/>
    <x v="2"/>
    <s v="Amazon"/>
    <s v="Amazon"/>
    <x v="69"/>
    <d v="2024-01-01T00:00:00"/>
    <n v="13227.59"/>
    <n v="2963388"/>
    <s v="TTM"/>
    <s v="Search-Amazon"/>
    <s v="Amazon"/>
  </r>
  <r>
    <s v="Biolage"/>
    <x v="4"/>
    <x v="1"/>
    <s v="Amazon"/>
    <s v="Amazon"/>
    <x v="69"/>
    <d v="2024-01-01T00:00:00"/>
    <n v="6978.1048999999994"/>
    <n v="1682957"/>
    <s v="TTM"/>
    <s v="Display-Amazon"/>
    <s v="Amazon"/>
  </r>
  <r>
    <s v="Biolage"/>
    <x v="4"/>
    <x v="2"/>
    <s v="Amazon"/>
    <s v="Amazon"/>
    <x v="69"/>
    <d v="2024-01-01T00:00:00"/>
    <n v="12077.110000000006"/>
    <n v="2661966"/>
    <s v="TTM"/>
    <s v="Search-Amazon"/>
    <s v="Amazon"/>
  </r>
  <r>
    <s v="Biolage"/>
    <x v="5"/>
    <x v="1"/>
    <s v="Amazon"/>
    <s v="Amazon"/>
    <x v="69"/>
    <d v="2024-01-01T00:00:00"/>
    <n v="4363.1986000000015"/>
    <n v="878832"/>
    <s v="TTM"/>
    <s v="Display-Amazon"/>
    <s v="Amazon"/>
  </r>
  <r>
    <s v="Biolage"/>
    <x v="5"/>
    <x v="2"/>
    <s v="Amazon"/>
    <s v="Amazon"/>
    <x v="69"/>
    <d v="2024-01-01T00:00:00"/>
    <n v="6690.9200000000019"/>
    <n v="593485"/>
    <s v="TTM"/>
    <s v="Search-Amazon"/>
    <s v="Amazon"/>
  </r>
  <r>
    <s v="Biolage"/>
    <x v="8"/>
    <x v="1"/>
    <s v="Amazon"/>
    <s v="Amazon"/>
    <x v="69"/>
    <d v="2024-01-01T00:00:00"/>
    <n v="3743.6561000000029"/>
    <n v="740019"/>
    <s v="TTM"/>
    <s v="Display-Amazon"/>
    <s v="Amazon"/>
  </r>
  <r>
    <s v="Biolage"/>
    <x v="8"/>
    <x v="2"/>
    <s v="Amazon"/>
    <s v="Amazon"/>
    <x v="69"/>
    <d v="2024-01-01T00:00:00"/>
    <n v="2314.9099999999985"/>
    <n v="956263"/>
    <s v="TTM"/>
    <s v="Search-Amazon"/>
    <s v="Amazon"/>
  </r>
  <r>
    <s v="Biolage"/>
    <x v="10"/>
    <x v="2"/>
    <s v="Google"/>
    <s v="Biolage"/>
    <x v="69"/>
    <d v="2024-01-01T00:00:00"/>
    <n v="55.084246000000007"/>
    <n v="322"/>
    <s v="TTM"/>
    <s v="Search-Google"/>
    <s v="Search"/>
  </r>
  <r>
    <s v="Biolage"/>
    <x v="9"/>
    <x v="2"/>
    <s v="Google"/>
    <s v="Biolage"/>
    <x v="69"/>
    <d v="2024-01-01T00:00:00"/>
    <n v="69.736086"/>
    <n v="480"/>
    <s v="TTM"/>
    <s v="Search-Google"/>
    <s v="Search"/>
  </r>
  <r>
    <s v="Biolage"/>
    <x v="0"/>
    <x v="2"/>
    <s v="Google"/>
    <s v="Biolage"/>
    <x v="69"/>
    <d v="2024-01-01T00:00:00"/>
    <n v="7298.9189140000008"/>
    <n v="26507"/>
    <s v="TTM"/>
    <s v="Search-Google"/>
    <s v="Search"/>
  </r>
  <r>
    <s v="Biolage"/>
    <x v="2"/>
    <x v="2"/>
    <s v="Google"/>
    <s v="Biolage"/>
    <x v="69"/>
    <d v="2024-01-01T00:00:00"/>
    <n v="119.38872599999999"/>
    <n v="1115"/>
    <s v="TTM"/>
    <s v="Search-Google"/>
    <s v="Search"/>
  </r>
  <r>
    <s v="Biolage"/>
    <x v="11"/>
    <x v="2"/>
    <s v="Google"/>
    <s v="Biolage"/>
    <x v="69"/>
    <d v="2024-01-01T00:00:00"/>
    <n v="294.96133199999997"/>
    <n v="497"/>
    <s v="TTM"/>
    <s v="Search-Google"/>
    <s v="Search"/>
  </r>
  <r>
    <s v="Biolage"/>
    <x v="1"/>
    <x v="2"/>
    <s v="Google"/>
    <s v="Biolage"/>
    <x v="69"/>
    <d v="2024-01-01T00:00:00"/>
    <n v="283.639951"/>
    <n v="2290"/>
    <s v="TTM"/>
    <s v="Search-Google"/>
    <s v="Search"/>
  </r>
  <r>
    <s v="Biolage"/>
    <x v="5"/>
    <x v="2"/>
    <s v="Google"/>
    <s v="Biolage"/>
    <x v="69"/>
    <d v="2024-01-01T00:00:00"/>
    <n v="337.08645300000001"/>
    <n v="1961"/>
    <s v="TTM"/>
    <s v="Search-Google"/>
    <s v="Search"/>
  </r>
  <r>
    <s v="Biolage"/>
    <x v="8"/>
    <x v="2"/>
    <s v="Google"/>
    <s v="Biolage"/>
    <x v="69"/>
    <d v="2024-01-01T00:00:00"/>
    <n v="88.291164999999992"/>
    <n v="448"/>
    <s v="TTM"/>
    <s v="Search-Google"/>
    <s v="Search"/>
  </r>
  <r>
    <s v="Biolage"/>
    <x v="3"/>
    <x v="2"/>
    <s v="Google"/>
    <s v="Biolage"/>
    <x v="69"/>
    <d v="2024-01-01T00:00:00"/>
    <n v="75.410516000000001"/>
    <n v="452"/>
    <s v="TTM"/>
    <s v="Search-Google"/>
    <s v="Search"/>
  </r>
  <r>
    <s v="Biolage"/>
    <x v="6"/>
    <x v="2"/>
    <s v="Google"/>
    <s v="Biolage"/>
    <x v="69"/>
    <d v="2024-01-01T00:00:00"/>
    <n v="141.566057"/>
    <n v="783"/>
    <s v="TTM"/>
    <s v="Search-Google"/>
    <s v="Search"/>
  </r>
  <r>
    <s v="Biolage"/>
    <x v="4"/>
    <x v="2"/>
    <s v="Google"/>
    <s v="Biolage"/>
    <x v="69"/>
    <d v="2024-01-01T00:00:00"/>
    <n v="169.183109"/>
    <n v="1046"/>
    <s v="TTM"/>
    <s v="Search-Google"/>
    <s v="Search"/>
  </r>
  <r>
    <s v="Biolage"/>
    <x v="1"/>
    <x v="0"/>
    <s v="Meta"/>
    <s v="Ulta"/>
    <x v="70"/>
    <d v="2024-01-01T00:00:00"/>
    <n v="30454.520004000002"/>
    <n v="4992226"/>
    <s v="TTM"/>
    <s v="Social-Meta"/>
    <s v="Ulta"/>
  </r>
  <r>
    <s v="Biolage"/>
    <x v="1"/>
    <x v="1"/>
    <s v="Amazon"/>
    <s v="Amazon"/>
    <x v="70"/>
    <d v="2024-01-01T00:00:00"/>
    <n v="6818.9366"/>
    <n v="1485423"/>
    <s v="TTM"/>
    <s v="Display-Amazon"/>
    <s v="Amazon"/>
  </r>
  <r>
    <s v="Biolage"/>
    <x v="1"/>
    <x v="2"/>
    <s v="Amazon"/>
    <s v="Amazon"/>
    <x v="70"/>
    <d v="2024-01-01T00:00:00"/>
    <n v="8857.1999999999953"/>
    <n v="902006"/>
    <s v="TTM"/>
    <s v="Search-Amazon"/>
    <s v="Amazon"/>
  </r>
  <r>
    <s v="Biolage"/>
    <x v="0"/>
    <x v="1"/>
    <s v="Amazon"/>
    <s v="Amazon"/>
    <x v="70"/>
    <d v="2024-01-01T00:00:00"/>
    <n v="3867.0521999999992"/>
    <n v="2307032"/>
    <s v="TTM"/>
    <s v="Display-Amazon"/>
    <s v="Amazon"/>
  </r>
  <r>
    <s v="Biolage"/>
    <x v="0"/>
    <x v="2"/>
    <s v="Amazon"/>
    <s v="Amazon"/>
    <x v="70"/>
    <d v="2024-01-01T00:00:00"/>
    <n v="13148.350000000004"/>
    <n v="1194244"/>
    <s v="TTM"/>
    <s v="Search-Amazon"/>
    <s v="Amazon"/>
  </r>
  <r>
    <s v="Biolage"/>
    <x v="2"/>
    <x v="1"/>
    <s v="Amazon"/>
    <s v="Amazon"/>
    <x v="70"/>
    <d v="2024-01-01T00:00:00"/>
    <n v="11482.0893"/>
    <n v="5970169"/>
    <s v="TTM"/>
    <s v="Display-Amazon"/>
    <s v="Amazon"/>
  </r>
  <r>
    <s v="Biolage"/>
    <x v="2"/>
    <x v="2"/>
    <s v="Amazon"/>
    <s v="Amazon"/>
    <x v="70"/>
    <d v="2024-01-01T00:00:00"/>
    <n v="8146.8199999999979"/>
    <n v="1494154"/>
    <s v="TTM"/>
    <s v="Search-Amazon"/>
    <s v="Amazon"/>
  </r>
  <r>
    <s v="Biolage"/>
    <x v="3"/>
    <x v="1"/>
    <s v="Amazon"/>
    <s v="Amazon"/>
    <x v="70"/>
    <d v="2024-01-01T00:00:00"/>
    <n v="4705.0527999999986"/>
    <n v="613862"/>
    <s v="TTM"/>
    <s v="Display-Amazon"/>
    <s v="Amazon"/>
  </r>
  <r>
    <s v="Biolage"/>
    <x v="3"/>
    <x v="2"/>
    <s v="Amazon"/>
    <s v="Amazon"/>
    <x v="70"/>
    <d v="2024-01-01T00:00:00"/>
    <n v="15917.649999999996"/>
    <n v="3331194"/>
    <s v="TTM"/>
    <s v="Search-Amazon"/>
    <s v="Amazon"/>
  </r>
  <r>
    <s v="Biolage"/>
    <x v="4"/>
    <x v="1"/>
    <s v="Amazon"/>
    <s v="Amazon"/>
    <x v="70"/>
    <d v="2024-01-01T00:00:00"/>
    <n v="6181.1669000000011"/>
    <n v="1405652"/>
    <s v="TTM"/>
    <s v="Display-Amazon"/>
    <s v="Amazon"/>
  </r>
  <r>
    <s v="Biolage"/>
    <x v="4"/>
    <x v="2"/>
    <s v="Amazon"/>
    <s v="Amazon"/>
    <x v="70"/>
    <d v="2024-01-01T00:00:00"/>
    <n v="13169.269999999997"/>
    <n v="2887031"/>
    <s v="TTM"/>
    <s v="Search-Amazon"/>
    <s v="Amazon"/>
  </r>
  <r>
    <s v="Biolage"/>
    <x v="5"/>
    <x v="1"/>
    <s v="Amazon"/>
    <s v="Amazon"/>
    <x v="70"/>
    <d v="2024-01-01T00:00:00"/>
    <n v="3558.5428000000011"/>
    <n v="828885"/>
    <s v="TTM"/>
    <s v="Display-Amazon"/>
    <s v="Amazon"/>
  </r>
  <r>
    <s v="Biolage"/>
    <x v="5"/>
    <x v="2"/>
    <s v="Amazon"/>
    <s v="Amazon"/>
    <x v="70"/>
    <d v="2024-01-01T00:00:00"/>
    <n v="9600.7599999999966"/>
    <n v="856842"/>
    <s v="TTM"/>
    <s v="Search-Amazon"/>
    <s v="Amazon"/>
  </r>
  <r>
    <s v="Biolage"/>
    <x v="8"/>
    <x v="1"/>
    <s v="Amazon"/>
    <s v="Amazon"/>
    <x v="70"/>
    <d v="2024-01-01T00:00:00"/>
    <n v="3198.5328000000004"/>
    <n v="676264"/>
    <s v="TTM"/>
    <s v="Display-Amazon"/>
    <s v="Amazon"/>
  </r>
  <r>
    <s v="Biolage"/>
    <x v="8"/>
    <x v="2"/>
    <s v="Amazon"/>
    <s v="Amazon"/>
    <x v="70"/>
    <d v="2024-01-01T00:00:00"/>
    <n v="2544.9700000000003"/>
    <n v="930529"/>
    <s v="TTM"/>
    <s v="Search-Amazon"/>
    <s v="Amazon"/>
  </r>
  <r>
    <s v="Biolage"/>
    <x v="10"/>
    <x v="2"/>
    <s v="Google"/>
    <s v="Biolage"/>
    <x v="70"/>
    <d v="2024-01-01T00:00:00"/>
    <n v="68.84"/>
    <n v="346"/>
    <s v="TTM"/>
    <s v="Search-Google"/>
    <s v="Search"/>
  </r>
  <r>
    <s v="Biolage"/>
    <x v="9"/>
    <x v="2"/>
    <s v="Google"/>
    <s v="Biolage"/>
    <x v="70"/>
    <d v="2024-01-01T00:00:00"/>
    <n v="57.22"/>
    <n v="462"/>
    <s v="TTM"/>
    <s v="Search-Google"/>
    <s v="Search"/>
  </r>
  <r>
    <s v="Biolage"/>
    <x v="0"/>
    <x v="2"/>
    <s v="Google"/>
    <s v="Biolage"/>
    <x v="70"/>
    <d v="2024-01-01T00:00:00"/>
    <n v="7330.3361070000001"/>
    <n v="26953"/>
    <s v="TTM"/>
    <s v="Search-Google"/>
    <s v="Search"/>
  </r>
  <r>
    <s v="Biolage"/>
    <x v="2"/>
    <x v="2"/>
    <s v="Google"/>
    <s v="Biolage"/>
    <x v="70"/>
    <d v="2024-01-01T00:00:00"/>
    <n v="171.67296299999998"/>
    <n v="1007"/>
    <s v="TTM"/>
    <s v="Search-Google"/>
    <s v="Search"/>
  </r>
  <r>
    <s v="Biolage"/>
    <x v="11"/>
    <x v="2"/>
    <s v="Google"/>
    <s v="Biolage"/>
    <x v="70"/>
    <d v="2024-01-01T00:00:00"/>
    <n v="360.38432399999999"/>
    <n v="687"/>
    <s v="TTM"/>
    <s v="Search-Google"/>
    <s v="Search"/>
  </r>
  <r>
    <s v="Biolage"/>
    <x v="1"/>
    <x v="2"/>
    <s v="Google"/>
    <s v="Biolage"/>
    <x v="70"/>
    <d v="2024-01-01T00:00:00"/>
    <n v="298.525149"/>
    <n v="2079"/>
    <s v="TTM"/>
    <s v="Search-Google"/>
    <s v="Search"/>
  </r>
  <r>
    <s v="Biolage"/>
    <x v="5"/>
    <x v="2"/>
    <s v="Google"/>
    <s v="Biolage"/>
    <x v="70"/>
    <d v="2024-01-01T00:00:00"/>
    <n v="297.62193599999995"/>
    <n v="1957"/>
    <s v="TTM"/>
    <s v="Search-Google"/>
    <s v="Search"/>
  </r>
  <r>
    <s v="Biolage"/>
    <x v="8"/>
    <x v="2"/>
    <s v="Google"/>
    <s v="Biolage"/>
    <x v="70"/>
    <d v="2024-01-01T00:00:00"/>
    <n v="59.665502000000004"/>
    <n v="425"/>
    <s v="TTM"/>
    <s v="Search-Google"/>
    <s v="Search"/>
  </r>
  <r>
    <s v="Biolage"/>
    <x v="3"/>
    <x v="2"/>
    <s v="Google"/>
    <s v="Biolage"/>
    <x v="70"/>
    <d v="2024-01-01T00:00:00"/>
    <n v="64.42"/>
    <n v="478"/>
    <s v="TTM"/>
    <s v="Search-Google"/>
    <s v="Search"/>
  </r>
  <r>
    <s v="Biolage"/>
    <x v="6"/>
    <x v="2"/>
    <s v="Google"/>
    <s v="Biolage"/>
    <x v="70"/>
    <d v="2024-01-01T00:00:00"/>
    <n v="131.26999999999998"/>
    <n v="638"/>
    <s v="TTM"/>
    <s v="Search-Google"/>
    <s v="Search"/>
  </r>
  <r>
    <s v="Biolage"/>
    <x v="4"/>
    <x v="2"/>
    <s v="Google"/>
    <s v="Biolage"/>
    <x v="70"/>
    <d v="2024-01-01T00:00:00"/>
    <n v="207.14836499999998"/>
    <n v="947"/>
    <s v="TTM"/>
    <s v="Search-Google"/>
    <s v="Search"/>
  </r>
  <r>
    <s v="Biolage"/>
    <x v="1"/>
    <x v="1"/>
    <s v="Amazon"/>
    <s v="Amazon"/>
    <x v="71"/>
    <d v="2024-01-01T00:00:00"/>
    <n v="6522.0628999999981"/>
    <n v="1638863"/>
    <s v="TTM"/>
    <s v="Display-Amazon"/>
    <s v="Amazon"/>
  </r>
  <r>
    <s v="Biolage"/>
    <x v="1"/>
    <x v="2"/>
    <s v="Amazon"/>
    <s v="Amazon"/>
    <x v="71"/>
    <d v="2024-01-01T00:00:00"/>
    <n v="12144.44"/>
    <n v="1138816"/>
    <s v="TTM"/>
    <s v="Search-Amazon"/>
    <s v="Amazon"/>
  </r>
  <r>
    <s v="Biolage"/>
    <x v="0"/>
    <x v="1"/>
    <s v="Amazon"/>
    <s v="Amazon"/>
    <x v="71"/>
    <d v="2024-01-01T00:00:00"/>
    <n v="10078.4306"/>
    <n v="4054650"/>
    <s v="TTM"/>
    <s v="Display-Amazon"/>
    <s v="Amazon"/>
  </r>
  <r>
    <s v="Biolage"/>
    <x v="0"/>
    <x v="2"/>
    <s v="Amazon"/>
    <s v="Amazon"/>
    <x v="71"/>
    <d v="2024-01-01T00:00:00"/>
    <n v="12885.310000000001"/>
    <n v="1314119"/>
    <s v="TTM"/>
    <s v="Search-Amazon"/>
    <s v="Amazon"/>
  </r>
  <r>
    <s v="Biolage"/>
    <x v="2"/>
    <x v="1"/>
    <s v="Amazon"/>
    <s v="Amazon"/>
    <x v="71"/>
    <d v="2024-01-01T00:00:00"/>
    <n v="13038.100600000007"/>
    <n v="8132619"/>
    <s v="TTM"/>
    <s v="Display-Amazon"/>
    <s v="Amazon"/>
  </r>
  <r>
    <s v="Biolage"/>
    <x v="2"/>
    <x v="2"/>
    <s v="Amazon"/>
    <s v="Amazon"/>
    <x v="71"/>
    <d v="2024-01-01T00:00:00"/>
    <n v="8080.0500000000011"/>
    <n v="1546815"/>
    <s v="TTM"/>
    <s v="Search-Amazon"/>
    <s v="Amazon"/>
  </r>
  <r>
    <s v="Biolage"/>
    <x v="3"/>
    <x v="1"/>
    <s v="Amazon"/>
    <s v="Amazon"/>
    <x v="71"/>
    <d v="2024-01-01T00:00:00"/>
    <n v="5040.7197000000024"/>
    <n v="615088"/>
    <s v="TTM"/>
    <s v="Display-Amazon"/>
    <s v="Amazon"/>
  </r>
  <r>
    <s v="Biolage"/>
    <x v="3"/>
    <x v="2"/>
    <s v="Amazon"/>
    <s v="Amazon"/>
    <x v="71"/>
    <d v="2024-01-01T00:00:00"/>
    <n v="11478.029999999997"/>
    <n v="2528480"/>
    <s v="TTM"/>
    <s v="Search-Amazon"/>
    <s v="Amazon"/>
  </r>
  <r>
    <s v="Biolage"/>
    <x v="4"/>
    <x v="1"/>
    <s v="Amazon"/>
    <s v="Amazon"/>
    <x v="71"/>
    <d v="2024-01-01T00:00:00"/>
    <n v="5729.2723999999998"/>
    <n v="1385392"/>
    <s v="TTM"/>
    <s v="Display-Amazon"/>
    <s v="Amazon"/>
  </r>
  <r>
    <s v="Biolage"/>
    <x v="4"/>
    <x v="2"/>
    <s v="Amazon"/>
    <s v="Amazon"/>
    <x v="71"/>
    <d v="2024-01-01T00:00:00"/>
    <n v="9806.1299999999974"/>
    <n v="2495570"/>
    <s v="TTM"/>
    <s v="Search-Amazon"/>
    <s v="Amazon"/>
  </r>
  <r>
    <s v="Biolage"/>
    <x v="5"/>
    <x v="1"/>
    <s v="Amazon"/>
    <s v="Amazon"/>
    <x v="71"/>
    <d v="2024-01-01T00:00:00"/>
    <n v="3767.9559000000004"/>
    <n v="1029107"/>
    <s v="TTM"/>
    <s v="Display-Amazon"/>
    <s v="Amazon"/>
  </r>
  <r>
    <s v="Biolage"/>
    <x v="5"/>
    <x v="2"/>
    <s v="Amazon"/>
    <s v="Amazon"/>
    <x v="71"/>
    <d v="2024-01-01T00:00:00"/>
    <n v="9393.4300000000021"/>
    <n v="851441"/>
    <s v="TTM"/>
    <s v="Search-Amazon"/>
    <s v="Amazon"/>
  </r>
  <r>
    <s v="Biolage"/>
    <x v="8"/>
    <x v="1"/>
    <s v="Amazon"/>
    <s v="Amazon"/>
    <x v="71"/>
    <d v="2024-01-01T00:00:00"/>
    <n v="2784.8767000000007"/>
    <n v="706741"/>
    <s v="TTM"/>
    <s v="Display-Amazon"/>
    <s v="Amazon"/>
  </r>
  <r>
    <s v="Biolage"/>
    <x v="8"/>
    <x v="2"/>
    <s v="Amazon"/>
    <s v="Amazon"/>
    <x v="71"/>
    <d v="2024-01-01T00:00:00"/>
    <n v="2018.9900000000002"/>
    <n v="812587"/>
    <s v="TTM"/>
    <s v="Search-Amazon"/>
    <s v="Amazon"/>
  </r>
  <r>
    <s v="Biolage"/>
    <x v="10"/>
    <x v="2"/>
    <s v="Google"/>
    <s v="Biolage"/>
    <x v="71"/>
    <d v="2024-01-01T00:00:00"/>
    <n v="43.464940999999996"/>
    <n v="302"/>
    <s v="TTM"/>
    <s v="Search-Google"/>
    <s v="Search"/>
  </r>
  <r>
    <s v="Biolage"/>
    <x v="9"/>
    <x v="2"/>
    <s v="Google"/>
    <s v="Biolage"/>
    <x v="71"/>
    <d v="2024-01-01T00:00:00"/>
    <n v="46.52"/>
    <n v="354"/>
    <s v="TTM"/>
    <s v="Search-Google"/>
    <s v="Search"/>
  </r>
  <r>
    <s v="Biolage"/>
    <x v="0"/>
    <x v="2"/>
    <s v="Google"/>
    <s v="Biolage"/>
    <x v="71"/>
    <d v="2024-01-01T00:00:00"/>
    <n v="7784.2208510000019"/>
    <n v="29251"/>
    <s v="TTM"/>
    <s v="Search-Google"/>
    <s v="Search"/>
  </r>
  <r>
    <s v="Biolage"/>
    <x v="2"/>
    <x v="2"/>
    <s v="Google"/>
    <s v="Biolage"/>
    <x v="71"/>
    <d v="2024-01-01T00:00:00"/>
    <n v="123.94999999999999"/>
    <n v="1069"/>
    <s v="TTM"/>
    <s v="Search-Google"/>
    <s v="Search"/>
  </r>
  <r>
    <s v="Biolage"/>
    <x v="11"/>
    <x v="2"/>
    <s v="Google"/>
    <s v="Biolage"/>
    <x v="71"/>
    <d v="2024-01-01T00:00:00"/>
    <n v="480.06163800000002"/>
    <n v="858"/>
    <s v="TTM"/>
    <s v="Search-Google"/>
    <s v="Search"/>
  </r>
  <r>
    <s v="Biolage"/>
    <x v="1"/>
    <x v="2"/>
    <s v="Google"/>
    <s v="Biolage"/>
    <x v="71"/>
    <d v="2024-01-01T00:00:00"/>
    <n v="238.181422"/>
    <n v="2050"/>
    <s v="TTM"/>
    <s v="Search-Google"/>
    <s v="Search"/>
  </r>
  <r>
    <s v="Biolage"/>
    <x v="5"/>
    <x v="2"/>
    <s v="Google"/>
    <s v="Biolage"/>
    <x v="71"/>
    <d v="2024-01-01T00:00:00"/>
    <n v="315.07383900000002"/>
    <n v="2160"/>
    <s v="TTM"/>
    <s v="Search-Google"/>
    <s v="Search"/>
  </r>
  <r>
    <s v="Biolage"/>
    <x v="8"/>
    <x v="2"/>
    <s v="Google"/>
    <s v="Biolage"/>
    <x v="71"/>
    <d v="2024-01-01T00:00:00"/>
    <n v="55.755254000000001"/>
    <n v="480"/>
    <s v="TTM"/>
    <s v="Search-Google"/>
    <s v="Search"/>
  </r>
  <r>
    <s v="Biolage"/>
    <x v="3"/>
    <x v="2"/>
    <s v="Google"/>
    <s v="Biolage"/>
    <x v="71"/>
    <d v="2024-01-01T00:00:00"/>
    <n v="133.989723"/>
    <n v="901"/>
    <s v="TTM"/>
    <s v="Search-Google"/>
    <s v="Search"/>
  </r>
  <r>
    <s v="Biolage"/>
    <x v="6"/>
    <x v="2"/>
    <s v="Google"/>
    <s v="Biolage"/>
    <x v="71"/>
    <d v="2024-01-01T00:00:00"/>
    <n v="339.34774900000002"/>
    <n v="1146"/>
    <s v="TTM"/>
    <s v="Search-Google"/>
    <s v="Search"/>
  </r>
  <r>
    <s v="Biolage"/>
    <x v="4"/>
    <x v="2"/>
    <s v="Google"/>
    <s v="Biolage"/>
    <x v="71"/>
    <d v="2024-01-01T00:00:00"/>
    <n v="183.47"/>
    <n v="1070"/>
    <s v="TTM"/>
    <s v="Search-Google"/>
    <s v="Search"/>
  </r>
  <r>
    <s v="Biolage"/>
    <x v="1"/>
    <x v="1"/>
    <s v="Amazon"/>
    <s v="Amazon"/>
    <x v="72"/>
    <d v="2024-01-01T00:00:00"/>
    <n v="6045.3622000000023"/>
    <n v="1411295"/>
    <s v="TTM"/>
    <s v="Display-Amazon"/>
    <s v="Amazon"/>
  </r>
  <r>
    <s v="Biolage"/>
    <x v="1"/>
    <x v="2"/>
    <s v="Amazon"/>
    <s v="Amazon"/>
    <x v="72"/>
    <d v="2024-01-01T00:00:00"/>
    <n v="16126.87"/>
    <n v="1121661"/>
    <s v="TTM"/>
    <s v="Search-Amazon"/>
    <s v="Amazon"/>
  </r>
  <r>
    <s v="Biolage"/>
    <x v="0"/>
    <x v="1"/>
    <s v="Amazon"/>
    <s v="Amazon"/>
    <x v="72"/>
    <d v="2024-01-01T00:00:00"/>
    <n v="11786.932400000009"/>
    <n v="2975283"/>
    <s v="TTM"/>
    <s v="Display-Amazon"/>
    <s v="Amazon"/>
  </r>
  <r>
    <s v="Biolage"/>
    <x v="0"/>
    <x v="2"/>
    <s v="Amazon"/>
    <s v="Amazon"/>
    <x v="72"/>
    <d v="2024-01-01T00:00:00"/>
    <n v="13728.680000000004"/>
    <n v="1485645"/>
    <s v="TTM"/>
    <s v="Search-Amazon"/>
    <s v="Amazon"/>
  </r>
  <r>
    <s v="Biolage"/>
    <x v="2"/>
    <x v="1"/>
    <s v="Amazon"/>
    <s v="Amazon"/>
    <x v="72"/>
    <d v="2024-01-01T00:00:00"/>
    <n v="12388.117099999998"/>
    <n v="6432203"/>
    <s v="TTM"/>
    <s v="Display-Amazon"/>
    <s v="Amazon"/>
  </r>
  <r>
    <s v="Biolage"/>
    <x v="2"/>
    <x v="2"/>
    <s v="Amazon"/>
    <s v="Amazon"/>
    <x v="72"/>
    <d v="2024-01-01T00:00:00"/>
    <n v="8343.0800000000017"/>
    <n v="1661747"/>
    <s v="TTM"/>
    <s v="Search-Amazon"/>
    <s v="Amazon"/>
  </r>
  <r>
    <s v="Biolage"/>
    <x v="3"/>
    <x v="1"/>
    <s v="Amazon"/>
    <s v="Amazon"/>
    <x v="72"/>
    <d v="2024-01-01T00:00:00"/>
    <n v="4798.9595000000008"/>
    <n v="772285"/>
    <s v="TTM"/>
    <s v="Display-Amazon"/>
    <s v="Amazon"/>
  </r>
  <r>
    <s v="Biolage"/>
    <x v="3"/>
    <x v="2"/>
    <s v="Amazon"/>
    <s v="Amazon"/>
    <x v="72"/>
    <d v="2024-01-01T00:00:00"/>
    <n v="8747.6200000000008"/>
    <n v="1836934"/>
    <s v="TTM"/>
    <s v="Search-Amazon"/>
    <s v="Amazon"/>
  </r>
  <r>
    <s v="Biolage"/>
    <x v="4"/>
    <x v="1"/>
    <s v="Amazon"/>
    <s v="Amazon"/>
    <x v="72"/>
    <d v="2024-01-01T00:00:00"/>
    <n v="5253.5214000000005"/>
    <n v="1173942"/>
    <s v="TTM"/>
    <s v="Display-Amazon"/>
    <s v="Amazon"/>
  </r>
  <r>
    <s v="Biolage"/>
    <x v="4"/>
    <x v="2"/>
    <s v="Amazon"/>
    <s v="Amazon"/>
    <x v="72"/>
    <d v="2024-01-01T00:00:00"/>
    <n v="8590.2999999999993"/>
    <n v="1919712"/>
    <s v="TTM"/>
    <s v="Search-Amazon"/>
    <s v="Amazon"/>
  </r>
  <r>
    <s v="Biolage"/>
    <x v="5"/>
    <x v="1"/>
    <s v="Amazon"/>
    <s v="Amazon"/>
    <x v="72"/>
    <d v="2024-01-01T00:00:00"/>
    <n v="3365.7590999999989"/>
    <n v="1034909"/>
    <s v="TTM"/>
    <s v="Display-Amazon"/>
    <s v="Amazon"/>
  </r>
  <r>
    <s v="Biolage"/>
    <x v="5"/>
    <x v="2"/>
    <s v="Amazon"/>
    <s v="Amazon"/>
    <x v="72"/>
    <d v="2024-01-01T00:00:00"/>
    <n v="13987.599999999995"/>
    <n v="998877"/>
    <s v="TTM"/>
    <s v="Search-Amazon"/>
    <s v="Amazon"/>
  </r>
  <r>
    <s v="Biolage"/>
    <x v="8"/>
    <x v="1"/>
    <s v="Amazon"/>
    <s v="Amazon"/>
    <x v="72"/>
    <d v="2024-01-01T00:00:00"/>
    <n v="2704.6030999999998"/>
    <n v="746774"/>
    <s v="TTM"/>
    <s v="Display-Amazon"/>
    <s v="Amazon"/>
  </r>
  <r>
    <s v="Biolage"/>
    <x v="8"/>
    <x v="2"/>
    <s v="Amazon"/>
    <s v="Amazon"/>
    <x v="72"/>
    <d v="2024-01-01T00:00:00"/>
    <n v="2226.7500000000005"/>
    <n v="830782"/>
    <s v="TTM"/>
    <s v="Search-Amazon"/>
    <s v="Amazon"/>
  </r>
  <r>
    <s v="Biolage"/>
    <x v="10"/>
    <x v="2"/>
    <s v="Google"/>
    <s v="Biolage"/>
    <x v="72"/>
    <d v="2024-01-01T00:00:00"/>
    <n v="48.651818000000006"/>
    <n v="386"/>
    <s v="TTM"/>
    <s v="Search-Google"/>
    <s v="Search"/>
  </r>
  <r>
    <s v="Biolage"/>
    <x v="9"/>
    <x v="2"/>
    <s v="Google"/>
    <s v="Biolage"/>
    <x v="72"/>
    <d v="2024-01-01T00:00:00"/>
    <n v="36.323284000000001"/>
    <n v="300"/>
    <s v="TTM"/>
    <s v="Search-Google"/>
    <s v="Search"/>
  </r>
  <r>
    <s v="Biolage"/>
    <x v="0"/>
    <x v="2"/>
    <s v="Google"/>
    <s v="Biolage"/>
    <x v="72"/>
    <d v="2024-01-01T00:00:00"/>
    <n v="7491.2811920000013"/>
    <n v="32107"/>
    <s v="TTM"/>
    <s v="Search-Google"/>
    <s v="Search"/>
  </r>
  <r>
    <s v="Biolage"/>
    <x v="2"/>
    <x v="2"/>
    <s v="Google"/>
    <s v="Biolage"/>
    <x v="72"/>
    <d v="2024-01-01T00:00:00"/>
    <n v="123.517662"/>
    <n v="1006"/>
    <s v="TTM"/>
    <s v="Search-Google"/>
    <s v="Search"/>
  </r>
  <r>
    <s v="Biolage"/>
    <x v="11"/>
    <x v="2"/>
    <s v="Google"/>
    <s v="Biolage"/>
    <x v="72"/>
    <d v="2024-01-01T00:00:00"/>
    <n v="721.70197699999994"/>
    <n v="1091"/>
    <s v="TTM"/>
    <s v="Search-Google"/>
    <s v="Search"/>
  </r>
  <r>
    <s v="Biolage"/>
    <x v="1"/>
    <x v="2"/>
    <s v="Google"/>
    <s v="Biolage"/>
    <x v="72"/>
    <d v="2024-01-01T00:00:00"/>
    <n v="223.80964299999999"/>
    <n v="2228"/>
    <s v="TTM"/>
    <s v="Search-Google"/>
    <s v="Search"/>
  </r>
  <r>
    <s v="Biolage"/>
    <x v="5"/>
    <x v="2"/>
    <s v="Google"/>
    <s v="Biolage"/>
    <x v="72"/>
    <d v="2024-01-01T00:00:00"/>
    <n v="248.58994999999999"/>
    <n v="2286"/>
    <s v="TTM"/>
    <s v="Search-Google"/>
    <s v="Search"/>
  </r>
  <r>
    <s v="Biolage"/>
    <x v="8"/>
    <x v="2"/>
    <s v="Google"/>
    <s v="Biolage"/>
    <x v="72"/>
    <d v="2024-01-01T00:00:00"/>
    <n v="78.517478999999994"/>
    <n v="514"/>
    <s v="TTM"/>
    <s v="Search-Google"/>
    <s v="Search"/>
  </r>
  <r>
    <s v="Biolage"/>
    <x v="3"/>
    <x v="2"/>
    <s v="Google"/>
    <s v="Biolage"/>
    <x v="72"/>
    <d v="2024-01-01T00:00:00"/>
    <n v="166.094144"/>
    <n v="1053"/>
    <s v="TTM"/>
    <s v="Search-Google"/>
    <s v="Search"/>
  </r>
  <r>
    <s v="Biolage"/>
    <x v="6"/>
    <x v="2"/>
    <s v="Google"/>
    <s v="Biolage"/>
    <x v="72"/>
    <d v="2024-01-01T00:00:00"/>
    <n v="335.00916599999999"/>
    <n v="1135"/>
    <s v="TTM"/>
    <s v="Search-Google"/>
    <s v="Search"/>
  </r>
  <r>
    <s v="Biolage"/>
    <x v="4"/>
    <x v="2"/>
    <s v="Google"/>
    <s v="Biolage"/>
    <x v="72"/>
    <d v="2024-01-01T00:00:00"/>
    <n v="153.15325000000001"/>
    <n v="1080"/>
    <s v="TTM"/>
    <s v="Search-Google"/>
    <s v="Search"/>
  </r>
  <r>
    <s v="Biolage"/>
    <x v="0"/>
    <x v="0"/>
    <s v="Meta"/>
    <s v="Other"/>
    <x v="73"/>
    <d v="2024-01-01T00:00:00"/>
    <n v="50000.000008000003"/>
    <n v="4751674"/>
    <s v="TTM"/>
    <s v="Social-Meta"/>
    <s v="Meta"/>
  </r>
  <r>
    <s v="Biolage"/>
    <x v="0"/>
    <x v="0"/>
    <s v="Meta"/>
    <s v="Ulta"/>
    <x v="73"/>
    <d v="2024-01-01T00:00:00"/>
    <n v="23975.640006000001"/>
    <n v="2064790"/>
    <s v="TTM"/>
    <s v="Social-Meta"/>
    <s v="Ulta"/>
  </r>
  <r>
    <s v="Biolage"/>
    <x v="1"/>
    <x v="1"/>
    <s v="Amazon"/>
    <s v="Amazon"/>
    <x v="73"/>
    <d v="2024-01-01T00:00:00"/>
    <n v="7585.2958999999937"/>
    <n v="1540133"/>
    <s v="TTM"/>
    <s v="Display-Amazon"/>
    <s v="Amazon"/>
  </r>
  <r>
    <s v="Biolage"/>
    <x v="1"/>
    <x v="2"/>
    <s v="Amazon"/>
    <s v="Amazon"/>
    <x v="73"/>
    <d v="2024-01-01T00:00:00"/>
    <n v="20387.400000000001"/>
    <n v="1543482"/>
    <s v="TTM"/>
    <s v="Search-Amazon"/>
    <s v="Amazon"/>
  </r>
  <r>
    <s v="Biolage"/>
    <x v="0"/>
    <x v="1"/>
    <s v="Amazon"/>
    <s v="Amazon"/>
    <x v="73"/>
    <d v="2024-01-01T00:00:00"/>
    <n v="11663.030000000006"/>
    <n v="2596165"/>
    <s v="TTM"/>
    <s v="Display-Amazon"/>
    <s v="Amazon"/>
  </r>
  <r>
    <s v="Biolage"/>
    <x v="0"/>
    <x v="2"/>
    <s v="Amazon"/>
    <s v="Amazon"/>
    <x v="73"/>
    <d v="2024-01-01T00:00:00"/>
    <n v="13611.39"/>
    <n v="1292443"/>
    <s v="TTM"/>
    <s v="Search-Amazon"/>
    <s v="Amazon"/>
  </r>
  <r>
    <s v="Biolage"/>
    <x v="2"/>
    <x v="1"/>
    <s v="Amazon"/>
    <s v="Amazon"/>
    <x v="73"/>
    <d v="2024-01-01T00:00:00"/>
    <n v="13146.266100000012"/>
    <n v="5898199"/>
    <s v="TTM"/>
    <s v="Display-Amazon"/>
    <s v="Amazon"/>
  </r>
  <r>
    <s v="Biolage"/>
    <x v="2"/>
    <x v="2"/>
    <s v="Amazon"/>
    <s v="Amazon"/>
    <x v="73"/>
    <d v="2024-01-01T00:00:00"/>
    <n v="9283.880000000001"/>
    <n v="1333454"/>
    <s v="TTM"/>
    <s v="Search-Amazon"/>
    <s v="Amazon"/>
  </r>
  <r>
    <s v="Biolage"/>
    <x v="3"/>
    <x v="1"/>
    <s v="Amazon"/>
    <s v="Amazon"/>
    <x v="73"/>
    <d v="2024-01-01T00:00:00"/>
    <n v="4659.5454"/>
    <n v="864981"/>
    <s v="TTM"/>
    <s v="Display-Amazon"/>
    <s v="Amazon"/>
  </r>
  <r>
    <s v="Biolage"/>
    <x v="3"/>
    <x v="2"/>
    <s v="Amazon"/>
    <s v="Amazon"/>
    <x v="73"/>
    <d v="2024-01-01T00:00:00"/>
    <n v="7915.41"/>
    <n v="1471022"/>
    <s v="TTM"/>
    <s v="Search-Amazon"/>
    <s v="Amazon"/>
  </r>
  <r>
    <s v="Biolage"/>
    <x v="4"/>
    <x v="1"/>
    <s v="Amazon"/>
    <s v="Amazon"/>
    <x v="73"/>
    <d v="2024-01-01T00:00:00"/>
    <n v="5286.8309999999974"/>
    <n v="916496"/>
    <s v="TTM"/>
    <s v="Display-Amazon"/>
    <s v="Amazon"/>
  </r>
  <r>
    <s v="Biolage"/>
    <x v="4"/>
    <x v="2"/>
    <s v="Amazon"/>
    <s v="Amazon"/>
    <x v="73"/>
    <d v="2024-01-01T00:00:00"/>
    <n v="8070.4900000000007"/>
    <n v="1784095"/>
    <s v="TTM"/>
    <s v="Search-Amazon"/>
    <s v="Amazon"/>
  </r>
  <r>
    <s v="Biolage"/>
    <x v="5"/>
    <x v="1"/>
    <s v="Amazon"/>
    <s v="Amazon"/>
    <x v="73"/>
    <d v="2024-01-01T00:00:00"/>
    <n v="4868.1485000000011"/>
    <n v="977663"/>
    <s v="TTM"/>
    <s v="Display-Amazon"/>
    <s v="Amazon"/>
  </r>
  <r>
    <s v="Biolage"/>
    <x v="5"/>
    <x v="2"/>
    <s v="Amazon"/>
    <s v="Amazon"/>
    <x v="73"/>
    <d v="2024-01-01T00:00:00"/>
    <n v="13914.049999999997"/>
    <n v="997019"/>
    <s v="TTM"/>
    <s v="Search-Amazon"/>
    <s v="Amazon"/>
  </r>
  <r>
    <s v="Biolage"/>
    <x v="8"/>
    <x v="1"/>
    <s v="Amazon"/>
    <s v="Amazon"/>
    <x v="73"/>
    <d v="2024-01-01T00:00:00"/>
    <n v="2760.1479000000004"/>
    <n v="618551"/>
    <s v="TTM"/>
    <s v="Display-Amazon"/>
    <s v="Amazon"/>
  </r>
  <r>
    <s v="Biolage"/>
    <x v="8"/>
    <x v="2"/>
    <s v="Amazon"/>
    <s v="Amazon"/>
    <x v="73"/>
    <d v="2024-01-01T00:00:00"/>
    <n v="2105.27"/>
    <n v="713861"/>
    <s v="TTM"/>
    <s v="Search-Amazon"/>
    <s v="Amazon"/>
  </r>
  <r>
    <s v="Biolage"/>
    <x v="6"/>
    <x v="2"/>
    <s v="Amazon"/>
    <s v="Amazon"/>
    <x v="73"/>
    <d v="2024-01-01T00:00:00"/>
    <n v="0.35"/>
    <n v="138"/>
    <s v="TTM"/>
    <s v="Search-Amazon"/>
    <s v="Amazon"/>
  </r>
  <r>
    <s v="Biolage"/>
    <x v="10"/>
    <x v="2"/>
    <s v="Google"/>
    <s v="Biolage"/>
    <x v="73"/>
    <d v="2024-01-01T00:00:00"/>
    <n v="38.562568000000006"/>
    <n v="321"/>
    <s v="TTM"/>
    <s v="Search-Google"/>
    <s v="Search"/>
  </r>
  <r>
    <s v="Biolage"/>
    <x v="9"/>
    <x v="2"/>
    <s v="Google"/>
    <s v="Biolage"/>
    <x v="73"/>
    <d v="2024-01-01T00:00:00"/>
    <n v="19.939999999999998"/>
    <n v="299"/>
    <s v="TTM"/>
    <s v="Search-Google"/>
    <s v="Search"/>
  </r>
  <r>
    <s v="Biolage"/>
    <x v="0"/>
    <x v="2"/>
    <s v="Google"/>
    <s v="Biolage"/>
    <x v="73"/>
    <d v="2024-01-01T00:00:00"/>
    <n v="7821.3770779999995"/>
    <n v="35009"/>
    <s v="TTM"/>
    <s v="Search-Google"/>
    <s v="Search"/>
  </r>
  <r>
    <s v="Biolage"/>
    <x v="2"/>
    <x v="2"/>
    <s v="Google"/>
    <s v="Biolage"/>
    <x v="73"/>
    <d v="2024-01-01T00:00:00"/>
    <n v="99.500647999999998"/>
    <n v="1104"/>
    <s v="TTM"/>
    <s v="Search-Google"/>
    <s v="Search"/>
  </r>
  <r>
    <s v="Biolage"/>
    <x v="11"/>
    <x v="2"/>
    <s v="Google"/>
    <s v="Biolage"/>
    <x v="73"/>
    <d v="2024-01-01T00:00:00"/>
    <n v="505.62255099999999"/>
    <n v="898"/>
    <s v="TTM"/>
    <s v="Search-Google"/>
    <s v="Search"/>
  </r>
  <r>
    <s v="Biolage"/>
    <x v="1"/>
    <x v="2"/>
    <s v="Google"/>
    <s v="Biolage"/>
    <x v="73"/>
    <d v="2024-01-01T00:00:00"/>
    <n v="207.82541799999996"/>
    <n v="2235"/>
    <s v="TTM"/>
    <s v="Search-Google"/>
    <s v="Search"/>
  </r>
  <r>
    <s v="Biolage"/>
    <x v="5"/>
    <x v="2"/>
    <s v="Google"/>
    <s v="Biolage"/>
    <x v="73"/>
    <d v="2024-01-01T00:00:00"/>
    <n v="252.37172000000001"/>
    <n v="2411"/>
    <s v="TTM"/>
    <s v="Search-Google"/>
    <s v="Search"/>
  </r>
  <r>
    <s v="Biolage"/>
    <x v="8"/>
    <x v="2"/>
    <s v="Google"/>
    <s v="Biolage"/>
    <x v="73"/>
    <d v="2024-01-01T00:00:00"/>
    <n v="88.663297999999998"/>
    <n v="537"/>
    <s v="TTM"/>
    <s v="Search-Google"/>
    <s v="Search"/>
  </r>
  <r>
    <s v="Biolage"/>
    <x v="3"/>
    <x v="2"/>
    <s v="Google"/>
    <s v="Biolage"/>
    <x v="73"/>
    <d v="2024-01-01T00:00:00"/>
    <n v="111.727924"/>
    <n v="892"/>
    <s v="TTM"/>
    <s v="Search-Google"/>
    <s v="Search"/>
  </r>
  <r>
    <s v="Biolage"/>
    <x v="6"/>
    <x v="2"/>
    <s v="Google"/>
    <s v="Biolage"/>
    <x v="73"/>
    <d v="2024-01-01T00:00:00"/>
    <n v="285.00663100000008"/>
    <n v="1254"/>
    <s v="TTM"/>
    <s v="Search-Google"/>
    <s v="Search"/>
  </r>
  <r>
    <s v="Biolage"/>
    <x v="4"/>
    <x v="2"/>
    <s v="Google"/>
    <s v="Biolage"/>
    <x v="73"/>
    <d v="2024-01-01T00:00:00"/>
    <n v="145.66577599999999"/>
    <n v="1157"/>
    <s v="TTM"/>
    <s v="Search-Google"/>
    <s v="Search"/>
  </r>
  <r>
    <s v="Biolage"/>
    <x v="0"/>
    <x v="0"/>
    <s v="Meta"/>
    <s v="Ulta"/>
    <x v="74"/>
    <d v="2024-01-01T00:00:00"/>
    <n v="145455.050013"/>
    <n v="12920521"/>
    <s v="TTM"/>
    <s v="Social-Meta"/>
    <s v="Ulta"/>
  </r>
  <r>
    <s v="Biolage"/>
    <x v="1"/>
    <x v="1"/>
    <s v="Amazon"/>
    <s v="Amazon"/>
    <x v="74"/>
    <d v="2024-01-01T00:00:00"/>
    <n v="12154.927599999995"/>
    <n v="2673637"/>
    <s v="TTM"/>
    <s v="Display-Amazon"/>
    <s v="Amazon"/>
  </r>
  <r>
    <s v="Biolage"/>
    <x v="1"/>
    <x v="2"/>
    <s v="Amazon"/>
    <s v="Amazon"/>
    <x v="74"/>
    <d v="2024-01-01T00:00:00"/>
    <n v="67367.56"/>
    <n v="5943250"/>
    <s v="TTM"/>
    <s v="Search-Amazon"/>
    <s v="Amazon"/>
  </r>
  <r>
    <s v="Biolage"/>
    <x v="0"/>
    <x v="1"/>
    <s v="Amazon"/>
    <s v="Amazon"/>
    <x v="74"/>
    <d v="2024-01-01T00:00:00"/>
    <n v="44117.349600000016"/>
    <n v="11112375"/>
    <s v="TTM"/>
    <s v="Display-Amazon"/>
    <s v="Amazon"/>
  </r>
  <r>
    <s v="Biolage"/>
    <x v="0"/>
    <x v="2"/>
    <s v="Amazon"/>
    <s v="Amazon"/>
    <x v="74"/>
    <d v="2024-01-01T00:00:00"/>
    <n v="24256.400000000001"/>
    <n v="2185067"/>
    <s v="TTM"/>
    <s v="Search-Amazon"/>
    <s v="Amazon"/>
  </r>
  <r>
    <s v="Biolage"/>
    <x v="2"/>
    <x v="1"/>
    <s v="Amazon"/>
    <s v="Amazon"/>
    <x v="74"/>
    <d v="2024-01-01T00:00:00"/>
    <n v="16179.458799999989"/>
    <n v="5926870"/>
    <s v="TTM"/>
    <s v="Display-Amazon"/>
    <s v="Amazon"/>
  </r>
  <r>
    <s v="Biolage"/>
    <x v="2"/>
    <x v="2"/>
    <s v="Amazon"/>
    <s v="Amazon"/>
    <x v="74"/>
    <d v="2024-01-01T00:00:00"/>
    <n v="20079.929999999993"/>
    <n v="1547940"/>
    <s v="TTM"/>
    <s v="Search-Amazon"/>
    <s v="Amazon"/>
  </r>
  <r>
    <s v="Biolage"/>
    <x v="3"/>
    <x v="1"/>
    <s v="Amazon"/>
    <s v="Amazon"/>
    <x v="74"/>
    <d v="2024-01-01T00:00:00"/>
    <n v="3969.1189000000027"/>
    <n v="567003"/>
    <s v="TTM"/>
    <s v="Display-Amazon"/>
    <s v="Amazon"/>
  </r>
  <r>
    <s v="Biolage"/>
    <x v="3"/>
    <x v="2"/>
    <s v="Amazon"/>
    <s v="Amazon"/>
    <x v="74"/>
    <d v="2024-01-01T00:00:00"/>
    <n v="7116.84"/>
    <n v="1426249"/>
    <s v="TTM"/>
    <s v="Search-Amazon"/>
    <s v="Amazon"/>
  </r>
  <r>
    <s v="Biolage"/>
    <x v="4"/>
    <x v="1"/>
    <s v="Amazon"/>
    <s v="Amazon"/>
    <x v="74"/>
    <d v="2024-01-01T00:00:00"/>
    <n v="4361.3540000000003"/>
    <n v="526250"/>
    <s v="TTM"/>
    <s v="Display-Amazon"/>
    <s v="Amazon"/>
  </r>
  <r>
    <s v="Biolage"/>
    <x v="4"/>
    <x v="2"/>
    <s v="Amazon"/>
    <s v="Amazon"/>
    <x v="74"/>
    <d v="2024-01-01T00:00:00"/>
    <n v="10166.380000000003"/>
    <n v="1796120"/>
    <s v="TTM"/>
    <s v="Search-Amazon"/>
    <s v="Amazon"/>
  </r>
  <r>
    <s v="Biolage"/>
    <x v="5"/>
    <x v="1"/>
    <s v="Amazon"/>
    <s v="Amazon"/>
    <x v="74"/>
    <d v="2024-01-01T00:00:00"/>
    <n v="4792.5894000000008"/>
    <n v="780701"/>
    <s v="TTM"/>
    <s v="Display-Amazon"/>
    <s v="Amazon"/>
  </r>
  <r>
    <s v="Biolage"/>
    <x v="5"/>
    <x v="2"/>
    <s v="Amazon"/>
    <s v="Amazon"/>
    <x v="74"/>
    <d v="2024-01-01T00:00:00"/>
    <n v="42614.03"/>
    <n v="2334889"/>
    <s v="TTM"/>
    <s v="Search-Amazon"/>
    <s v="Amazon"/>
  </r>
  <r>
    <s v="Biolage"/>
    <x v="8"/>
    <x v="1"/>
    <s v="Amazon"/>
    <s v="Amazon"/>
    <x v="74"/>
    <d v="2024-01-01T00:00:00"/>
    <n v="2573.301100000002"/>
    <n v="452365"/>
    <s v="TTM"/>
    <s v="Display-Amazon"/>
    <s v="Amazon"/>
  </r>
  <r>
    <s v="Biolage"/>
    <x v="8"/>
    <x v="2"/>
    <s v="Amazon"/>
    <s v="Amazon"/>
    <x v="74"/>
    <d v="2024-01-01T00:00:00"/>
    <n v="12679.189999999997"/>
    <n v="2522021"/>
    <s v="TTM"/>
    <s v="Search-Amazon"/>
    <s v="Amazon"/>
  </r>
  <r>
    <s v="Biolage"/>
    <x v="10"/>
    <x v="2"/>
    <s v="Google"/>
    <s v="Biolage"/>
    <x v="74"/>
    <d v="2024-01-01T00:00:00"/>
    <n v="47"/>
    <n v="384"/>
    <s v="TTM"/>
    <s v="Search-Google"/>
    <s v="Search"/>
  </r>
  <r>
    <s v="Biolage"/>
    <x v="9"/>
    <x v="2"/>
    <s v="Google"/>
    <s v="Biolage"/>
    <x v="74"/>
    <d v="2024-01-01T00:00:00"/>
    <n v="18.880000000000003"/>
    <n v="293"/>
    <s v="TTM"/>
    <s v="Search-Google"/>
    <s v="Search"/>
  </r>
  <r>
    <s v="Biolage"/>
    <x v="0"/>
    <x v="2"/>
    <s v="Google"/>
    <s v="Biolage"/>
    <x v="74"/>
    <d v="2024-01-01T00:00:00"/>
    <n v="9968.3266860000003"/>
    <n v="37782"/>
    <s v="TTM"/>
    <s v="Search-Google"/>
    <s v="Search"/>
  </r>
  <r>
    <s v="Biolage"/>
    <x v="2"/>
    <x v="2"/>
    <s v="Google"/>
    <s v="Biolage"/>
    <x v="74"/>
    <d v="2024-01-01T00:00:00"/>
    <n v="70.333105000000003"/>
    <n v="1031"/>
    <s v="TTM"/>
    <s v="Search-Google"/>
    <s v="Search"/>
  </r>
  <r>
    <s v="Biolage"/>
    <x v="11"/>
    <x v="2"/>
    <s v="Google"/>
    <s v="Biolage"/>
    <x v="74"/>
    <d v="2024-01-01T00:00:00"/>
    <n v="222.29488199999997"/>
    <n v="580"/>
    <s v="TTM"/>
    <s v="Search-Google"/>
    <s v="Search"/>
  </r>
  <r>
    <s v="Biolage"/>
    <x v="1"/>
    <x v="2"/>
    <s v="Google"/>
    <s v="Biolage"/>
    <x v="74"/>
    <d v="2024-01-01T00:00:00"/>
    <n v="230.04836700000001"/>
    <n v="2520"/>
    <s v="TTM"/>
    <s v="Search-Google"/>
    <s v="Search"/>
  </r>
  <r>
    <s v="Biolage"/>
    <x v="5"/>
    <x v="2"/>
    <s v="Google"/>
    <s v="Biolage"/>
    <x v="74"/>
    <d v="2024-01-01T00:00:00"/>
    <n v="245.15006499999998"/>
    <n v="2404"/>
    <s v="TTM"/>
    <s v="Search-Google"/>
    <s v="Search"/>
  </r>
  <r>
    <s v="Biolage"/>
    <x v="8"/>
    <x v="2"/>
    <s v="Google"/>
    <s v="Biolage"/>
    <x v="74"/>
    <d v="2024-01-01T00:00:00"/>
    <n v="58.273078999999996"/>
    <n v="618"/>
    <s v="TTM"/>
    <s v="Search-Google"/>
    <s v="Search"/>
  </r>
  <r>
    <s v="Biolage"/>
    <x v="3"/>
    <x v="2"/>
    <s v="Google"/>
    <s v="Biolage"/>
    <x v="74"/>
    <d v="2024-01-01T00:00:00"/>
    <n v="143.98729399999999"/>
    <n v="1020"/>
    <s v="TTM"/>
    <s v="Search-Google"/>
    <s v="Search"/>
  </r>
  <r>
    <s v="Biolage"/>
    <x v="6"/>
    <x v="2"/>
    <s v="Google"/>
    <s v="Biolage"/>
    <x v="74"/>
    <d v="2024-01-01T00:00:00"/>
    <n v="245.084317"/>
    <n v="1338"/>
    <s v="TTM"/>
    <s v="Search-Google"/>
    <s v="Search"/>
  </r>
  <r>
    <s v="Biolage"/>
    <x v="4"/>
    <x v="2"/>
    <s v="Google"/>
    <s v="Biolage"/>
    <x v="74"/>
    <d v="2024-01-01T00:00:00"/>
    <n v="149.251496"/>
    <n v="1459"/>
    <s v="TTM"/>
    <s v="Search-Google"/>
    <s v="Search"/>
  </r>
  <r>
    <s v="Biolage"/>
    <x v="0"/>
    <x v="0"/>
    <s v="Meta"/>
    <s v="Ulta"/>
    <x v="75"/>
    <d v="2024-01-01T00:00:00"/>
    <n v="51993.73000499999"/>
    <n v="5969554"/>
    <s v="TTM"/>
    <s v="Social-Meta"/>
    <s v="Ulta"/>
  </r>
  <r>
    <s v="Biolage"/>
    <x v="1"/>
    <x v="1"/>
    <s v="Amazon"/>
    <s v="Amazon"/>
    <x v="75"/>
    <d v="2024-01-01T00:00:00"/>
    <n v="10905.672199999999"/>
    <n v="2787767"/>
    <s v="TTM"/>
    <s v="Display-Amazon"/>
    <s v="Amazon"/>
  </r>
  <r>
    <s v="Biolage"/>
    <x v="1"/>
    <x v="2"/>
    <s v="Amazon"/>
    <s v="Amazon"/>
    <x v="75"/>
    <d v="2024-01-01T00:00:00"/>
    <n v="63658.859999999993"/>
    <n v="7402790"/>
    <s v="TTM"/>
    <s v="Search-Amazon"/>
    <s v="Amazon"/>
  </r>
  <r>
    <s v="Biolage"/>
    <x v="0"/>
    <x v="1"/>
    <s v="Amazon"/>
    <s v="Amazon"/>
    <x v="75"/>
    <d v="2024-01-01T00:00:00"/>
    <n v="27867.296399999999"/>
    <n v="8807869"/>
    <s v="TTM"/>
    <s v="Display-Amazon"/>
    <s v="Amazon"/>
  </r>
  <r>
    <s v="Biolage"/>
    <x v="0"/>
    <x v="2"/>
    <s v="Amazon"/>
    <s v="Amazon"/>
    <x v="75"/>
    <d v="2024-01-01T00:00:00"/>
    <n v="12871.820000000002"/>
    <n v="1112334"/>
    <s v="TTM"/>
    <s v="Search-Amazon"/>
    <s v="Amazon"/>
  </r>
  <r>
    <s v="Biolage"/>
    <x v="2"/>
    <x v="1"/>
    <s v="Amazon"/>
    <s v="Amazon"/>
    <x v="75"/>
    <d v="2024-01-01T00:00:00"/>
    <n v="6228.6185999999989"/>
    <n v="2247514"/>
    <s v="TTM"/>
    <s v="Display-Amazon"/>
    <s v="Amazon"/>
  </r>
  <r>
    <s v="Biolage"/>
    <x v="2"/>
    <x v="2"/>
    <s v="Amazon"/>
    <s v="Amazon"/>
    <x v="75"/>
    <d v="2024-01-01T00:00:00"/>
    <n v="9933.5699999999979"/>
    <n v="1144302"/>
    <s v="TTM"/>
    <s v="Search-Amazon"/>
    <s v="Amazon"/>
  </r>
  <r>
    <s v="Biolage"/>
    <x v="3"/>
    <x v="1"/>
    <s v="Amazon"/>
    <s v="Amazon"/>
    <x v="75"/>
    <d v="2024-01-01T00:00:00"/>
    <n v="4294.7366000000002"/>
    <n v="690296"/>
    <s v="TTM"/>
    <s v="Display-Amazon"/>
    <s v="Amazon"/>
  </r>
  <r>
    <s v="Biolage"/>
    <x v="3"/>
    <x v="2"/>
    <s v="Amazon"/>
    <s v="Amazon"/>
    <x v="75"/>
    <d v="2024-01-01T00:00:00"/>
    <n v="6116.1099999999979"/>
    <n v="1326915"/>
    <s v="TTM"/>
    <s v="Search-Amazon"/>
    <s v="Amazon"/>
  </r>
  <r>
    <s v="Biolage"/>
    <x v="4"/>
    <x v="1"/>
    <s v="Amazon"/>
    <s v="Amazon"/>
    <x v="75"/>
    <d v="2024-01-01T00:00:00"/>
    <n v="4700.6687000000011"/>
    <n v="921609"/>
    <s v="TTM"/>
    <s v="Display-Amazon"/>
    <s v="Amazon"/>
  </r>
  <r>
    <s v="Biolage"/>
    <x v="4"/>
    <x v="2"/>
    <s v="Amazon"/>
    <s v="Amazon"/>
    <x v="75"/>
    <d v="2024-01-01T00:00:00"/>
    <n v="7785.4799999999987"/>
    <n v="1839244"/>
    <s v="TTM"/>
    <s v="Search-Amazon"/>
    <s v="Amazon"/>
  </r>
  <r>
    <s v="Biolage"/>
    <x v="5"/>
    <x v="1"/>
    <s v="Amazon"/>
    <s v="Amazon"/>
    <x v="75"/>
    <d v="2024-01-01T00:00:00"/>
    <n v="5170.7367000000013"/>
    <n v="1539811"/>
    <s v="TTM"/>
    <s v="Display-Amazon"/>
    <s v="Amazon"/>
  </r>
  <r>
    <s v="Biolage"/>
    <x v="5"/>
    <x v="2"/>
    <s v="Amazon"/>
    <s v="Amazon"/>
    <x v="75"/>
    <d v="2024-01-01T00:00:00"/>
    <n v="27772.419999999995"/>
    <n v="1725121"/>
    <s v="TTM"/>
    <s v="Search-Amazon"/>
    <s v="Amazon"/>
  </r>
  <r>
    <s v="Biolage"/>
    <x v="8"/>
    <x v="1"/>
    <s v="Amazon"/>
    <s v="Amazon"/>
    <x v="75"/>
    <d v="2024-01-01T00:00:00"/>
    <n v="2210.8127999999997"/>
    <n v="497445"/>
    <s v="TTM"/>
    <s v="Display-Amazon"/>
    <s v="Amazon"/>
  </r>
  <r>
    <s v="Biolage"/>
    <x v="8"/>
    <x v="2"/>
    <s v="Amazon"/>
    <s v="Amazon"/>
    <x v="75"/>
    <d v="2024-01-01T00:00:00"/>
    <n v="5730.3500000000013"/>
    <n v="1252452"/>
    <s v="TTM"/>
    <s v="Search-Amazon"/>
    <s v="Amazon"/>
  </r>
  <r>
    <s v="Biolage"/>
    <x v="10"/>
    <x v="2"/>
    <s v="Google"/>
    <s v="Biolage"/>
    <x v="75"/>
    <d v="2024-01-01T00:00:00"/>
    <n v="32.662573999999999"/>
    <n v="361"/>
    <s v="TTM"/>
    <s v="Search-Google"/>
    <s v="Search"/>
  </r>
  <r>
    <s v="Biolage"/>
    <x v="9"/>
    <x v="2"/>
    <s v="Google"/>
    <s v="Biolage"/>
    <x v="75"/>
    <d v="2024-01-01T00:00:00"/>
    <n v="25.383335000000002"/>
    <n v="289"/>
    <s v="TTM"/>
    <s v="Search-Google"/>
    <s v="Search"/>
  </r>
  <r>
    <s v="Biolage"/>
    <x v="0"/>
    <x v="2"/>
    <s v="Google"/>
    <s v="Biolage"/>
    <x v="75"/>
    <d v="2024-01-01T00:00:00"/>
    <n v="8362.8175480000009"/>
    <n v="34005"/>
    <s v="TTM"/>
    <s v="Search-Google"/>
    <s v="Search"/>
  </r>
  <r>
    <s v="Biolage"/>
    <x v="2"/>
    <x v="2"/>
    <s v="Google"/>
    <s v="Biolage"/>
    <x v="75"/>
    <d v="2024-01-01T00:00:00"/>
    <n v="45.412084"/>
    <n v="790"/>
    <s v="TTM"/>
    <s v="Search-Google"/>
    <s v="Search"/>
  </r>
  <r>
    <s v="Biolage"/>
    <x v="11"/>
    <x v="2"/>
    <s v="Google"/>
    <s v="Biolage"/>
    <x v="75"/>
    <d v="2024-01-01T00:00:00"/>
    <n v="293.75953299999998"/>
    <n v="651"/>
    <s v="TTM"/>
    <s v="Search-Google"/>
    <s v="Search"/>
  </r>
  <r>
    <s v="Biolage"/>
    <x v="1"/>
    <x v="2"/>
    <s v="Google"/>
    <s v="Biolage"/>
    <x v="75"/>
    <d v="2024-01-01T00:00:00"/>
    <n v="168.56552099999999"/>
    <n v="1987"/>
    <s v="TTM"/>
    <s v="Search-Google"/>
    <s v="Search"/>
  </r>
  <r>
    <s v="Biolage"/>
    <x v="5"/>
    <x v="2"/>
    <s v="Google"/>
    <s v="Biolage"/>
    <x v="75"/>
    <d v="2024-01-01T00:00:00"/>
    <n v="198.52171000000001"/>
    <n v="2329"/>
    <s v="TTM"/>
    <s v="Search-Google"/>
    <s v="Search"/>
  </r>
  <r>
    <s v="Biolage"/>
    <x v="8"/>
    <x v="2"/>
    <s v="Google"/>
    <s v="Biolage"/>
    <x v="75"/>
    <d v="2024-01-01T00:00:00"/>
    <n v="31.693034999999998"/>
    <n v="421"/>
    <s v="TTM"/>
    <s v="Search-Google"/>
    <s v="Search"/>
  </r>
  <r>
    <s v="Biolage"/>
    <x v="3"/>
    <x v="2"/>
    <s v="Google"/>
    <s v="Biolage"/>
    <x v="75"/>
    <d v="2024-01-01T00:00:00"/>
    <n v="118.10277599999999"/>
    <n v="897"/>
    <s v="TTM"/>
    <s v="Search-Google"/>
    <s v="Search"/>
  </r>
  <r>
    <s v="Biolage"/>
    <x v="6"/>
    <x v="2"/>
    <s v="Google"/>
    <s v="Biolage"/>
    <x v="75"/>
    <d v="2024-01-01T00:00:00"/>
    <n v="235.19810699999999"/>
    <n v="1169"/>
    <s v="TTM"/>
    <s v="Search-Google"/>
    <s v="Search"/>
  </r>
  <r>
    <s v="Biolage"/>
    <x v="4"/>
    <x v="2"/>
    <s v="Google"/>
    <s v="Biolage"/>
    <x v="75"/>
    <d v="2024-01-01T00:00:00"/>
    <n v="89.285028999999994"/>
    <n v="1089"/>
    <s v="TTM"/>
    <s v="Search-Google"/>
    <s v="Search"/>
  </r>
  <r>
    <s v="Biolage"/>
    <x v="1"/>
    <x v="1"/>
    <s v="Amazon"/>
    <s v="Amazon"/>
    <x v="76"/>
    <d v="2024-01-01T00:00:00"/>
    <n v="11052.882100000001"/>
    <n v="3102826"/>
    <s v="TTM"/>
    <s v="Display-Amazon"/>
    <s v="Amazon"/>
  </r>
  <r>
    <s v="Biolage"/>
    <x v="1"/>
    <x v="2"/>
    <s v="Amazon"/>
    <s v="Amazon"/>
    <x v="76"/>
    <d v="2024-01-01T00:00:00"/>
    <n v="20645.64"/>
    <n v="2743175"/>
    <s v="TTM"/>
    <s v="Search-Amazon"/>
    <s v="Amazon"/>
  </r>
  <r>
    <s v="Biolage"/>
    <x v="0"/>
    <x v="1"/>
    <s v="Amazon"/>
    <s v="Amazon"/>
    <x v="76"/>
    <d v="2024-01-01T00:00:00"/>
    <n v="5217.2730000000001"/>
    <n v="3287481"/>
    <s v="TTM"/>
    <s v="Display-Amazon"/>
    <s v="Amazon"/>
  </r>
  <r>
    <s v="Biolage"/>
    <x v="0"/>
    <x v="2"/>
    <s v="Amazon"/>
    <s v="Amazon"/>
    <x v="76"/>
    <d v="2024-01-01T00:00:00"/>
    <n v="6781.4600000000019"/>
    <n v="1023794"/>
    <s v="TTM"/>
    <s v="Search-Amazon"/>
    <s v="Amazon"/>
  </r>
  <r>
    <s v="Biolage"/>
    <x v="2"/>
    <x v="1"/>
    <s v="Amazon"/>
    <s v="Amazon"/>
    <x v="76"/>
    <d v="2024-01-01T00:00:00"/>
    <n v="6338.3932999999997"/>
    <n v="2530733"/>
    <s v="TTM"/>
    <s v="Display-Amazon"/>
    <s v="Amazon"/>
  </r>
  <r>
    <s v="Biolage"/>
    <x v="2"/>
    <x v="2"/>
    <s v="Amazon"/>
    <s v="Amazon"/>
    <x v="76"/>
    <d v="2024-01-01T00:00:00"/>
    <n v="7308.09"/>
    <n v="889448"/>
    <s v="TTM"/>
    <s v="Search-Amazon"/>
    <s v="Amazon"/>
  </r>
  <r>
    <s v="Biolage"/>
    <x v="3"/>
    <x v="1"/>
    <s v="Amazon"/>
    <s v="Amazon"/>
    <x v="76"/>
    <d v="2024-01-01T00:00:00"/>
    <n v="4376.7573999999977"/>
    <n v="1000654"/>
    <s v="TTM"/>
    <s v="Display-Amazon"/>
    <s v="Amazon"/>
  </r>
  <r>
    <s v="Biolage"/>
    <x v="3"/>
    <x v="2"/>
    <s v="Amazon"/>
    <s v="Amazon"/>
    <x v="76"/>
    <d v="2024-01-01T00:00:00"/>
    <n v="4688.2699999999977"/>
    <n v="896891"/>
    <s v="TTM"/>
    <s v="Search-Amazon"/>
    <s v="Amazon"/>
  </r>
  <r>
    <s v="Biolage"/>
    <x v="4"/>
    <x v="1"/>
    <s v="Amazon"/>
    <s v="Amazon"/>
    <x v="76"/>
    <d v="2024-01-01T00:00:00"/>
    <n v="4915.8602999999994"/>
    <n v="1162551"/>
    <s v="TTM"/>
    <s v="Display-Amazon"/>
    <s v="Amazon"/>
  </r>
  <r>
    <s v="Biolage"/>
    <x v="4"/>
    <x v="2"/>
    <s v="Amazon"/>
    <s v="Amazon"/>
    <x v="76"/>
    <d v="2024-01-01T00:00:00"/>
    <n v="6689.01"/>
    <n v="1315799"/>
    <s v="TTM"/>
    <s v="Search-Amazon"/>
    <s v="Amazon"/>
  </r>
  <r>
    <s v="Biolage"/>
    <x v="5"/>
    <x v="1"/>
    <s v="Amazon"/>
    <s v="Amazon"/>
    <x v="76"/>
    <d v="2024-01-01T00:00:00"/>
    <n v="5542.3283999999985"/>
    <n v="2331114"/>
    <s v="TTM"/>
    <s v="Display-Amazon"/>
    <s v="Amazon"/>
  </r>
  <r>
    <s v="Biolage"/>
    <x v="5"/>
    <x v="2"/>
    <s v="Amazon"/>
    <s v="Amazon"/>
    <x v="76"/>
    <d v="2024-01-01T00:00:00"/>
    <n v="11692.640000000003"/>
    <n v="1160825"/>
    <s v="TTM"/>
    <s v="Search-Amazon"/>
    <s v="Amazon"/>
  </r>
  <r>
    <s v="Biolage"/>
    <x v="8"/>
    <x v="1"/>
    <s v="Amazon"/>
    <s v="Amazon"/>
    <x v="76"/>
    <d v="2024-01-01T00:00:00"/>
    <n v="1813.6373000000003"/>
    <n v="378041"/>
    <s v="TTM"/>
    <s v="Display-Amazon"/>
    <s v="Amazon"/>
  </r>
  <r>
    <s v="Biolage"/>
    <x v="8"/>
    <x v="2"/>
    <s v="Amazon"/>
    <s v="Amazon"/>
    <x v="76"/>
    <d v="2024-01-01T00:00:00"/>
    <n v="2402.5099999999998"/>
    <n v="1058642"/>
    <s v="TTM"/>
    <s v="Search-Amazon"/>
    <s v="Amazon"/>
  </r>
  <r>
    <s v="Biolage"/>
    <x v="10"/>
    <x v="2"/>
    <s v="Google"/>
    <s v="Biolage"/>
    <x v="76"/>
    <d v="2024-01-01T00:00:00"/>
    <n v="30.387562000000003"/>
    <n v="337"/>
    <s v="TTM"/>
    <s v="Search-Google"/>
    <s v="Search"/>
  </r>
  <r>
    <s v="Biolage"/>
    <x v="9"/>
    <x v="2"/>
    <s v="Google"/>
    <s v="Biolage"/>
    <x v="76"/>
    <d v="2024-01-01T00:00:00"/>
    <n v="29.844419000000002"/>
    <n v="295"/>
    <s v="TTM"/>
    <s v="Search-Google"/>
    <s v="Search"/>
  </r>
  <r>
    <s v="Biolage"/>
    <x v="0"/>
    <x v="2"/>
    <s v="Google"/>
    <s v="Biolage"/>
    <x v="76"/>
    <d v="2024-01-01T00:00:00"/>
    <n v="5944.3401189999986"/>
    <n v="31775"/>
    <s v="TTM"/>
    <s v="Search-Google"/>
    <s v="Search"/>
  </r>
  <r>
    <s v="Biolage"/>
    <x v="2"/>
    <x v="2"/>
    <s v="Google"/>
    <s v="Biolage"/>
    <x v="76"/>
    <d v="2024-01-01T00:00:00"/>
    <n v="66.362295000000017"/>
    <n v="728"/>
    <s v="TTM"/>
    <s v="Search-Google"/>
    <s v="Search"/>
  </r>
  <r>
    <s v="Biolage"/>
    <x v="11"/>
    <x v="2"/>
    <s v="Google"/>
    <s v="Biolage"/>
    <x v="76"/>
    <d v="2024-01-01T00:00:00"/>
    <n v="199.70383100000001"/>
    <n v="508"/>
    <s v="TTM"/>
    <s v="Search-Google"/>
    <s v="Search"/>
  </r>
  <r>
    <s v="Biolage"/>
    <x v="1"/>
    <x v="2"/>
    <s v="Google"/>
    <s v="Biolage"/>
    <x v="76"/>
    <d v="2024-01-01T00:00:00"/>
    <n v="121.40880700000001"/>
    <n v="1958"/>
    <s v="TTM"/>
    <s v="Search-Google"/>
    <s v="Search"/>
  </r>
  <r>
    <s v="Biolage"/>
    <x v="5"/>
    <x v="2"/>
    <s v="Google"/>
    <s v="Biolage"/>
    <x v="76"/>
    <d v="2024-01-01T00:00:00"/>
    <n v="161.26761999999997"/>
    <n v="2413"/>
    <s v="TTM"/>
    <s v="Search-Google"/>
    <s v="Search"/>
  </r>
  <r>
    <s v="Biolage"/>
    <x v="8"/>
    <x v="2"/>
    <s v="Google"/>
    <s v="Biolage"/>
    <x v="76"/>
    <d v="2024-01-01T00:00:00"/>
    <n v="26.759229999999999"/>
    <n v="414"/>
    <s v="TTM"/>
    <s v="Search-Google"/>
    <s v="Search"/>
  </r>
  <r>
    <s v="Biolage"/>
    <x v="3"/>
    <x v="2"/>
    <s v="Google"/>
    <s v="Biolage"/>
    <x v="76"/>
    <d v="2024-01-01T00:00:00"/>
    <n v="96.923580000000015"/>
    <n v="1068"/>
    <s v="TTM"/>
    <s v="Search-Google"/>
    <s v="Search"/>
  </r>
  <r>
    <s v="Biolage"/>
    <x v="6"/>
    <x v="2"/>
    <s v="Google"/>
    <s v="Biolage"/>
    <x v="76"/>
    <d v="2024-01-01T00:00:00"/>
    <n v="205.76200899999998"/>
    <n v="1323"/>
    <s v="TTM"/>
    <s v="Search-Google"/>
    <s v="Search"/>
  </r>
  <r>
    <s v="Biolage"/>
    <x v="4"/>
    <x v="2"/>
    <s v="Google"/>
    <s v="Biolage"/>
    <x v="76"/>
    <d v="2024-01-01T00:00:00"/>
    <n v="70.045634000000007"/>
    <n v="977"/>
    <s v="TTM"/>
    <s v="Search-Google"/>
    <s v="Search"/>
  </r>
  <r>
    <s v="Biolage"/>
    <x v="1"/>
    <x v="1"/>
    <s v="Amazon"/>
    <s v="Amazon"/>
    <x v="77"/>
    <d v="2024-01-01T00:00:00"/>
    <n v="11404.7842"/>
    <n v="3553366"/>
    <s v="TTM"/>
    <s v="Display-Amazon"/>
    <s v="Amazon"/>
  </r>
  <r>
    <s v="Biolage"/>
    <x v="1"/>
    <x v="2"/>
    <s v="Amazon"/>
    <s v="Amazon"/>
    <x v="77"/>
    <d v="2024-01-01T00:00:00"/>
    <n v="20458.759999999995"/>
    <n v="2592277"/>
    <s v="TTM"/>
    <s v="Search-Amazon"/>
    <s v="Amazon"/>
  </r>
  <r>
    <s v="Biolage"/>
    <x v="0"/>
    <x v="1"/>
    <s v="Amazon"/>
    <s v="Amazon"/>
    <x v="77"/>
    <d v="2024-01-01T00:00:00"/>
    <n v="5197.3759"/>
    <n v="3300364"/>
    <s v="TTM"/>
    <s v="Display-Amazon"/>
    <s v="Amazon"/>
  </r>
  <r>
    <s v="Biolage"/>
    <x v="0"/>
    <x v="2"/>
    <s v="Amazon"/>
    <s v="Amazon"/>
    <x v="77"/>
    <d v="2024-01-01T00:00:00"/>
    <n v="3464.5499999999993"/>
    <n v="497202"/>
    <s v="TTM"/>
    <s v="Search-Amazon"/>
    <s v="Amazon"/>
  </r>
  <r>
    <s v="Biolage"/>
    <x v="2"/>
    <x v="1"/>
    <s v="Amazon"/>
    <s v="Amazon"/>
    <x v="77"/>
    <d v="2024-01-01T00:00:00"/>
    <n v="6421.0867000000026"/>
    <n v="2313687"/>
    <s v="TTM"/>
    <s v="Display-Amazon"/>
    <s v="Amazon"/>
  </r>
  <r>
    <s v="Biolage"/>
    <x v="2"/>
    <x v="2"/>
    <s v="Amazon"/>
    <s v="Amazon"/>
    <x v="77"/>
    <d v="2024-01-01T00:00:00"/>
    <n v="9057.4399999999951"/>
    <n v="1220649"/>
    <s v="TTM"/>
    <s v="Search-Amazon"/>
    <s v="Amazon"/>
  </r>
  <r>
    <s v="Biolage"/>
    <x v="3"/>
    <x v="1"/>
    <s v="Amazon"/>
    <s v="Amazon"/>
    <x v="77"/>
    <d v="2024-01-01T00:00:00"/>
    <n v="4093.4698999999996"/>
    <n v="959594"/>
    <s v="TTM"/>
    <s v="Display-Amazon"/>
    <s v="Amazon"/>
  </r>
  <r>
    <s v="Biolage"/>
    <x v="3"/>
    <x v="2"/>
    <s v="Amazon"/>
    <s v="Amazon"/>
    <x v="77"/>
    <d v="2024-01-01T00:00:00"/>
    <n v="4535.72"/>
    <n v="1024595"/>
    <s v="TTM"/>
    <s v="Search-Amazon"/>
    <s v="Amazon"/>
  </r>
  <r>
    <s v="Biolage"/>
    <x v="4"/>
    <x v="1"/>
    <s v="Amazon"/>
    <s v="Amazon"/>
    <x v="77"/>
    <d v="2024-01-01T00:00:00"/>
    <n v="4879.0752000000011"/>
    <n v="1264896"/>
    <s v="TTM"/>
    <s v="Display-Amazon"/>
    <s v="Amazon"/>
  </r>
  <r>
    <s v="Biolage"/>
    <x v="4"/>
    <x v="2"/>
    <s v="Amazon"/>
    <s v="Amazon"/>
    <x v="77"/>
    <d v="2024-01-01T00:00:00"/>
    <n v="3744.5500000000006"/>
    <n v="834912"/>
    <s v="TTM"/>
    <s v="Search-Amazon"/>
    <s v="Amazon"/>
  </r>
  <r>
    <s v="Biolage"/>
    <x v="5"/>
    <x v="1"/>
    <s v="Amazon"/>
    <s v="Amazon"/>
    <x v="77"/>
    <d v="2024-01-01T00:00:00"/>
    <n v="5530.4045999999998"/>
    <n v="2347985"/>
    <s v="TTM"/>
    <s v="Display-Amazon"/>
    <s v="Amazon"/>
  </r>
  <r>
    <s v="Biolage"/>
    <x v="5"/>
    <x v="2"/>
    <s v="Amazon"/>
    <s v="Amazon"/>
    <x v="77"/>
    <d v="2024-01-01T00:00:00"/>
    <n v="10373.900000000003"/>
    <n v="1235199"/>
    <s v="TTM"/>
    <s v="Search-Amazon"/>
    <s v="Amazon"/>
  </r>
  <r>
    <s v="Biolage"/>
    <x v="8"/>
    <x v="1"/>
    <s v="Amazon"/>
    <s v="Amazon"/>
    <x v="77"/>
    <d v="2024-01-01T00:00:00"/>
    <n v="2344.6086999999998"/>
    <n v="583140"/>
    <s v="TTM"/>
    <s v="Display-Amazon"/>
    <s v="Amazon"/>
  </r>
  <r>
    <s v="Biolage"/>
    <x v="8"/>
    <x v="2"/>
    <s v="Amazon"/>
    <s v="Amazon"/>
    <x v="77"/>
    <d v="2024-01-01T00:00:00"/>
    <n v="1155.71"/>
    <n v="635074"/>
    <s v="TTM"/>
    <s v="Search-Amazon"/>
    <s v="Amazon"/>
  </r>
  <r>
    <s v="Biolage"/>
    <x v="10"/>
    <x v="2"/>
    <s v="Google"/>
    <s v="Biolage"/>
    <x v="77"/>
    <d v="2024-01-01T00:00:00"/>
    <n v="20.59"/>
    <n v="280"/>
    <s v="TTM"/>
    <s v="Search-Google"/>
    <s v="Search"/>
  </r>
  <r>
    <s v="Biolage"/>
    <x v="9"/>
    <x v="2"/>
    <s v="Google"/>
    <s v="Biolage"/>
    <x v="77"/>
    <d v="2024-01-01T00:00:00"/>
    <n v="11.520000000000001"/>
    <n v="238"/>
    <s v="TTM"/>
    <s v="Search-Google"/>
    <s v="Search"/>
  </r>
  <r>
    <s v="Biolage"/>
    <x v="0"/>
    <x v="2"/>
    <s v="Google"/>
    <s v="Biolage"/>
    <x v="77"/>
    <d v="2024-01-01T00:00:00"/>
    <n v="5878.1084860000001"/>
    <n v="29548"/>
    <s v="TTM"/>
    <s v="Search-Google"/>
    <s v="Search"/>
  </r>
  <r>
    <s v="Biolage"/>
    <x v="2"/>
    <x v="2"/>
    <s v="Google"/>
    <s v="Biolage"/>
    <x v="77"/>
    <d v="2024-01-01T00:00:00"/>
    <n v="27.937821"/>
    <n v="656"/>
    <s v="TTM"/>
    <s v="Search-Google"/>
    <s v="Search"/>
  </r>
  <r>
    <s v="Biolage"/>
    <x v="11"/>
    <x v="2"/>
    <s v="Google"/>
    <s v="Biolage"/>
    <x v="77"/>
    <d v="2024-01-01T00:00:00"/>
    <n v="181.09162900000001"/>
    <n v="606"/>
    <s v="TTM"/>
    <s v="Search-Google"/>
    <s v="Search"/>
  </r>
  <r>
    <s v="Biolage"/>
    <x v="1"/>
    <x v="2"/>
    <s v="Google"/>
    <s v="Biolage"/>
    <x v="77"/>
    <d v="2024-01-01T00:00:00"/>
    <n v="129.65206000000003"/>
    <n v="1760"/>
    <s v="TTM"/>
    <s v="Search-Google"/>
    <s v="Search"/>
  </r>
  <r>
    <s v="Biolage"/>
    <x v="5"/>
    <x v="2"/>
    <s v="Google"/>
    <s v="Biolage"/>
    <x v="77"/>
    <d v="2024-01-01T00:00:00"/>
    <n v="149.59066100000001"/>
    <n v="2167"/>
    <s v="TTM"/>
    <s v="Search-Google"/>
    <s v="Search"/>
  </r>
  <r>
    <s v="Biolage"/>
    <x v="8"/>
    <x v="2"/>
    <s v="Google"/>
    <s v="Biolage"/>
    <x v="77"/>
    <d v="2024-01-01T00:00:00"/>
    <n v="19.52"/>
    <n v="389"/>
    <s v="TTM"/>
    <s v="Search-Google"/>
    <s v="Search"/>
  </r>
  <r>
    <s v="Biolage"/>
    <x v="3"/>
    <x v="2"/>
    <s v="Google"/>
    <s v="Biolage"/>
    <x v="77"/>
    <d v="2024-01-01T00:00:00"/>
    <n v="95.107409000000004"/>
    <n v="1039"/>
    <s v="TTM"/>
    <s v="Search-Google"/>
    <s v="Search"/>
  </r>
  <r>
    <s v="Biolage"/>
    <x v="6"/>
    <x v="2"/>
    <s v="Google"/>
    <s v="Biolage"/>
    <x v="77"/>
    <d v="2024-01-01T00:00:00"/>
    <n v="167.504167"/>
    <n v="1211"/>
    <s v="TTM"/>
    <s v="Search-Google"/>
    <s v="Search"/>
  </r>
  <r>
    <s v="Biolage"/>
    <x v="4"/>
    <x v="2"/>
    <s v="Google"/>
    <s v="Biolage"/>
    <x v="77"/>
    <d v="2024-01-01T00:00:00"/>
    <n v="51.073481999999998"/>
    <n v="870"/>
    <s v="TTM"/>
    <s v="Search-Google"/>
    <s v="Search"/>
  </r>
  <r>
    <s v="Biolage"/>
    <x v="1"/>
    <x v="1"/>
    <s v="Amazon"/>
    <s v="Amazon"/>
    <x v="78"/>
    <d v="2024-01-01T00:00:00"/>
    <n v="8626.6418000000012"/>
    <n v="3180484"/>
    <s v="TTM"/>
    <s v="Display-Amazon"/>
    <s v="Amazon"/>
  </r>
  <r>
    <s v="Biolage"/>
    <x v="1"/>
    <x v="2"/>
    <s v="Amazon"/>
    <s v="Amazon"/>
    <x v="78"/>
    <d v="2024-01-01T00:00:00"/>
    <n v="20791.43"/>
    <n v="1916807"/>
    <s v="TTM"/>
    <s v="Search-Amazon"/>
    <s v="Amazon"/>
  </r>
  <r>
    <s v="Biolage"/>
    <x v="0"/>
    <x v="1"/>
    <s v="Amazon"/>
    <s v="Amazon"/>
    <x v="78"/>
    <d v="2024-01-01T00:00:00"/>
    <n v="5185.8923999999988"/>
    <n v="3506993"/>
    <s v="TTM"/>
    <s v="Display-Amazon"/>
    <s v="Amazon"/>
  </r>
  <r>
    <s v="Biolage"/>
    <x v="0"/>
    <x v="2"/>
    <s v="Amazon"/>
    <s v="Amazon"/>
    <x v="78"/>
    <d v="2024-01-01T00:00:00"/>
    <n v="2223.54"/>
    <n v="194867"/>
    <s v="TTM"/>
    <s v="Search-Amazon"/>
    <s v="Amazon"/>
  </r>
  <r>
    <s v="Biolage"/>
    <x v="2"/>
    <x v="1"/>
    <s v="Amazon"/>
    <s v="Amazon"/>
    <x v="78"/>
    <d v="2024-01-01T00:00:00"/>
    <n v="6293.3225999999986"/>
    <n v="2351550"/>
    <s v="TTM"/>
    <s v="Display-Amazon"/>
    <s v="Amazon"/>
  </r>
  <r>
    <s v="Biolage"/>
    <x v="2"/>
    <x v="2"/>
    <s v="Amazon"/>
    <s v="Amazon"/>
    <x v="78"/>
    <d v="2024-01-01T00:00:00"/>
    <n v="14821.449999999995"/>
    <n v="1573356"/>
    <s v="TTM"/>
    <s v="Search-Amazon"/>
    <s v="Amazon"/>
  </r>
  <r>
    <s v="Biolage"/>
    <x v="3"/>
    <x v="1"/>
    <s v="Amazon"/>
    <s v="Amazon"/>
    <x v="78"/>
    <d v="2024-01-01T00:00:00"/>
    <n v="4011.7960000000003"/>
    <n v="990452"/>
    <s v="TTM"/>
    <s v="Display-Amazon"/>
    <s v="Amazon"/>
  </r>
  <r>
    <s v="Biolage"/>
    <x v="3"/>
    <x v="2"/>
    <s v="Amazon"/>
    <s v="Amazon"/>
    <x v="78"/>
    <d v="2024-01-01T00:00:00"/>
    <n v="5285.8399999999983"/>
    <n v="796358"/>
    <s v="TTM"/>
    <s v="Search-Amazon"/>
    <s v="Amazon"/>
  </r>
  <r>
    <s v="Biolage"/>
    <x v="4"/>
    <x v="1"/>
    <s v="Amazon"/>
    <s v="Amazon"/>
    <x v="78"/>
    <d v="2024-01-01T00:00:00"/>
    <n v="4789.3036999999986"/>
    <n v="1396088"/>
    <s v="TTM"/>
    <s v="Display-Amazon"/>
    <s v="Amazon"/>
  </r>
  <r>
    <s v="Biolage"/>
    <x v="4"/>
    <x v="2"/>
    <s v="Amazon"/>
    <s v="Amazon"/>
    <x v="78"/>
    <d v="2024-01-01T00:00:00"/>
    <n v="2467.0400000000004"/>
    <n v="465872"/>
    <s v="TTM"/>
    <s v="Search-Amazon"/>
    <s v="Amazon"/>
  </r>
  <r>
    <s v="Biolage"/>
    <x v="5"/>
    <x v="1"/>
    <s v="Amazon"/>
    <s v="Amazon"/>
    <x v="78"/>
    <d v="2024-01-01T00:00:00"/>
    <n v="5686.5534000000025"/>
    <n v="2327755"/>
    <s v="TTM"/>
    <s v="Display-Amazon"/>
    <s v="Amazon"/>
  </r>
  <r>
    <s v="Biolage"/>
    <x v="5"/>
    <x v="2"/>
    <s v="Amazon"/>
    <s v="Amazon"/>
    <x v="78"/>
    <d v="2024-01-01T00:00:00"/>
    <n v="11004.139999999994"/>
    <n v="1035656"/>
    <s v="TTM"/>
    <s v="Search-Amazon"/>
    <s v="Amazon"/>
  </r>
  <r>
    <s v="Biolage"/>
    <x v="8"/>
    <x v="1"/>
    <s v="Amazon"/>
    <s v="Amazon"/>
    <x v="78"/>
    <d v="2024-01-01T00:00:00"/>
    <n v="4298.9947999999995"/>
    <n v="1258402"/>
    <s v="TTM"/>
    <s v="Display-Amazon"/>
    <s v="Amazon"/>
  </r>
  <r>
    <s v="Biolage"/>
    <x v="10"/>
    <x v="2"/>
    <s v="Google"/>
    <s v="Biolage"/>
    <x v="78"/>
    <d v="2024-01-01T00:00:00"/>
    <n v="16.75"/>
    <n v="273"/>
    <s v="TTM"/>
    <s v="Search-Google"/>
    <s v="Search"/>
  </r>
  <r>
    <s v="Biolage"/>
    <x v="9"/>
    <x v="2"/>
    <s v="Google"/>
    <s v="Biolage"/>
    <x v="78"/>
    <d v="2024-01-01T00:00:00"/>
    <n v="10.8"/>
    <n v="247"/>
    <s v="TTM"/>
    <s v="Search-Google"/>
    <s v="Search"/>
  </r>
  <r>
    <s v="Biolage"/>
    <x v="0"/>
    <x v="2"/>
    <s v="Google"/>
    <s v="Biolage"/>
    <x v="78"/>
    <d v="2024-01-01T00:00:00"/>
    <n v="5590.1406300000008"/>
    <n v="26381"/>
    <s v="TTM"/>
    <s v="Search-Google"/>
    <s v="Search"/>
  </r>
  <r>
    <s v="Biolage"/>
    <x v="2"/>
    <x v="2"/>
    <s v="Google"/>
    <s v="Biolage"/>
    <x v="78"/>
    <d v="2024-01-01T00:00:00"/>
    <n v="25.570698"/>
    <n v="470"/>
    <s v="TTM"/>
    <s v="Search-Google"/>
    <s v="Search"/>
  </r>
  <r>
    <s v="Biolage"/>
    <x v="11"/>
    <x v="2"/>
    <s v="Google"/>
    <s v="Biolage"/>
    <x v="78"/>
    <d v="2024-01-01T00:00:00"/>
    <n v="206.814886"/>
    <n v="543"/>
    <s v="TTM"/>
    <s v="Search-Google"/>
    <s v="Search"/>
  </r>
  <r>
    <s v="Biolage"/>
    <x v="1"/>
    <x v="2"/>
    <s v="Google"/>
    <s v="Biolage"/>
    <x v="78"/>
    <d v="2024-01-01T00:00:00"/>
    <n v="97.554154999999994"/>
    <n v="1488"/>
    <s v="TTM"/>
    <s v="Search-Google"/>
    <s v="Search"/>
  </r>
  <r>
    <s v="Biolage"/>
    <x v="5"/>
    <x v="2"/>
    <s v="Google"/>
    <s v="Biolage"/>
    <x v="78"/>
    <d v="2024-01-01T00:00:00"/>
    <n v="104.035501"/>
    <n v="1651"/>
    <s v="TTM"/>
    <s v="Search-Google"/>
    <s v="Search"/>
  </r>
  <r>
    <s v="Biolage"/>
    <x v="8"/>
    <x v="2"/>
    <s v="Google"/>
    <s v="Biolage"/>
    <x v="78"/>
    <d v="2024-01-01T00:00:00"/>
    <n v="8.77"/>
    <n v="234"/>
    <s v="TTM"/>
    <s v="Search-Google"/>
    <s v="Search"/>
  </r>
  <r>
    <s v="Biolage"/>
    <x v="3"/>
    <x v="2"/>
    <s v="Google"/>
    <s v="Biolage"/>
    <x v="78"/>
    <d v="2024-01-01T00:00:00"/>
    <n v="56.869838000000001"/>
    <n v="656"/>
    <s v="TTM"/>
    <s v="Search-Google"/>
    <s v="Search"/>
  </r>
  <r>
    <s v="Biolage"/>
    <x v="6"/>
    <x v="2"/>
    <s v="Google"/>
    <s v="Biolage"/>
    <x v="78"/>
    <d v="2024-01-01T00:00:00"/>
    <n v="151.60550900000001"/>
    <n v="953"/>
    <s v="TTM"/>
    <s v="Search-Google"/>
    <s v="Search"/>
  </r>
  <r>
    <s v="Biolage"/>
    <x v="4"/>
    <x v="2"/>
    <s v="Google"/>
    <s v="Biolage"/>
    <x v="78"/>
    <d v="2024-01-01T00:00:00"/>
    <n v="42.78"/>
    <n v="660"/>
    <s v="TTM"/>
    <s v="Search-Google"/>
    <s v="Search"/>
  </r>
  <r>
    <s v="Biolage"/>
    <x v="1"/>
    <x v="1"/>
    <s v="Amazon"/>
    <s v="Amazon"/>
    <x v="79"/>
    <d v="2024-01-01T00:00:00"/>
    <n v="2611.1514999999999"/>
    <n v="869209"/>
    <s v="TTM"/>
    <s v="Display-Amazon"/>
    <s v="Amazon"/>
  </r>
  <r>
    <s v="Biolage"/>
    <x v="1"/>
    <x v="1"/>
    <s v="Amazon"/>
    <s v="Amazon"/>
    <x v="79"/>
    <d v="2025-01-01T00:00:00"/>
    <n v="4572.5037000000002"/>
    <n v="1977260"/>
    <s v="TTM"/>
    <s v="Display-Amazon"/>
    <s v="Amazon"/>
  </r>
  <r>
    <s v="Biolage"/>
    <x v="1"/>
    <x v="2"/>
    <s v="Amazon"/>
    <s v="Amazon"/>
    <x v="79"/>
    <d v="2024-01-01T00:00:00"/>
    <n v="6882.9800000000014"/>
    <n v="655907"/>
    <s v="TTM"/>
    <s v="Search-Amazon"/>
    <s v="Amazon"/>
  </r>
  <r>
    <s v="Biolage"/>
    <x v="1"/>
    <x v="2"/>
    <s v="Amazon"/>
    <s v="Amazon"/>
    <x v="79"/>
    <d v="2025-01-01T00:00:00"/>
    <n v="7150.880000000001"/>
    <n v="791287"/>
    <s v="TTM"/>
    <s v="Search-Amazon"/>
    <s v="Amazon"/>
  </r>
  <r>
    <s v="Biolage"/>
    <x v="0"/>
    <x v="1"/>
    <s v="Amazon"/>
    <s v="Amazon"/>
    <x v="79"/>
    <d v="2024-01-01T00:00:00"/>
    <n v="1711.2711999999995"/>
    <n v="1262835"/>
    <s v="TTM"/>
    <s v="Display-Amazon"/>
    <s v="Amazon"/>
  </r>
  <r>
    <s v="Biolage"/>
    <x v="0"/>
    <x v="1"/>
    <s v="Amazon"/>
    <s v="Amazon"/>
    <x v="79"/>
    <d v="2025-01-01T00:00:00"/>
    <n v="988.49480000000005"/>
    <n v="743456"/>
    <s v="TTM"/>
    <s v="Display-Amazon"/>
    <s v="Amazon"/>
  </r>
  <r>
    <s v="Biolage"/>
    <x v="0"/>
    <x v="2"/>
    <s v="Amazon"/>
    <s v="Amazon"/>
    <x v="79"/>
    <d v="2024-01-01T00:00:00"/>
    <n v="915.01"/>
    <n v="75914"/>
    <s v="TTM"/>
    <s v="Search-Amazon"/>
    <s v="Amazon"/>
  </r>
  <r>
    <s v="Biolage"/>
    <x v="0"/>
    <x v="2"/>
    <s v="Amazon"/>
    <s v="Amazon"/>
    <x v="79"/>
    <d v="2025-01-01T00:00:00"/>
    <n v="1152.29"/>
    <n v="108518"/>
    <s v="TTM"/>
    <s v="Search-Amazon"/>
    <s v="Amazon"/>
  </r>
  <r>
    <s v="Biolage"/>
    <x v="2"/>
    <x v="1"/>
    <s v="Amazon"/>
    <s v="Amazon"/>
    <x v="79"/>
    <d v="2024-01-01T00:00:00"/>
    <n v="2470.8179000000005"/>
    <n v="882198"/>
    <s v="TTM"/>
    <s v="Display-Amazon"/>
    <s v="Amazon"/>
  </r>
  <r>
    <s v="Biolage"/>
    <x v="2"/>
    <x v="1"/>
    <s v="Amazon"/>
    <s v="Amazon"/>
    <x v="79"/>
    <d v="2025-01-01T00:00:00"/>
    <n v="4527.7916999999989"/>
    <n v="2090152"/>
    <s v="TTM"/>
    <s v="Display-Amazon"/>
    <s v="Amazon"/>
  </r>
  <r>
    <s v="Biolage"/>
    <x v="2"/>
    <x v="2"/>
    <s v="Amazon"/>
    <s v="Amazon"/>
    <x v="79"/>
    <d v="2024-01-01T00:00:00"/>
    <n v="5394.5599999999986"/>
    <n v="518369"/>
    <s v="TTM"/>
    <s v="Search-Amazon"/>
    <s v="Amazon"/>
  </r>
  <r>
    <s v="Biolage"/>
    <x v="2"/>
    <x v="2"/>
    <s v="Amazon"/>
    <s v="Amazon"/>
    <x v="79"/>
    <d v="2025-01-01T00:00:00"/>
    <n v="4735.8400000000011"/>
    <n v="423993"/>
    <s v="TTM"/>
    <s v="Search-Amazon"/>
    <s v="Amazon"/>
  </r>
  <r>
    <s v="Biolage"/>
    <x v="3"/>
    <x v="1"/>
    <s v="Amazon"/>
    <s v="Amazon"/>
    <x v="79"/>
    <d v="2024-01-01T00:00:00"/>
    <n v="1385.2909"/>
    <n v="365275"/>
    <s v="TTM"/>
    <s v="Display-Amazon"/>
    <s v="Amazon"/>
  </r>
  <r>
    <s v="Biolage"/>
    <x v="3"/>
    <x v="1"/>
    <s v="Amazon"/>
    <s v="Amazon"/>
    <x v="79"/>
    <d v="2025-01-01T00:00:00"/>
    <n v="2869.1986999999995"/>
    <n v="1123338"/>
    <s v="TTM"/>
    <s v="Display-Amazon"/>
    <s v="Amazon"/>
  </r>
  <r>
    <s v="Biolage"/>
    <x v="3"/>
    <x v="2"/>
    <s v="Amazon"/>
    <s v="Amazon"/>
    <x v="79"/>
    <d v="2024-01-01T00:00:00"/>
    <n v="1072.8599999999999"/>
    <n v="164744"/>
    <s v="TTM"/>
    <s v="Search-Amazon"/>
    <s v="Amazon"/>
  </r>
  <r>
    <s v="Biolage"/>
    <x v="3"/>
    <x v="2"/>
    <s v="Amazon"/>
    <s v="Amazon"/>
    <x v="79"/>
    <d v="2025-01-01T00:00:00"/>
    <n v="1305"/>
    <n v="255201"/>
    <s v="TTM"/>
    <s v="Search-Amazon"/>
    <s v="Amazon"/>
  </r>
  <r>
    <s v="Biolage"/>
    <x v="4"/>
    <x v="1"/>
    <s v="Amazon"/>
    <s v="Amazon"/>
    <x v="79"/>
    <d v="2024-01-01T00:00:00"/>
    <n v="1731.0464000000004"/>
    <n v="508297"/>
    <s v="TTM"/>
    <s v="Display-Amazon"/>
    <s v="Amazon"/>
  </r>
  <r>
    <s v="Biolage"/>
    <x v="4"/>
    <x v="1"/>
    <s v="Amazon"/>
    <s v="Amazon"/>
    <x v="79"/>
    <d v="2025-01-01T00:00:00"/>
    <n v="3109.6780000000012"/>
    <n v="1325025"/>
    <s v="TTM"/>
    <s v="Display-Amazon"/>
    <s v="Amazon"/>
  </r>
  <r>
    <s v="Biolage"/>
    <x v="4"/>
    <x v="2"/>
    <s v="Amazon"/>
    <s v="Amazon"/>
    <x v="79"/>
    <d v="2024-01-01T00:00:00"/>
    <n v="735.82999999999993"/>
    <n v="98308"/>
    <s v="TTM"/>
    <s v="Search-Amazon"/>
    <s v="Amazon"/>
  </r>
  <r>
    <s v="Biolage"/>
    <x v="4"/>
    <x v="2"/>
    <s v="Amazon"/>
    <s v="Amazon"/>
    <x v="79"/>
    <d v="2025-01-01T00:00:00"/>
    <n v="1475.0899999999995"/>
    <n v="232248"/>
    <s v="TTM"/>
    <s v="Search-Amazon"/>
    <s v="Amazon"/>
  </r>
  <r>
    <s v="Biolage"/>
    <x v="5"/>
    <x v="1"/>
    <s v="Amazon"/>
    <s v="Amazon"/>
    <x v="79"/>
    <d v="2024-01-01T00:00:00"/>
    <n v="2009.1769999999999"/>
    <n v="652767"/>
    <s v="TTM"/>
    <s v="Display-Amazon"/>
    <s v="Amazon"/>
  </r>
  <r>
    <s v="Biolage"/>
    <x v="5"/>
    <x v="1"/>
    <s v="Amazon"/>
    <s v="Amazon"/>
    <x v="79"/>
    <d v="2025-01-01T00:00:00"/>
    <n v="3347.6236999999996"/>
    <n v="1259206"/>
    <s v="TTM"/>
    <s v="Display-Amazon"/>
    <s v="Amazon"/>
  </r>
  <r>
    <s v="Biolage"/>
    <x v="5"/>
    <x v="2"/>
    <s v="Amazon"/>
    <s v="Amazon"/>
    <x v="79"/>
    <d v="2024-01-01T00:00:00"/>
    <n v="3268.47"/>
    <n v="282577"/>
    <s v="TTM"/>
    <s v="Search-Amazon"/>
    <s v="Amazon"/>
  </r>
  <r>
    <s v="Biolage"/>
    <x v="5"/>
    <x v="2"/>
    <s v="Amazon"/>
    <s v="Amazon"/>
    <x v="79"/>
    <d v="2025-01-01T00:00:00"/>
    <n v="3626.8399999999997"/>
    <n v="383873"/>
    <s v="TTM"/>
    <s v="Search-Amazon"/>
    <s v="Amazon"/>
  </r>
  <r>
    <s v="Biolage"/>
    <x v="8"/>
    <x v="1"/>
    <s v="Amazon"/>
    <s v="Amazon"/>
    <x v="79"/>
    <d v="2024-01-01T00:00:00"/>
    <n v="1616.8164000000002"/>
    <n v="413468"/>
    <s v="TTM"/>
    <s v="Display-Amazon"/>
    <s v="Amazon"/>
  </r>
  <r>
    <s v="Biolage"/>
    <x v="8"/>
    <x v="1"/>
    <s v="Amazon"/>
    <s v="Amazon"/>
    <x v="79"/>
    <d v="2025-01-01T00:00:00"/>
    <n v="0.30299999999999999"/>
    <n v="196"/>
    <s v="TTM"/>
    <s v="Display-Amazon"/>
    <s v="Amazon"/>
  </r>
  <r>
    <s v="Biolage"/>
    <x v="6"/>
    <x v="2"/>
    <s v="Amazon"/>
    <s v="Amazon"/>
    <x v="79"/>
    <d v="2025-01-01T00:00:00"/>
    <n v="0.37"/>
    <n v="261"/>
    <s v="TTM"/>
    <s v="Search-Amazon"/>
    <s v="Amazon"/>
  </r>
  <r>
    <s v="Biolage"/>
    <x v="10"/>
    <x v="2"/>
    <s v="Google"/>
    <s v="Biolage"/>
    <x v="79"/>
    <d v="2024-01-01T00:00:00"/>
    <n v="3.75"/>
    <n v="37"/>
    <s v="TTM"/>
    <s v="Search-Google"/>
    <s v="Search"/>
  </r>
  <r>
    <s v="Biolage"/>
    <x v="9"/>
    <x v="2"/>
    <s v="Google"/>
    <s v="Biolage"/>
    <x v="79"/>
    <d v="2024-01-01T00:00:00"/>
    <n v="1.29"/>
    <n v="22"/>
    <s v="TTM"/>
    <s v="Search-Google"/>
    <s v="Search"/>
  </r>
  <r>
    <s v="Biolage"/>
    <x v="0"/>
    <x v="2"/>
    <s v="Google"/>
    <s v="Biolage"/>
    <x v="79"/>
    <d v="2024-01-01T00:00:00"/>
    <n v="702.84051900000009"/>
    <n v="3018"/>
    <s v="TTM"/>
    <s v="Search-Google"/>
    <s v="Search"/>
  </r>
  <r>
    <s v="Biolage"/>
    <x v="2"/>
    <x v="2"/>
    <s v="Google"/>
    <s v="Biolage"/>
    <x v="79"/>
    <d v="2024-01-01T00:00:00"/>
    <n v="2.0699999999999998"/>
    <n v="52"/>
    <s v="TTM"/>
    <s v="Search-Google"/>
    <s v="Search"/>
  </r>
  <r>
    <s v="Biolage"/>
    <x v="11"/>
    <x v="2"/>
    <s v="Google"/>
    <s v="Biolage"/>
    <x v="79"/>
    <d v="2024-01-01T00:00:00"/>
    <n v="35.556491000000001"/>
    <n v="63"/>
    <s v="TTM"/>
    <s v="Search-Google"/>
    <s v="Search"/>
  </r>
  <r>
    <s v="Biolage"/>
    <x v="1"/>
    <x v="2"/>
    <s v="Google"/>
    <s v="Biolage"/>
    <x v="79"/>
    <d v="2024-01-01T00:00:00"/>
    <n v="2.86"/>
    <n v="132"/>
    <s v="TTM"/>
    <s v="Search-Google"/>
    <s v="Search"/>
  </r>
  <r>
    <s v="Biolage"/>
    <x v="5"/>
    <x v="2"/>
    <s v="Google"/>
    <s v="Biolage"/>
    <x v="79"/>
    <d v="2024-01-01T00:00:00"/>
    <n v="12.419084"/>
    <n v="177"/>
    <s v="TTM"/>
    <s v="Search-Google"/>
    <s v="Search"/>
  </r>
  <r>
    <s v="Biolage"/>
    <x v="8"/>
    <x v="2"/>
    <s v="Google"/>
    <s v="Biolage"/>
    <x v="79"/>
    <d v="2024-01-01T00:00:00"/>
    <n v="1.88"/>
    <n v="23"/>
    <s v="TTM"/>
    <s v="Search-Google"/>
    <s v="Search"/>
  </r>
  <r>
    <s v="Biolage"/>
    <x v="3"/>
    <x v="2"/>
    <s v="Google"/>
    <s v="Biolage"/>
    <x v="79"/>
    <d v="2024-01-01T00:00:00"/>
    <n v="3.2499999999999996"/>
    <n v="77"/>
    <s v="TTM"/>
    <s v="Search-Google"/>
    <s v="Search"/>
  </r>
  <r>
    <s v="Biolage"/>
    <x v="6"/>
    <x v="2"/>
    <s v="Google"/>
    <s v="Biolage"/>
    <x v="79"/>
    <d v="2024-01-01T00:00:00"/>
    <n v="14.830401"/>
    <n v="106"/>
    <s v="TTM"/>
    <s v="Search-Google"/>
    <s v="Search"/>
  </r>
  <r>
    <s v="Biolage"/>
    <x v="4"/>
    <x v="2"/>
    <s v="Google"/>
    <s v="Biolage"/>
    <x v="79"/>
    <d v="2024-01-01T00:00:00"/>
    <n v="9.07"/>
    <n v="66"/>
    <s v="TTM"/>
    <s v="Search-Google"/>
    <s v="Search"/>
  </r>
  <r>
    <s v="Biolage"/>
    <x v="1"/>
    <x v="1"/>
    <s v="Amazon"/>
    <s v="Amazon"/>
    <x v="80"/>
    <d v="2025-01-01T00:00:00"/>
    <n v="8203.5282999999999"/>
    <n v="3777267"/>
    <s v="TTM"/>
    <s v="Display-Amazon"/>
    <s v="Amazon"/>
  </r>
  <r>
    <s v="Biolage"/>
    <x v="1"/>
    <x v="2"/>
    <s v="Amazon"/>
    <s v="Amazon"/>
    <x v="80"/>
    <d v="2025-01-01T00:00:00"/>
    <n v="11389.490000000005"/>
    <n v="1333485"/>
    <s v="TTM"/>
    <s v="Search-Amazon"/>
    <s v="Amazon"/>
  </r>
  <r>
    <s v="Biolage"/>
    <x v="0"/>
    <x v="1"/>
    <s v="Amazon"/>
    <s v="Amazon"/>
    <x v="80"/>
    <d v="2025-01-01T00:00:00"/>
    <n v="1757.7065"/>
    <n v="1306162"/>
    <s v="TTM"/>
    <s v="Display-Amazon"/>
    <s v="Amazon"/>
  </r>
  <r>
    <s v="Biolage"/>
    <x v="0"/>
    <x v="2"/>
    <s v="Amazon"/>
    <s v="Amazon"/>
    <x v="80"/>
    <d v="2025-01-01T00:00:00"/>
    <n v="1522.27"/>
    <n v="148706"/>
    <s v="TTM"/>
    <s v="Search-Amazon"/>
    <s v="Amazon"/>
  </r>
  <r>
    <s v="Biolage"/>
    <x v="2"/>
    <x v="1"/>
    <s v="Amazon"/>
    <s v="Amazon"/>
    <x v="80"/>
    <d v="2025-01-01T00:00:00"/>
    <n v="7785.6547999999975"/>
    <n v="2869641"/>
    <s v="TTM"/>
    <s v="Display-Amazon"/>
    <s v="Amazon"/>
  </r>
  <r>
    <s v="Biolage"/>
    <x v="2"/>
    <x v="2"/>
    <s v="Amazon"/>
    <s v="Amazon"/>
    <x v="80"/>
    <d v="2025-01-01T00:00:00"/>
    <n v="7348.7800000000007"/>
    <n v="626984"/>
    <s v="TTM"/>
    <s v="Search-Amazon"/>
    <s v="Amazon"/>
  </r>
  <r>
    <s v="Biolage"/>
    <x v="3"/>
    <x v="1"/>
    <s v="Amazon"/>
    <s v="Amazon"/>
    <x v="80"/>
    <d v="2025-01-01T00:00:00"/>
    <n v="5233.235200000001"/>
    <n v="2231767"/>
    <s v="TTM"/>
    <s v="Display-Amazon"/>
    <s v="Amazon"/>
  </r>
  <r>
    <s v="Biolage"/>
    <x v="3"/>
    <x v="2"/>
    <s v="Amazon"/>
    <s v="Amazon"/>
    <x v="80"/>
    <d v="2025-01-01T00:00:00"/>
    <n v="3048.2499999999995"/>
    <n v="668127"/>
    <s v="TTM"/>
    <s v="Search-Amazon"/>
    <s v="Amazon"/>
  </r>
  <r>
    <s v="Biolage"/>
    <x v="4"/>
    <x v="1"/>
    <s v="Amazon"/>
    <s v="Amazon"/>
    <x v="80"/>
    <d v="2025-01-01T00:00:00"/>
    <n v="5477.4909999999954"/>
    <n v="2100834"/>
    <s v="TTM"/>
    <s v="Display-Amazon"/>
    <s v="Amazon"/>
  </r>
  <r>
    <s v="Biolage"/>
    <x v="4"/>
    <x v="2"/>
    <s v="Amazon"/>
    <s v="Amazon"/>
    <x v="80"/>
    <d v="2025-01-01T00:00:00"/>
    <n v="4227.16"/>
    <n v="615838"/>
    <s v="TTM"/>
    <s v="Search-Amazon"/>
    <s v="Amazon"/>
  </r>
  <r>
    <s v="Biolage"/>
    <x v="5"/>
    <x v="1"/>
    <s v="Amazon"/>
    <s v="Amazon"/>
    <x v="80"/>
    <d v="2025-01-01T00:00:00"/>
    <n v="5952.5456999999988"/>
    <n v="2909633"/>
    <s v="TTM"/>
    <s v="Display-Amazon"/>
    <s v="Amazon"/>
  </r>
  <r>
    <s v="Biolage"/>
    <x v="5"/>
    <x v="2"/>
    <s v="Amazon"/>
    <s v="Amazon"/>
    <x v="80"/>
    <d v="2025-01-01T00:00:00"/>
    <n v="6542.8199999999988"/>
    <n v="647820"/>
    <s v="TTM"/>
    <s v="Search-Amazon"/>
    <s v="Amazon"/>
  </r>
  <r>
    <s v="Biolage"/>
    <x v="0"/>
    <x v="0"/>
    <s v="Meta"/>
    <s v="Ulta"/>
    <x v="81"/>
    <d v="2025-01-01T00:00:00"/>
    <n v="5804.4600050000008"/>
    <n v="1003384"/>
    <s v="TTM"/>
    <s v="Social-Meta"/>
    <s v="Ulta"/>
  </r>
  <r>
    <s v="Biolage"/>
    <x v="1"/>
    <x v="1"/>
    <s v="Amazon"/>
    <s v="Amazon"/>
    <x v="81"/>
    <d v="2025-01-01T00:00:00"/>
    <n v="8326.5822999999946"/>
    <n v="3785766"/>
    <s v="TTM"/>
    <s v="Display-Amazon"/>
    <s v="Amazon"/>
  </r>
  <r>
    <s v="Biolage"/>
    <x v="1"/>
    <x v="2"/>
    <s v="Amazon"/>
    <s v="Amazon"/>
    <x v="81"/>
    <d v="2025-01-01T00:00:00"/>
    <n v="11466.960000000006"/>
    <n v="1331746"/>
    <s v="TTM"/>
    <s v="Search-Amazon"/>
    <s v="Amazon"/>
  </r>
  <r>
    <s v="Biolage"/>
    <x v="0"/>
    <x v="1"/>
    <s v="Amazon"/>
    <s v="Amazon"/>
    <x v="81"/>
    <d v="2025-01-01T00:00:00"/>
    <n v="1759.4276000000002"/>
    <n v="1289454"/>
    <s v="TTM"/>
    <s v="Display-Amazon"/>
    <s v="Amazon"/>
  </r>
  <r>
    <s v="Biolage"/>
    <x v="0"/>
    <x v="2"/>
    <s v="Amazon"/>
    <s v="Amazon"/>
    <x v="81"/>
    <d v="2025-01-01T00:00:00"/>
    <n v="1540.3500000000001"/>
    <n v="149971"/>
    <s v="TTM"/>
    <s v="Search-Amazon"/>
    <s v="Amazon"/>
  </r>
  <r>
    <s v="Biolage"/>
    <x v="2"/>
    <x v="1"/>
    <s v="Amazon"/>
    <s v="Amazon"/>
    <x v="81"/>
    <d v="2025-01-01T00:00:00"/>
    <n v="7734.9034999999994"/>
    <n v="2806902"/>
    <s v="TTM"/>
    <s v="Display-Amazon"/>
    <s v="Amazon"/>
  </r>
  <r>
    <s v="Biolage"/>
    <x v="2"/>
    <x v="2"/>
    <s v="Amazon"/>
    <s v="Amazon"/>
    <x v="81"/>
    <d v="2025-01-01T00:00:00"/>
    <n v="7391.1700000000019"/>
    <n v="696930"/>
    <s v="TTM"/>
    <s v="Search-Amazon"/>
    <s v="Amazon"/>
  </r>
  <r>
    <s v="Biolage"/>
    <x v="3"/>
    <x v="1"/>
    <s v="Amazon"/>
    <s v="Amazon"/>
    <x v="81"/>
    <d v="2025-01-01T00:00:00"/>
    <n v="5106.0614999999962"/>
    <n v="2053609"/>
    <s v="TTM"/>
    <s v="Display-Amazon"/>
    <s v="Amazon"/>
  </r>
  <r>
    <s v="Biolage"/>
    <x v="3"/>
    <x v="2"/>
    <s v="Amazon"/>
    <s v="Amazon"/>
    <x v="81"/>
    <d v="2025-01-01T00:00:00"/>
    <n v="3125.7099999999987"/>
    <n v="767922"/>
    <s v="TTM"/>
    <s v="Search-Amazon"/>
    <s v="Amazon"/>
  </r>
  <r>
    <s v="Biolage"/>
    <x v="4"/>
    <x v="1"/>
    <s v="Amazon"/>
    <s v="Amazon"/>
    <x v="81"/>
    <d v="2025-01-01T00:00:00"/>
    <n v="5626.1701000000012"/>
    <n v="1982006"/>
    <s v="TTM"/>
    <s v="Display-Amazon"/>
    <s v="Amazon"/>
  </r>
  <r>
    <s v="Biolage"/>
    <x v="4"/>
    <x v="2"/>
    <s v="Amazon"/>
    <s v="Amazon"/>
    <x v="81"/>
    <d v="2025-01-01T00:00:00"/>
    <n v="4237.6699999999992"/>
    <n v="755747"/>
    <s v="TTM"/>
    <s v="Search-Amazon"/>
    <s v="Amazon"/>
  </r>
  <r>
    <s v="Biolage"/>
    <x v="5"/>
    <x v="1"/>
    <s v="Amazon"/>
    <s v="Amazon"/>
    <x v="81"/>
    <d v="2025-01-01T00:00:00"/>
    <n v="5895.195200000001"/>
    <n v="2523138"/>
    <s v="TTM"/>
    <s v="Display-Amazon"/>
    <s v="Amazon"/>
  </r>
  <r>
    <s v="Biolage"/>
    <x v="5"/>
    <x v="2"/>
    <s v="Amazon"/>
    <s v="Amazon"/>
    <x v="81"/>
    <d v="2025-01-01T00:00:00"/>
    <n v="6656.6100000000015"/>
    <n v="695609"/>
    <s v="TTM"/>
    <s v="Search-Amazon"/>
    <s v="Amazon"/>
  </r>
  <r>
    <s v="Biolage"/>
    <x v="6"/>
    <x v="2"/>
    <s v="Amazon"/>
    <s v="Amazon"/>
    <x v="81"/>
    <d v="2025-01-01T00:00:00"/>
    <n v="0.74"/>
    <n v="48"/>
    <s v="TTM"/>
    <s v="Search-Amazon"/>
    <s v="Amazon"/>
  </r>
  <r>
    <s v="Biolage"/>
    <x v="0"/>
    <x v="0"/>
    <s v="Meta"/>
    <s v="Ulta"/>
    <x v="82"/>
    <d v="2025-01-01T00:00:00"/>
    <n v="24195.509997000001"/>
    <n v="3776336"/>
    <s v="TTM"/>
    <s v="Social-Meta"/>
    <s v="Ulta"/>
  </r>
  <r>
    <s v="Biolage"/>
    <x v="1"/>
    <x v="1"/>
    <s v="Amazon"/>
    <s v="Amazon"/>
    <x v="82"/>
    <d v="2025-01-01T00:00:00"/>
    <n v="7984.5153999999993"/>
    <n v="3488121"/>
    <s v="TTM"/>
    <s v="Display-Amazon"/>
    <s v="Amazon"/>
  </r>
  <r>
    <s v="Biolage"/>
    <x v="1"/>
    <x v="2"/>
    <s v="Amazon"/>
    <s v="Amazon"/>
    <x v="82"/>
    <d v="2025-01-01T00:00:00"/>
    <n v="10937.379999999997"/>
    <n v="1337475"/>
    <s v="TTM"/>
    <s v="Search-Amazon"/>
    <s v="Amazon"/>
  </r>
  <r>
    <s v="Biolage"/>
    <x v="0"/>
    <x v="1"/>
    <s v="Amazon"/>
    <s v="Amazon"/>
    <x v="82"/>
    <d v="2025-01-01T00:00:00"/>
    <n v="1755.7918"/>
    <n v="1314997"/>
    <s v="TTM"/>
    <s v="Display-Amazon"/>
    <s v="Amazon"/>
  </r>
  <r>
    <s v="Biolage"/>
    <x v="0"/>
    <x v="2"/>
    <s v="Amazon"/>
    <s v="Amazon"/>
    <x v="82"/>
    <d v="2025-01-01T00:00:00"/>
    <n v="1490.12"/>
    <n v="148964"/>
    <s v="TTM"/>
    <s v="Search-Amazon"/>
    <s v="Amazon"/>
  </r>
  <r>
    <s v="Biolage"/>
    <x v="2"/>
    <x v="1"/>
    <s v="Amazon"/>
    <s v="Amazon"/>
    <x v="82"/>
    <d v="2025-01-01T00:00:00"/>
    <n v="7683.4050000000007"/>
    <n v="3250881"/>
    <s v="TTM"/>
    <s v="Display-Amazon"/>
    <s v="Amazon"/>
  </r>
  <r>
    <s v="Biolage"/>
    <x v="2"/>
    <x v="2"/>
    <s v="Amazon"/>
    <s v="Amazon"/>
    <x v="82"/>
    <d v="2025-01-01T00:00:00"/>
    <n v="12675.250000000004"/>
    <n v="1368185"/>
    <s v="TTM"/>
    <s v="Search-Amazon"/>
    <s v="Amazon"/>
  </r>
  <r>
    <s v="Biolage"/>
    <x v="3"/>
    <x v="1"/>
    <s v="Amazon"/>
    <s v="Amazon"/>
    <x v="82"/>
    <d v="2025-01-01T00:00:00"/>
    <n v="4646.7890000000007"/>
    <n v="1949103"/>
    <s v="TTM"/>
    <s v="Display-Amazon"/>
    <s v="Amazon"/>
  </r>
  <r>
    <s v="Biolage"/>
    <x v="3"/>
    <x v="2"/>
    <s v="Amazon"/>
    <s v="Amazon"/>
    <x v="82"/>
    <d v="2025-01-01T00:00:00"/>
    <n v="7073.2199999999993"/>
    <n v="1569889"/>
    <s v="TTM"/>
    <s v="Search-Amazon"/>
    <s v="Amazon"/>
  </r>
  <r>
    <s v="Biolage"/>
    <x v="4"/>
    <x v="1"/>
    <s v="Amazon"/>
    <s v="Amazon"/>
    <x v="82"/>
    <d v="2025-01-01T00:00:00"/>
    <n v="5485.9715000000024"/>
    <n v="1918806"/>
    <s v="TTM"/>
    <s v="Display-Amazon"/>
    <s v="Amazon"/>
  </r>
  <r>
    <s v="Biolage"/>
    <x v="4"/>
    <x v="2"/>
    <s v="Amazon"/>
    <s v="Amazon"/>
    <x v="82"/>
    <d v="2025-01-01T00:00:00"/>
    <n v="5789.3500000000013"/>
    <n v="1013864"/>
    <s v="TTM"/>
    <s v="Search-Amazon"/>
    <s v="Amazon"/>
  </r>
  <r>
    <s v="Biolage"/>
    <x v="5"/>
    <x v="1"/>
    <s v="Amazon"/>
    <s v="Amazon"/>
    <x v="82"/>
    <d v="2025-01-01T00:00:00"/>
    <n v="6050.2441999999974"/>
    <n v="2517272"/>
    <s v="TTM"/>
    <s v="Display-Amazon"/>
    <s v="Amazon"/>
  </r>
  <r>
    <s v="Biolage"/>
    <x v="5"/>
    <x v="2"/>
    <s v="Amazon"/>
    <s v="Amazon"/>
    <x v="82"/>
    <d v="2025-01-01T00:00:00"/>
    <n v="6550.2799999999988"/>
    <n v="674739"/>
    <s v="TTM"/>
    <s v="Search-Amazon"/>
    <s v="Amazon"/>
  </r>
  <r>
    <s v="Biolage"/>
    <x v="6"/>
    <x v="2"/>
    <s v="Amazon"/>
    <s v="Amazon"/>
    <x v="82"/>
    <d v="2025-01-01T00:00:00"/>
    <n v="0.37"/>
    <n v="104"/>
    <s v="TTM"/>
    <s v="Search-Amazon"/>
    <s v="Amazon"/>
  </r>
  <r>
    <s v="Biolage"/>
    <x v="1"/>
    <x v="1"/>
    <s v="Amazon"/>
    <s v="Amazon"/>
    <x v="83"/>
    <d v="2025-01-01T00:00:00"/>
    <n v="8173.970199999997"/>
    <n v="3087657"/>
    <s v="TTM"/>
    <s v="Display-Amazon"/>
    <s v="Amazon"/>
  </r>
  <r>
    <s v="Biolage"/>
    <x v="1"/>
    <x v="2"/>
    <s v="Amazon"/>
    <s v="Amazon"/>
    <x v="83"/>
    <d v="2025-01-01T00:00:00"/>
    <n v="12559"/>
    <n v="3468489"/>
    <s v="TTM"/>
    <s v="Search-Amazon"/>
    <s v="Amazon"/>
  </r>
  <r>
    <s v="Biolage"/>
    <x v="0"/>
    <x v="1"/>
    <s v="Amazon"/>
    <s v="Amazon"/>
    <x v="83"/>
    <d v="2025-01-01T00:00:00"/>
    <n v="1598.4122999999997"/>
    <n v="1193311"/>
    <s v="TTM"/>
    <s v="Display-Amazon"/>
    <s v="Amazon"/>
  </r>
  <r>
    <s v="Biolage"/>
    <x v="0"/>
    <x v="2"/>
    <s v="Amazon"/>
    <s v="Amazon"/>
    <x v="83"/>
    <d v="2025-01-01T00:00:00"/>
    <n v="1851.49"/>
    <n v="250189"/>
    <s v="TTM"/>
    <s v="Search-Amazon"/>
    <s v="Amazon"/>
  </r>
  <r>
    <s v="Biolage"/>
    <x v="2"/>
    <x v="1"/>
    <s v="Amazon"/>
    <s v="Amazon"/>
    <x v="83"/>
    <d v="2025-01-01T00:00:00"/>
    <n v="7874.2349000000004"/>
    <n v="3165551"/>
    <s v="TTM"/>
    <s v="Display-Amazon"/>
    <s v="Amazon"/>
  </r>
  <r>
    <s v="Biolage"/>
    <x v="2"/>
    <x v="2"/>
    <s v="Amazon"/>
    <s v="Amazon"/>
    <x v="83"/>
    <d v="2025-01-01T00:00:00"/>
    <n v="10814.579999999998"/>
    <n v="2291145"/>
    <s v="TTM"/>
    <s v="Search-Amazon"/>
    <s v="Amazon"/>
  </r>
  <r>
    <s v="Biolage"/>
    <x v="3"/>
    <x v="1"/>
    <s v="Amazon"/>
    <s v="Amazon"/>
    <x v="83"/>
    <d v="2025-01-01T00:00:00"/>
    <n v="5485.3549999999996"/>
    <n v="1838178"/>
    <s v="TTM"/>
    <s v="Display-Amazon"/>
    <s v="Amazon"/>
  </r>
  <r>
    <s v="Biolage"/>
    <x v="3"/>
    <x v="2"/>
    <s v="Amazon"/>
    <s v="Amazon"/>
    <x v="83"/>
    <d v="2025-01-01T00:00:00"/>
    <n v="7290.6299999999992"/>
    <n v="1661418"/>
    <s v="TTM"/>
    <s v="Search-Amazon"/>
    <s v="Amazon"/>
  </r>
  <r>
    <s v="Biolage"/>
    <x v="4"/>
    <x v="1"/>
    <s v="Amazon"/>
    <s v="Amazon"/>
    <x v="83"/>
    <d v="2025-01-01T00:00:00"/>
    <n v="5613.6606999999985"/>
    <n v="1876996"/>
    <s v="TTM"/>
    <s v="Display-Amazon"/>
    <s v="Amazon"/>
  </r>
  <r>
    <s v="Biolage"/>
    <x v="4"/>
    <x v="2"/>
    <s v="Amazon"/>
    <s v="Amazon"/>
    <x v="83"/>
    <d v="2025-01-01T00:00:00"/>
    <n v="5812.6900000000032"/>
    <n v="1635917"/>
    <s v="TTM"/>
    <s v="Search-Amazon"/>
    <s v="Amazon"/>
  </r>
  <r>
    <s v="Biolage"/>
    <x v="5"/>
    <x v="1"/>
    <s v="Amazon"/>
    <s v="Amazon"/>
    <x v="83"/>
    <d v="2025-01-01T00:00:00"/>
    <n v="5448.7428"/>
    <n v="2284187"/>
    <s v="TTM"/>
    <s v="Display-Amazon"/>
    <s v="Amazon"/>
  </r>
  <r>
    <s v="Biolage"/>
    <x v="5"/>
    <x v="2"/>
    <s v="Amazon"/>
    <s v="Amazon"/>
    <x v="83"/>
    <d v="2025-01-01T00:00:00"/>
    <n v="12131.689999999993"/>
    <n v="1081496"/>
    <s v="TTM"/>
    <s v="Search-Amazon"/>
    <s v="Amazon"/>
  </r>
  <r>
    <s v="Biolage"/>
    <x v="1"/>
    <x v="1"/>
    <s v="Amazon"/>
    <s v="Amazon"/>
    <x v="84"/>
    <d v="2025-01-01T00:00:00"/>
    <n v="9944.7208999999984"/>
    <n v="4020213"/>
    <s v="TTM"/>
    <s v="Display-Amazon"/>
    <s v="Amazon"/>
  </r>
  <r>
    <s v="Biolage"/>
    <x v="1"/>
    <x v="2"/>
    <s v="Amazon"/>
    <s v="Amazon"/>
    <x v="84"/>
    <d v="2025-01-01T00:00:00"/>
    <n v="16696.709999999992"/>
    <n v="6818785"/>
    <s v="TTM"/>
    <s v="Search-Amazon"/>
    <s v="Amazon"/>
  </r>
  <r>
    <s v="Biolage"/>
    <x v="0"/>
    <x v="1"/>
    <s v="Amazon"/>
    <s v="Amazon"/>
    <x v="84"/>
    <d v="2025-01-01T00:00:00"/>
    <n v="2101.4010000000003"/>
    <n v="1554426"/>
    <s v="TTM"/>
    <s v="Display-Amazon"/>
    <s v="Amazon"/>
  </r>
  <r>
    <s v="Biolage"/>
    <x v="0"/>
    <x v="2"/>
    <s v="Amazon"/>
    <s v="Amazon"/>
    <x v="84"/>
    <d v="2025-01-01T00:00:00"/>
    <n v="2438.8000000000002"/>
    <n v="338295"/>
    <s v="TTM"/>
    <s v="Search-Amazon"/>
    <s v="Amazon"/>
  </r>
  <r>
    <s v="Biolage"/>
    <x v="2"/>
    <x v="1"/>
    <s v="Amazon"/>
    <s v="Amazon"/>
    <x v="84"/>
    <d v="2025-01-01T00:00:00"/>
    <n v="9317.4222999999965"/>
    <n v="3930576"/>
    <s v="TTM"/>
    <s v="Display-Amazon"/>
    <s v="Amazon"/>
  </r>
  <r>
    <s v="Biolage"/>
    <x v="2"/>
    <x v="2"/>
    <s v="Amazon"/>
    <s v="Amazon"/>
    <x v="84"/>
    <d v="2025-01-01T00:00:00"/>
    <n v="10648.5"/>
    <n v="2420628"/>
    <s v="TTM"/>
    <s v="Search-Amazon"/>
    <s v="Amazon"/>
  </r>
  <r>
    <s v="Biolage"/>
    <x v="3"/>
    <x v="1"/>
    <s v="Amazon"/>
    <s v="Amazon"/>
    <x v="84"/>
    <d v="2025-01-01T00:00:00"/>
    <n v="6054.2161000000033"/>
    <n v="2263315"/>
    <s v="TTM"/>
    <s v="Display-Amazon"/>
    <s v="Amazon"/>
  </r>
  <r>
    <s v="Biolage"/>
    <x v="3"/>
    <x v="2"/>
    <s v="Amazon"/>
    <s v="Amazon"/>
    <x v="84"/>
    <d v="2025-01-01T00:00:00"/>
    <n v="6991.0099999999993"/>
    <n v="1615521"/>
    <s v="TTM"/>
    <s v="Search-Amazon"/>
    <s v="Amazon"/>
  </r>
  <r>
    <s v="Biolage"/>
    <x v="4"/>
    <x v="1"/>
    <s v="Amazon"/>
    <s v="Amazon"/>
    <x v="84"/>
    <d v="2025-01-01T00:00:00"/>
    <n v="6531.9242000000022"/>
    <n v="2359367"/>
    <s v="TTM"/>
    <s v="Display-Amazon"/>
    <s v="Amazon"/>
  </r>
  <r>
    <s v="Biolage"/>
    <x v="4"/>
    <x v="2"/>
    <s v="Amazon"/>
    <s v="Amazon"/>
    <x v="84"/>
    <d v="2025-01-01T00:00:00"/>
    <n v="5722.4999999999991"/>
    <n v="2324076"/>
    <s v="TTM"/>
    <s v="Search-Amazon"/>
    <s v="Amazon"/>
  </r>
  <r>
    <s v="Biolage"/>
    <x v="5"/>
    <x v="1"/>
    <s v="Amazon"/>
    <s v="Amazon"/>
    <x v="84"/>
    <d v="2025-01-01T00:00:00"/>
    <n v="7088.3945000000012"/>
    <n v="2878351"/>
    <s v="TTM"/>
    <s v="Display-Amazon"/>
    <s v="Amazon"/>
  </r>
  <r>
    <s v="Biolage"/>
    <x v="5"/>
    <x v="2"/>
    <s v="Amazon"/>
    <s v="Amazon"/>
    <x v="84"/>
    <d v="2025-01-01T00:00:00"/>
    <n v="15144.279999999997"/>
    <n v="1274106"/>
    <s v="TTM"/>
    <s v="Search-Amazon"/>
    <s v="Amazon"/>
  </r>
  <r>
    <s v="Biolage"/>
    <x v="1"/>
    <x v="1"/>
    <s v="Amazon"/>
    <s v="Amazon"/>
    <x v="85"/>
    <d v="2025-01-01T00:00:00"/>
    <n v="10005.922899999998"/>
    <n v="3709228"/>
    <s v="TTM"/>
    <s v="Display-Amazon"/>
    <s v="Amazon"/>
  </r>
  <r>
    <s v="Biolage"/>
    <x v="1"/>
    <x v="2"/>
    <s v="Amazon"/>
    <s v="Amazon"/>
    <x v="85"/>
    <d v="2025-01-01T00:00:00"/>
    <n v="12439.130000000001"/>
    <n v="4839528"/>
    <s v="TTM"/>
    <s v="Search-Amazon"/>
    <s v="Amazon"/>
  </r>
  <r>
    <s v="Biolage"/>
    <x v="0"/>
    <x v="1"/>
    <s v="Amazon"/>
    <s v="Amazon"/>
    <x v="85"/>
    <d v="2025-01-01T00:00:00"/>
    <n v="2128.8376999999996"/>
    <n v="1518048"/>
    <s v="TTM"/>
    <s v="Display-Amazon"/>
    <s v="Amazon"/>
  </r>
  <r>
    <s v="Biolage"/>
    <x v="0"/>
    <x v="2"/>
    <s v="Amazon"/>
    <s v="Amazon"/>
    <x v="85"/>
    <d v="2025-01-01T00:00:00"/>
    <n v="2402.8199999999993"/>
    <n v="261360"/>
    <s v="TTM"/>
    <s v="Search-Amazon"/>
    <s v="Amazon"/>
  </r>
  <r>
    <s v="Biolage"/>
    <x v="2"/>
    <x v="1"/>
    <s v="Amazon"/>
    <s v="Amazon"/>
    <x v="85"/>
    <d v="2025-01-01T00:00:00"/>
    <n v="9457.8002000000033"/>
    <n v="3671654"/>
    <s v="TTM"/>
    <s v="Display-Amazon"/>
    <s v="Amazon"/>
  </r>
  <r>
    <s v="Biolage"/>
    <x v="2"/>
    <x v="2"/>
    <s v="Amazon"/>
    <s v="Amazon"/>
    <x v="85"/>
    <d v="2025-01-01T00:00:00"/>
    <n v="11220.300000000001"/>
    <n v="1890806"/>
    <s v="TTM"/>
    <s v="Search-Amazon"/>
    <s v="Amazon"/>
  </r>
  <r>
    <s v="Biolage"/>
    <x v="3"/>
    <x v="1"/>
    <s v="Amazon"/>
    <s v="Amazon"/>
    <x v="85"/>
    <d v="2025-01-01T00:00:00"/>
    <n v="6314.694300000001"/>
    <n v="2115332"/>
    <s v="TTM"/>
    <s v="Display-Amazon"/>
    <s v="Amazon"/>
  </r>
  <r>
    <s v="Biolage"/>
    <x v="3"/>
    <x v="2"/>
    <s v="Amazon"/>
    <s v="Amazon"/>
    <x v="85"/>
    <d v="2025-01-01T00:00:00"/>
    <n v="8257.9299999999985"/>
    <n v="1732362"/>
    <s v="TTM"/>
    <s v="Search-Amazon"/>
    <s v="Amazon"/>
  </r>
  <r>
    <s v="Biolage"/>
    <x v="4"/>
    <x v="1"/>
    <s v="Amazon"/>
    <s v="Amazon"/>
    <x v="85"/>
    <d v="2025-01-01T00:00:00"/>
    <n v="6550.547599999999"/>
    <n v="2406420"/>
    <s v="TTM"/>
    <s v="Display-Amazon"/>
    <s v="Amazon"/>
  </r>
  <r>
    <s v="Biolage"/>
    <x v="4"/>
    <x v="2"/>
    <s v="Amazon"/>
    <s v="Amazon"/>
    <x v="85"/>
    <d v="2025-01-01T00:00:00"/>
    <n v="8752.9200000000019"/>
    <n v="2344105"/>
    <s v="TTM"/>
    <s v="Search-Amazon"/>
    <s v="Amazon"/>
  </r>
  <r>
    <s v="Biolage"/>
    <x v="5"/>
    <x v="1"/>
    <s v="Amazon"/>
    <s v="Amazon"/>
    <x v="85"/>
    <d v="2025-01-01T00:00:00"/>
    <n v="7235.3378000000002"/>
    <n v="2779387"/>
    <s v="TTM"/>
    <s v="Display-Amazon"/>
    <s v="Amazon"/>
  </r>
  <r>
    <s v="Biolage"/>
    <x v="5"/>
    <x v="2"/>
    <s v="Amazon"/>
    <s v="Amazon"/>
    <x v="85"/>
    <d v="2025-01-01T00:00:00"/>
    <n v="10918.710000000005"/>
    <n v="1032067"/>
    <s v="TTM"/>
    <s v="Search-Amazon"/>
    <s v="Amazon"/>
  </r>
  <r>
    <s v="Biolage"/>
    <x v="0"/>
    <x v="0"/>
    <s v="Meta"/>
    <s v="Ulta"/>
    <x v="86"/>
    <d v="2025-01-01T00:00:00"/>
    <n v="26652.779999000002"/>
    <n v="3787287"/>
    <s v="TTM"/>
    <s v="Social-Meta"/>
    <s v="Ulta"/>
  </r>
  <r>
    <s v="Biolage"/>
    <x v="1"/>
    <x v="1"/>
    <s v="Amazon"/>
    <s v="Amazon"/>
    <x v="86"/>
    <d v="2025-01-01T00:00:00"/>
    <n v="9931.4879999999976"/>
    <n v="3303879"/>
    <s v="TTM"/>
    <s v="Display-Amazon"/>
    <s v="Amazon"/>
  </r>
  <r>
    <s v="Biolage"/>
    <x v="1"/>
    <x v="2"/>
    <s v="Amazon"/>
    <s v="Amazon"/>
    <x v="86"/>
    <d v="2025-01-01T00:00:00"/>
    <n v="9900.7900000000027"/>
    <n v="1781045"/>
    <s v="TTM"/>
    <s v="Search-Amazon"/>
    <s v="Amazon"/>
  </r>
  <r>
    <s v="Biolage"/>
    <x v="0"/>
    <x v="1"/>
    <s v="Amazon"/>
    <s v="Amazon"/>
    <x v="86"/>
    <d v="2025-01-01T00:00:00"/>
    <n v="2135.8888999999999"/>
    <n v="1288906"/>
    <s v="TTM"/>
    <s v="Display-Amazon"/>
    <s v="Amazon"/>
  </r>
  <r>
    <s v="Biolage"/>
    <x v="0"/>
    <x v="2"/>
    <s v="Amazon"/>
    <s v="Amazon"/>
    <x v="86"/>
    <d v="2025-01-01T00:00:00"/>
    <n v="2451.9500000000003"/>
    <n v="221318"/>
    <s v="TTM"/>
    <s v="Search-Amazon"/>
    <s v="Amazon"/>
  </r>
  <r>
    <s v="Biolage"/>
    <x v="2"/>
    <x v="1"/>
    <s v="Amazon"/>
    <s v="Amazon"/>
    <x v="86"/>
    <d v="2025-01-01T00:00:00"/>
    <n v="9391.854099999995"/>
    <n v="3470966"/>
    <s v="TTM"/>
    <s v="Display-Amazon"/>
    <s v="Amazon"/>
  </r>
  <r>
    <s v="Biolage"/>
    <x v="2"/>
    <x v="2"/>
    <s v="Amazon"/>
    <s v="Amazon"/>
    <x v="86"/>
    <d v="2025-01-01T00:00:00"/>
    <n v="13415.84"/>
    <n v="2078140"/>
    <s v="TTM"/>
    <s v="Search-Amazon"/>
    <s v="Amazon"/>
  </r>
  <r>
    <s v="Biolage"/>
    <x v="3"/>
    <x v="1"/>
    <s v="Amazon"/>
    <s v="Amazon"/>
    <x v="86"/>
    <d v="2025-01-01T00:00:00"/>
    <n v="6082.183299999997"/>
    <n v="1720229"/>
    <s v="TTM"/>
    <s v="Display-Amazon"/>
    <s v="Amazon"/>
  </r>
  <r>
    <s v="Biolage"/>
    <x v="3"/>
    <x v="2"/>
    <s v="Amazon"/>
    <s v="Amazon"/>
    <x v="86"/>
    <d v="2025-01-01T00:00:00"/>
    <n v="10187.25"/>
    <n v="1953684"/>
    <s v="TTM"/>
    <s v="Search-Amazon"/>
    <s v="Amazon"/>
  </r>
  <r>
    <s v="Biolage"/>
    <x v="4"/>
    <x v="1"/>
    <s v="Amazon"/>
    <s v="Amazon"/>
    <x v="86"/>
    <d v="2025-01-01T00:00:00"/>
    <n v="6568.3112999999967"/>
    <n v="1912617"/>
    <s v="TTM"/>
    <s v="Display-Amazon"/>
    <s v="Amazon"/>
  </r>
  <r>
    <s v="Biolage"/>
    <x v="4"/>
    <x v="2"/>
    <s v="Amazon"/>
    <s v="Amazon"/>
    <x v="86"/>
    <d v="2025-01-01T00:00:00"/>
    <n v="10576.800000000001"/>
    <n v="2183192"/>
    <s v="TTM"/>
    <s v="Search-Amazon"/>
    <s v="Amazon"/>
  </r>
  <r>
    <s v="Biolage"/>
    <x v="5"/>
    <x v="1"/>
    <s v="Amazon"/>
    <s v="Amazon"/>
    <x v="86"/>
    <d v="2025-01-01T00:00:00"/>
    <n v="6757.6293999999998"/>
    <n v="2736418"/>
    <s v="TTM"/>
    <s v="Display-Amazon"/>
    <s v="Amazon"/>
  </r>
  <r>
    <s v="Biolage"/>
    <x v="5"/>
    <x v="2"/>
    <s v="Amazon"/>
    <s v="Amazon"/>
    <x v="86"/>
    <d v="2025-01-01T00:00:00"/>
    <n v="9980.2199999999993"/>
    <n v="1287822"/>
    <s v="TTM"/>
    <s v="Search-Amazon"/>
    <s v="Amazon"/>
  </r>
  <r>
    <s v="Biolage"/>
    <x v="6"/>
    <x v="2"/>
    <s v="Amazon"/>
    <s v="Amazon"/>
    <x v="86"/>
    <d v="2025-01-01T00:00:00"/>
    <n v="0.37"/>
    <n v="94"/>
    <s v="TTM"/>
    <s v="Search-Amazon"/>
    <s v="Amazon"/>
  </r>
  <r>
    <s v="Biolage"/>
    <x v="0"/>
    <x v="0"/>
    <s v="Meta"/>
    <s v="Ulta"/>
    <x v="87"/>
    <d v="2025-01-01T00:00:00"/>
    <n v="43347.220003999995"/>
    <n v="5214614"/>
    <s v="TTM"/>
    <s v="Social-Meta"/>
    <s v="Ulta"/>
  </r>
  <r>
    <s v="Biolage"/>
    <x v="1"/>
    <x v="1"/>
    <s v="Amazon"/>
    <s v="Amazon"/>
    <x v="87"/>
    <d v="2025-01-01T00:00:00"/>
    <n v="8369.6576000000023"/>
    <n v="2246282"/>
    <s v="TTM"/>
    <s v="Display-Amazon"/>
    <s v="Amazon"/>
  </r>
  <r>
    <s v="Biolage"/>
    <x v="1"/>
    <x v="2"/>
    <s v="Amazon"/>
    <s v="Amazon"/>
    <x v="87"/>
    <d v="2025-01-01T00:00:00"/>
    <n v="14493.76"/>
    <n v="3076731"/>
    <s v="TTM"/>
    <s v="Search-Amazon"/>
    <s v="Amazon"/>
  </r>
  <r>
    <s v="Biolage"/>
    <x v="0"/>
    <x v="1"/>
    <s v="Amazon"/>
    <s v="Amazon"/>
    <x v="87"/>
    <d v="2025-01-01T00:00:00"/>
    <n v="1759.0863999999999"/>
    <n v="152196"/>
    <s v="TTM"/>
    <s v="Display-Amazon"/>
    <s v="Amazon"/>
  </r>
  <r>
    <s v="Biolage"/>
    <x v="0"/>
    <x v="2"/>
    <s v="Amazon"/>
    <s v="Amazon"/>
    <x v="87"/>
    <d v="2025-01-01T00:00:00"/>
    <n v="4396.07"/>
    <n v="423272"/>
    <s v="TTM"/>
    <s v="Search-Amazon"/>
    <s v="Amazon"/>
  </r>
  <r>
    <s v="Biolage"/>
    <x v="2"/>
    <x v="1"/>
    <s v="Amazon"/>
    <s v="Amazon"/>
    <x v="87"/>
    <d v="2025-01-01T00:00:00"/>
    <n v="8587.9166000000023"/>
    <n v="2679552"/>
    <s v="TTM"/>
    <s v="Display-Amazon"/>
    <s v="Amazon"/>
  </r>
  <r>
    <s v="Biolage"/>
    <x v="2"/>
    <x v="2"/>
    <s v="Amazon"/>
    <s v="Amazon"/>
    <x v="87"/>
    <d v="2025-01-01T00:00:00"/>
    <n v="17359.29"/>
    <n v="2818319"/>
    <s v="TTM"/>
    <s v="Search-Amazon"/>
    <s v="Amazon"/>
  </r>
  <r>
    <s v="Biolage"/>
    <x v="3"/>
    <x v="1"/>
    <s v="Amazon"/>
    <s v="Amazon"/>
    <x v="87"/>
    <d v="2025-01-01T00:00:00"/>
    <n v="7846.6367999999993"/>
    <n v="1537693"/>
    <s v="TTM"/>
    <s v="Display-Amazon"/>
    <s v="Amazon"/>
  </r>
  <r>
    <s v="Biolage"/>
    <x v="3"/>
    <x v="2"/>
    <s v="Amazon"/>
    <s v="Amazon"/>
    <x v="87"/>
    <d v="2025-01-01T00:00:00"/>
    <n v="16391.220000000008"/>
    <n v="2427377"/>
    <s v="TTM"/>
    <s v="Search-Amazon"/>
    <s v="Amazon"/>
  </r>
  <r>
    <s v="Biolage"/>
    <x v="4"/>
    <x v="1"/>
    <s v="Amazon"/>
    <s v="Amazon"/>
    <x v="87"/>
    <d v="2025-01-01T00:00:00"/>
    <n v="8286.0642000000007"/>
    <n v="1709882"/>
    <s v="TTM"/>
    <s v="Display-Amazon"/>
    <s v="Amazon"/>
  </r>
  <r>
    <s v="Biolage"/>
    <x v="4"/>
    <x v="2"/>
    <s v="Amazon"/>
    <s v="Amazon"/>
    <x v="87"/>
    <d v="2025-01-01T00:00:00"/>
    <n v="7956.619999999999"/>
    <n v="1733366"/>
    <s v="TTM"/>
    <s v="Search-Amazon"/>
    <s v="Amazon"/>
  </r>
  <r>
    <s v="Biolage"/>
    <x v="5"/>
    <x v="1"/>
    <s v="Amazon"/>
    <s v="Amazon"/>
    <x v="87"/>
    <d v="2025-01-01T00:00:00"/>
    <n v="6705.1400000000012"/>
    <n v="2627144"/>
    <s v="TTM"/>
    <s v="Display-Amazon"/>
    <s v="Amazon"/>
  </r>
  <r>
    <s v="Biolage"/>
    <x v="5"/>
    <x v="2"/>
    <s v="Amazon"/>
    <s v="Amazon"/>
    <x v="87"/>
    <d v="2025-01-01T00:00:00"/>
    <n v="8337.6399999999976"/>
    <n v="1125513"/>
    <s v="TTM"/>
    <s v="Search-Amazon"/>
    <s v="Amazon"/>
  </r>
  <r>
    <s v="Biolage"/>
    <x v="0"/>
    <x v="2"/>
    <s v="Google"/>
    <s v="Biolage"/>
    <x v="87"/>
    <d v="2025-01-01T00:00:00"/>
    <n v="2.9959999999999997E-2"/>
    <n v="23"/>
    <s v="TTM"/>
    <s v="Search-Google"/>
    <s v="Search"/>
  </r>
  <r>
    <s v="Biolage"/>
    <x v="1"/>
    <x v="2"/>
    <s v="Google"/>
    <s v="Biolage"/>
    <x v="87"/>
    <d v="2025-01-01T00:00:00"/>
    <n v="0.96"/>
    <n v="1"/>
    <s v="TTM"/>
    <s v="Search-Google"/>
    <s v="Search"/>
  </r>
  <r>
    <s v="Biolage"/>
    <x v="5"/>
    <x v="2"/>
    <s v="Google"/>
    <s v="Biolage"/>
    <x v="87"/>
    <d v="2025-01-01T00:00:00"/>
    <n v="0.01"/>
    <n v="5"/>
    <s v="TTM"/>
    <s v="Search-Google"/>
    <s v="Search"/>
  </r>
  <r>
    <s v="Biolage"/>
    <x v="1"/>
    <x v="1"/>
    <s v="Amazon"/>
    <s v="Amazon"/>
    <x v="88"/>
    <d v="2025-01-01T00:00:00"/>
    <n v="8323.6876000000029"/>
    <n v="3114484"/>
    <s v="TTM"/>
    <s v="Display-Amazon"/>
    <s v="Amazon"/>
  </r>
  <r>
    <s v="Biolage"/>
    <x v="1"/>
    <x v="2"/>
    <s v="Amazon"/>
    <s v="Amazon"/>
    <x v="88"/>
    <d v="2025-01-01T00:00:00"/>
    <n v="15953.409999999994"/>
    <n v="3387851"/>
    <s v="TTM"/>
    <s v="Search-Amazon"/>
    <s v="Amazon"/>
  </r>
  <r>
    <s v="Biolage"/>
    <x v="0"/>
    <x v="1"/>
    <s v="Amazon"/>
    <s v="Amazon"/>
    <x v="88"/>
    <d v="2025-01-01T00:00:00"/>
    <n v="1678.5273999999999"/>
    <n v="141641"/>
    <s v="TTM"/>
    <s v="Display-Amazon"/>
    <s v="Amazon"/>
  </r>
  <r>
    <s v="Biolage"/>
    <x v="0"/>
    <x v="2"/>
    <s v="Amazon"/>
    <s v="Amazon"/>
    <x v="88"/>
    <d v="2025-01-01T00:00:00"/>
    <n v="4948.2299999999996"/>
    <n v="354715"/>
    <s v="TTM"/>
    <s v="Search-Amazon"/>
    <s v="Amazon"/>
  </r>
  <r>
    <s v="Biolage"/>
    <x v="2"/>
    <x v="1"/>
    <s v="Amazon"/>
    <s v="Amazon"/>
    <x v="88"/>
    <d v="2025-01-01T00:00:00"/>
    <n v="7960.5798999999997"/>
    <n v="2778758"/>
    <s v="TTM"/>
    <s v="Display-Amazon"/>
    <s v="Amazon"/>
  </r>
  <r>
    <s v="Biolage"/>
    <x v="2"/>
    <x v="2"/>
    <s v="Amazon"/>
    <s v="Amazon"/>
    <x v="88"/>
    <d v="2025-01-01T00:00:00"/>
    <n v="15311.380000000006"/>
    <n v="2293520"/>
    <s v="TTM"/>
    <s v="Search-Amazon"/>
    <s v="Amazon"/>
  </r>
  <r>
    <s v="Biolage"/>
    <x v="3"/>
    <x v="1"/>
    <s v="Amazon"/>
    <s v="Amazon"/>
    <x v="88"/>
    <d v="2025-01-01T00:00:00"/>
    <n v="9415.9598000000005"/>
    <n v="1733998"/>
    <s v="TTM"/>
    <s v="Display-Amazon"/>
    <s v="Amazon"/>
  </r>
  <r>
    <s v="Biolage"/>
    <x v="3"/>
    <x v="2"/>
    <s v="Amazon"/>
    <s v="Amazon"/>
    <x v="88"/>
    <d v="2025-01-01T00:00:00"/>
    <n v="11619.620000000003"/>
    <n v="2128617"/>
    <s v="TTM"/>
    <s v="Search-Amazon"/>
    <s v="Amazon"/>
  </r>
  <r>
    <s v="Biolage"/>
    <x v="4"/>
    <x v="1"/>
    <s v="Amazon"/>
    <s v="Amazon"/>
    <x v="88"/>
    <d v="2025-01-01T00:00:00"/>
    <n v="10020.850700000001"/>
    <n v="2018966"/>
    <s v="TTM"/>
    <s v="Display-Amazon"/>
    <s v="Amazon"/>
  </r>
  <r>
    <s v="Biolage"/>
    <x v="4"/>
    <x v="2"/>
    <s v="Amazon"/>
    <s v="Amazon"/>
    <x v="88"/>
    <d v="2025-01-01T00:00:00"/>
    <n v="8487.9"/>
    <n v="1908382"/>
    <s v="TTM"/>
    <s v="Search-Amazon"/>
    <s v="Amazon"/>
  </r>
  <r>
    <s v="Biolage"/>
    <x v="5"/>
    <x v="1"/>
    <s v="Amazon"/>
    <s v="Amazon"/>
    <x v="88"/>
    <d v="2025-01-01T00:00:00"/>
    <n v="6131.3653999999988"/>
    <n v="3012539"/>
    <s v="TTM"/>
    <s v="Display-Amazon"/>
    <s v="Amazon"/>
  </r>
  <r>
    <s v="Biolage"/>
    <x v="5"/>
    <x v="2"/>
    <s v="Amazon"/>
    <s v="Amazon"/>
    <x v="88"/>
    <d v="2025-01-01T00:00:00"/>
    <n v="9833.7699999999986"/>
    <n v="1218589"/>
    <s v="TTM"/>
    <s v="Search-Amazon"/>
    <s v="Amazon"/>
  </r>
  <r>
    <s v="Biolage"/>
    <x v="0"/>
    <x v="2"/>
    <s v="Google"/>
    <s v="Biolage"/>
    <x v="88"/>
    <d v="2025-01-01T00:00:00"/>
    <n v="0.01"/>
    <n v="2"/>
    <s v="TTM"/>
    <s v="Search-Google"/>
    <s v="Search"/>
  </r>
  <r>
    <s v="Biolage"/>
    <x v="0"/>
    <x v="0"/>
    <s v="Meta"/>
    <s v="Ulta"/>
    <x v="89"/>
    <d v="2025-01-01T00:00:00"/>
    <n v="7546.5899999999983"/>
    <n v="1370912"/>
    <s v="TTM"/>
    <s v="Social-Meta"/>
    <s v="Ulta"/>
  </r>
  <r>
    <s v="Biolage"/>
    <x v="1"/>
    <x v="1"/>
    <s v="Amazon"/>
    <s v="Amazon"/>
    <x v="89"/>
    <d v="2025-01-01T00:00:00"/>
    <n v="10098.442699999994"/>
    <n v="2942522"/>
    <s v="TTM"/>
    <s v="Display-Amazon"/>
    <s v="Amazon"/>
  </r>
  <r>
    <s v="Biolage"/>
    <x v="1"/>
    <x v="2"/>
    <s v="Amazon"/>
    <s v="Amazon"/>
    <x v="89"/>
    <d v="2025-01-01T00:00:00"/>
    <n v="15533.49"/>
    <n v="3114023"/>
    <s v="TTM"/>
    <s v="Search-Amazon"/>
    <s v="Amazon"/>
  </r>
  <r>
    <s v="Biolage"/>
    <x v="0"/>
    <x v="1"/>
    <s v="Amazon"/>
    <s v="Amazon"/>
    <x v="89"/>
    <d v="2025-01-01T00:00:00"/>
    <n v="1920.0640000000001"/>
    <n v="172241"/>
    <s v="TTM"/>
    <s v="Display-Amazon"/>
    <s v="Amazon"/>
  </r>
  <r>
    <s v="Biolage"/>
    <x v="0"/>
    <x v="2"/>
    <s v="Amazon"/>
    <s v="Amazon"/>
    <x v="89"/>
    <d v="2025-01-01T00:00:00"/>
    <n v="5018.949999999998"/>
    <n v="316729"/>
    <s v="TTM"/>
    <s v="Search-Amazon"/>
    <s v="Amazon"/>
  </r>
  <r>
    <s v="Biolage"/>
    <x v="2"/>
    <x v="1"/>
    <s v="Amazon"/>
    <s v="Amazon"/>
    <x v="89"/>
    <d v="2025-01-01T00:00:00"/>
    <n v="8602.3359000000037"/>
    <n v="2668676"/>
    <s v="TTM"/>
    <s v="Display-Amazon"/>
    <s v="Amazon"/>
  </r>
  <r>
    <s v="Biolage"/>
    <x v="2"/>
    <x v="2"/>
    <s v="Amazon"/>
    <s v="Amazon"/>
    <x v="89"/>
    <d v="2025-01-01T00:00:00"/>
    <n v="15049.17"/>
    <n v="2204845"/>
    <s v="TTM"/>
    <s v="Search-Amazon"/>
    <s v="Amazon"/>
  </r>
  <r>
    <s v="Biolage"/>
    <x v="3"/>
    <x v="1"/>
    <s v="Amazon"/>
    <s v="Amazon"/>
    <x v="89"/>
    <d v="2025-01-01T00:00:00"/>
    <n v="10466.7904"/>
    <n v="1600171"/>
    <s v="TTM"/>
    <s v="Display-Amazon"/>
    <s v="Amazon"/>
  </r>
  <r>
    <s v="Biolage"/>
    <x v="3"/>
    <x v="2"/>
    <s v="Amazon"/>
    <s v="Amazon"/>
    <x v="89"/>
    <d v="2025-01-01T00:00:00"/>
    <n v="11602.000000000004"/>
    <n v="1919597"/>
    <s v="TTM"/>
    <s v="Search-Amazon"/>
    <s v="Amazon"/>
  </r>
  <r>
    <s v="Biolage"/>
    <x v="4"/>
    <x v="1"/>
    <s v="Amazon"/>
    <s v="Amazon"/>
    <x v="89"/>
    <d v="2025-01-01T00:00:00"/>
    <n v="10508.572899999996"/>
    <n v="1920551"/>
    <s v="TTM"/>
    <s v="Display-Amazon"/>
    <s v="Amazon"/>
  </r>
  <r>
    <s v="Biolage"/>
    <x v="4"/>
    <x v="2"/>
    <s v="Amazon"/>
    <s v="Amazon"/>
    <x v="89"/>
    <d v="2025-01-01T00:00:00"/>
    <n v="8638.9000000000015"/>
    <n v="1873703"/>
    <s v="TTM"/>
    <s v="Search-Amazon"/>
    <s v="Amazon"/>
  </r>
  <r>
    <s v="Biolage"/>
    <x v="5"/>
    <x v="1"/>
    <s v="Amazon"/>
    <s v="Amazon"/>
    <x v="89"/>
    <d v="2025-01-01T00:00:00"/>
    <n v="6477.2156999999988"/>
    <n v="2651959"/>
    <s v="TTM"/>
    <s v="Display-Amazon"/>
    <s v="Amazon"/>
  </r>
  <r>
    <s v="Biolage"/>
    <x v="5"/>
    <x v="2"/>
    <s v="Amazon"/>
    <s v="Amazon"/>
    <x v="89"/>
    <d v="2025-01-01T00:00:00"/>
    <n v="10403.389999999996"/>
    <n v="1315053"/>
    <s v="TTM"/>
    <s v="Search-Amazon"/>
    <s v="Amazon"/>
  </r>
  <r>
    <s v="Biolage"/>
    <x v="0"/>
    <x v="0"/>
    <s v="Meta"/>
    <s v="Ulta"/>
    <x v="90"/>
    <d v="2025-01-01T00:00:00"/>
    <n v="18925.250002999997"/>
    <n v="3502057"/>
    <s v="TTM"/>
    <s v="Social-Meta"/>
    <s v="Ulta"/>
  </r>
  <r>
    <s v="Biolage"/>
    <x v="0"/>
    <x v="0"/>
    <s v="TikTok"/>
    <s v="Ulta"/>
    <x v="90"/>
    <d v="2025-01-01T00:00:00"/>
    <n v="11760.94"/>
    <n v="2857659"/>
    <s v="TTM"/>
    <s v="Social-TikTok"/>
    <s v="Ulta"/>
  </r>
  <r>
    <s v="Biolage"/>
    <x v="1"/>
    <x v="1"/>
    <s v="Amazon"/>
    <s v="Amazon"/>
    <x v="90"/>
    <d v="2025-01-01T00:00:00"/>
    <n v="11773.835599999999"/>
    <n v="2307420"/>
    <s v="TTM"/>
    <s v="Display-Amazon"/>
    <s v="Amazon"/>
  </r>
  <r>
    <s v="Biolage"/>
    <x v="1"/>
    <x v="2"/>
    <s v="Amazon"/>
    <s v="Amazon"/>
    <x v="90"/>
    <d v="2025-01-01T00:00:00"/>
    <n v="12907.130000000003"/>
    <n v="2676143"/>
    <s v="TTM"/>
    <s v="Search-Amazon"/>
    <s v="Amazon"/>
  </r>
  <r>
    <s v="Biolage"/>
    <x v="0"/>
    <x v="1"/>
    <s v="Amazon"/>
    <s v="Amazon"/>
    <x v="90"/>
    <d v="2025-01-01T00:00:00"/>
    <n v="1920.2330999999999"/>
    <n v="158637"/>
    <s v="TTM"/>
    <s v="Display-Amazon"/>
    <s v="Amazon"/>
  </r>
  <r>
    <s v="Biolage"/>
    <x v="0"/>
    <x v="2"/>
    <s v="Amazon"/>
    <s v="Amazon"/>
    <x v="90"/>
    <d v="2025-01-01T00:00:00"/>
    <n v="4964.97"/>
    <n v="344319"/>
    <s v="TTM"/>
    <s v="Search-Amazon"/>
    <s v="Amazon"/>
  </r>
  <r>
    <s v="Biolage"/>
    <x v="2"/>
    <x v="1"/>
    <s v="Amazon"/>
    <s v="Amazon"/>
    <x v="90"/>
    <d v="2025-01-01T00:00:00"/>
    <n v="8361.9835999999996"/>
    <n v="1941711"/>
    <s v="TTM"/>
    <s v="Display-Amazon"/>
    <s v="Amazon"/>
  </r>
  <r>
    <s v="Biolage"/>
    <x v="2"/>
    <x v="2"/>
    <s v="Amazon"/>
    <s v="Amazon"/>
    <x v="90"/>
    <d v="2025-01-01T00:00:00"/>
    <n v="12368.700000000004"/>
    <n v="1827911"/>
    <s v="TTM"/>
    <s v="Search-Amazon"/>
    <s v="Amazon"/>
  </r>
  <r>
    <s v="Biolage"/>
    <x v="3"/>
    <x v="1"/>
    <s v="Amazon"/>
    <s v="Amazon"/>
    <x v="90"/>
    <d v="2025-01-01T00:00:00"/>
    <n v="9543.1287999999986"/>
    <n v="1181010"/>
    <s v="TTM"/>
    <s v="Display-Amazon"/>
    <s v="Amazon"/>
  </r>
  <r>
    <s v="Biolage"/>
    <x v="3"/>
    <x v="2"/>
    <s v="Amazon"/>
    <s v="Amazon"/>
    <x v="90"/>
    <d v="2025-01-01T00:00:00"/>
    <n v="10035.230000000003"/>
    <n v="1419487"/>
    <s v="TTM"/>
    <s v="Search-Amazon"/>
    <s v="Amazon"/>
  </r>
  <r>
    <s v="Biolage"/>
    <x v="4"/>
    <x v="1"/>
    <s v="Amazon"/>
    <s v="Amazon"/>
    <x v="90"/>
    <d v="2025-01-01T00:00:00"/>
    <n v="10253.666600000006"/>
    <n v="1799015"/>
    <s v="TTM"/>
    <s v="Display-Amazon"/>
    <s v="Amazon"/>
  </r>
  <r>
    <s v="Biolage"/>
    <x v="4"/>
    <x v="2"/>
    <s v="Amazon"/>
    <s v="Amazon"/>
    <x v="90"/>
    <d v="2025-01-01T00:00:00"/>
    <n v="8810.0499999999993"/>
    <n v="2017348"/>
    <s v="TTM"/>
    <s v="Search-Amazon"/>
    <s v="Amazon"/>
  </r>
  <r>
    <s v="Biolage"/>
    <x v="5"/>
    <x v="1"/>
    <s v="Amazon"/>
    <s v="Amazon"/>
    <x v="90"/>
    <d v="2025-01-01T00:00:00"/>
    <n v="6327.8667999999989"/>
    <n v="2321712"/>
    <s v="TTM"/>
    <s v="Display-Amazon"/>
    <s v="Amazon"/>
  </r>
  <r>
    <s v="Biolage"/>
    <x v="5"/>
    <x v="2"/>
    <s v="Amazon"/>
    <s v="Amazon"/>
    <x v="90"/>
    <d v="2025-01-01T00:00:00"/>
    <n v="9522.8599999999988"/>
    <n v="1533291"/>
    <s v="TTM"/>
    <s v="Search-Amazon"/>
    <s v="Amazon"/>
  </r>
  <r>
    <s v="Biolage"/>
    <x v="0"/>
    <x v="0"/>
    <s v="Meta"/>
    <s v="Ulta"/>
    <x v="91"/>
    <d v="2025-01-01T00:00:00"/>
    <n v="18260.460003"/>
    <n v="2690512"/>
    <s v="TTM"/>
    <s v="Social-Meta"/>
    <s v="Ulta"/>
  </r>
  <r>
    <s v="Biolage"/>
    <x v="0"/>
    <x v="0"/>
    <s v="TikTok"/>
    <s v="Ulta"/>
    <x v="91"/>
    <d v="2025-01-01T00:00:00"/>
    <n v="14221.56"/>
    <n v="3488612"/>
    <s v="TTM"/>
    <s v="Social-TikTok"/>
    <s v="Ulta"/>
  </r>
  <r>
    <s v="Biolage"/>
    <x v="1"/>
    <x v="1"/>
    <s v="Amazon"/>
    <s v="Amazon"/>
    <x v="91"/>
    <d v="2025-01-01T00:00:00"/>
    <n v="11550.473700000006"/>
    <n v="2067510"/>
    <s v="TTM"/>
    <s v="Display-Amazon"/>
    <s v="Amazon"/>
  </r>
  <r>
    <s v="Biolage"/>
    <x v="1"/>
    <x v="2"/>
    <s v="Amazon"/>
    <s v="Amazon"/>
    <x v="91"/>
    <d v="2025-01-01T00:00:00"/>
    <n v="8336.0499999999993"/>
    <n v="1513575"/>
    <s v="TTM"/>
    <s v="Search-Amazon"/>
    <s v="Amazon"/>
  </r>
  <r>
    <s v="Biolage"/>
    <x v="0"/>
    <x v="1"/>
    <s v="Amazon"/>
    <s v="Amazon"/>
    <x v="91"/>
    <d v="2025-01-01T00:00:00"/>
    <n v="1932.2510999999997"/>
    <n v="141295"/>
    <s v="TTM"/>
    <s v="Display-Amazon"/>
    <s v="Amazon"/>
  </r>
  <r>
    <s v="Biolage"/>
    <x v="0"/>
    <x v="2"/>
    <s v="Amazon"/>
    <s v="Amazon"/>
    <x v="91"/>
    <d v="2025-01-01T00:00:00"/>
    <n v="3387.6600000000003"/>
    <n v="290217"/>
    <s v="TTM"/>
    <s v="Search-Amazon"/>
    <s v="Amazon"/>
  </r>
  <r>
    <s v="Biolage"/>
    <x v="2"/>
    <x v="1"/>
    <s v="Amazon"/>
    <s v="Amazon"/>
    <x v="91"/>
    <d v="2025-01-01T00:00:00"/>
    <n v="8353.868400000003"/>
    <n v="2061773"/>
    <s v="TTM"/>
    <s v="Display-Amazon"/>
    <s v="Amazon"/>
  </r>
  <r>
    <s v="Biolage"/>
    <x v="2"/>
    <x v="2"/>
    <s v="Amazon"/>
    <s v="Amazon"/>
    <x v="91"/>
    <d v="2025-01-01T00:00:00"/>
    <n v="7813.1600000000017"/>
    <n v="963845"/>
    <s v="TTM"/>
    <s v="Search-Amazon"/>
    <s v="Amazon"/>
  </r>
  <r>
    <s v="Biolage"/>
    <x v="3"/>
    <x v="1"/>
    <s v="Amazon"/>
    <s v="Amazon"/>
    <x v="91"/>
    <d v="2025-01-01T00:00:00"/>
    <n v="9954.8606"/>
    <n v="1327317"/>
    <s v="TTM"/>
    <s v="Display-Amazon"/>
    <s v="Amazon"/>
  </r>
  <r>
    <s v="Biolage"/>
    <x v="3"/>
    <x v="2"/>
    <s v="Amazon"/>
    <s v="Amazon"/>
    <x v="91"/>
    <d v="2025-01-01T00:00:00"/>
    <n v="4012.2799999999988"/>
    <n v="1142963"/>
    <s v="TTM"/>
    <s v="Search-Amazon"/>
    <s v="Amazon"/>
  </r>
  <r>
    <s v="Biolage"/>
    <x v="4"/>
    <x v="1"/>
    <s v="Amazon"/>
    <s v="Amazon"/>
    <x v="91"/>
    <d v="2025-01-01T00:00:00"/>
    <n v="10192.703600000003"/>
    <n v="1895955"/>
    <s v="TTM"/>
    <s v="Display-Amazon"/>
    <s v="Amazon"/>
  </r>
  <r>
    <s v="Biolage"/>
    <x v="4"/>
    <x v="2"/>
    <s v="Amazon"/>
    <s v="Amazon"/>
    <x v="91"/>
    <d v="2025-01-01T00:00:00"/>
    <n v="8141.2699999999995"/>
    <n v="2206850"/>
    <s v="TTM"/>
    <s v="Search-Amazon"/>
    <s v="Amazon"/>
  </r>
  <r>
    <s v="Biolage"/>
    <x v="5"/>
    <x v="1"/>
    <s v="Amazon"/>
    <s v="Amazon"/>
    <x v="91"/>
    <d v="2025-01-01T00:00:00"/>
    <n v="6269.0170000000007"/>
    <n v="2232030"/>
    <s v="TTM"/>
    <s v="Display-Amazon"/>
    <s v="Amazon"/>
  </r>
  <r>
    <s v="Biolage"/>
    <x v="5"/>
    <x v="2"/>
    <s v="Amazon"/>
    <s v="Amazon"/>
    <x v="91"/>
    <d v="2025-01-01T00:00:00"/>
    <n v="7047.7100000000028"/>
    <n v="1220603"/>
    <s v="TTM"/>
    <s v="Search-Amazon"/>
    <s v="Amazon"/>
  </r>
  <r>
    <s v="Biolage"/>
    <x v="0"/>
    <x v="0"/>
    <s v="Meta"/>
    <s v="Ulta"/>
    <x v="92"/>
    <d v="2025-01-01T00:00:00"/>
    <n v="3644.5400000000004"/>
    <n v="226723"/>
    <s v="TTM"/>
    <s v="Social-Meta"/>
    <s v="Ulta"/>
  </r>
  <r>
    <s v="Biolage"/>
    <x v="0"/>
    <x v="0"/>
    <s v="TikTok"/>
    <s v="Ulta"/>
    <x v="92"/>
    <d v="2025-01-01T00:00:00"/>
    <n v="2789.37"/>
    <n v="747517"/>
    <s v="TTM"/>
    <s v="Social-TikTok"/>
    <s v="Ulta"/>
  </r>
  <r>
    <s v="Biolage"/>
    <x v="1"/>
    <x v="0"/>
    <s v="Meta"/>
    <s v="Amazon"/>
    <x v="92"/>
    <d v="2025-01-01T00:00:00"/>
    <n v="3726.9300020000001"/>
    <n v="232186"/>
    <s v="TTM"/>
    <s v="Social-Meta"/>
    <s v="Meta"/>
  </r>
  <r>
    <s v="Biolage"/>
    <x v="1"/>
    <x v="0"/>
    <s v="Meta"/>
    <s v="Ulta"/>
    <x v="92"/>
    <d v="2025-01-01T00:00:00"/>
    <n v="26332.670003000007"/>
    <n v="3413285"/>
    <s v="TTM"/>
    <s v="Social-Meta"/>
    <s v="Ulta"/>
  </r>
  <r>
    <s v="Biolage"/>
    <x v="1"/>
    <x v="0"/>
    <s v="TikTok"/>
    <s v="Amazon"/>
    <x v="92"/>
    <d v="2025-01-01T00:00:00"/>
    <n v="16008.249999999996"/>
    <n v="3832689"/>
    <s v="TTM"/>
    <s v="Social-TikTok"/>
    <s v="TikTok"/>
  </r>
  <r>
    <s v="Biolage"/>
    <x v="1"/>
    <x v="0"/>
    <s v="TikTok"/>
    <s v="Ulta"/>
    <x v="92"/>
    <d v="2025-01-01T00:00:00"/>
    <n v="26816.47"/>
    <n v="6081499"/>
    <s v="TTM"/>
    <s v="Social-TikTok"/>
    <s v="Ulta"/>
  </r>
  <r>
    <s v="Biolage"/>
    <x v="1"/>
    <x v="1"/>
    <s v="Amazon"/>
    <s v="Amazon"/>
    <x v="92"/>
    <d v="2025-01-01T00:00:00"/>
    <n v="8426.232299999996"/>
    <n v="1891431"/>
    <s v="TTM"/>
    <s v="Display-Amazon"/>
    <s v="Amazon"/>
  </r>
  <r>
    <s v="Biolage"/>
    <x v="1"/>
    <x v="2"/>
    <s v="Amazon"/>
    <s v="Amazon"/>
    <x v="92"/>
    <d v="2025-01-01T00:00:00"/>
    <n v="7284.9599999999973"/>
    <n v="1533959"/>
    <s v="TTM"/>
    <s v="Search-Amazon"/>
    <s v="Amazon"/>
  </r>
  <r>
    <s v="Biolage"/>
    <x v="0"/>
    <x v="1"/>
    <s v="Amazon"/>
    <s v="Amazon"/>
    <x v="92"/>
    <d v="2025-01-01T00:00:00"/>
    <n v="1631.0289"/>
    <n v="160879"/>
    <s v="TTM"/>
    <s v="Display-Amazon"/>
    <s v="Amazon"/>
  </r>
  <r>
    <s v="Biolage"/>
    <x v="0"/>
    <x v="2"/>
    <s v="Amazon"/>
    <s v="Amazon"/>
    <x v="92"/>
    <d v="2025-01-01T00:00:00"/>
    <n v="3302.6099999999988"/>
    <n v="197669"/>
    <s v="TTM"/>
    <s v="Search-Amazon"/>
    <s v="Amazon"/>
  </r>
  <r>
    <s v="Biolage"/>
    <x v="2"/>
    <x v="1"/>
    <s v="Amazon"/>
    <s v="Amazon"/>
    <x v="92"/>
    <d v="2025-01-01T00:00:00"/>
    <n v="8246.2480999999989"/>
    <n v="2078375"/>
    <s v="TTM"/>
    <s v="Display-Amazon"/>
    <s v="Amazon"/>
  </r>
  <r>
    <s v="Biolage"/>
    <x v="2"/>
    <x v="2"/>
    <s v="Amazon"/>
    <s v="Amazon"/>
    <x v="92"/>
    <d v="2025-01-01T00:00:00"/>
    <n v="7786.7500000000018"/>
    <n v="1536387"/>
    <s v="TTM"/>
    <s v="Search-Amazon"/>
    <s v="Amazon"/>
  </r>
  <r>
    <s v="Biolage"/>
    <x v="3"/>
    <x v="1"/>
    <s v="Amazon"/>
    <s v="Amazon"/>
    <x v="92"/>
    <d v="2025-01-01T00:00:00"/>
    <n v="6163.0784000000003"/>
    <n v="1813170"/>
    <s v="TTM"/>
    <s v="Display-Amazon"/>
    <s v="Amazon"/>
  </r>
  <r>
    <s v="Biolage"/>
    <x v="3"/>
    <x v="2"/>
    <s v="Amazon"/>
    <s v="Amazon"/>
    <x v="92"/>
    <d v="2025-01-01T00:00:00"/>
    <n v="3301.03"/>
    <n v="956670"/>
    <s v="TTM"/>
    <s v="Search-Amazon"/>
    <s v="Amazon"/>
  </r>
  <r>
    <s v="Biolage"/>
    <x v="4"/>
    <x v="1"/>
    <s v="Amazon"/>
    <s v="Amazon"/>
    <x v="92"/>
    <d v="2025-01-01T00:00:00"/>
    <n v="6386.5364000000018"/>
    <n v="1491745"/>
    <s v="TTM"/>
    <s v="Display-Amazon"/>
    <s v="Amazon"/>
  </r>
  <r>
    <s v="Biolage"/>
    <x v="4"/>
    <x v="2"/>
    <s v="Amazon"/>
    <s v="Amazon"/>
    <x v="92"/>
    <d v="2025-01-01T00:00:00"/>
    <n v="6811.37"/>
    <n v="1755277"/>
    <s v="TTM"/>
    <s v="Search-Amazon"/>
    <s v="Amazon"/>
  </r>
  <r>
    <s v="Biolage"/>
    <x v="5"/>
    <x v="1"/>
    <s v="Amazon"/>
    <s v="Amazon"/>
    <x v="92"/>
    <d v="2025-01-01T00:00:00"/>
    <n v="5841.7979999999989"/>
    <n v="1995757"/>
    <s v="TTM"/>
    <s v="Display-Amazon"/>
    <s v="Amazon"/>
  </r>
  <r>
    <s v="Biolage"/>
    <x v="5"/>
    <x v="2"/>
    <s v="Amazon"/>
    <s v="Amazon"/>
    <x v="92"/>
    <d v="2025-01-01T00:00:00"/>
    <n v="3827.4199999999996"/>
    <n v="979614"/>
    <s v="TTM"/>
    <s v="Search-Amazon"/>
    <s v="Amazon"/>
  </r>
  <r>
    <s v="Biolage"/>
    <x v="0"/>
    <x v="0"/>
    <s v="Meta"/>
    <s v="Amazon"/>
    <x v="93"/>
    <d v="2025-01-01T00:00:00"/>
    <n v="4942.9600009999995"/>
    <n v="1050863"/>
    <s v="TTM"/>
    <s v="Social-Meta"/>
    <s v="Meta"/>
  </r>
  <r>
    <s v="Biolage"/>
    <x v="0"/>
    <x v="0"/>
    <s v="Meta"/>
    <s v="Ulta"/>
    <x v="93"/>
    <d v="2025-01-01T00:00:00"/>
    <n v="5154.8000030000003"/>
    <n v="1128016"/>
    <s v="TTM"/>
    <s v="Social-Meta"/>
    <s v="Ulta"/>
  </r>
  <r>
    <s v="Biolage"/>
    <x v="0"/>
    <x v="0"/>
    <s v="TikTok"/>
    <s v="Amazon"/>
    <x v="93"/>
    <d v="2025-01-01T00:00:00"/>
    <n v="7626.22"/>
    <n v="2104100"/>
    <s v="TTM"/>
    <s v="Social-TikTok"/>
    <s v="TikTok"/>
  </r>
  <r>
    <s v="Biolage"/>
    <x v="0"/>
    <x v="0"/>
    <s v="TikTok"/>
    <s v="Ulta"/>
    <x v="93"/>
    <d v="2025-01-01T00:00:00"/>
    <n v="12.309999999999999"/>
    <n v="4888"/>
    <s v="TTM"/>
    <s v="Social-TikTok"/>
    <s v="Ulta"/>
  </r>
  <r>
    <s v="Biolage"/>
    <x v="1"/>
    <x v="0"/>
    <s v="Meta"/>
    <s v="Amazon"/>
    <x v="93"/>
    <d v="2025-01-01T00:00:00"/>
    <n v="5037.8300049999998"/>
    <n v="247387"/>
    <s v="TTM"/>
    <s v="Social-Meta"/>
    <s v="Meta"/>
  </r>
  <r>
    <s v="Biolage"/>
    <x v="1"/>
    <x v="0"/>
    <s v="Meta"/>
    <s v="Ulta"/>
    <x v="93"/>
    <d v="2025-01-01T00:00:00"/>
    <n v="40211.920011999995"/>
    <n v="4730431"/>
    <s v="TTM"/>
    <s v="Social-Meta"/>
    <s v="Ulta"/>
  </r>
  <r>
    <s v="Biolage"/>
    <x v="1"/>
    <x v="0"/>
    <s v="TikTok"/>
    <s v="Amazon"/>
    <x v="93"/>
    <d v="2025-01-01T00:00:00"/>
    <n v="13261.870000000003"/>
    <n v="3129366"/>
    <s v="TTM"/>
    <s v="Social-TikTok"/>
    <s v="TikTok"/>
  </r>
  <r>
    <s v="Biolage"/>
    <x v="1"/>
    <x v="0"/>
    <s v="TikTok"/>
    <s v="Ulta"/>
    <x v="93"/>
    <d v="2025-01-01T00:00:00"/>
    <n v="51198.000000000007"/>
    <n v="11661361"/>
    <s v="TTM"/>
    <s v="Social-TikTok"/>
    <s v="Ulta"/>
  </r>
  <r>
    <s v="Biolage"/>
    <x v="1"/>
    <x v="1"/>
    <s v="Amazon"/>
    <s v="Amazon"/>
    <x v="93"/>
    <d v="2025-01-01T00:00:00"/>
    <n v="8804.8670000000002"/>
    <n v="1698382"/>
    <s v="TTM"/>
    <s v="Display-Amazon"/>
    <s v="Amazon"/>
  </r>
  <r>
    <s v="Biolage"/>
    <x v="1"/>
    <x v="2"/>
    <s v="Amazon"/>
    <s v="Amazon"/>
    <x v="93"/>
    <d v="2025-01-01T00:00:00"/>
    <n v="8843.8899999999958"/>
    <n v="1689439"/>
    <s v="TTM"/>
    <s v="Search-Amazon"/>
    <s v="Amazon"/>
  </r>
  <r>
    <s v="Biolage"/>
    <x v="0"/>
    <x v="1"/>
    <s v="Amazon"/>
    <s v="Amazon"/>
    <x v="93"/>
    <d v="2025-01-01T00:00:00"/>
    <n v="1826.5108"/>
    <n v="244107"/>
    <s v="TTM"/>
    <s v="Display-Amazon"/>
    <s v="Amazon"/>
  </r>
  <r>
    <s v="Biolage"/>
    <x v="0"/>
    <x v="2"/>
    <s v="Amazon"/>
    <s v="Amazon"/>
    <x v="93"/>
    <d v="2025-01-01T00:00:00"/>
    <n v="4614.1000000000004"/>
    <n v="239080"/>
    <s v="TTM"/>
    <s v="Search-Amazon"/>
    <s v="Amazon"/>
  </r>
  <r>
    <s v="Biolage"/>
    <x v="2"/>
    <x v="1"/>
    <s v="Amazon"/>
    <s v="Amazon"/>
    <x v="93"/>
    <d v="2025-01-01T00:00:00"/>
    <n v="8496.5743000000002"/>
    <n v="2150744"/>
    <s v="TTM"/>
    <s v="Display-Amazon"/>
    <s v="Amazon"/>
  </r>
  <r>
    <s v="Biolage"/>
    <x v="2"/>
    <x v="2"/>
    <s v="Amazon"/>
    <s v="Amazon"/>
    <x v="93"/>
    <d v="2025-01-01T00:00:00"/>
    <n v="9899.9800000000014"/>
    <n v="1704203"/>
    <s v="TTM"/>
    <s v="Search-Amazon"/>
    <s v="Amazon"/>
  </r>
  <r>
    <s v="Biolage"/>
    <x v="3"/>
    <x v="1"/>
    <s v="Amazon"/>
    <s v="Amazon"/>
    <x v="93"/>
    <d v="2025-01-01T00:00:00"/>
    <n v="4744.9227000000001"/>
    <n v="1036727"/>
    <s v="TTM"/>
    <s v="Display-Amazon"/>
    <s v="Amazon"/>
  </r>
  <r>
    <s v="Biolage"/>
    <x v="3"/>
    <x v="2"/>
    <s v="Amazon"/>
    <s v="Amazon"/>
    <x v="93"/>
    <d v="2025-01-01T00:00:00"/>
    <n v="3316.6000000000004"/>
    <n v="582146"/>
    <s v="TTM"/>
    <s v="Search-Amazon"/>
    <s v="Amazon"/>
  </r>
  <r>
    <s v="Biolage"/>
    <x v="4"/>
    <x v="1"/>
    <s v="Amazon"/>
    <s v="Amazon"/>
    <x v="93"/>
    <d v="2025-01-01T00:00:00"/>
    <n v="5975.5874000000013"/>
    <n v="1266838"/>
    <s v="TTM"/>
    <s v="Display-Amazon"/>
    <s v="Amazon"/>
  </r>
  <r>
    <s v="Biolage"/>
    <x v="4"/>
    <x v="2"/>
    <s v="Amazon"/>
    <s v="Amazon"/>
    <x v="93"/>
    <d v="2025-01-01T00:00:00"/>
    <n v="8798.41"/>
    <n v="2276153"/>
    <s v="TTM"/>
    <s v="Search-Amazon"/>
    <s v="Amazon"/>
  </r>
  <r>
    <s v="Biolage"/>
    <x v="5"/>
    <x v="1"/>
    <s v="Amazon"/>
    <s v="Amazon"/>
    <x v="93"/>
    <d v="2025-01-01T00:00:00"/>
    <n v="6214.7729000000018"/>
    <n v="1984605"/>
    <s v="TTM"/>
    <s v="Display-Amazon"/>
    <s v="Amazon"/>
  </r>
  <r>
    <s v="Biolage"/>
    <x v="5"/>
    <x v="2"/>
    <s v="Amazon"/>
    <s v="Amazon"/>
    <x v="93"/>
    <d v="2025-01-01T00:00:00"/>
    <n v="3990.9199999999996"/>
    <n v="656607"/>
    <s v="TTM"/>
    <s v="Search-Amazon"/>
    <s v="Amazon"/>
  </r>
  <r>
    <s v="Biolage"/>
    <x v="0"/>
    <x v="0"/>
    <s v="Meta"/>
    <s v="Amazon"/>
    <x v="94"/>
    <d v="2025-01-01T00:00:00"/>
    <n v="5373.9300010000006"/>
    <n v="1140281"/>
    <s v="TTM"/>
    <s v="Social-Meta"/>
    <s v="Meta"/>
  </r>
  <r>
    <s v="Biolage"/>
    <x v="0"/>
    <x v="0"/>
    <s v="Meta"/>
    <s v="Ulta"/>
    <x v="94"/>
    <d v="2025-01-01T00:00:00"/>
    <n v="7308.6299969999982"/>
    <n v="1688612"/>
    <s v="TTM"/>
    <s v="Social-Meta"/>
    <s v="Ulta"/>
  </r>
  <r>
    <s v="Biolage"/>
    <x v="0"/>
    <x v="0"/>
    <s v="TikTok"/>
    <s v="Amazon"/>
    <x v="94"/>
    <d v="2025-01-01T00:00:00"/>
    <n v="9972.65"/>
    <n v="2634706"/>
    <s v="TTM"/>
    <s v="Social-TikTok"/>
    <s v="TikTok"/>
  </r>
  <r>
    <s v="Biolage"/>
    <x v="0"/>
    <x v="0"/>
    <s v="TikTok"/>
    <s v="Ulta"/>
    <x v="94"/>
    <d v="2025-01-01T00:00:00"/>
    <n v="2.4"/>
    <n v="676"/>
    <s v="TTM"/>
    <s v="Social-TikTok"/>
    <s v="Ulta"/>
  </r>
  <r>
    <s v="Biolage"/>
    <x v="1"/>
    <x v="0"/>
    <s v="Meta"/>
    <s v="Amazon"/>
    <x v="94"/>
    <d v="2025-01-01T00:00:00"/>
    <n v="2128.89"/>
    <n v="92467"/>
    <s v="TTM"/>
    <s v="Social-Meta"/>
    <s v="Meta"/>
  </r>
  <r>
    <s v="Biolage"/>
    <x v="1"/>
    <x v="0"/>
    <s v="Meta"/>
    <s v="Ulta"/>
    <x v="94"/>
    <d v="2025-01-01T00:00:00"/>
    <n v="42568.719991999991"/>
    <n v="4636260"/>
    <s v="TTM"/>
    <s v="Social-Meta"/>
    <s v="Ulta"/>
  </r>
  <r>
    <s v="Biolage"/>
    <x v="1"/>
    <x v="0"/>
    <s v="TikTok"/>
    <s v="Amazon"/>
    <x v="94"/>
    <d v="2025-01-01T00:00:00"/>
    <n v="5356.93"/>
    <n v="1402504"/>
    <s v="TTM"/>
    <s v="Social-TikTok"/>
    <s v="TikTok"/>
  </r>
  <r>
    <s v="Biolage"/>
    <x v="1"/>
    <x v="0"/>
    <s v="TikTok"/>
    <s v="Ulta"/>
    <x v="94"/>
    <d v="2025-01-01T00:00:00"/>
    <n v="59325.53"/>
    <n v="13602599"/>
    <s v="TTM"/>
    <s v="Social-TikTok"/>
    <s v="Ulta"/>
  </r>
  <r>
    <s v="Biolage"/>
    <x v="1"/>
    <x v="1"/>
    <s v="Amazon"/>
    <s v="Amazon"/>
    <x v="94"/>
    <d v="2025-01-01T00:00:00"/>
    <n v="8489.9249"/>
    <n v="1704680"/>
    <s v="TTM"/>
    <s v="Display-Amazon"/>
    <s v="Amazon"/>
  </r>
  <r>
    <s v="Biolage"/>
    <x v="1"/>
    <x v="2"/>
    <s v="Amazon"/>
    <s v="Amazon"/>
    <x v="94"/>
    <d v="2025-01-01T00:00:00"/>
    <n v="14288.950000000006"/>
    <n v="1980216"/>
    <s v="TTM"/>
    <s v="Search-Amazon"/>
    <s v="Amazon"/>
  </r>
  <r>
    <s v="Biolage"/>
    <x v="0"/>
    <x v="1"/>
    <s v="Amazon"/>
    <s v="Amazon"/>
    <x v="94"/>
    <d v="2025-01-01T00:00:00"/>
    <n v="1816.3647999999998"/>
    <n v="260773"/>
    <s v="TTM"/>
    <s v="Display-Amazon"/>
    <s v="Amazon"/>
  </r>
  <r>
    <s v="Biolage"/>
    <x v="0"/>
    <x v="2"/>
    <s v="Amazon"/>
    <s v="Amazon"/>
    <x v="94"/>
    <d v="2025-01-01T00:00:00"/>
    <n v="5812.74"/>
    <n v="235145"/>
    <s v="TTM"/>
    <s v="Search-Amazon"/>
    <s v="Amazon"/>
  </r>
  <r>
    <s v="Biolage"/>
    <x v="2"/>
    <x v="1"/>
    <s v="Amazon"/>
    <s v="Amazon"/>
    <x v="94"/>
    <d v="2025-01-01T00:00:00"/>
    <n v="8466.5890000000054"/>
    <n v="2033389"/>
    <s v="TTM"/>
    <s v="Display-Amazon"/>
    <s v="Amazon"/>
  </r>
  <r>
    <s v="Biolage"/>
    <x v="2"/>
    <x v="2"/>
    <s v="Amazon"/>
    <s v="Amazon"/>
    <x v="94"/>
    <d v="2025-01-01T00:00:00"/>
    <n v="14805.809999999998"/>
    <n v="2129684"/>
    <s v="TTM"/>
    <s v="Search-Amazon"/>
    <s v="Amazon"/>
  </r>
  <r>
    <s v="Biolage"/>
    <x v="3"/>
    <x v="1"/>
    <s v="Amazon"/>
    <s v="Amazon"/>
    <x v="94"/>
    <d v="2025-01-01T00:00:00"/>
    <n v="5896.0440999999973"/>
    <n v="959634"/>
    <s v="TTM"/>
    <s v="Display-Amazon"/>
    <s v="Amazon"/>
  </r>
  <r>
    <s v="Biolage"/>
    <x v="3"/>
    <x v="2"/>
    <s v="Amazon"/>
    <s v="Amazon"/>
    <x v="94"/>
    <d v="2025-01-01T00:00:00"/>
    <n v="5024.0800000000027"/>
    <n v="696722"/>
    <s v="TTM"/>
    <s v="Search-Amazon"/>
    <s v="Amazon"/>
  </r>
  <r>
    <s v="Biolage"/>
    <x v="4"/>
    <x v="1"/>
    <s v="Amazon"/>
    <s v="Amazon"/>
    <x v="94"/>
    <d v="2025-01-01T00:00:00"/>
    <n v="5866.896200000001"/>
    <n v="1164750"/>
    <s v="TTM"/>
    <s v="Display-Amazon"/>
    <s v="Amazon"/>
  </r>
  <r>
    <s v="Biolage"/>
    <x v="4"/>
    <x v="2"/>
    <s v="Amazon"/>
    <s v="Amazon"/>
    <x v="94"/>
    <d v="2025-01-01T00:00:00"/>
    <n v="12109.039999999997"/>
    <n v="2199563"/>
    <s v="TTM"/>
    <s v="Search-Amazon"/>
    <s v="Amazon"/>
  </r>
  <r>
    <s v="Biolage"/>
    <x v="5"/>
    <x v="1"/>
    <s v="Amazon"/>
    <s v="Amazon"/>
    <x v="94"/>
    <d v="2025-01-01T00:00:00"/>
    <n v="6216.9302000000007"/>
    <n v="2042814"/>
    <s v="TTM"/>
    <s v="Display-Amazon"/>
    <s v="Amazon"/>
  </r>
  <r>
    <s v="Biolage"/>
    <x v="5"/>
    <x v="2"/>
    <s v="Amazon"/>
    <s v="Amazon"/>
    <x v="94"/>
    <d v="2025-01-01T00:00:00"/>
    <n v="4831.3300000000008"/>
    <n v="720939"/>
    <s v="TTM"/>
    <s v="Search-Amazon"/>
    <s v="Amazon"/>
  </r>
  <r>
    <s v="Biolage"/>
    <x v="0"/>
    <x v="0"/>
    <s v="Meta"/>
    <s v="Amazon"/>
    <x v="95"/>
    <d v="2025-01-01T00:00:00"/>
    <n v="5650.3099989999992"/>
    <n v="1197599"/>
    <s v="TTM"/>
    <s v="Social-Meta"/>
    <s v="Meta"/>
  </r>
  <r>
    <s v="Biolage"/>
    <x v="0"/>
    <x v="0"/>
    <s v="Meta"/>
    <s v="Ulta"/>
    <x v="95"/>
    <d v="2025-01-01T00:00:00"/>
    <n v="6649.5000030000001"/>
    <n v="1573947"/>
    <s v="TTM"/>
    <s v="Social-Meta"/>
    <s v="Ulta"/>
  </r>
  <r>
    <s v="Biolage"/>
    <x v="0"/>
    <x v="0"/>
    <s v="TikTok"/>
    <s v="Amazon"/>
    <x v="95"/>
    <d v="2025-01-01T00:00:00"/>
    <n v="10644.05"/>
    <n v="2784382"/>
    <s v="TTM"/>
    <s v="Social-TikTok"/>
    <s v="TikTok"/>
  </r>
  <r>
    <s v="Biolage"/>
    <x v="0"/>
    <x v="0"/>
    <s v="TikTok"/>
    <s v="Ulta"/>
    <x v="95"/>
    <d v="2025-01-01T00:00:00"/>
    <n v="12.120000000000001"/>
    <n v="3731"/>
    <s v="TTM"/>
    <s v="Social-TikTok"/>
    <s v="Ulta"/>
  </r>
  <r>
    <s v="Biolage"/>
    <x v="1"/>
    <x v="0"/>
    <s v="Meta"/>
    <s v="Amazon"/>
    <x v="95"/>
    <d v="2025-01-01T00:00:00"/>
    <n v="2959.32"/>
    <n v="133079"/>
    <s v="TTM"/>
    <s v="Social-Meta"/>
    <s v="Meta"/>
  </r>
  <r>
    <s v="Biolage"/>
    <x v="1"/>
    <x v="0"/>
    <s v="Meta"/>
    <s v="Ulta"/>
    <x v="95"/>
    <d v="2025-01-01T00:00:00"/>
    <n v="41346.440005000004"/>
    <n v="4796712"/>
    <s v="TTM"/>
    <s v="Social-Meta"/>
    <s v="Ulta"/>
  </r>
  <r>
    <s v="Biolage"/>
    <x v="1"/>
    <x v="0"/>
    <s v="TikTok"/>
    <s v="Amazon"/>
    <x v="95"/>
    <d v="2025-01-01T00:00:00"/>
    <n v="662.24999999999989"/>
    <n v="179329"/>
    <s v="TTM"/>
    <s v="Social-TikTok"/>
    <s v="TikTok"/>
  </r>
  <r>
    <s v="Biolage"/>
    <x v="1"/>
    <x v="0"/>
    <s v="TikTok"/>
    <s v="Ulta"/>
    <x v="95"/>
    <d v="2025-01-01T00:00:00"/>
    <n v="27364.320000000003"/>
    <n v="6632512"/>
    <s v="TTM"/>
    <s v="Social-TikTok"/>
    <s v="Ulta"/>
  </r>
  <r>
    <s v="Biolage"/>
    <x v="1"/>
    <x v="1"/>
    <s v="Amazon"/>
    <s v="Amazon"/>
    <x v="95"/>
    <d v="2025-01-01T00:00:00"/>
    <n v="8787.3733999999949"/>
    <n v="1801179"/>
    <s v="TTM"/>
    <s v="Display-Amazon"/>
    <s v="Amazon"/>
  </r>
  <r>
    <s v="Biolage"/>
    <x v="1"/>
    <x v="2"/>
    <s v="Amazon"/>
    <s v="Amazon"/>
    <x v="95"/>
    <d v="2025-01-01T00:00:00"/>
    <n v="18167.260000000013"/>
    <n v="2142866"/>
    <s v="TTM"/>
    <s v="Search-Amazon"/>
    <s v="Amazon"/>
  </r>
  <r>
    <s v="Biolage"/>
    <x v="0"/>
    <x v="1"/>
    <s v="Amazon"/>
    <s v="Amazon"/>
    <x v="95"/>
    <d v="2025-01-01T00:00:00"/>
    <n v="1835.7950999999998"/>
    <n v="237395"/>
    <s v="TTM"/>
    <s v="Display-Amazon"/>
    <s v="Amazon"/>
  </r>
  <r>
    <s v="Biolage"/>
    <x v="0"/>
    <x v="2"/>
    <s v="Amazon"/>
    <s v="Amazon"/>
    <x v="95"/>
    <d v="2025-01-01T00:00:00"/>
    <n v="7921.6600000000035"/>
    <n v="291939"/>
    <s v="TTM"/>
    <s v="Search-Amazon"/>
    <s v="Amazon"/>
  </r>
  <r>
    <s v="Biolage"/>
    <x v="2"/>
    <x v="1"/>
    <s v="Amazon"/>
    <s v="Amazon"/>
    <x v="95"/>
    <d v="2025-01-01T00:00:00"/>
    <n v="8463.5318999999981"/>
    <n v="2121624"/>
    <s v="TTM"/>
    <s v="Display-Amazon"/>
    <s v="Amazon"/>
  </r>
  <r>
    <s v="Biolage"/>
    <x v="2"/>
    <x v="2"/>
    <s v="Amazon"/>
    <s v="Amazon"/>
    <x v="95"/>
    <d v="2025-01-01T00:00:00"/>
    <n v="19654.550000000003"/>
    <n v="2718498"/>
    <s v="TTM"/>
    <s v="Search-Amazon"/>
    <s v="Amazon"/>
  </r>
  <r>
    <s v="Biolage"/>
    <x v="3"/>
    <x v="1"/>
    <s v="Amazon"/>
    <s v="Amazon"/>
    <x v="95"/>
    <d v="2025-01-01T00:00:00"/>
    <n v="5758.6119000000008"/>
    <n v="905307"/>
    <s v="TTM"/>
    <s v="Display-Amazon"/>
    <s v="Amazon"/>
  </r>
  <r>
    <s v="Biolage"/>
    <x v="3"/>
    <x v="2"/>
    <s v="Amazon"/>
    <s v="Amazon"/>
    <x v="95"/>
    <d v="2025-01-01T00:00:00"/>
    <n v="8380.9799999999959"/>
    <n v="980084"/>
    <s v="TTM"/>
    <s v="Search-Amazon"/>
    <s v="Amazon"/>
  </r>
  <r>
    <s v="Biolage"/>
    <x v="4"/>
    <x v="1"/>
    <s v="Amazon"/>
    <s v="Amazon"/>
    <x v="95"/>
    <d v="2025-01-01T00:00:00"/>
    <n v="5831.7265000000034"/>
    <n v="1290810"/>
    <s v="TTM"/>
    <s v="Display-Amazon"/>
    <s v="Amazon"/>
  </r>
  <r>
    <s v="Biolage"/>
    <x v="4"/>
    <x v="2"/>
    <s v="Amazon"/>
    <s v="Amazon"/>
    <x v="95"/>
    <d v="2025-01-01T00:00:00"/>
    <n v="11552.710000000005"/>
    <n v="2126641"/>
    <s v="TTM"/>
    <s v="Search-Amazon"/>
    <s v="Amazon"/>
  </r>
  <r>
    <s v="Biolage"/>
    <x v="5"/>
    <x v="1"/>
    <s v="Amazon"/>
    <s v="Amazon"/>
    <x v="95"/>
    <d v="2025-01-01T00:00:00"/>
    <n v="6159.4135000000006"/>
    <n v="1991466"/>
    <s v="TTM"/>
    <s v="Display-Amazon"/>
    <s v="Amazon"/>
  </r>
  <r>
    <s v="Biolage"/>
    <x v="5"/>
    <x v="2"/>
    <s v="Amazon"/>
    <s v="Amazon"/>
    <x v="95"/>
    <d v="2025-01-01T00:00:00"/>
    <n v="4236.9599999999991"/>
    <n v="649349"/>
    <s v="TTM"/>
    <s v="Search-Amazon"/>
    <s v="Amazon"/>
  </r>
  <r>
    <s v="Biolage"/>
    <x v="0"/>
    <x v="0"/>
    <s v="Meta"/>
    <s v="Amazon"/>
    <x v="96"/>
    <d v="2025-01-01T00:00:00"/>
    <n v="3226.4100000000008"/>
    <n v="644320"/>
    <s v="TTM"/>
    <s v="Social-Meta"/>
    <s v="Meta"/>
  </r>
  <r>
    <s v="Biolage"/>
    <x v="0"/>
    <x v="0"/>
    <s v="Meta"/>
    <s v="Ulta"/>
    <x v="96"/>
    <d v="2025-01-01T00:00:00"/>
    <n v="3316.6100040000001"/>
    <n v="746214"/>
    <s v="TTM"/>
    <s v="Social-Meta"/>
    <s v="Ulta"/>
  </r>
  <r>
    <s v="Biolage"/>
    <x v="0"/>
    <x v="0"/>
    <s v="TikTok"/>
    <s v="Amazon"/>
    <x v="96"/>
    <d v="2025-01-01T00:00:00"/>
    <n v="2939.98"/>
    <n v="707774"/>
    <s v="TTM"/>
    <s v="Social-TikTok"/>
    <s v="TikTok"/>
  </r>
  <r>
    <s v="Biolage"/>
    <x v="0"/>
    <x v="0"/>
    <s v="TikTok"/>
    <s v="Ulta"/>
    <x v="96"/>
    <d v="2025-01-01T00:00:00"/>
    <n v="8.01"/>
    <n v="2643"/>
    <s v="TTM"/>
    <s v="Social-TikTok"/>
    <s v="Ulta"/>
  </r>
  <r>
    <s v="Biolage"/>
    <x v="13"/>
    <x v="0"/>
    <s v="Meta"/>
    <s v="Amazon"/>
    <x v="96"/>
    <d v="2025-01-01T00:00:00"/>
    <n v="2330.3100000000004"/>
    <n v="617631"/>
    <s v="TTM"/>
    <s v="Social-Meta"/>
    <s v="Meta"/>
  </r>
  <r>
    <s v="Biolage"/>
    <x v="13"/>
    <x v="0"/>
    <s v="Meta"/>
    <s v="Ulta"/>
    <x v="96"/>
    <d v="2025-01-01T00:00:00"/>
    <n v="6046.8999989999993"/>
    <n v="761793"/>
    <s v="TTM"/>
    <s v="Social-Meta"/>
    <s v="Ulta"/>
  </r>
  <r>
    <s v="Biolage"/>
    <x v="1"/>
    <x v="0"/>
    <s v="Meta"/>
    <s v="Amazon"/>
    <x v="96"/>
    <d v="2025-01-01T00:00:00"/>
    <n v="2386.4699969999997"/>
    <n v="102518"/>
    <s v="TTM"/>
    <s v="Social-Meta"/>
    <s v="Meta"/>
  </r>
  <r>
    <s v="Biolage"/>
    <x v="1"/>
    <x v="0"/>
    <s v="Meta"/>
    <s v="Ulta"/>
    <x v="96"/>
    <d v="2025-01-01T00:00:00"/>
    <n v="33299.620000000003"/>
    <n v="3939938"/>
    <s v="TTM"/>
    <s v="Social-Meta"/>
    <s v="Ulta"/>
  </r>
  <r>
    <s v="Biolage"/>
    <x v="1"/>
    <x v="1"/>
    <s v="Amazon"/>
    <s v="Amazon"/>
    <x v="96"/>
    <d v="2025-01-01T00:00:00"/>
    <n v="7860.3681000000006"/>
    <n v="1353918"/>
    <s v="TTM"/>
    <s v="Display-Amazon"/>
    <s v="Amazon"/>
  </r>
  <r>
    <s v="Biolage"/>
    <x v="1"/>
    <x v="2"/>
    <s v="Amazon"/>
    <s v="Amazon"/>
    <x v="96"/>
    <d v="2025-01-01T00:00:00"/>
    <n v="20544.129999999997"/>
    <n v="2686119"/>
    <s v="TTM"/>
    <s v="Search-Amazon"/>
    <s v="Amazon"/>
  </r>
  <r>
    <s v="Biolage"/>
    <x v="0"/>
    <x v="1"/>
    <s v="Amazon"/>
    <s v="Amazon"/>
    <x v="96"/>
    <d v="2025-01-01T00:00:00"/>
    <n v="1593.8263000000002"/>
    <n v="249500"/>
    <s v="TTM"/>
    <s v="Display-Amazon"/>
    <s v="Amazon"/>
  </r>
  <r>
    <s v="Biolage"/>
    <x v="0"/>
    <x v="3"/>
    <s v="Amazon"/>
    <s v="Amazon"/>
    <x v="96"/>
    <d v="2025-01-01T00:00:00"/>
    <n v="8507.5246000000006"/>
    <n v="777792"/>
    <s v="TTM"/>
    <s v="OTT-Amazon"/>
    <s v="Amazon"/>
  </r>
  <r>
    <s v="Biolage"/>
    <x v="0"/>
    <x v="2"/>
    <s v="Amazon"/>
    <s v="Amazon"/>
    <x v="96"/>
    <d v="2025-01-01T00:00:00"/>
    <n v="12181.109999999993"/>
    <n v="480182"/>
    <s v="TTM"/>
    <s v="Search-Amazon"/>
    <s v="Amazon"/>
  </r>
  <r>
    <s v="Biolage"/>
    <x v="2"/>
    <x v="1"/>
    <s v="Amazon"/>
    <s v="Amazon"/>
    <x v="96"/>
    <d v="2025-01-01T00:00:00"/>
    <n v="7546.3607000000011"/>
    <n v="1884361"/>
    <s v="TTM"/>
    <s v="Display-Amazon"/>
    <s v="Amazon"/>
  </r>
  <r>
    <s v="Biolage"/>
    <x v="2"/>
    <x v="2"/>
    <s v="Amazon"/>
    <s v="Amazon"/>
    <x v="96"/>
    <d v="2025-01-01T00:00:00"/>
    <n v="19391.520000000004"/>
    <n v="2725620"/>
    <s v="TTM"/>
    <s v="Search-Amazon"/>
    <s v="Amazon"/>
  </r>
  <r>
    <s v="Biolage"/>
    <x v="3"/>
    <x v="1"/>
    <s v="Amazon"/>
    <s v="Amazon"/>
    <x v="96"/>
    <d v="2025-01-01T00:00:00"/>
    <n v="5251.421000000003"/>
    <n v="981304"/>
    <s v="TTM"/>
    <s v="Display-Amazon"/>
    <s v="Amazon"/>
  </r>
  <r>
    <s v="Biolage"/>
    <x v="3"/>
    <x v="2"/>
    <s v="Amazon"/>
    <s v="Amazon"/>
    <x v="96"/>
    <d v="2025-01-01T00:00:00"/>
    <n v="8360.7899999999972"/>
    <n v="1071401"/>
    <s v="TTM"/>
    <s v="Search-Amazon"/>
    <s v="Amazon"/>
  </r>
  <r>
    <s v="Biolage"/>
    <x v="4"/>
    <x v="1"/>
    <s v="Amazon"/>
    <s v="Amazon"/>
    <x v="96"/>
    <d v="2025-01-01T00:00:00"/>
    <n v="5033.9136000000008"/>
    <n v="1292797"/>
    <s v="TTM"/>
    <s v="Display-Amazon"/>
    <s v="Amazon"/>
  </r>
  <r>
    <s v="Biolage"/>
    <x v="4"/>
    <x v="2"/>
    <s v="Amazon"/>
    <s v="Amazon"/>
    <x v="96"/>
    <d v="2025-01-01T00:00:00"/>
    <n v="10520.53"/>
    <n v="2178083"/>
    <s v="TTM"/>
    <s v="Search-Amazon"/>
    <s v="Amazon"/>
  </r>
  <r>
    <s v="Biolage"/>
    <x v="5"/>
    <x v="1"/>
    <s v="Amazon"/>
    <s v="Amazon"/>
    <x v="96"/>
    <d v="2025-01-01T00:00:00"/>
    <n v="5433.8285999999998"/>
    <n v="1600027"/>
    <s v="TTM"/>
    <s v="Display-Amazon"/>
    <s v="Amazon"/>
  </r>
  <r>
    <s v="Biolage"/>
    <x v="5"/>
    <x v="2"/>
    <s v="Amazon"/>
    <s v="Amazon"/>
    <x v="96"/>
    <d v="2025-01-01T00:00:00"/>
    <n v="3745.2"/>
    <n v="592822"/>
    <s v="TTM"/>
    <s v="Search-Amazon"/>
    <s v="Amazon"/>
  </r>
  <r>
    <s v="Biolage"/>
    <x v="0"/>
    <x v="0"/>
    <s v="Meta"/>
    <s v="Amazon"/>
    <x v="97"/>
    <d v="2025-01-01T00:00:00"/>
    <n v="8820.0599899999997"/>
    <n v="1753731"/>
    <s v="TTM"/>
    <s v="Social-Meta"/>
    <s v="Meta"/>
  </r>
  <r>
    <s v="Biolage"/>
    <x v="0"/>
    <x v="0"/>
    <s v="Meta"/>
    <s v="Ulta"/>
    <x v="97"/>
    <d v="2025-01-01T00:00:00"/>
    <n v="646.54000299999996"/>
    <n v="131682"/>
    <s v="TTM"/>
    <s v="Social-Meta"/>
    <s v="Ulta"/>
  </r>
  <r>
    <s v="Biolage"/>
    <x v="0"/>
    <x v="0"/>
    <s v="TikTok"/>
    <s v="Ulta"/>
    <x v="97"/>
    <d v="2025-01-01T00:00:00"/>
    <n v="4403.91"/>
    <n v="1469491"/>
    <s v="TTM"/>
    <s v="Social-TikTok"/>
    <s v="Ulta"/>
  </r>
  <r>
    <s v="Biolage"/>
    <x v="13"/>
    <x v="0"/>
    <s v="Meta"/>
    <s v="Amazon"/>
    <x v="97"/>
    <d v="2025-01-01T00:00:00"/>
    <n v="9358.3799990000007"/>
    <n v="2475528"/>
    <s v="TTM"/>
    <s v="Social-Meta"/>
    <s v="Meta"/>
  </r>
  <r>
    <s v="Biolage"/>
    <x v="13"/>
    <x v="0"/>
    <s v="Meta"/>
    <s v="Ulta"/>
    <x v="97"/>
    <d v="2025-01-01T00:00:00"/>
    <n v="22076.550007999998"/>
    <n v="2728434"/>
    <s v="TTM"/>
    <s v="Social-Meta"/>
    <s v="Ulta"/>
  </r>
  <r>
    <s v="Biolage"/>
    <x v="1"/>
    <x v="1"/>
    <s v="Amazon"/>
    <s v="Amazon"/>
    <x v="97"/>
    <d v="2025-01-01T00:00:00"/>
    <n v="8512.7600999999977"/>
    <n v="1332419"/>
    <s v="TTM"/>
    <s v="Display-Amazon"/>
    <s v="Amazon"/>
  </r>
  <r>
    <s v="Biolage"/>
    <x v="1"/>
    <x v="2"/>
    <s v="Amazon"/>
    <s v="Amazon"/>
    <x v="97"/>
    <d v="2025-01-01T00:00:00"/>
    <n v="15275.289999999997"/>
    <n v="1817983"/>
    <s v="TTM"/>
    <s v="Search-Amazon"/>
    <s v="Amazon"/>
  </r>
  <r>
    <s v="Biolage"/>
    <x v="0"/>
    <x v="1"/>
    <s v="Amazon"/>
    <s v="Amazon"/>
    <x v="97"/>
    <d v="2025-01-01T00:00:00"/>
    <n v="1781.6534000000001"/>
    <n v="281602"/>
    <s v="TTM"/>
    <s v="Display-Amazon"/>
    <s v="Amazon"/>
  </r>
  <r>
    <s v="Biolage"/>
    <x v="0"/>
    <x v="3"/>
    <s v="Amazon"/>
    <s v="Amazon"/>
    <x v="97"/>
    <d v="2025-01-01T00:00:00"/>
    <n v="22785.651300000005"/>
    <n v="2619662"/>
    <s v="TTM"/>
    <s v="OTT-Amazon"/>
    <s v="Amazon"/>
  </r>
  <r>
    <s v="Biolage"/>
    <x v="0"/>
    <x v="2"/>
    <s v="Amazon"/>
    <s v="Amazon"/>
    <x v="97"/>
    <d v="2025-01-01T00:00:00"/>
    <n v="13053.08"/>
    <n v="598982"/>
    <s v="TTM"/>
    <s v="Search-Amazon"/>
    <s v="Amazon"/>
  </r>
  <r>
    <s v="Biolage"/>
    <x v="2"/>
    <x v="1"/>
    <s v="Amazon"/>
    <s v="Amazon"/>
    <x v="97"/>
    <d v="2025-01-01T00:00:00"/>
    <n v="8126.6434000000063"/>
    <n v="1756260"/>
    <s v="TTM"/>
    <s v="Display-Amazon"/>
    <s v="Amazon"/>
  </r>
  <r>
    <s v="Biolage"/>
    <x v="2"/>
    <x v="2"/>
    <s v="Amazon"/>
    <s v="Amazon"/>
    <x v="97"/>
    <d v="2025-01-01T00:00:00"/>
    <n v="14111.450000000004"/>
    <n v="2089023"/>
    <s v="TTM"/>
    <s v="Search-Amazon"/>
    <s v="Amazon"/>
  </r>
  <r>
    <s v="Biolage"/>
    <x v="3"/>
    <x v="1"/>
    <s v="Amazon"/>
    <s v="Amazon"/>
    <x v="97"/>
    <d v="2025-01-01T00:00:00"/>
    <n v="5619.1816000000026"/>
    <n v="993272"/>
    <s v="TTM"/>
    <s v="Display-Amazon"/>
    <s v="Amazon"/>
  </r>
  <r>
    <s v="Biolage"/>
    <x v="3"/>
    <x v="2"/>
    <s v="Amazon"/>
    <s v="Amazon"/>
    <x v="97"/>
    <d v="2025-01-01T00:00:00"/>
    <n v="4768.9700000000012"/>
    <n v="770234"/>
    <s v="TTM"/>
    <s v="Search-Amazon"/>
    <s v="Amazon"/>
  </r>
  <r>
    <s v="Biolage"/>
    <x v="4"/>
    <x v="1"/>
    <s v="Amazon"/>
    <s v="Amazon"/>
    <x v="97"/>
    <d v="2025-01-01T00:00:00"/>
    <n v="5087.9211000000005"/>
    <n v="1049895"/>
    <s v="TTM"/>
    <s v="Display-Amazon"/>
    <s v="Amazon"/>
  </r>
  <r>
    <s v="Biolage"/>
    <x v="4"/>
    <x v="2"/>
    <s v="Amazon"/>
    <s v="Amazon"/>
    <x v="97"/>
    <d v="2025-01-01T00:00:00"/>
    <n v="8137.5899999999965"/>
    <n v="2037439"/>
    <s v="TTM"/>
    <s v="Search-Amazon"/>
    <s v="Amazon"/>
  </r>
  <r>
    <s v="Biolage"/>
    <x v="5"/>
    <x v="1"/>
    <s v="Amazon"/>
    <s v="Amazon"/>
    <x v="97"/>
    <d v="2025-01-01T00:00:00"/>
    <n v="5672.4155000000028"/>
    <n v="1651281"/>
    <s v="TTM"/>
    <s v="Display-Amazon"/>
    <s v="Amazon"/>
  </r>
  <r>
    <s v="Biolage"/>
    <x v="5"/>
    <x v="2"/>
    <s v="Amazon"/>
    <s v="Amazon"/>
    <x v="97"/>
    <d v="2025-01-01T00:00:00"/>
    <n v="3084.9799999999996"/>
    <n v="607753"/>
    <s v="TTM"/>
    <s v="Search-Amazon"/>
    <s v="Amazon"/>
  </r>
  <r>
    <s v="Biolage"/>
    <x v="0"/>
    <x v="0"/>
    <s v="Meta"/>
    <s v="Amazon"/>
    <x v="98"/>
    <d v="2025-01-01T00:00:00"/>
    <n v="9400.390003999999"/>
    <n v="1598978"/>
    <s v="TTM"/>
    <s v="Social-Meta"/>
    <s v="Meta"/>
  </r>
  <r>
    <s v="Biolage"/>
    <x v="0"/>
    <x v="0"/>
    <s v="Meta"/>
    <s v="Ulta"/>
    <x v="98"/>
    <d v="2025-01-01T00:00:00"/>
    <n v="1895.3499980000001"/>
    <n v="337849"/>
    <s v="TTM"/>
    <s v="Social-Meta"/>
    <s v="Ulta"/>
  </r>
  <r>
    <s v="Biolage"/>
    <x v="0"/>
    <x v="0"/>
    <s v="TikTok"/>
    <s v="Ulta"/>
    <x v="98"/>
    <d v="2025-01-01T00:00:00"/>
    <n v="13499.82"/>
    <n v="3456088"/>
    <s v="TTM"/>
    <s v="Social-TikTok"/>
    <s v="Ulta"/>
  </r>
  <r>
    <s v="Biolage"/>
    <x v="13"/>
    <x v="0"/>
    <s v="Meta"/>
    <s v="Amazon"/>
    <x v="98"/>
    <d v="2025-01-01T00:00:00"/>
    <n v="9370.0399949999992"/>
    <n v="1944035"/>
    <s v="TTM"/>
    <s v="Social-Meta"/>
    <s v="Meta"/>
  </r>
  <r>
    <s v="Biolage"/>
    <x v="13"/>
    <x v="0"/>
    <s v="Meta"/>
    <s v="Ulta"/>
    <x v="98"/>
    <d v="2025-01-01T00:00:00"/>
    <n v="21287.130004000002"/>
    <n v="2518405"/>
    <s v="TTM"/>
    <s v="Social-Meta"/>
    <s v="Ulta"/>
  </r>
  <r>
    <s v="Biolage"/>
    <x v="1"/>
    <x v="1"/>
    <s v="Amazon"/>
    <s v="Amazon"/>
    <x v="98"/>
    <d v="2025-01-01T00:00:00"/>
    <n v="8517.9958000000006"/>
    <n v="1368903"/>
    <s v="TTM"/>
    <s v="Display-Amazon"/>
    <s v="Amazon"/>
  </r>
  <r>
    <s v="Biolage"/>
    <x v="1"/>
    <x v="2"/>
    <s v="Amazon"/>
    <s v="Amazon"/>
    <x v="98"/>
    <d v="2025-01-01T00:00:00"/>
    <n v="14610.63"/>
    <n v="1991510"/>
    <s v="TTM"/>
    <s v="Search-Amazon"/>
    <s v="Amazon"/>
  </r>
  <r>
    <s v="Biolage"/>
    <x v="0"/>
    <x v="1"/>
    <s v="Amazon"/>
    <s v="Amazon"/>
    <x v="98"/>
    <d v="2025-01-01T00:00:00"/>
    <n v="1811.604"/>
    <n v="275084"/>
    <s v="TTM"/>
    <s v="Display-Amazon"/>
    <s v="Amazon"/>
  </r>
  <r>
    <s v="Biolage"/>
    <x v="0"/>
    <x v="3"/>
    <s v="Amazon"/>
    <s v="Amazon"/>
    <x v="98"/>
    <d v="2025-01-01T00:00:00"/>
    <n v="24157.396700000001"/>
    <n v="2716818"/>
    <s v="TTM"/>
    <s v="OTT-Amazon"/>
    <s v="Amazon"/>
  </r>
  <r>
    <s v="Biolage"/>
    <x v="0"/>
    <x v="2"/>
    <s v="Amazon"/>
    <s v="Amazon"/>
    <x v="98"/>
    <d v="2025-01-01T00:00:00"/>
    <n v="16050.230000000005"/>
    <n v="735038"/>
    <s v="TTM"/>
    <s v="Search-Amazon"/>
    <s v="Amazon"/>
  </r>
  <r>
    <s v="Biolage"/>
    <x v="2"/>
    <x v="1"/>
    <s v="Amazon"/>
    <s v="Amazon"/>
    <x v="98"/>
    <d v="2025-01-01T00:00:00"/>
    <n v="8172.514000000001"/>
    <n v="1993530"/>
    <s v="TTM"/>
    <s v="Display-Amazon"/>
    <s v="Amazon"/>
  </r>
  <r>
    <s v="Biolage"/>
    <x v="2"/>
    <x v="2"/>
    <s v="Amazon"/>
    <s v="Amazon"/>
    <x v="98"/>
    <d v="2025-01-01T00:00:00"/>
    <n v="13057.840000000006"/>
    <n v="1948863"/>
    <s v="TTM"/>
    <s v="Search-Amazon"/>
    <s v="Amazon"/>
  </r>
  <r>
    <s v="Biolage"/>
    <x v="3"/>
    <x v="1"/>
    <s v="Amazon"/>
    <s v="Amazon"/>
    <x v="98"/>
    <d v="2025-01-01T00:00:00"/>
    <n v="5533.3743000000004"/>
    <n v="944163"/>
    <s v="TTM"/>
    <s v="Display-Amazon"/>
    <s v="Amazon"/>
  </r>
  <r>
    <s v="Biolage"/>
    <x v="3"/>
    <x v="2"/>
    <s v="Amazon"/>
    <s v="Amazon"/>
    <x v="98"/>
    <d v="2025-01-01T00:00:00"/>
    <n v="4099.3500000000004"/>
    <n v="743408"/>
    <s v="TTM"/>
    <s v="Search-Amazon"/>
    <s v="Amazon"/>
  </r>
  <r>
    <s v="Biolage"/>
    <x v="4"/>
    <x v="1"/>
    <s v="Amazon"/>
    <s v="Amazon"/>
    <x v="98"/>
    <d v="2025-01-01T00:00:00"/>
    <n v="5092.7151999999996"/>
    <n v="1084087"/>
    <s v="TTM"/>
    <s v="Display-Amazon"/>
    <s v="Amazon"/>
  </r>
  <r>
    <s v="Biolage"/>
    <x v="4"/>
    <x v="2"/>
    <s v="Amazon"/>
    <s v="Amazon"/>
    <x v="98"/>
    <d v="2025-01-01T00:00:00"/>
    <n v="7662.8600000000015"/>
    <n v="1994089"/>
    <s v="TTM"/>
    <s v="Search-Amazon"/>
    <s v="Amazon"/>
  </r>
  <r>
    <s v="Biolage"/>
    <x v="5"/>
    <x v="1"/>
    <s v="Amazon"/>
    <s v="Amazon"/>
    <x v="98"/>
    <d v="2025-01-01T00:00:00"/>
    <n v="5726.5898000000016"/>
    <n v="1699015"/>
    <s v="TTM"/>
    <s v="Display-Amazon"/>
    <s v="Amazon"/>
  </r>
  <r>
    <s v="Biolage"/>
    <x v="5"/>
    <x v="2"/>
    <s v="Amazon"/>
    <s v="Amazon"/>
    <x v="98"/>
    <d v="2025-01-01T00:00:00"/>
    <n v="2678.1899999999991"/>
    <n v="675526"/>
    <s v="TTM"/>
    <s v="Search-Amazon"/>
    <s v="Amazon"/>
  </r>
  <r>
    <s v="Biolage"/>
    <x v="0"/>
    <x v="0"/>
    <s v="Meta"/>
    <s v="Amazon"/>
    <x v="99"/>
    <d v="2025-01-01T00:00:00"/>
    <n v="10024.770003999998"/>
    <n v="1577712"/>
    <s v="TTM"/>
    <s v="Social-Meta"/>
    <s v="Meta"/>
  </r>
  <r>
    <s v="Biolage"/>
    <x v="0"/>
    <x v="0"/>
    <s v="Meta"/>
    <s v="Ulta"/>
    <x v="99"/>
    <d v="2025-01-01T00:00:00"/>
    <n v="1296.4499979999998"/>
    <n v="216258"/>
    <s v="TTM"/>
    <s v="Social-Meta"/>
    <s v="Ulta"/>
  </r>
  <r>
    <s v="Biolage"/>
    <x v="0"/>
    <x v="0"/>
    <s v="TikTok"/>
    <s v="Ulta"/>
    <x v="99"/>
    <d v="2025-01-01T00:00:00"/>
    <n v="2106.66"/>
    <n v="514820"/>
    <s v="TTM"/>
    <s v="Social-TikTok"/>
    <s v="Ulta"/>
  </r>
  <r>
    <s v="Biolage"/>
    <x v="13"/>
    <x v="0"/>
    <s v="Meta"/>
    <s v="Amazon"/>
    <x v="99"/>
    <d v="2025-01-01T00:00:00"/>
    <n v="164.18"/>
    <n v="12632"/>
    <s v="TTM"/>
    <s v="Social-Meta"/>
    <s v="Meta"/>
  </r>
  <r>
    <s v="Biolage"/>
    <x v="13"/>
    <x v="0"/>
    <s v="Meta"/>
    <s v="Ulta"/>
    <x v="99"/>
    <d v="2025-01-01T00:00:00"/>
    <n v="30498.509989000002"/>
    <n v="3855759"/>
    <s v="TTM"/>
    <s v="Social-Meta"/>
    <s v="Ulta"/>
  </r>
  <r>
    <s v="Biolage"/>
    <x v="1"/>
    <x v="1"/>
    <s v="Amazon"/>
    <s v="Amazon"/>
    <x v="99"/>
    <d v="2025-01-01T00:00:00"/>
    <n v="8670.7272999999986"/>
    <n v="1722083"/>
    <s v="TTM"/>
    <s v="Display-Amazon"/>
    <s v="Amazon"/>
  </r>
  <r>
    <s v="Biolage"/>
    <x v="1"/>
    <x v="2"/>
    <s v="Amazon"/>
    <s v="Amazon"/>
    <x v="99"/>
    <d v="2025-01-01T00:00:00"/>
    <n v="23826.120000000003"/>
    <n v="2803426"/>
    <s v="TTM"/>
    <s v="Search-Amazon"/>
    <s v="Amazon"/>
  </r>
  <r>
    <s v="Biolage"/>
    <x v="0"/>
    <x v="1"/>
    <s v="Amazon"/>
    <s v="Amazon"/>
    <x v="99"/>
    <d v="2025-01-01T00:00:00"/>
    <n v="1781.5704000000001"/>
    <n v="236495"/>
    <s v="TTM"/>
    <s v="Display-Amazon"/>
    <s v="Amazon"/>
  </r>
  <r>
    <s v="Biolage"/>
    <x v="0"/>
    <x v="3"/>
    <s v="Amazon"/>
    <s v="Amazon"/>
    <x v="99"/>
    <d v="2025-01-01T00:00:00"/>
    <n v="24013.282599999995"/>
    <n v="2839878"/>
    <s v="TTM"/>
    <s v="OTT-Amazon"/>
    <s v="Amazon"/>
  </r>
  <r>
    <s v="Biolage"/>
    <x v="0"/>
    <x v="2"/>
    <s v="Amazon"/>
    <s v="Amazon"/>
    <x v="99"/>
    <d v="2025-01-01T00:00:00"/>
    <n v="8414.84"/>
    <n v="497238"/>
    <s v="TTM"/>
    <s v="Search-Amazon"/>
    <s v="Amazon"/>
  </r>
  <r>
    <s v="Biolage"/>
    <x v="2"/>
    <x v="1"/>
    <s v="Amazon"/>
    <s v="Amazon"/>
    <x v="99"/>
    <d v="2025-01-01T00:00:00"/>
    <n v="8177.1677"/>
    <n v="1978199"/>
    <s v="TTM"/>
    <s v="Display-Amazon"/>
    <s v="Amazon"/>
  </r>
  <r>
    <s v="Biolage"/>
    <x v="2"/>
    <x v="2"/>
    <s v="Amazon"/>
    <s v="Amazon"/>
    <x v="99"/>
    <d v="2025-01-01T00:00:00"/>
    <n v="10933.79"/>
    <n v="1571145"/>
    <s v="TTM"/>
    <s v="Search-Amazon"/>
    <s v="Amazon"/>
  </r>
  <r>
    <s v="Biolage"/>
    <x v="3"/>
    <x v="1"/>
    <s v="Amazon"/>
    <s v="Amazon"/>
    <x v="99"/>
    <d v="2025-01-01T00:00:00"/>
    <n v="5642.2011999999941"/>
    <n v="1003548"/>
    <s v="TTM"/>
    <s v="Display-Amazon"/>
    <s v="Amazon"/>
  </r>
  <r>
    <s v="Biolage"/>
    <x v="3"/>
    <x v="2"/>
    <s v="Amazon"/>
    <s v="Amazon"/>
    <x v="99"/>
    <d v="2025-01-01T00:00:00"/>
    <n v="4343.9799999999977"/>
    <n v="792197"/>
    <s v="TTM"/>
    <s v="Search-Amazon"/>
    <s v="Amazon"/>
  </r>
  <r>
    <s v="Biolage"/>
    <x v="4"/>
    <x v="1"/>
    <s v="Amazon"/>
    <s v="Amazon"/>
    <x v="99"/>
    <d v="2025-01-01T00:00:00"/>
    <n v="5059.7958999999983"/>
    <n v="1355982"/>
    <s v="TTM"/>
    <s v="Display-Amazon"/>
    <s v="Amazon"/>
  </r>
  <r>
    <s v="Biolage"/>
    <x v="4"/>
    <x v="2"/>
    <s v="Amazon"/>
    <s v="Amazon"/>
    <x v="99"/>
    <d v="2025-01-01T00:00:00"/>
    <n v="7587.0799999999981"/>
    <n v="2132222"/>
    <s v="TTM"/>
    <s v="Search-Amazon"/>
    <s v="Amazon"/>
  </r>
  <r>
    <s v="Biolage"/>
    <x v="5"/>
    <x v="1"/>
    <s v="Amazon"/>
    <s v="Amazon"/>
    <x v="99"/>
    <d v="2025-01-01T00:00:00"/>
    <n v="5762.631800000001"/>
    <n v="1955709"/>
    <s v="TTM"/>
    <s v="Display-Amazon"/>
    <s v="Amazon"/>
  </r>
  <r>
    <s v="Biolage"/>
    <x v="5"/>
    <x v="2"/>
    <s v="Amazon"/>
    <s v="Amazon"/>
    <x v="99"/>
    <d v="2025-01-01T00:00:00"/>
    <n v="2704.1"/>
    <n v="595901"/>
    <s v="TTM"/>
    <s v="Search-Amazon"/>
    <s v="Amazon"/>
  </r>
  <r>
    <s v="Biolage"/>
    <x v="0"/>
    <x v="0"/>
    <s v="Meta"/>
    <s v="Amazon"/>
    <x v="100"/>
    <d v="2025-01-01T00:00:00"/>
    <n v="8309.740006"/>
    <n v="1366302"/>
    <s v="TTM"/>
    <s v="Social-Meta"/>
    <s v="Meta"/>
  </r>
  <r>
    <s v="Biolage"/>
    <x v="0"/>
    <x v="0"/>
    <s v="Meta"/>
    <s v="Ulta"/>
    <x v="100"/>
    <d v="2025-01-01T00:00:00"/>
    <n v="1263.8499999999997"/>
    <n v="218948"/>
    <s v="TTM"/>
    <s v="Social-Meta"/>
    <s v="Ulta"/>
  </r>
  <r>
    <s v="Biolage"/>
    <x v="0"/>
    <x v="0"/>
    <s v="TikTok"/>
    <s v="Amazon"/>
    <x v="100"/>
    <d v="2025-01-01T00:00:00"/>
    <n v="1495.19"/>
    <n v="345275"/>
    <s v="TTM"/>
    <s v="Social-TikTok"/>
    <s v="TikTok"/>
  </r>
  <r>
    <s v="Biolage"/>
    <x v="13"/>
    <x v="0"/>
    <s v="Meta"/>
    <s v="Amazon"/>
    <x v="100"/>
    <d v="2025-01-01T00:00:00"/>
    <n v="279.79999800000002"/>
    <n v="17816"/>
    <s v="TTM"/>
    <s v="Social-Meta"/>
    <s v="Meta"/>
  </r>
  <r>
    <s v="Biolage"/>
    <x v="13"/>
    <x v="0"/>
    <s v="Meta"/>
    <s v="Ulta"/>
    <x v="100"/>
    <d v="2025-01-01T00:00:00"/>
    <n v="29961.190005000004"/>
    <n v="3828078"/>
    <s v="TTM"/>
    <s v="Social-Meta"/>
    <s v="Ulta"/>
  </r>
  <r>
    <s v="Biolage"/>
    <x v="1"/>
    <x v="1"/>
    <s v="Amazon"/>
    <s v="Amazon"/>
    <x v="100"/>
    <d v="2025-01-01T00:00:00"/>
    <n v="7711.7775000000047"/>
    <n v="2280198"/>
    <s v="TTM"/>
    <s v="Display-Amazon"/>
    <s v="Amazon"/>
  </r>
  <r>
    <s v="Biolage"/>
    <x v="1"/>
    <x v="2"/>
    <s v="Amazon"/>
    <s v="Amazon"/>
    <x v="100"/>
    <d v="2025-01-01T00:00:00"/>
    <n v="18021.63"/>
    <n v="2014084"/>
    <s v="TTM"/>
    <s v="Search-Amazon"/>
    <s v="Amazon"/>
  </r>
  <r>
    <s v="Biolage"/>
    <x v="0"/>
    <x v="1"/>
    <s v="Amazon"/>
    <s v="Amazon"/>
    <x v="100"/>
    <d v="2025-01-01T00:00:00"/>
    <n v="1606.3448999999998"/>
    <n v="197920"/>
    <s v="TTM"/>
    <s v="Display-Amazon"/>
    <s v="Amazon"/>
  </r>
  <r>
    <s v="Biolage"/>
    <x v="0"/>
    <x v="3"/>
    <s v="Amazon"/>
    <s v="Amazon"/>
    <x v="100"/>
    <d v="2025-01-01T00:00:00"/>
    <n v="44444.99629999997"/>
    <n v="3834368"/>
    <s v="TTM"/>
    <s v="OTT-Amazon"/>
    <s v="Amazon"/>
  </r>
  <r>
    <s v="Biolage"/>
    <x v="0"/>
    <x v="2"/>
    <s v="Amazon"/>
    <s v="Amazon"/>
    <x v="100"/>
    <d v="2025-01-01T00:00:00"/>
    <n v="12189.31"/>
    <n v="893453"/>
    <s v="TTM"/>
    <s v="Search-Amazon"/>
    <s v="Amazon"/>
  </r>
  <r>
    <s v="Biolage"/>
    <x v="2"/>
    <x v="1"/>
    <s v="Amazon"/>
    <s v="Amazon"/>
    <x v="100"/>
    <d v="2025-01-01T00:00:00"/>
    <n v="7496.534700000002"/>
    <n v="2333585"/>
    <s v="TTM"/>
    <s v="Display-Amazon"/>
    <s v="Amazon"/>
  </r>
  <r>
    <s v="Biolage"/>
    <x v="2"/>
    <x v="2"/>
    <s v="Amazon"/>
    <s v="Amazon"/>
    <x v="100"/>
    <d v="2025-01-01T00:00:00"/>
    <n v="8796.4200000000037"/>
    <n v="1437208"/>
    <s v="TTM"/>
    <s v="Search-Amazon"/>
    <s v="Amazon"/>
  </r>
  <r>
    <s v="Biolage"/>
    <x v="3"/>
    <x v="1"/>
    <s v="Amazon"/>
    <s v="Amazon"/>
    <x v="100"/>
    <d v="2025-01-01T00:00:00"/>
    <n v="5526.1924000000017"/>
    <n v="1267171"/>
    <s v="TTM"/>
    <s v="Display-Amazon"/>
    <s v="Amazon"/>
  </r>
  <r>
    <s v="Biolage"/>
    <x v="3"/>
    <x v="2"/>
    <s v="Amazon"/>
    <s v="Amazon"/>
    <x v="100"/>
    <d v="2025-01-01T00:00:00"/>
    <n v="4381.47"/>
    <n v="868333"/>
    <s v="TTM"/>
    <s v="Search-Amazon"/>
    <s v="Amazon"/>
  </r>
  <r>
    <s v="Biolage"/>
    <x v="4"/>
    <x v="1"/>
    <s v="Amazon"/>
    <s v="Amazon"/>
    <x v="100"/>
    <d v="2025-01-01T00:00:00"/>
    <n v="4628.8854000000001"/>
    <n v="1417167"/>
    <s v="TTM"/>
    <s v="Display-Amazon"/>
    <s v="Amazon"/>
  </r>
  <r>
    <s v="Biolage"/>
    <x v="4"/>
    <x v="2"/>
    <s v="Amazon"/>
    <s v="Amazon"/>
    <x v="100"/>
    <d v="2025-01-01T00:00:00"/>
    <n v="6687.4899999999971"/>
    <n v="1775091"/>
    <s v="TTM"/>
    <s v="Search-Amazon"/>
    <s v="Amazon"/>
  </r>
  <r>
    <s v="Biolage"/>
    <x v="5"/>
    <x v="1"/>
    <s v="Amazon"/>
    <s v="Amazon"/>
    <x v="100"/>
    <d v="2025-01-01T00:00:00"/>
    <n v="5237.7758000000003"/>
    <n v="2042748"/>
    <s v="TTM"/>
    <s v="Display-Amazon"/>
    <s v="Amazon"/>
  </r>
  <r>
    <s v="Biolage"/>
    <x v="5"/>
    <x v="2"/>
    <s v="Amazon"/>
    <s v="Amazon"/>
    <x v="100"/>
    <d v="2025-01-01T00:00:00"/>
    <n v="2360.1700000000005"/>
    <n v="472228"/>
    <s v="TTM"/>
    <s v="Search-Amazon"/>
    <s v="Amazon"/>
  </r>
  <r>
    <s v="Biolage"/>
    <x v="0"/>
    <x v="0"/>
    <s v="Meta"/>
    <s v="Amazon"/>
    <x v="101"/>
    <d v="2025-01-01T00:00:00"/>
    <n v="8981.6999919999998"/>
    <n v="1381280"/>
    <s v="TTM"/>
    <s v="Social-Meta"/>
    <s v="Meta"/>
  </r>
  <r>
    <s v="Biolage"/>
    <x v="0"/>
    <x v="0"/>
    <s v="TikTok"/>
    <s v="Amazon"/>
    <x v="101"/>
    <d v="2025-01-01T00:00:00"/>
    <n v="5354.1999999999989"/>
    <n v="1448678"/>
    <s v="TTM"/>
    <s v="Social-TikTok"/>
    <s v="TikTok"/>
  </r>
  <r>
    <s v="Biolage"/>
    <x v="0"/>
    <x v="0"/>
    <s v="TikTok"/>
    <s v="Ulta"/>
    <x v="101"/>
    <d v="2025-01-01T00:00:00"/>
    <n v="4319.22"/>
    <n v="956796"/>
    <s v="TTM"/>
    <s v="Social-TikTok"/>
    <s v="Ulta"/>
  </r>
  <r>
    <s v="Biolage"/>
    <x v="13"/>
    <x v="0"/>
    <s v="Meta"/>
    <s v="Amazon"/>
    <x v="101"/>
    <d v="2025-01-01T00:00:00"/>
    <n v="12307.289990999998"/>
    <n v="1810566"/>
    <s v="TTM"/>
    <s v="Social-Meta"/>
    <s v="Meta"/>
  </r>
  <r>
    <s v="Biolage"/>
    <x v="13"/>
    <x v="0"/>
    <s v="Meta"/>
    <s v="Ulta"/>
    <x v="101"/>
    <d v="2025-01-01T00:00:00"/>
    <n v="17945.27"/>
    <n v="1955408"/>
    <s v="TTM"/>
    <s v="Social-Meta"/>
    <s v="Ulta"/>
  </r>
  <r>
    <s v="Biolage"/>
    <x v="13"/>
    <x v="0"/>
    <s v="Pinterest"/>
    <s v="Amazon"/>
    <x v="101"/>
    <d v="2025-01-01T00:00:00"/>
    <n v="2709.0638840000001"/>
    <n v="1247646"/>
    <s v="TTM"/>
    <s v="Social-Pinterest"/>
    <s v="Pinterest"/>
  </r>
  <r>
    <s v="Biolage"/>
    <x v="13"/>
    <x v="0"/>
    <s v="Pinterest"/>
    <s v="Ulta"/>
    <x v="101"/>
    <d v="2025-01-01T00:00:00"/>
    <n v="7321.2670310000003"/>
    <n v="3384057"/>
    <s v="TTM"/>
    <s v="Social-Pinterest"/>
    <s v="Ulta"/>
  </r>
  <r>
    <s v="Biolage"/>
    <x v="13"/>
    <x v="0"/>
    <s v="TikTok"/>
    <s v="Amazon"/>
    <x v="101"/>
    <d v="2025-01-01T00:00:00"/>
    <n v="98617.08"/>
    <n v="8351986"/>
    <s v="TTM"/>
    <s v="Social-TikTok"/>
    <s v="TikTok"/>
  </r>
  <r>
    <s v="Biolage"/>
    <x v="13"/>
    <x v="0"/>
    <s v="TikTok"/>
    <s v="Ulta"/>
    <x v="101"/>
    <d v="2025-01-01T00:00:00"/>
    <n v="74899.410000000018"/>
    <n v="10147501"/>
    <s v="TTM"/>
    <s v="Social-TikTok"/>
    <s v="Ulta"/>
  </r>
  <r>
    <s v="Biolage"/>
    <x v="1"/>
    <x v="1"/>
    <s v="Amazon"/>
    <s v="Amazon"/>
    <x v="101"/>
    <d v="2025-01-01T00:00:00"/>
    <n v="11190.289600000002"/>
    <n v="5696476"/>
    <s v="TTM"/>
    <s v="Display-Amazon"/>
    <s v="Amazon"/>
  </r>
  <r>
    <s v="Biolage"/>
    <x v="1"/>
    <x v="2"/>
    <s v="Amazon"/>
    <s v="Amazon"/>
    <x v="101"/>
    <d v="2025-01-01T00:00:00"/>
    <n v="20905.919999999995"/>
    <n v="2356586"/>
    <s v="TTM"/>
    <s v="Search-Amazon"/>
    <s v="Amazon"/>
  </r>
  <r>
    <s v="Biolage"/>
    <x v="0"/>
    <x v="1"/>
    <s v="Amazon"/>
    <s v="Amazon"/>
    <x v="101"/>
    <d v="2025-01-01T00:00:00"/>
    <n v="9534.2357999999986"/>
    <n v="5864470"/>
    <s v="TTM"/>
    <s v="Display-Amazon"/>
    <s v="Amazon"/>
  </r>
  <r>
    <s v="Biolage"/>
    <x v="0"/>
    <x v="3"/>
    <s v="Amazon"/>
    <s v="Amazon"/>
    <x v="101"/>
    <d v="2025-01-01T00:00:00"/>
    <n v="41723.29730000002"/>
    <n v="3529942"/>
    <s v="TTM"/>
    <s v="OTT-Amazon"/>
    <s v="Amazon"/>
  </r>
  <r>
    <s v="Biolage"/>
    <x v="0"/>
    <x v="2"/>
    <s v="Amazon"/>
    <s v="Amazon"/>
    <x v="101"/>
    <d v="2025-01-01T00:00:00"/>
    <n v="14789.17"/>
    <n v="864833"/>
    <s v="TTM"/>
    <s v="Search-Amazon"/>
    <s v="Amazon"/>
  </r>
  <r>
    <s v="Biolage"/>
    <x v="2"/>
    <x v="1"/>
    <s v="Amazon"/>
    <s v="Amazon"/>
    <x v="101"/>
    <d v="2025-01-01T00:00:00"/>
    <n v="10693.669100000005"/>
    <n v="5307333"/>
    <s v="TTM"/>
    <s v="Display-Amazon"/>
    <s v="Amazon"/>
  </r>
  <r>
    <s v="Biolage"/>
    <x v="2"/>
    <x v="2"/>
    <s v="Amazon"/>
    <s v="Amazon"/>
    <x v="101"/>
    <d v="2025-01-01T00:00:00"/>
    <n v="17545.849999999999"/>
    <n v="2237688"/>
    <s v="TTM"/>
    <s v="Search-Amazon"/>
    <s v="Amazon"/>
  </r>
  <r>
    <s v="Biolage"/>
    <x v="3"/>
    <x v="1"/>
    <s v="Amazon"/>
    <s v="Amazon"/>
    <x v="101"/>
    <d v="2025-01-01T00:00:00"/>
    <n v="9485.8097000000016"/>
    <n v="2035215"/>
    <s v="TTM"/>
    <s v="Display-Amazon"/>
    <s v="Amazon"/>
  </r>
  <r>
    <s v="Biolage"/>
    <x v="3"/>
    <x v="2"/>
    <s v="Amazon"/>
    <s v="Amazon"/>
    <x v="101"/>
    <d v="2025-01-01T00:00:00"/>
    <n v="6329.3999999999969"/>
    <n v="1182353"/>
    <s v="TTM"/>
    <s v="Search-Amazon"/>
    <s v="Amazon"/>
  </r>
  <r>
    <s v="Biolage"/>
    <x v="4"/>
    <x v="1"/>
    <s v="Amazon"/>
    <s v="Amazon"/>
    <x v="101"/>
    <d v="2025-01-01T00:00:00"/>
    <n v="8768.9116999999987"/>
    <n v="3505624"/>
    <s v="TTM"/>
    <s v="Display-Amazon"/>
    <s v="Amazon"/>
  </r>
  <r>
    <s v="Biolage"/>
    <x v="4"/>
    <x v="2"/>
    <s v="Amazon"/>
    <s v="Amazon"/>
    <x v="101"/>
    <d v="2025-01-01T00:00:00"/>
    <n v="12943.740000000005"/>
    <n v="1867668"/>
    <s v="TTM"/>
    <s v="Search-Amazon"/>
    <s v="Amazon"/>
  </r>
  <r>
    <s v="Biolage"/>
    <x v="5"/>
    <x v="1"/>
    <s v="Amazon"/>
    <s v="Amazon"/>
    <x v="101"/>
    <d v="2025-01-01T00:00:00"/>
    <n v="7503.4612999999972"/>
    <n v="3165898"/>
    <s v="TTM"/>
    <s v="Display-Amazon"/>
    <s v="Amazon"/>
  </r>
  <r>
    <s v="Biolage"/>
    <x v="5"/>
    <x v="2"/>
    <s v="Amazon"/>
    <s v="Amazon"/>
    <x v="101"/>
    <d v="2025-01-01T00:00:00"/>
    <n v="6263.8899999999994"/>
    <n v="581785"/>
    <s v="TTM"/>
    <s v="Search-Amazon"/>
    <s v="Amazon"/>
  </r>
  <r>
    <s v="Biolage"/>
    <x v="13"/>
    <x v="4"/>
    <s v="DDM "/>
    <s v="Amazon"/>
    <x v="101"/>
    <d v="2025-01-01T00:00:00"/>
    <n v="18951.04"/>
    <n v="1036757"/>
    <s v="TTM"/>
    <s v="CPP-DDM "/>
    <s v="Programmatic"/>
  </r>
  <r>
    <s v="Biolage"/>
    <x v="0"/>
    <x v="0"/>
    <s v="Meta"/>
    <s v="Amazon"/>
    <x v="102"/>
    <d v="2025-01-01T00:00:00"/>
    <n v="12282.270001999999"/>
    <n v="1482114"/>
    <s v="TTM"/>
    <s v="Social-Meta"/>
    <s v="Meta"/>
  </r>
  <r>
    <s v="Biolage"/>
    <x v="0"/>
    <x v="0"/>
    <s v="TikTok"/>
    <s v="Amazon"/>
    <x v="102"/>
    <d v="2025-01-01T00:00:00"/>
    <n v="0.41000000000000003"/>
    <n v="39"/>
    <s v="TTM"/>
    <s v="Social-TikTok"/>
    <s v="TikTok"/>
  </r>
  <r>
    <s v="Biolage"/>
    <x v="0"/>
    <x v="0"/>
    <s v="TikTok"/>
    <s v="Ulta"/>
    <x v="102"/>
    <d v="2025-01-01T00:00:00"/>
    <n v="12040.789999999999"/>
    <n v="2367185"/>
    <s v="TTM"/>
    <s v="Social-TikTok"/>
    <s v="Ulta"/>
  </r>
  <r>
    <s v="Biolage"/>
    <x v="13"/>
    <x v="0"/>
    <s v="Meta"/>
    <s v="Amazon"/>
    <x v="102"/>
    <d v="2025-01-01T00:00:00"/>
    <n v="11489.900003999999"/>
    <n v="1623404"/>
    <s v="TTM"/>
    <s v="Social-Meta"/>
    <s v="Meta"/>
  </r>
  <r>
    <s v="Biolage"/>
    <x v="13"/>
    <x v="0"/>
    <s v="Meta"/>
    <s v="Ulta"/>
    <x v="102"/>
    <d v="2025-01-01T00:00:00"/>
    <n v="18628.280005000001"/>
    <n v="1957157"/>
    <s v="TTM"/>
    <s v="Social-Meta"/>
    <s v="Ulta"/>
  </r>
  <r>
    <s v="Biolage"/>
    <x v="13"/>
    <x v="0"/>
    <s v="Pinterest"/>
    <s v="Amazon"/>
    <x v="102"/>
    <d v="2025-01-01T00:00:00"/>
    <n v="3011.8828819999999"/>
    <n v="1380515"/>
    <s v="TTM"/>
    <s v="Social-Pinterest"/>
    <s v="Pinterest"/>
  </r>
  <r>
    <s v="Biolage"/>
    <x v="13"/>
    <x v="0"/>
    <s v="Pinterest"/>
    <s v="Ulta"/>
    <x v="102"/>
    <d v="2025-01-01T00:00:00"/>
    <n v="9172.1963170000017"/>
    <n v="4164564"/>
    <s v="TTM"/>
    <s v="Social-Pinterest"/>
    <s v="Ulta"/>
  </r>
  <r>
    <s v="Biolage"/>
    <x v="13"/>
    <x v="0"/>
    <s v="TikTok"/>
    <s v="Amazon"/>
    <x v="102"/>
    <d v="2025-01-01T00:00:00"/>
    <n v="30096.099999999995"/>
    <n v="3559856"/>
    <s v="TTM"/>
    <s v="Social-TikTok"/>
    <s v="TikTok"/>
  </r>
  <r>
    <s v="Biolage"/>
    <x v="13"/>
    <x v="0"/>
    <s v="TikTok"/>
    <s v="Ulta"/>
    <x v="102"/>
    <d v="2025-01-01T00:00:00"/>
    <n v="46002.03"/>
    <n v="8675368"/>
    <s v="TTM"/>
    <s v="Social-TikTok"/>
    <s v="Ulta"/>
  </r>
  <r>
    <s v="Biolage"/>
    <x v="1"/>
    <x v="1"/>
    <s v="Amazon"/>
    <s v="Amazon"/>
    <x v="102"/>
    <d v="2025-01-01T00:00:00"/>
    <n v="12410.726399999998"/>
    <n v="6239219"/>
    <s v="TTM"/>
    <s v="Display-Amazon"/>
    <s v="Amazon"/>
  </r>
  <r>
    <s v="Biolage"/>
    <x v="1"/>
    <x v="2"/>
    <s v="Amazon"/>
    <s v="Amazon"/>
    <x v="102"/>
    <d v="2025-01-01T00:00:00"/>
    <n v="20418.84999999998"/>
    <n v="2156609"/>
    <s v="TTM"/>
    <s v="Search-Amazon"/>
    <s v="Amazon"/>
  </r>
  <r>
    <s v="Biolage"/>
    <x v="0"/>
    <x v="1"/>
    <s v="Amazon"/>
    <s v="Amazon"/>
    <x v="102"/>
    <d v="2025-01-01T00:00:00"/>
    <n v="9786.4768999999997"/>
    <n v="5996019"/>
    <s v="TTM"/>
    <s v="Display-Amazon"/>
    <s v="Amazon"/>
  </r>
  <r>
    <s v="Biolage"/>
    <x v="0"/>
    <x v="3"/>
    <s v="Amazon"/>
    <s v="Amazon"/>
    <x v="102"/>
    <d v="2025-01-01T00:00:00"/>
    <n v="32770.593000000023"/>
    <n v="2809293"/>
    <s v="TTM"/>
    <s v="OTT-Amazon"/>
    <s v="Amazon"/>
  </r>
  <r>
    <s v="Biolage"/>
    <x v="0"/>
    <x v="2"/>
    <s v="Amazon"/>
    <s v="Amazon"/>
    <x v="102"/>
    <d v="2025-01-01T00:00:00"/>
    <n v="15685.35"/>
    <n v="1010296"/>
    <s v="TTM"/>
    <s v="Search-Amazon"/>
    <s v="Amazon"/>
  </r>
  <r>
    <s v="Biolage"/>
    <x v="2"/>
    <x v="1"/>
    <s v="Amazon"/>
    <s v="Amazon"/>
    <x v="102"/>
    <d v="2025-01-01T00:00:00"/>
    <n v="12668.522499999997"/>
    <n v="6180854"/>
    <s v="TTM"/>
    <s v="Display-Amazon"/>
    <s v="Amazon"/>
  </r>
  <r>
    <s v="Biolage"/>
    <x v="2"/>
    <x v="2"/>
    <s v="Amazon"/>
    <s v="Amazon"/>
    <x v="102"/>
    <d v="2025-01-01T00:00:00"/>
    <n v="19847.09"/>
    <n v="2236322"/>
    <s v="TTM"/>
    <s v="Search-Amazon"/>
    <s v="Amazon"/>
  </r>
  <r>
    <s v="Biolage"/>
    <x v="3"/>
    <x v="1"/>
    <s v="Amazon"/>
    <s v="Amazon"/>
    <x v="102"/>
    <d v="2025-01-01T00:00:00"/>
    <n v="9818.1250999999975"/>
    <n v="3081455"/>
    <s v="TTM"/>
    <s v="Display-Amazon"/>
    <s v="Amazon"/>
  </r>
  <r>
    <s v="Biolage"/>
    <x v="3"/>
    <x v="2"/>
    <s v="Amazon"/>
    <s v="Amazon"/>
    <x v="102"/>
    <d v="2025-01-01T00:00:00"/>
    <n v="6930.8500000000022"/>
    <n v="1414174"/>
    <s v="TTM"/>
    <s v="Search-Amazon"/>
    <s v="Amazon"/>
  </r>
  <r>
    <s v="Biolage"/>
    <x v="4"/>
    <x v="1"/>
    <s v="Amazon"/>
    <s v="Amazon"/>
    <x v="102"/>
    <d v="2025-01-01T00:00:00"/>
    <n v="9116.9534999999978"/>
    <n v="3437513"/>
    <s v="TTM"/>
    <s v="Display-Amazon"/>
    <s v="Amazon"/>
  </r>
  <r>
    <s v="Biolage"/>
    <x v="4"/>
    <x v="2"/>
    <s v="Amazon"/>
    <s v="Amazon"/>
    <x v="102"/>
    <d v="2025-01-01T00:00:00"/>
    <n v="12279.090000000002"/>
    <n v="1457182"/>
    <s v="TTM"/>
    <s v="Search-Amazon"/>
    <s v="Amazon"/>
  </r>
  <r>
    <s v="Biolage"/>
    <x v="5"/>
    <x v="1"/>
    <s v="Amazon"/>
    <s v="Amazon"/>
    <x v="102"/>
    <d v="2025-01-01T00:00:00"/>
    <n v="8188.6156000000019"/>
    <n v="3162570"/>
    <s v="TTM"/>
    <s v="Display-Amazon"/>
    <s v="Amazon"/>
  </r>
  <r>
    <s v="Biolage"/>
    <x v="5"/>
    <x v="2"/>
    <s v="Amazon"/>
    <s v="Amazon"/>
    <x v="102"/>
    <d v="2025-01-01T00:00:00"/>
    <n v="7316.0799999999972"/>
    <n v="601357"/>
    <s v="TTM"/>
    <s v="Search-Amazon"/>
    <s v="Amazon"/>
  </r>
  <r>
    <s v="Biolage"/>
    <x v="6"/>
    <x v="2"/>
    <s v="Amazon"/>
    <s v="Amazon"/>
    <x v="102"/>
    <d v="2025-01-01T00:00:00"/>
    <n v="9.91"/>
    <n v="8085"/>
    <s v="TTM"/>
    <s v="Search-Amazon"/>
    <s v="Amazon"/>
  </r>
  <r>
    <s v="Biolage"/>
    <x v="13"/>
    <x v="4"/>
    <s v="DDM "/>
    <s v="Amazon"/>
    <x v="102"/>
    <d v="2025-01-01T00:00:00"/>
    <n v="24468.21"/>
    <n v="1415163"/>
    <s v="TTM"/>
    <s v="CPP-DDM "/>
    <s v="Programmatic"/>
  </r>
  <r>
    <s v="Biolage"/>
    <x v="0"/>
    <x v="0"/>
    <s v="Meta"/>
    <s v="Amazon"/>
    <x v="103"/>
    <d v="2025-01-01T00:00:00"/>
    <n v="7078.0999970000003"/>
    <n v="886913"/>
    <s v="TTM"/>
    <s v="Social-Meta"/>
    <s v="Meta"/>
  </r>
  <r>
    <s v="Biolage"/>
    <x v="0"/>
    <x v="0"/>
    <s v="TikTok"/>
    <s v="Amazon"/>
    <x v="103"/>
    <d v="2025-01-01T00:00:00"/>
    <n v="0.11"/>
    <n v="14"/>
    <s v="TTM"/>
    <s v="Social-TikTok"/>
    <s v="TikTok"/>
  </r>
  <r>
    <s v="Biolage"/>
    <x v="0"/>
    <x v="0"/>
    <s v="TikTok"/>
    <s v="Ulta"/>
    <x v="103"/>
    <d v="2025-01-01T00:00:00"/>
    <n v="6790.08"/>
    <n v="1232039"/>
    <s v="TTM"/>
    <s v="Social-TikTok"/>
    <s v="Ulta"/>
  </r>
  <r>
    <s v="Biolage"/>
    <x v="13"/>
    <x v="0"/>
    <s v="Meta"/>
    <s v="Amazon"/>
    <x v="103"/>
    <d v="2025-01-01T00:00:00"/>
    <n v="8325.4899990000013"/>
    <n v="1427702"/>
    <s v="TTM"/>
    <s v="Social-Meta"/>
    <s v="Meta"/>
  </r>
  <r>
    <s v="Biolage"/>
    <x v="13"/>
    <x v="0"/>
    <s v="Meta"/>
    <s v="Ulta"/>
    <x v="103"/>
    <d v="2025-01-01T00:00:00"/>
    <n v="22135.769990000001"/>
    <n v="2641544"/>
    <s v="TTM"/>
    <s v="Social-Meta"/>
    <s v="Ulta"/>
  </r>
  <r>
    <s v="Biolage"/>
    <x v="13"/>
    <x v="0"/>
    <s v="Pinterest"/>
    <s v="Amazon"/>
    <x v="103"/>
    <d v="2025-01-01T00:00:00"/>
    <n v="2216.2211049999996"/>
    <n v="1036744"/>
    <s v="TTM"/>
    <s v="Social-Pinterest"/>
    <s v="Pinterest"/>
  </r>
  <r>
    <s v="Biolage"/>
    <x v="13"/>
    <x v="0"/>
    <s v="Pinterest"/>
    <s v="Ulta"/>
    <x v="103"/>
    <d v="2025-01-01T00:00:00"/>
    <n v="9919.7558059999992"/>
    <n v="4593160"/>
    <s v="TTM"/>
    <s v="Social-Pinterest"/>
    <s v="Ulta"/>
  </r>
  <r>
    <s v="Biolage"/>
    <x v="13"/>
    <x v="0"/>
    <s v="TikTok"/>
    <s v="Amazon"/>
    <x v="103"/>
    <d v="2025-01-01T00:00:00"/>
    <n v="21537.98"/>
    <n v="3733581"/>
    <s v="TTM"/>
    <s v="Social-TikTok"/>
    <s v="TikTok"/>
  </r>
  <r>
    <s v="Biolage"/>
    <x v="13"/>
    <x v="0"/>
    <s v="TikTok"/>
    <s v="Ulta"/>
    <x v="103"/>
    <d v="2025-01-01T00:00:00"/>
    <n v="33288.71"/>
    <n v="6190838"/>
    <s v="TTM"/>
    <s v="Social-TikTok"/>
    <s v="Ulta"/>
  </r>
  <r>
    <s v="Biolage"/>
    <x v="1"/>
    <x v="1"/>
    <s v="Amazon"/>
    <s v="Amazon"/>
    <x v="103"/>
    <d v="2025-01-01T00:00:00"/>
    <n v="12479.397799999999"/>
    <n v="5142942"/>
    <s v="TTM"/>
    <s v="Display-Amazon"/>
    <s v="Amazon"/>
  </r>
  <r>
    <s v="Biolage"/>
    <x v="1"/>
    <x v="2"/>
    <s v="Amazon"/>
    <s v="Amazon"/>
    <x v="103"/>
    <d v="2025-01-01T00:00:00"/>
    <n v="19277.21000000001"/>
    <n v="2062113"/>
    <s v="TTM"/>
    <s v="Search-Amazon"/>
    <s v="Amazon"/>
  </r>
  <r>
    <s v="Biolage"/>
    <x v="0"/>
    <x v="1"/>
    <s v="Amazon"/>
    <s v="Amazon"/>
    <x v="103"/>
    <d v="2025-01-01T00:00:00"/>
    <n v="9828.9657999999999"/>
    <n v="5346268"/>
    <s v="TTM"/>
    <s v="Display-Amazon"/>
    <s v="Amazon"/>
  </r>
  <r>
    <s v="Biolage"/>
    <x v="0"/>
    <x v="3"/>
    <s v="Amazon"/>
    <s v="Amazon"/>
    <x v="103"/>
    <d v="2025-01-01T00:00:00"/>
    <n v="25464.323799999987"/>
    <n v="2070293"/>
    <s v="TTM"/>
    <s v="OTT-Amazon"/>
    <s v="Amazon"/>
  </r>
  <r>
    <s v="Biolage"/>
    <x v="0"/>
    <x v="2"/>
    <s v="Amazon"/>
    <s v="Amazon"/>
    <x v="103"/>
    <d v="2025-01-01T00:00:00"/>
    <n v="15722.250000000007"/>
    <n v="1762988"/>
    <s v="TTM"/>
    <s v="Search-Amazon"/>
    <s v="Amazon"/>
  </r>
  <r>
    <s v="Biolage"/>
    <x v="2"/>
    <x v="1"/>
    <s v="Amazon"/>
    <s v="Amazon"/>
    <x v="103"/>
    <d v="2025-01-01T00:00:00"/>
    <n v="12548.576799999999"/>
    <n v="5930461"/>
    <s v="TTM"/>
    <s v="Display-Amazon"/>
    <s v="Amazon"/>
  </r>
  <r>
    <s v="Biolage"/>
    <x v="2"/>
    <x v="2"/>
    <s v="Amazon"/>
    <s v="Amazon"/>
    <x v="103"/>
    <d v="2025-01-01T00:00:00"/>
    <n v="12027.609999999993"/>
    <n v="1183701"/>
    <s v="TTM"/>
    <s v="Search-Amazon"/>
    <s v="Amazon"/>
  </r>
  <r>
    <s v="Biolage"/>
    <x v="3"/>
    <x v="1"/>
    <s v="Amazon"/>
    <s v="Amazon"/>
    <x v="103"/>
    <d v="2025-01-01T00:00:00"/>
    <n v="9619.2668999999987"/>
    <n v="3345326"/>
    <s v="TTM"/>
    <s v="Display-Amazon"/>
    <s v="Amazon"/>
  </r>
  <r>
    <s v="Biolage"/>
    <x v="3"/>
    <x v="2"/>
    <s v="Amazon"/>
    <s v="Amazon"/>
    <x v="103"/>
    <d v="2025-01-01T00:00:00"/>
    <n v="12009.069999999998"/>
    <n v="1599490"/>
    <s v="TTM"/>
    <s v="Search-Amazon"/>
    <s v="Amazon"/>
  </r>
  <r>
    <s v="Biolage"/>
    <x v="4"/>
    <x v="1"/>
    <s v="Amazon"/>
    <s v="Amazon"/>
    <x v="103"/>
    <d v="2025-01-01T00:00:00"/>
    <n v="9158.1856000000007"/>
    <n v="3290186"/>
    <s v="TTM"/>
    <s v="Display-Amazon"/>
    <s v="Amazon"/>
  </r>
  <r>
    <s v="Biolage"/>
    <x v="4"/>
    <x v="2"/>
    <s v="Amazon"/>
    <s v="Amazon"/>
    <x v="103"/>
    <d v="2025-01-01T00:00:00"/>
    <n v="10397.57"/>
    <n v="1087899"/>
    <s v="TTM"/>
    <s v="Search-Amazon"/>
    <s v="Amazon"/>
  </r>
  <r>
    <s v="Biolage"/>
    <x v="5"/>
    <x v="1"/>
    <s v="Amazon"/>
    <s v="Amazon"/>
    <x v="103"/>
    <d v="2025-01-01T00:00:00"/>
    <n v="8045.3532999999989"/>
    <n v="3034864"/>
    <s v="TTM"/>
    <s v="Display-Amazon"/>
    <s v="Amazon"/>
  </r>
  <r>
    <s v="Biolage"/>
    <x v="5"/>
    <x v="2"/>
    <s v="Amazon"/>
    <s v="Amazon"/>
    <x v="103"/>
    <d v="2025-01-01T00:00:00"/>
    <n v="6248.5999999999976"/>
    <n v="437105"/>
    <s v="TTM"/>
    <s v="Search-Amazon"/>
    <s v="Amazon"/>
  </r>
  <r>
    <s v="Biolage"/>
    <x v="6"/>
    <x v="2"/>
    <s v="Amazon"/>
    <s v="Amazon"/>
    <x v="103"/>
    <d v="2025-01-01T00:00:00"/>
    <n v="2.99"/>
    <n v="5268"/>
    <s v="TTM"/>
    <s v="Search-Amazon"/>
    <s v="Amazon"/>
  </r>
  <r>
    <s v="Biolage"/>
    <x v="13"/>
    <x v="4"/>
    <s v="DDM "/>
    <s v="Amazon"/>
    <x v="103"/>
    <d v="2025-01-01T00:00:00"/>
    <n v="25189.440000000002"/>
    <n v="1904704"/>
    <s v="TTM"/>
    <s v="CPP-DDM "/>
    <s v="Programmatic"/>
  </r>
  <r>
    <s v="Biolage"/>
    <x v="13"/>
    <x v="0"/>
    <s v="Meta"/>
    <s v="Amazon"/>
    <x v="104"/>
    <d v="2025-01-01T00:00:00"/>
    <n v="11031.789997"/>
    <n v="1748720"/>
    <s v="TTM"/>
    <s v="Social-Meta"/>
    <s v="Meta"/>
  </r>
  <r>
    <s v="Biolage"/>
    <x v="13"/>
    <x v="0"/>
    <s v="Meta"/>
    <s v="Ulta"/>
    <x v="104"/>
    <d v="2025-01-01T00:00:00"/>
    <n v="19292.110008"/>
    <n v="2273732"/>
    <s v="TTM"/>
    <s v="Social-Meta"/>
    <s v="Ulta"/>
  </r>
  <r>
    <s v="Biolage"/>
    <x v="13"/>
    <x v="0"/>
    <s v="Pinterest"/>
    <s v="Amazon"/>
    <x v="104"/>
    <d v="2025-01-01T00:00:00"/>
    <n v="2380.7796990000002"/>
    <n v="1087890"/>
    <s v="TTM"/>
    <s v="Social-Pinterest"/>
    <s v="Pinterest"/>
  </r>
  <r>
    <s v="Biolage"/>
    <x v="13"/>
    <x v="0"/>
    <s v="Pinterest"/>
    <s v="Ulta"/>
    <x v="104"/>
    <d v="2025-01-01T00:00:00"/>
    <n v="9780.5517020000007"/>
    <n v="4416137"/>
    <s v="TTM"/>
    <s v="Social-Pinterest"/>
    <s v="Ulta"/>
  </r>
  <r>
    <s v="Biolage"/>
    <x v="13"/>
    <x v="0"/>
    <s v="TikTok"/>
    <s v="Amazon"/>
    <x v="104"/>
    <d v="2025-01-01T00:00:00"/>
    <n v="40513.660000000003"/>
    <n v="6523409"/>
    <s v="TTM"/>
    <s v="Social-TikTok"/>
    <s v="TikTok"/>
  </r>
  <r>
    <s v="Biolage"/>
    <x v="13"/>
    <x v="0"/>
    <s v="TikTok"/>
    <s v="Ulta"/>
    <x v="104"/>
    <d v="2025-01-01T00:00:00"/>
    <n v="14697.989999999996"/>
    <n v="2624177"/>
    <s v="TTM"/>
    <s v="Social-TikTok"/>
    <s v="Ulta"/>
  </r>
  <r>
    <s v="Biolage"/>
    <x v="1"/>
    <x v="1"/>
    <s v="Amazon"/>
    <s v="Amazon"/>
    <x v="104"/>
    <d v="2025-01-01T00:00:00"/>
    <n v="10634.857799999998"/>
    <n v="3783582"/>
    <s v="TTM"/>
    <s v="Display-Amazon"/>
    <s v="Amazon"/>
  </r>
  <r>
    <s v="Biolage"/>
    <x v="1"/>
    <x v="2"/>
    <s v="Amazon"/>
    <s v="Amazon"/>
    <x v="104"/>
    <d v="2025-01-01T00:00:00"/>
    <n v="12223.480000000001"/>
    <n v="1159472"/>
    <s v="TTM"/>
    <s v="Search-Amazon"/>
    <s v="Amazon"/>
  </r>
  <r>
    <s v="Biolage"/>
    <x v="0"/>
    <x v="1"/>
    <s v="Amazon"/>
    <s v="Amazon"/>
    <x v="104"/>
    <d v="2025-01-01T00:00:00"/>
    <n v="8438.7793999999994"/>
    <n v="3191834"/>
    <s v="TTM"/>
    <s v="Display-Amazon"/>
    <s v="Amazon"/>
  </r>
  <r>
    <s v="Biolage"/>
    <x v="0"/>
    <x v="3"/>
    <s v="Amazon"/>
    <s v="Amazon"/>
    <x v="104"/>
    <d v="2025-01-01T00:00:00"/>
    <n v="18826.381600000001"/>
    <n v="1483029"/>
    <s v="TTM"/>
    <s v="OTT-Amazon"/>
    <s v="Amazon"/>
  </r>
  <r>
    <s v="Biolage"/>
    <x v="0"/>
    <x v="2"/>
    <s v="Amazon"/>
    <s v="Amazon"/>
    <x v="104"/>
    <d v="2025-01-01T00:00:00"/>
    <n v="11872.499999999996"/>
    <n v="1574755"/>
    <s v="TTM"/>
    <s v="Search-Amazon"/>
    <s v="Amazon"/>
  </r>
  <r>
    <s v="Biolage"/>
    <x v="2"/>
    <x v="1"/>
    <s v="Amazon"/>
    <s v="Amazon"/>
    <x v="104"/>
    <d v="2025-01-01T00:00:00"/>
    <n v="11322.4141"/>
    <n v="3932780"/>
    <s v="TTM"/>
    <s v="Display-Amazon"/>
    <s v="Amazon"/>
  </r>
  <r>
    <s v="Biolage"/>
    <x v="2"/>
    <x v="2"/>
    <s v="Amazon"/>
    <s v="Amazon"/>
    <x v="104"/>
    <d v="2025-01-01T00:00:00"/>
    <n v="3918.61"/>
    <n v="471233"/>
    <s v="TTM"/>
    <s v="Search-Amazon"/>
    <s v="Amazon"/>
  </r>
  <r>
    <s v="Biolage"/>
    <x v="3"/>
    <x v="1"/>
    <s v="Amazon"/>
    <s v="Amazon"/>
    <x v="104"/>
    <d v="2025-01-01T00:00:00"/>
    <n v="9685.1985999999961"/>
    <n v="1831650"/>
    <s v="TTM"/>
    <s v="Display-Amazon"/>
    <s v="Amazon"/>
  </r>
  <r>
    <s v="Biolage"/>
    <x v="3"/>
    <x v="2"/>
    <s v="Amazon"/>
    <s v="Amazon"/>
    <x v="104"/>
    <d v="2025-01-01T00:00:00"/>
    <n v="11668.01999999999"/>
    <n v="1484478"/>
    <s v="TTM"/>
    <s v="Search-Amazon"/>
    <s v="Amazon"/>
  </r>
  <r>
    <s v="Biolage"/>
    <x v="4"/>
    <x v="1"/>
    <s v="Amazon"/>
    <s v="Amazon"/>
    <x v="104"/>
    <d v="2025-01-01T00:00:00"/>
    <n v="7839.1786999999995"/>
    <n v="2938080"/>
    <s v="TTM"/>
    <s v="Display-Amazon"/>
    <s v="Amazon"/>
  </r>
  <r>
    <s v="Biolage"/>
    <x v="4"/>
    <x v="2"/>
    <s v="Amazon"/>
    <s v="Amazon"/>
    <x v="104"/>
    <d v="2025-01-01T00:00:00"/>
    <n v="6088.409999999998"/>
    <n v="623050"/>
    <s v="TTM"/>
    <s v="Search-Amazon"/>
    <s v="Amazon"/>
  </r>
  <r>
    <s v="Biolage"/>
    <x v="5"/>
    <x v="1"/>
    <s v="Amazon"/>
    <s v="Amazon"/>
    <x v="104"/>
    <d v="2025-01-01T00:00:00"/>
    <n v="6786.2874999999985"/>
    <n v="2609058"/>
    <s v="TTM"/>
    <s v="Display-Amazon"/>
    <s v="Amazon"/>
  </r>
  <r>
    <s v="Biolage"/>
    <x v="5"/>
    <x v="2"/>
    <s v="Amazon"/>
    <s v="Amazon"/>
    <x v="104"/>
    <d v="2025-01-01T00:00:00"/>
    <n v="2274"/>
    <n v="135518"/>
    <s v="TTM"/>
    <s v="Search-Amazon"/>
    <s v="Amazon"/>
  </r>
  <r>
    <s v="Biolage"/>
    <x v="6"/>
    <x v="2"/>
    <s v="Amazon"/>
    <s v="Amazon"/>
    <x v="104"/>
    <d v="2025-01-01T00:00:00"/>
    <n v="2.16"/>
    <n v="3389"/>
    <s v="TTM"/>
    <s v="Search-Amazon"/>
    <s v="Amazon"/>
  </r>
  <r>
    <s v="Biolage"/>
    <x v="13"/>
    <x v="4"/>
    <s v="DDM "/>
    <s v="Amazon"/>
    <x v="104"/>
    <d v="2025-01-01T00:00:00"/>
    <n v="24270.75"/>
    <n v="1438910"/>
    <s v="TTM"/>
    <s v="CPP-DDM "/>
    <s v="Programmatic"/>
  </r>
  <r>
    <s v="Biolage"/>
    <x v="13"/>
    <x v="0"/>
    <s v="Meta"/>
    <s v="Amazon"/>
    <x v="105"/>
    <d v="2025-01-01T00:00:00"/>
    <n v="2842.2807999999995"/>
    <n v="367387"/>
    <s v="TTM"/>
    <s v="Social-Meta"/>
    <s v="Meta"/>
  </r>
  <r>
    <s v="Biolage"/>
    <x v="13"/>
    <x v="0"/>
    <s v="Meta"/>
    <s v="Ulta"/>
    <x v="105"/>
    <d v="2025-01-01T00:00:00"/>
    <n v="7547.1574310000015"/>
    <n v="965006"/>
    <s v="TTM"/>
    <s v="Social-Meta"/>
    <s v="Ulta"/>
  </r>
  <r>
    <s v="Biolage"/>
    <x v="13"/>
    <x v="0"/>
    <s v="Pinterest"/>
    <s v="Amazon"/>
    <x v="105"/>
    <d v="2025-01-01T00:00:00"/>
    <n v="748.67284599999994"/>
    <n v="371071"/>
    <s v="TTM"/>
    <s v="Social-Pinterest"/>
    <s v="Pinterest"/>
  </r>
  <r>
    <s v="Biolage"/>
    <x v="13"/>
    <x v="0"/>
    <s v="Pinterest"/>
    <s v="Ulta"/>
    <x v="105"/>
    <d v="2025-01-01T00:00:00"/>
    <n v="2739.6087280000002"/>
    <n v="1331946"/>
    <s v="TTM"/>
    <s v="Social-Pinterest"/>
    <s v="Ulta"/>
  </r>
  <r>
    <s v="Biolage"/>
    <x v="13"/>
    <x v="0"/>
    <s v="TikTok"/>
    <s v="Amazon"/>
    <x v="105"/>
    <d v="2025-01-01T00:00:00"/>
    <n v="14155.99"/>
    <n v="2289191"/>
    <s v="TTM"/>
    <s v="Social-TikTok"/>
    <s v="TikTok"/>
  </r>
  <r>
    <s v="Biolage"/>
    <x v="13"/>
    <x v="0"/>
    <s v="TikTok"/>
    <s v="Ulta"/>
    <x v="105"/>
    <d v="2025-01-01T00:00:00"/>
    <n v="1151.33"/>
    <n v="210299"/>
    <s v="TTM"/>
    <s v="Social-TikTok"/>
    <s v="Ulta"/>
  </r>
  <r>
    <s v="Biolage"/>
    <x v="1"/>
    <x v="0"/>
    <s v="TikTok"/>
    <s v="Amazon"/>
    <x v="105"/>
    <d v="2025-01-01T00:00:00"/>
    <n v="3284.99"/>
    <n v="239521"/>
    <s v="TTM"/>
    <s v="Social-TikTok"/>
    <s v="TikTok"/>
  </r>
  <r>
    <s v="Biolage"/>
    <x v="13"/>
    <x v="4"/>
    <s v="DDM "/>
    <s v="Amazon"/>
    <x v="105"/>
    <d v="2025-01-01T00:00:00"/>
    <n v="1795.91"/>
    <n v="124320"/>
    <s v="TTM"/>
    <s v="CPP-DDM "/>
    <s v="Programmatic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45B3B-E286-4867-8C79-CFC84C18F780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H224" firstHeaderRow="0" firstDataRow="1" firstDataCol="6"/>
  <pivotFields count="18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7"/>
        <item x="5"/>
        <item x="2"/>
        <item x="1"/>
        <item x="4"/>
        <item x="6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4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66" outline="0" showAll="0" defaultSubtotal="0">
      <items count="77">
        <item x="48"/>
        <item x="21"/>
        <item x="37"/>
        <item x="42"/>
        <item x="39"/>
        <item x="2"/>
        <item x="4"/>
        <item x="30"/>
        <item x="0"/>
        <item x="52"/>
        <item x="73"/>
        <item x="62"/>
        <item x="45"/>
        <item x="69"/>
        <item x="72"/>
        <item x="66"/>
        <item x="63"/>
        <item x="55"/>
        <item x="35"/>
        <item x="40"/>
        <item x="38"/>
        <item x="33"/>
        <item x="28"/>
        <item x="43"/>
        <item x="57"/>
        <item x="15"/>
        <item x="5"/>
        <item x="41"/>
        <item x="20"/>
        <item x="59"/>
        <item x="29"/>
        <item x="6"/>
        <item x="25"/>
        <item x="64"/>
        <item x="3"/>
        <item x="53"/>
        <item x="34"/>
        <item x="24"/>
        <item x="50"/>
        <item x="44"/>
        <item x="49"/>
        <item x="56"/>
        <item x="14"/>
        <item x="65"/>
        <item x="61"/>
        <item x="54"/>
        <item x="46"/>
        <item x="60"/>
        <item x="31"/>
        <item x="27"/>
        <item x="32"/>
        <item x="68"/>
        <item x="22"/>
        <item x="58"/>
        <item x="51"/>
        <item x="74"/>
        <item x="76"/>
        <item x="70"/>
        <item x="67"/>
        <item x="71"/>
        <item x="75"/>
        <item x="13"/>
        <item x="9"/>
        <item x="26"/>
        <item x="23"/>
        <item x="36"/>
        <item x="11"/>
        <item x="19"/>
        <item x="12"/>
        <item x="17"/>
        <item x="47"/>
        <item x="8"/>
        <item x="10"/>
        <item x="18"/>
        <item x="16"/>
        <item x="7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7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sd="0" x="0"/>
        <item sd="0" x="1"/>
        <item sd="0" x="2"/>
        <item sd="0"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5">
        <item sd="0" x="0"/>
        <item sd="0" x="1"/>
        <item sd="0" x="2"/>
        <item sd="0" x="3"/>
        <item sd="0"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4"/>
    <field x="1"/>
    <field x="6"/>
    <field x="9"/>
    <field x="5"/>
  </rowFields>
  <rowItems count="221">
    <i>
      <x/>
      <x/>
      <x/>
      <x/>
      <x v="64"/>
      <x v="2"/>
    </i>
    <i r="4">
      <x v="65"/>
      <x v="2"/>
    </i>
    <i r="4">
      <x v="66"/>
      <x v="2"/>
    </i>
    <i r="4">
      <x v="67"/>
      <x v="2"/>
    </i>
    <i r="4">
      <x v="68"/>
      <x v="2"/>
    </i>
    <i r="4">
      <x v="69"/>
      <x v="2"/>
    </i>
    <i r="4">
      <x v="70"/>
      <x v="2"/>
    </i>
    <i r="4">
      <x v="71"/>
      <x v="2"/>
    </i>
    <i r="4">
      <x v="72"/>
      <x v="2"/>
    </i>
    <i r="4">
      <x v="73"/>
      <x v="2"/>
    </i>
    <i r="4">
      <x v="74"/>
      <x v="2"/>
    </i>
    <i r="3">
      <x v="1"/>
      <x v="14"/>
      <x/>
    </i>
    <i r="4">
      <x v="15"/>
      <x/>
    </i>
    <i r="4">
      <x v="16"/>
      <x/>
    </i>
    <i r="4">
      <x v="53"/>
      <x v="1"/>
    </i>
    <i r="3">
      <x v="2"/>
      <x v="53"/>
      <x v="1"/>
    </i>
    <i r="4">
      <x v="54"/>
      <x v="1"/>
    </i>
    <i r="4">
      <x v="55"/>
      <x v="1"/>
    </i>
    <i r="4">
      <x v="56"/>
      <x v="2"/>
    </i>
    <i r="4">
      <x v="57"/>
      <x v="2"/>
    </i>
    <i r="4">
      <x v="58"/>
      <x v="2"/>
    </i>
    <i r="4">
      <x v="59"/>
      <x v="2"/>
    </i>
    <i r="4">
      <x v="60"/>
      <x v="2"/>
    </i>
    <i r="4">
      <x v="61"/>
      <x v="2"/>
    </i>
    <i r="4">
      <x v="62"/>
      <x v="2"/>
    </i>
    <i r="4">
      <x v="63"/>
      <x v="2"/>
    </i>
    <i r="4">
      <x v="64"/>
      <x v="2"/>
    </i>
    <i r="4">
      <x v="65"/>
      <x v="2"/>
    </i>
    <i r="4">
      <x v="66"/>
      <x v="2"/>
    </i>
    <i r="4">
      <x v="67"/>
      <x v="2"/>
    </i>
    <i r="4">
      <x v="68"/>
      <x v="2"/>
    </i>
    <i r="4">
      <x v="69"/>
      <x v="2"/>
    </i>
    <i r="4">
      <x v="70"/>
      <x v="2"/>
    </i>
    <i r="4">
      <x v="71"/>
      <x v="2"/>
    </i>
    <i r="2">
      <x v="1"/>
      <x/>
      <x/>
      <x/>
    </i>
    <i r="4">
      <x v="1"/>
      <x/>
    </i>
    <i r="4">
      <x v="2"/>
      <x/>
    </i>
    <i r="4">
      <x v="3"/>
      <x/>
    </i>
    <i r="4">
      <x v="4"/>
      <x/>
    </i>
    <i r="4">
      <x v="5"/>
      <x/>
    </i>
    <i r="4">
      <x v="6"/>
      <x/>
    </i>
    <i r="4">
      <x v="7"/>
      <x/>
    </i>
    <i r="4">
      <x v="8"/>
      <x/>
    </i>
    <i r="3">
      <x v="1"/>
      <x/>
      <x/>
    </i>
    <i r="4">
      <x v="1"/>
      <x/>
    </i>
    <i r="4">
      <x v="2"/>
      <x/>
    </i>
    <i r="4">
      <x v="3"/>
      <x/>
    </i>
    <i r="4">
      <x v="4"/>
      <x/>
    </i>
    <i r="4">
      <x v="5"/>
      <x/>
    </i>
    <i r="4">
      <x v="6"/>
      <x/>
    </i>
    <i r="4">
      <x v="7"/>
      <x/>
    </i>
    <i r="4">
      <x v="8"/>
      <x/>
    </i>
    <i r="4">
      <x v="9"/>
      <x/>
    </i>
    <i r="4">
      <x v="10"/>
      <x/>
    </i>
    <i r="3">
      <x v="2"/>
      <x/>
      <x/>
    </i>
    <i r="4">
      <x v="1"/>
      <x/>
    </i>
    <i r="4">
      <x v="2"/>
      <x/>
    </i>
    <i r="4">
      <x v="3"/>
      <x/>
    </i>
    <i r="4">
      <x v="4"/>
      <x/>
    </i>
    <i r="4">
      <x v="5"/>
      <x/>
    </i>
    <i r="4">
      <x v="6"/>
      <x/>
    </i>
    <i r="4">
      <x v="7"/>
      <x/>
    </i>
    <i r="4">
      <x v="8"/>
      <x/>
    </i>
    <i r="2">
      <x v="2"/>
      <x/>
      <x v="64"/>
      <x v="2"/>
    </i>
    <i r="4">
      <x v="65"/>
      <x v="2"/>
    </i>
    <i r="4">
      <x v="66"/>
      <x v="2"/>
    </i>
    <i r="4">
      <x v="67"/>
      <x v="2"/>
    </i>
    <i r="4">
      <x v="71"/>
      <x v="2"/>
    </i>
    <i r="4">
      <x v="72"/>
      <x v="2"/>
    </i>
    <i r="4">
      <x v="73"/>
      <x v="2"/>
    </i>
    <i r="4">
      <x v="74"/>
      <x v="2"/>
    </i>
    <i r="3">
      <x v="2"/>
      <x v="61"/>
      <x v="2"/>
    </i>
    <i r="4">
      <x v="62"/>
      <x v="2"/>
    </i>
    <i r="4">
      <x v="63"/>
      <x v="2"/>
    </i>
    <i r="4">
      <x v="64"/>
      <x v="2"/>
    </i>
    <i r="4">
      <x v="65"/>
      <x v="2"/>
    </i>
    <i r="4">
      <x v="66"/>
      <x v="2"/>
    </i>
    <i r="4">
      <x v="67"/>
      <x v="2"/>
    </i>
    <i r="4">
      <x v="68"/>
      <x v="2"/>
    </i>
    <i r="4">
      <x v="69"/>
      <x v="2"/>
    </i>
    <i r="4">
      <x v="70"/>
      <x v="2"/>
    </i>
    <i r="4">
      <x v="72"/>
      <x v="2"/>
    </i>
    <i r="4">
      <x v="73"/>
      <x v="2"/>
    </i>
    <i r="4">
      <x v="74"/>
      <x v="2"/>
    </i>
    <i r="1">
      <x v="1"/>
      <x/>
      <x v="1"/>
      <x v="11"/>
      <x/>
    </i>
    <i r="4">
      <x v="12"/>
      <x/>
    </i>
    <i r="4">
      <x v="13"/>
      <x/>
    </i>
    <i r="1">
      <x v="2"/>
      <x/>
      <x v="1"/>
      <x v="17"/>
      <x/>
    </i>
    <i r="4">
      <x v="18"/>
      <x/>
    </i>
    <i r="4">
      <x v="19"/>
      <x/>
    </i>
    <i r="4">
      <x v="20"/>
      <x/>
    </i>
    <i r="4">
      <x v="21"/>
      <x/>
    </i>
    <i r="4">
      <x v="22"/>
      <x/>
    </i>
    <i r="4">
      <x v="23"/>
      <x/>
    </i>
    <i r="3">
      <x v="2"/>
      <x v="17"/>
      <x/>
    </i>
    <i r="4">
      <x v="18"/>
      <x/>
    </i>
    <i r="4">
      <x v="19"/>
      <x/>
    </i>
    <i r="4">
      <x v="20"/>
      <x/>
    </i>
    <i r="4">
      <x v="21"/>
      <x/>
    </i>
    <i r="4">
      <x v="22"/>
      <x/>
    </i>
    <i r="4">
      <x v="23"/>
      <x/>
    </i>
    <i r="1">
      <x v="3"/>
      <x/>
      <x/>
      <x v="2"/>
      <x/>
    </i>
    <i r="4">
      <x v="3"/>
      <x/>
    </i>
    <i r="4">
      <x v="4"/>
      <x/>
    </i>
    <i r="4">
      <x v="5"/>
      <x/>
    </i>
    <i r="4">
      <x v="6"/>
      <x/>
    </i>
    <i r="4">
      <x v="7"/>
      <x/>
    </i>
    <i r="4">
      <x v="8"/>
      <x/>
    </i>
    <i r="1">
      <x v="4"/>
      <x/>
      <x/>
      <x v="67"/>
      <x v="2"/>
    </i>
    <i r="4">
      <x v="68"/>
      <x v="2"/>
    </i>
    <i r="4">
      <x v="69"/>
      <x v="2"/>
    </i>
    <i r="4">
      <x v="70"/>
      <x v="2"/>
    </i>
    <i r="4">
      <x v="71"/>
      <x v="2"/>
    </i>
    <i r="4">
      <x v="72"/>
      <x v="2"/>
    </i>
    <i r="4">
      <x v="73"/>
      <x v="2"/>
    </i>
    <i r="4">
      <x v="74"/>
      <x v="2"/>
    </i>
    <i r="4">
      <x v="75"/>
      <x v="2"/>
    </i>
    <i r="4">
      <x v="76"/>
      <x v="2"/>
    </i>
    <i r="3">
      <x v="2"/>
      <x v="67"/>
      <x v="2"/>
    </i>
    <i r="4">
      <x v="68"/>
      <x v="2"/>
    </i>
    <i r="4">
      <x v="69"/>
      <x v="2"/>
    </i>
    <i r="4">
      <x v="70"/>
      <x v="2"/>
    </i>
    <i r="4">
      <x v="71"/>
      <x v="2"/>
    </i>
    <i r="4">
      <x v="72"/>
      <x v="2"/>
    </i>
    <i r="4">
      <x v="73"/>
      <x v="2"/>
    </i>
    <i r="4">
      <x v="74"/>
      <x v="2"/>
    </i>
    <i r="4">
      <x v="75"/>
      <x v="2"/>
    </i>
    <i r="4">
      <x v="76"/>
      <x v="2"/>
    </i>
    <i r="2">
      <x v="1"/>
      <x/>
      <x v="72"/>
      <x v="2"/>
    </i>
    <i r="4">
      <x v="73"/>
      <x v="2"/>
    </i>
    <i r="4">
      <x v="74"/>
      <x v="2"/>
    </i>
    <i r="4">
      <x v="75"/>
      <x v="2"/>
    </i>
    <i r="4">
      <x v="76"/>
      <x v="2"/>
    </i>
    <i r="3">
      <x v="2"/>
      <x v="72"/>
      <x v="2"/>
    </i>
    <i r="4">
      <x v="73"/>
      <x v="2"/>
    </i>
    <i r="4">
      <x v="74"/>
      <x v="2"/>
    </i>
    <i r="4">
      <x v="75"/>
      <x v="2"/>
    </i>
    <i r="4">
      <x v="76"/>
      <x v="2"/>
    </i>
    <i r="2">
      <x v="2"/>
      <x/>
      <x v="72"/>
      <x v="2"/>
    </i>
    <i r="4">
      <x v="73"/>
      <x v="2"/>
    </i>
    <i r="4">
      <x v="74"/>
      <x v="2"/>
    </i>
    <i r="4">
      <x v="75"/>
      <x v="2"/>
    </i>
    <i r="4">
      <x v="76"/>
      <x v="2"/>
    </i>
    <i r="3">
      <x v="2"/>
      <x v="72"/>
      <x v="2"/>
    </i>
    <i r="4">
      <x v="73"/>
      <x v="2"/>
    </i>
    <i r="4">
      <x v="74"/>
      <x v="2"/>
    </i>
    <i r="4">
      <x v="75"/>
      <x v="2"/>
    </i>
    <i r="4">
      <x v="76"/>
      <x v="2"/>
    </i>
    <i r="1">
      <x v="5"/>
      <x/>
      <x/>
      <x v="63"/>
      <x v="2"/>
    </i>
    <i r="4">
      <x v="64"/>
      <x v="2"/>
    </i>
    <i r="4">
      <x v="65"/>
      <x v="2"/>
    </i>
    <i r="4">
      <x v="66"/>
      <x v="2"/>
    </i>
    <i r="4">
      <x v="67"/>
      <x v="2"/>
    </i>
    <i r="3">
      <x v="1"/>
      <x v="24"/>
      <x v="1"/>
    </i>
    <i r="4">
      <x v="25"/>
      <x v="1"/>
    </i>
    <i r="4">
      <x v="26"/>
      <x v="1"/>
    </i>
    <i r="4">
      <x v="27"/>
      <x v="1"/>
    </i>
    <i r="4">
      <x v="28"/>
      <x v="1"/>
    </i>
    <i r="4">
      <x v="29"/>
      <x v="1"/>
    </i>
    <i r="4">
      <x v="30"/>
      <x v="1"/>
    </i>
    <i r="4">
      <x v="31"/>
      <x v="1"/>
    </i>
    <i r="3">
      <x v="2"/>
      <x v="24"/>
      <x v="1"/>
    </i>
    <i r="4">
      <x v="25"/>
      <x v="1"/>
    </i>
    <i r="4">
      <x v="26"/>
      <x v="1"/>
    </i>
    <i r="4">
      <x v="27"/>
      <x v="1"/>
    </i>
    <i r="4">
      <x v="28"/>
      <x v="1"/>
    </i>
    <i r="4">
      <x v="29"/>
      <x v="1"/>
    </i>
    <i r="4">
      <x v="30"/>
      <x v="1"/>
    </i>
    <i r="4">
      <x v="31"/>
      <x v="1"/>
    </i>
    <i r="4">
      <x v="47"/>
      <x v="1"/>
    </i>
    <i r="4">
      <x v="48"/>
      <x v="1"/>
    </i>
    <i r="4">
      <x v="49"/>
      <x v="1"/>
    </i>
    <i r="4">
      <x v="50"/>
      <x v="1"/>
    </i>
    <i r="4">
      <x v="51"/>
      <x v="1"/>
    </i>
    <i r="4">
      <x v="52"/>
      <x v="1"/>
    </i>
    <i r="4">
      <x v="63"/>
      <x v="2"/>
    </i>
    <i r="4">
      <x v="64"/>
      <x v="2"/>
    </i>
    <i r="4">
      <x v="65"/>
      <x v="2"/>
    </i>
    <i r="4">
      <x v="66"/>
      <x v="2"/>
    </i>
    <i r="4">
      <x v="67"/>
      <x v="2"/>
    </i>
    <i r="2">
      <x v="2"/>
      <x/>
      <x v="63"/>
      <x v="2"/>
    </i>
    <i r="4">
      <x v="64"/>
      <x v="2"/>
    </i>
    <i r="4">
      <x v="65"/>
      <x v="2"/>
    </i>
    <i r="4">
      <x v="66"/>
      <x v="2"/>
    </i>
    <i r="4">
      <x v="76"/>
      <x v="2"/>
    </i>
    <i r="3">
      <x v="2"/>
      <x v="63"/>
      <x v="2"/>
    </i>
    <i r="4">
      <x v="64"/>
      <x v="2"/>
    </i>
    <i r="4">
      <x v="65"/>
      <x v="2"/>
    </i>
    <i r="4">
      <x v="66"/>
      <x v="2"/>
    </i>
    <i r="1">
      <x v="6"/>
      <x/>
      <x/>
      <x v="44"/>
      <x v="1"/>
    </i>
    <i r="4">
      <x v="45"/>
      <x v="1"/>
    </i>
    <i r="4">
      <x v="46"/>
      <x v="1"/>
    </i>
    <i r="4">
      <x v="49"/>
      <x v="1"/>
    </i>
    <i r="3">
      <x v="1"/>
      <x v="45"/>
      <x v="1"/>
    </i>
    <i r="4">
      <x v="46"/>
      <x v="1"/>
    </i>
    <i r="1">
      <x v="7"/>
      <x/>
      <x/>
      <x v="31"/>
      <x v="1"/>
    </i>
    <i r="4">
      <x v="32"/>
      <x v="1"/>
    </i>
    <i r="4">
      <x v="33"/>
      <x v="1"/>
    </i>
    <i r="4">
      <x v="34"/>
      <x v="1"/>
    </i>
    <i r="4">
      <x v="35"/>
      <x v="1"/>
    </i>
    <i r="4">
      <x v="36"/>
      <x v="1"/>
    </i>
    <i r="4">
      <x v="37"/>
      <x v="1"/>
    </i>
    <i r="4">
      <x v="38"/>
      <x v="1"/>
    </i>
    <i r="3">
      <x v="2"/>
      <x v="34"/>
      <x v="1"/>
    </i>
    <i r="4">
      <x v="35"/>
      <x v="1"/>
    </i>
    <i r="4">
      <x v="36"/>
      <x v="1"/>
    </i>
    <i r="4">
      <x v="37"/>
      <x v="1"/>
    </i>
    <i r="4">
      <x v="38"/>
      <x v="1"/>
    </i>
    <i r="2">
      <x v="1"/>
      <x v="1"/>
      <x v="37"/>
      <x v="1"/>
    </i>
    <i r="4">
      <x v="38"/>
      <x v="1"/>
    </i>
    <i r="4">
      <x v="39"/>
      <x v="1"/>
    </i>
    <i r="4">
      <x v="40"/>
      <x v="1"/>
    </i>
    <i r="4">
      <x v="41"/>
      <x v="1"/>
    </i>
    <i r="4">
      <x v="42"/>
      <x v="1"/>
    </i>
    <i r="4">
      <x v="43"/>
      <x v="1"/>
    </i>
    <i r="3">
      <x v="2"/>
      <x v="38"/>
      <x v="1"/>
    </i>
    <i r="4">
      <x v="39"/>
      <x v="1"/>
    </i>
    <i r="4">
      <x v="40"/>
      <x v="1"/>
    </i>
    <i r="4">
      <x v="41"/>
      <x v="1"/>
    </i>
    <i r="4">
      <x v="42"/>
      <x v="1"/>
    </i>
    <i r="4">
      <x v="43"/>
      <x v="1"/>
    </i>
  </rowItems>
  <colFields count="1">
    <field x="-2"/>
  </colFields>
  <colItems count="2">
    <i>
      <x/>
    </i>
    <i i="1">
      <x v="1"/>
    </i>
  </colItems>
  <dataFields count="2">
    <dataField name="Sum of Spend" fld="10" baseField="0" baseItem="0" numFmtId="167"/>
    <dataField name="Sum of Impressions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11C2A-D6EC-4F88-AD9B-3E72629880A2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22" firstHeaderRow="1" firstDataRow="1" firstDataCol="1" rowPageCount="2" colPageCount="1"/>
  <pivotFields count="15">
    <pivotField showAll="0"/>
    <pivotField axis="axisPage" showAll="0">
      <items count="15">
        <item x="10"/>
        <item x="0"/>
        <item x="7"/>
        <item x="9"/>
        <item x="2"/>
        <item x="11"/>
        <item x="13"/>
        <item x="1"/>
        <item x="12"/>
        <item x="5"/>
        <item x="8"/>
        <item x="3"/>
        <item x="6"/>
        <item x="4"/>
        <item t="default"/>
      </items>
    </pivotField>
    <pivotField axis="axisPage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axis="axisRow" numFmtId="14" showAll="0">
      <items count="1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t="default"/>
      </items>
    </pivotField>
    <pivotField numFmtId="164" showAll="0"/>
    <pivotField dataField="1"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5"/>
  </rowFields>
  <rowItems count="18"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 t="grand">
      <x/>
    </i>
  </rowItems>
  <colItems count="1">
    <i/>
  </colItems>
  <pageFields count="2">
    <pageField fld="1" item="1" hier="-1"/>
    <pageField fld="2" item="2" hier="-1"/>
  </pageFields>
  <dataFields count="1">
    <dataField name="Sum of Spend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936B06-ED36-470C-BB51-2DEA2600DDB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19" firstHeaderRow="1" firstDataRow="2" firstDataCol="1"/>
  <pivotFields count="11">
    <pivotField showAll="0"/>
    <pivotField axis="axisRow" showAll="0">
      <items count="18">
        <item x="12"/>
        <item m="1" x="14"/>
        <item x="1"/>
        <item x="2"/>
        <item m="1" x="15"/>
        <item x="3"/>
        <item x="13"/>
        <item x="4"/>
        <item x="5"/>
        <item m="1" x="16"/>
        <item x="6"/>
        <item x="7"/>
        <item x="10"/>
        <item x="8"/>
        <item x="11"/>
        <item x="9"/>
        <item x="0"/>
        <item t="default"/>
      </items>
    </pivotField>
    <pivotField showAll="0"/>
    <pivotField showAll="0"/>
    <pivotField showAll="0"/>
    <pivotField numFmtId="14" showAll="0"/>
    <pivotField numFmtId="164" showAll="0"/>
    <pivotField dataField="1" showAll="0"/>
    <pivotField showAll="0"/>
    <pivotField showAll="0"/>
    <pivotField axis="axisCol" showAll="0">
      <items count="9">
        <item x="7"/>
        <item x="3"/>
        <item x="5"/>
        <item x="4"/>
        <item x="6"/>
        <item x="0"/>
        <item x="1"/>
        <item x="2"/>
        <item t="default"/>
      </items>
    </pivotField>
  </pivotFields>
  <rowFields count="1">
    <field x="1"/>
  </rowFields>
  <rowItems count="15">
    <i>
      <x/>
    </i>
    <i>
      <x v="2"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1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Spend" fld="7" baseField="0" baseItem="0" numFmtId="169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8BFD4-2C75-4922-90A1-9D420BE4F315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P34" firstHeaderRow="1" firstDataRow="2" firstDataCol="1"/>
  <pivotFields count="11">
    <pivotField showAll="0"/>
    <pivotField axis="axisCol" showAll="0">
      <items count="18">
        <item x="12"/>
        <item m="1" x="14"/>
        <item x="1"/>
        <item x="2"/>
        <item m="1" x="15"/>
        <item x="3"/>
        <item x="13"/>
        <item x="4"/>
        <item x="5"/>
        <item m="1" x="16"/>
        <item x="6"/>
        <item x="7"/>
        <item x="10"/>
        <item x="8"/>
        <item x="11"/>
        <item x="9"/>
        <item x="0"/>
        <item t="default"/>
      </items>
    </pivotField>
    <pivotField showAll="0"/>
    <pivotField showAll="0"/>
    <pivotField showAll="0"/>
    <pivotField numFmtId="14" showAll="0"/>
    <pivotField numFmtId="164" showAll="0"/>
    <pivotField dataField="1" showAll="0"/>
    <pivotField showAll="0"/>
    <pivotField showAll="0"/>
    <pivotField axis="axisRow" showAll="0">
      <items count="9">
        <item x="7"/>
        <item x="3"/>
        <item x="5"/>
        <item x="4"/>
        <item x="6"/>
        <item x="0"/>
        <item x="1"/>
        <item x="2"/>
        <item t="default"/>
      </items>
    </pivotField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1"/>
  </colFields>
  <colItems count="15">
    <i>
      <x/>
    </i>
    <i>
      <x v="2"/>
    </i>
    <i>
      <x v="3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colItems>
  <dataFields count="1">
    <dataField name="Sum of Spend" fld="7" baseField="0" baseItem="0" numFmtId="169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0B6945-0008-45C8-9B7C-0B82DC797EE7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2" firstHeaderRow="1" firstDataRow="1" firstDataCol="1"/>
  <pivotFields count="12">
    <pivotField showAll="0"/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numFmtId="14" showAll="0"/>
    <pivotField axis="axisRow" numFmtId="164" showAll="0">
      <items count="4">
        <item x="1"/>
        <item x="2"/>
        <item x="0"/>
        <item t="default"/>
      </items>
    </pivotField>
    <pivotField dataField="1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2">
    <field x="3"/>
    <field x="6"/>
  </rowFields>
  <rowItems count="1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 v="2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Spend" fld="7" baseField="3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7895BE-A92A-4513-9B99-5C262AE1B694}" name="PivotTable1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3:I8" firstHeaderRow="0" firstDataRow="1" firstDataCol="7"/>
  <pivotFields count="16"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7">
    <field x="2"/>
    <field x="3"/>
    <field x="0"/>
    <field x="1"/>
    <field x="7"/>
    <field x="5"/>
    <field x="6"/>
  </rowFields>
  <rowItems count="5">
    <i>
      <x/>
      <x/>
      <x/>
      <x/>
      <x/>
      <x/>
      <x/>
    </i>
    <i r="5">
      <x v="1"/>
      <x/>
    </i>
    <i r="5">
      <x v="2"/>
      <x/>
    </i>
    <i r="5">
      <x v="3"/>
      <x/>
    </i>
    <i r="5">
      <x v="4"/>
      <x/>
    </i>
  </rowItems>
  <colFields count="1">
    <field x="-2"/>
  </colFields>
  <colItems count="2">
    <i>
      <x/>
    </i>
    <i i="1">
      <x v="1"/>
    </i>
  </colItems>
  <dataFields count="2">
    <dataField name="Sum of Spend" fld="12" baseField="0" baseItem="0"/>
    <dataField name="Sum of Impressions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60DA4-130C-4C42-8933-ADDC0A40FE0E}">
  <dimension ref="A3:H224"/>
  <sheetViews>
    <sheetView workbookViewId="0">
      <selection activeCell="F4" sqref="F4"/>
    </sheetView>
  </sheetViews>
  <sheetFormatPr defaultRowHeight="14.5" x14ac:dyDescent="0.35"/>
  <cols>
    <col min="1" max="1" width="20.453125" bestFit="1" customWidth="1"/>
    <col min="2" max="2" width="12.81640625" bestFit="1" customWidth="1"/>
    <col min="3" max="3" width="18.26953125" bestFit="1" customWidth="1"/>
    <col min="6" max="6" width="7.1796875" bestFit="1" customWidth="1"/>
    <col min="7" max="7" width="12.81640625" bestFit="1" customWidth="1"/>
    <col min="8" max="8" width="18.26953125" bestFit="1" customWidth="1"/>
  </cols>
  <sheetData>
    <row r="3" spans="1:8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t="s">
        <v>6</v>
      </c>
      <c r="H3" t="s">
        <v>7</v>
      </c>
    </row>
    <row r="4" spans="1:8" x14ac:dyDescent="0.35">
      <c r="A4" t="s">
        <v>8</v>
      </c>
      <c r="B4" t="s">
        <v>8</v>
      </c>
      <c r="C4" t="s">
        <v>9</v>
      </c>
      <c r="D4" t="s">
        <v>10</v>
      </c>
      <c r="E4" s="3">
        <v>45759</v>
      </c>
      <c r="F4" s="1">
        <v>45658</v>
      </c>
      <c r="G4" s="4">
        <v>4942.9600009999995</v>
      </c>
      <c r="H4">
        <v>1050863</v>
      </c>
    </row>
    <row r="5" spans="1:8" x14ac:dyDescent="0.35">
      <c r="A5" t="s">
        <v>8</v>
      </c>
      <c r="B5" t="s">
        <v>8</v>
      </c>
      <c r="C5" t="s">
        <v>9</v>
      </c>
      <c r="D5" t="s">
        <v>10</v>
      </c>
      <c r="E5" s="3">
        <v>45766</v>
      </c>
      <c r="F5" s="1">
        <v>45658</v>
      </c>
      <c r="G5" s="4">
        <v>5373.9300010000006</v>
      </c>
      <c r="H5">
        <v>1140281</v>
      </c>
    </row>
    <row r="6" spans="1:8" x14ac:dyDescent="0.35">
      <c r="A6" t="s">
        <v>8</v>
      </c>
      <c r="B6" t="s">
        <v>8</v>
      </c>
      <c r="C6" t="s">
        <v>9</v>
      </c>
      <c r="D6" t="s">
        <v>10</v>
      </c>
      <c r="E6" s="3">
        <v>45773</v>
      </c>
      <c r="F6" s="1">
        <v>45658</v>
      </c>
      <c r="G6" s="4">
        <v>5650.3099989999992</v>
      </c>
      <c r="H6">
        <v>1197599</v>
      </c>
    </row>
    <row r="7" spans="1:8" x14ac:dyDescent="0.35">
      <c r="A7" t="s">
        <v>8</v>
      </c>
      <c r="B7" t="s">
        <v>8</v>
      </c>
      <c r="C7" t="s">
        <v>9</v>
      </c>
      <c r="D7" t="s">
        <v>10</v>
      </c>
      <c r="E7" s="3">
        <v>45780</v>
      </c>
      <c r="F7" s="1">
        <v>45658</v>
      </c>
      <c r="G7" s="4">
        <v>3226.4100000000008</v>
      </c>
      <c r="H7">
        <v>644320</v>
      </c>
    </row>
    <row r="8" spans="1:8" x14ac:dyDescent="0.35">
      <c r="A8" t="s">
        <v>8</v>
      </c>
      <c r="B8" t="s">
        <v>8</v>
      </c>
      <c r="C8" t="s">
        <v>9</v>
      </c>
      <c r="D8" t="s">
        <v>10</v>
      </c>
      <c r="E8" s="3">
        <v>45787</v>
      </c>
      <c r="F8" s="1">
        <v>45658</v>
      </c>
      <c r="G8" s="4">
        <v>8820.0599899999997</v>
      </c>
      <c r="H8">
        <v>1753731</v>
      </c>
    </row>
    <row r="9" spans="1:8" x14ac:dyDescent="0.35">
      <c r="A9" t="s">
        <v>8</v>
      </c>
      <c r="B9" t="s">
        <v>8</v>
      </c>
      <c r="C9" t="s">
        <v>9</v>
      </c>
      <c r="D9" t="s">
        <v>10</v>
      </c>
      <c r="E9" s="3">
        <v>45794</v>
      </c>
      <c r="F9" s="1">
        <v>45658</v>
      </c>
      <c r="G9" s="4">
        <v>9400.390003999999</v>
      </c>
      <c r="H9">
        <v>1598978</v>
      </c>
    </row>
    <row r="10" spans="1:8" x14ac:dyDescent="0.35">
      <c r="A10" t="s">
        <v>8</v>
      </c>
      <c r="B10" t="s">
        <v>8</v>
      </c>
      <c r="C10" t="s">
        <v>9</v>
      </c>
      <c r="D10" t="s">
        <v>10</v>
      </c>
      <c r="E10" s="3">
        <v>45801</v>
      </c>
      <c r="F10" s="1">
        <v>45658</v>
      </c>
      <c r="G10" s="4">
        <v>10024.770003999998</v>
      </c>
      <c r="H10">
        <v>1577712</v>
      </c>
    </row>
    <row r="11" spans="1:8" x14ac:dyDescent="0.35">
      <c r="A11" t="s">
        <v>8</v>
      </c>
      <c r="B11" t="s">
        <v>8</v>
      </c>
      <c r="C11" t="s">
        <v>9</v>
      </c>
      <c r="D11" t="s">
        <v>10</v>
      </c>
      <c r="E11" s="3">
        <v>45808</v>
      </c>
      <c r="F11" s="1">
        <v>45658</v>
      </c>
      <c r="G11" s="4">
        <v>8309.740006</v>
      </c>
      <c r="H11">
        <v>1366302</v>
      </c>
    </row>
    <row r="12" spans="1:8" x14ac:dyDescent="0.35">
      <c r="A12" t="s">
        <v>8</v>
      </c>
      <c r="B12" t="s">
        <v>8</v>
      </c>
      <c r="C12" t="s">
        <v>9</v>
      </c>
      <c r="D12" t="s">
        <v>10</v>
      </c>
      <c r="E12" s="3">
        <v>45815</v>
      </c>
      <c r="F12" s="1">
        <v>45658</v>
      </c>
      <c r="G12" s="4">
        <v>8981.6999919999998</v>
      </c>
      <c r="H12">
        <v>1381280</v>
      </c>
    </row>
    <row r="13" spans="1:8" x14ac:dyDescent="0.35">
      <c r="A13" t="s">
        <v>8</v>
      </c>
      <c r="B13" t="s">
        <v>8</v>
      </c>
      <c r="C13" t="s">
        <v>9</v>
      </c>
      <c r="D13" t="s">
        <v>10</v>
      </c>
      <c r="E13" s="3">
        <v>45822</v>
      </c>
      <c r="F13" s="1">
        <v>45658</v>
      </c>
      <c r="G13" s="4">
        <v>12282.270001999999</v>
      </c>
      <c r="H13">
        <v>1482114</v>
      </c>
    </row>
    <row r="14" spans="1:8" x14ac:dyDescent="0.35">
      <c r="A14" t="s">
        <v>8</v>
      </c>
      <c r="B14" t="s">
        <v>8</v>
      </c>
      <c r="C14" t="s">
        <v>9</v>
      </c>
      <c r="D14" t="s">
        <v>10</v>
      </c>
      <c r="E14" s="3">
        <v>45829</v>
      </c>
      <c r="F14" s="1">
        <v>45658</v>
      </c>
      <c r="G14" s="4">
        <v>7078.0999970000003</v>
      </c>
      <c r="H14">
        <v>886913</v>
      </c>
    </row>
    <row r="15" spans="1:8" x14ac:dyDescent="0.35">
      <c r="A15" t="s">
        <v>8</v>
      </c>
      <c r="B15" t="s">
        <v>8</v>
      </c>
      <c r="C15" t="s">
        <v>9</v>
      </c>
      <c r="D15" t="s">
        <v>11</v>
      </c>
      <c r="E15" s="3">
        <v>45227</v>
      </c>
      <c r="F15" s="1">
        <v>44927</v>
      </c>
      <c r="G15" s="4">
        <v>596.14000099999998</v>
      </c>
      <c r="H15">
        <v>52281</v>
      </c>
    </row>
    <row r="16" spans="1:8" x14ac:dyDescent="0.35">
      <c r="A16" t="s">
        <v>8</v>
      </c>
      <c r="B16" t="s">
        <v>8</v>
      </c>
      <c r="C16" t="s">
        <v>9</v>
      </c>
      <c r="D16" t="s">
        <v>11</v>
      </c>
      <c r="E16" s="3">
        <v>45234</v>
      </c>
      <c r="F16" s="1">
        <v>44927</v>
      </c>
      <c r="G16" s="4">
        <v>2426.3100099999992</v>
      </c>
      <c r="H16">
        <v>283976</v>
      </c>
    </row>
    <row r="17" spans="1:8" x14ac:dyDescent="0.35">
      <c r="A17" t="s">
        <v>8</v>
      </c>
      <c r="B17" t="s">
        <v>8</v>
      </c>
      <c r="C17" t="s">
        <v>9</v>
      </c>
      <c r="D17" t="s">
        <v>11</v>
      </c>
      <c r="E17" s="3">
        <v>45241</v>
      </c>
      <c r="F17" s="1">
        <v>44927</v>
      </c>
      <c r="G17" s="4">
        <v>1977.1199929999998</v>
      </c>
      <c r="H17">
        <v>222673</v>
      </c>
    </row>
    <row r="18" spans="1:8" x14ac:dyDescent="0.35">
      <c r="A18" t="s">
        <v>8</v>
      </c>
      <c r="B18" t="s">
        <v>8</v>
      </c>
      <c r="C18" t="s">
        <v>9</v>
      </c>
      <c r="D18" t="s">
        <v>11</v>
      </c>
      <c r="E18" s="3">
        <v>45619</v>
      </c>
      <c r="F18" s="1">
        <v>45292</v>
      </c>
      <c r="G18" s="4">
        <v>50000.000008000003</v>
      </c>
      <c r="H18">
        <v>4751674</v>
      </c>
    </row>
    <row r="19" spans="1:8" x14ac:dyDescent="0.35">
      <c r="A19" t="s">
        <v>8</v>
      </c>
      <c r="B19" t="s">
        <v>8</v>
      </c>
      <c r="C19" t="s">
        <v>9</v>
      </c>
      <c r="D19" t="s">
        <v>12</v>
      </c>
      <c r="E19" s="3">
        <v>45619</v>
      </c>
      <c r="F19" s="1">
        <v>45292</v>
      </c>
      <c r="G19" s="4">
        <v>23975.640006000001</v>
      </c>
      <c r="H19">
        <v>2064790</v>
      </c>
    </row>
    <row r="20" spans="1:8" x14ac:dyDescent="0.35">
      <c r="A20" t="s">
        <v>8</v>
      </c>
      <c r="B20" t="s">
        <v>8</v>
      </c>
      <c r="C20" t="s">
        <v>9</v>
      </c>
      <c r="D20" t="s">
        <v>12</v>
      </c>
      <c r="E20" s="3">
        <v>45626</v>
      </c>
      <c r="F20" s="1">
        <v>45292</v>
      </c>
      <c r="G20" s="4">
        <v>145455.050013</v>
      </c>
      <c r="H20">
        <v>12920521</v>
      </c>
    </row>
    <row r="21" spans="1:8" x14ac:dyDescent="0.35">
      <c r="A21" t="s">
        <v>8</v>
      </c>
      <c r="B21" t="s">
        <v>8</v>
      </c>
      <c r="C21" t="s">
        <v>9</v>
      </c>
      <c r="D21" t="s">
        <v>12</v>
      </c>
      <c r="E21" s="3">
        <v>45633</v>
      </c>
      <c r="F21" s="1">
        <v>45292</v>
      </c>
      <c r="G21" s="4">
        <v>51993.73000499999</v>
      </c>
      <c r="H21">
        <v>5969554</v>
      </c>
    </row>
    <row r="22" spans="1:8" x14ac:dyDescent="0.35">
      <c r="A22" t="s">
        <v>8</v>
      </c>
      <c r="B22" t="s">
        <v>8</v>
      </c>
      <c r="C22" t="s">
        <v>9</v>
      </c>
      <c r="D22" t="s">
        <v>12</v>
      </c>
      <c r="E22" s="3">
        <v>45675</v>
      </c>
      <c r="F22" s="1">
        <v>45658</v>
      </c>
      <c r="G22" s="4">
        <v>5804.4600050000008</v>
      </c>
      <c r="H22">
        <v>1003384</v>
      </c>
    </row>
    <row r="23" spans="1:8" x14ac:dyDescent="0.35">
      <c r="A23" t="s">
        <v>8</v>
      </c>
      <c r="B23" t="s">
        <v>8</v>
      </c>
      <c r="C23" t="s">
        <v>9</v>
      </c>
      <c r="D23" t="s">
        <v>12</v>
      </c>
      <c r="E23" s="3">
        <v>45682</v>
      </c>
      <c r="F23" s="1">
        <v>45658</v>
      </c>
      <c r="G23" s="4">
        <v>24195.509997000001</v>
      </c>
      <c r="H23">
        <v>3776336</v>
      </c>
    </row>
    <row r="24" spans="1:8" x14ac:dyDescent="0.35">
      <c r="A24" t="s">
        <v>8</v>
      </c>
      <c r="B24" t="s">
        <v>8</v>
      </c>
      <c r="C24" t="s">
        <v>9</v>
      </c>
      <c r="D24" t="s">
        <v>12</v>
      </c>
      <c r="E24" s="3">
        <v>45710</v>
      </c>
      <c r="F24" s="1">
        <v>45658</v>
      </c>
      <c r="G24" s="4">
        <v>26652.779999000002</v>
      </c>
      <c r="H24">
        <v>3787287</v>
      </c>
    </row>
    <row r="25" spans="1:8" x14ac:dyDescent="0.35">
      <c r="A25" t="s">
        <v>8</v>
      </c>
      <c r="B25" t="s">
        <v>8</v>
      </c>
      <c r="C25" t="s">
        <v>9</v>
      </c>
      <c r="D25" t="s">
        <v>12</v>
      </c>
      <c r="E25" s="3">
        <v>45717</v>
      </c>
      <c r="F25" s="1">
        <v>45658</v>
      </c>
      <c r="G25" s="4">
        <v>43347.220003999995</v>
      </c>
      <c r="H25">
        <v>5214614</v>
      </c>
    </row>
    <row r="26" spans="1:8" x14ac:dyDescent="0.35">
      <c r="A26" t="s">
        <v>8</v>
      </c>
      <c r="B26" t="s">
        <v>8</v>
      </c>
      <c r="C26" t="s">
        <v>9</v>
      </c>
      <c r="D26" t="s">
        <v>12</v>
      </c>
      <c r="E26" s="3">
        <v>45731</v>
      </c>
      <c r="F26" s="1">
        <v>45658</v>
      </c>
      <c r="G26" s="4">
        <v>7546.5899999999983</v>
      </c>
      <c r="H26">
        <v>1370912</v>
      </c>
    </row>
    <row r="27" spans="1:8" x14ac:dyDescent="0.35">
      <c r="A27" t="s">
        <v>8</v>
      </c>
      <c r="B27" t="s">
        <v>8</v>
      </c>
      <c r="C27" t="s">
        <v>9</v>
      </c>
      <c r="D27" t="s">
        <v>12</v>
      </c>
      <c r="E27" s="3">
        <v>45738</v>
      </c>
      <c r="F27" s="1">
        <v>45658</v>
      </c>
      <c r="G27" s="4">
        <v>18925.250002999997</v>
      </c>
      <c r="H27">
        <v>3502057</v>
      </c>
    </row>
    <row r="28" spans="1:8" x14ac:dyDescent="0.35">
      <c r="A28" t="s">
        <v>8</v>
      </c>
      <c r="B28" t="s">
        <v>8</v>
      </c>
      <c r="C28" t="s">
        <v>9</v>
      </c>
      <c r="D28" t="s">
        <v>12</v>
      </c>
      <c r="E28" s="3">
        <v>45745</v>
      </c>
      <c r="F28" s="1">
        <v>45658</v>
      </c>
      <c r="G28" s="4">
        <v>18260.460003</v>
      </c>
      <c r="H28">
        <v>2690512</v>
      </c>
    </row>
    <row r="29" spans="1:8" x14ac:dyDescent="0.35">
      <c r="A29" t="s">
        <v>8</v>
      </c>
      <c r="B29" t="s">
        <v>8</v>
      </c>
      <c r="C29" t="s">
        <v>9</v>
      </c>
      <c r="D29" t="s">
        <v>12</v>
      </c>
      <c r="E29" s="3">
        <v>45752</v>
      </c>
      <c r="F29" s="1">
        <v>45658</v>
      </c>
      <c r="G29" s="4">
        <v>3644.5400000000004</v>
      </c>
      <c r="H29">
        <v>226723</v>
      </c>
    </row>
    <row r="30" spans="1:8" x14ac:dyDescent="0.35">
      <c r="A30" t="s">
        <v>8</v>
      </c>
      <c r="B30" t="s">
        <v>8</v>
      </c>
      <c r="C30" t="s">
        <v>9</v>
      </c>
      <c r="D30" t="s">
        <v>12</v>
      </c>
      <c r="E30" s="3">
        <v>45759</v>
      </c>
      <c r="F30" s="1">
        <v>45658</v>
      </c>
      <c r="G30" s="4">
        <v>5154.8000030000003</v>
      </c>
      <c r="H30">
        <v>1128016</v>
      </c>
    </row>
    <row r="31" spans="1:8" x14ac:dyDescent="0.35">
      <c r="A31" t="s">
        <v>8</v>
      </c>
      <c r="B31" t="s">
        <v>8</v>
      </c>
      <c r="C31" t="s">
        <v>9</v>
      </c>
      <c r="D31" t="s">
        <v>12</v>
      </c>
      <c r="E31" s="3">
        <v>45766</v>
      </c>
      <c r="F31" s="1">
        <v>45658</v>
      </c>
      <c r="G31" s="4">
        <v>7308.6299969999982</v>
      </c>
      <c r="H31">
        <v>1688612</v>
      </c>
    </row>
    <row r="32" spans="1:8" x14ac:dyDescent="0.35">
      <c r="A32" t="s">
        <v>8</v>
      </c>
      <c r="B32" t="s">
        <v>8</v>
      </c>
      <c r="C32" t="s">
        <v>9</v>
      </c>
      <c r="D32" t="s">
        <v>12</v>
      </c>
      <c r="E32" s="3">
        <v>45773</v>
      </c>
      <c r="F32" s="1">
        <v>45658</v>
      </c>
      <c r="G32" s="4">
        <v>6649.5000030000001</v>
      </c>
      <c r="H32">
        <v>1573947</v>
      </c>
    </row>
    <row r="33" spans="1:8" x14ac:dyDescent="0.35">
      <c r="A33" t="s">
        <v>8</v>
      </c>
      <c r="B33" t="s">
        <v>8</v>
      </c>
      <c r="C33" t="s">
        <v>9</v>
      </c>
      <c r="D33" t="s">
        <v>12</v>
      </c>
      <c r="E33" s="3">
        <v>45780</v>
      </c>
      <c r="F33" s="1">
        <v>45658</v>
      </c>
      <c r="G33" s="4">
        <v>3316.6100040000001</v>
      </c>
      <c r="H33">
        <v>746214</v>
      </c>
    </row>
    <row r="34" spans="1:8" x14ac:dyDescent="0.35">
      <c r="A34" t="s">
        <v>8</v>
      </c>
      <c r="B34" t="s">
        <v>8</v>
      </c>
      <c r="C34" t="s">
        <v>9</v>
      </c>
      <c r="D34" t="s">
        <v>12</v>
      </c>
      <c r="E34" s="3">
        <v>45787</v>
      </c>
      <c r="F34" s="1">
        <v>45658</v>
      </c>
      <c r="G34" s="4">
        <v>646.54000299999996</v>
      </c>
      <c r="H34">
        <v>131682</v>
      </c>
    </row>
    <row r="35" spans="1:8" x14ac:dyDescent="0.35">
      <c r="A35" t="s">
        <v>8</v>
      </c>
      <c r="B35" t="s">
        <v>8</v>
      </c>
      <c r="C35" t="s">
        <v>9</v>
      </c>
      <c r="D35" t="s">
        <v>12</v>
      </c>
      <c r="E35" s="3">
        <v>45794</v>
      </c>
      <c r="F35" s="1">
        <v>45658</v>
      </c>
      <c r="G35" s="4">
        <v>1895.3499980000001</v>
      </c>
      <c r="H35">
        <v>337849</v>
      </c>
    </row>
    <row r="36" spans="1:8" x14ac:dyDescent="0.35">
      <c r="A36" t="s">
        <v>8</v>
      </c>
      <c r="B36" t="s">
        <v>8</v>
      </c>
      <c r="C36" t="s">
        <v>9</v>
      </c>
      <c r="D36" t="s">
        <v>12</v>
      </c>
      <c r="E36" s="3">
        <v>45801</v>
      </c>
      <c r="F36" s="1">
        <v>45658</v>
      </c>
      <c r="G36" s="4">
        <v>1296.4499979999998</v>
      </c>
      <c r="H36">
        <v>216258</v>
      </c>
    </row>
    <row r="37" spans="1:8" x14ac:dyDescent="0.35">
      <c r="A37" t="s">
        <v>8</v>
      </c>
      <c r="B37" t="s">
        <v>8</v>
      </c>
      <c r="C37" t="s">
        <v>9</v>
      </c>
      <c r="D37" t="s">
        <v>12</v>
      </c>
      <c r="E37" s="3">
        <v>45808</v>
      </c>
      <c r="F37" s="1">
        <v>45658</v>
      </c>
      <c r="G37" s="4">
        <v>1263.8499999999997</v>
      </c>
      <c r="H37">
        <v>218948</v>
      </c>
    </row>
    <row r="38" spans="1:8" x14ac:dyDescent="0.35">
      <c r="A38" t="s">
        <v>8</v>
      </c>
      <c r="B38" t="s">
        <v>8</v>
      </c>
      <c r="C38" t="s">
        <v>13</v>
      </c>
      <c r="D38" t="s">
        <v>10</v>
      </c>
      <c r="E38" s="3">
        <v>45108</v>
      </c>
      <c r="F38" s="1">
        <v>44927</v>
      </c>
      <c r="G38" s="4">
        <v>33.569313000000001</v>
      </c>
      <c r="H38">
        <v>12647</v>
      </c>
    </row>
    <row r="39" spans="1:8" x14ac:dyDescent="0.35">
      <c r="A39" t="s">
        <v>8</v>
      </c>
      <c r="B39" t="s">
        <v>8</v>
      </c>
      <c r="C39" t="s">
        <v>13</v>
      </c>
      <c r="D39" t="s">
        <v>10</v>
      </c>
      <c r="E39" s="3">
        <v>45115</v>
      </c>
      <c r="F39" s="1">
        <v>44927</v>
      </c>
      <c r="G39" s="4">
        <v>999.85672</v>
      </c>
      <c r="H39">
        <v>656796</v>
      </c>
    </row>
    <row r="40" spans="1:8" x14ac:dyDescent="0.35">
      <c r="A40" t="s">
        <v>8</v>
      </c>
      <c r="B40" t="s">
        <v>8</v>
      </c>
      <c r="C40" t="s">
        <v>13</v>
      </c>
      <c r="D40" t="s">
        <v>10</v>
      </c>
      <c r="E40" s="3">
        <v>45122</v>
      </c>
      <c r="F40" s="1">
        <v>44927</v>
      </c>
      <c r="G40" s="4">
        <v>5655.9730740000005</v>
      </c>
      <c r="H40">
        <v>1323770</v>
      </c>
    </row>
    <row r="41" spans="1:8" x14ac:dyDescent="0.35">
      <c r="A41" t="s">
        <v>8</v>
      </c>
      <c r="B41" t="s">
        <v>8</v>
      </c>
      <c r="C41" t="s">
        <v>13</v>
      </c>
      <c r="D41" t="s">
        <v>10</v>
      </c>
      <c r="E41" s="3">
        <v>45129</v>
      </c>
      <c r="F41" s="1">
        <v>44927</v>
      </c>
      <c r="G41" s="4">
        <v>8305.2923260000007</v>
      </c>
      <c r="H41">
        <v>1067550</v>
      </c>
    </row>
    <row r="42" spans="1:8" x14ac:dyDescent="0.35">
      <c r="A42" t="s">
        <v>8</v>
      </c>
      <c r="B42" t="s">
        <v>8</v>
      </c>
      <c r="C42" t="s">
        <v>13</v>
      </c>
      <c r="D42" t="s">
        <v>10</v>
      </c>
      <c r="E42" s="3">
        <v>45136</v>
      </c>
      <c r="F42" s="1">
        <v>44927</v>
      </c>
      <c r="G42" s="4">
        <v>8664.595331999999</v>
      </c>
      <c r="H42">
        <v>903828</v>
      </c>
    </row>
    <row r="43" spans="1:8" x14ac:dyDescent="0.35">
      <c r="A43" t="s">
        <v>8</v>
      </c>
      <c r="B43" t="s">
        <v>8</v>
      </c>
      <c r="C43" t="s">
        <v>13</v>
      </c>
      <c r="D43" t="s">
        <v>10</v>
      </c>
      <c r="E43" s="3">
        <v>45143</v>
      </c>
      <c r="F43" s="1">
        <v>44927</v>
      </c>
      <c r="G43" s="4">
        <v>7389.390907</v>
      </c>
      <c r="H43">
        <v>769110</v>
      </c>
    </row>
    <row r="44" spans="1:8" x14ac:dyDescent="0.35">
      <c r="A44" t="s">
        <v>8</v>
      </c>
      <c r="B44" t="s">
        <v>8</v>
      </c>
      <c r="C44" t="s">
        <v>13</v>
      </c>
      <c r="D44" t="s">
        <v>10</v>
      </c>
      <c r="E44" s="3">
        <v>45150</v>
      </c>
      <c r="F44" s="1">
        <v>44927</v>
      </c>
      <c r="G44" s="4">
        <v>8215.789721000001</v>
      </c>
      <c r="H44">
        <v>1111682</v>
      </c>
    </row>
    <row r="45" spans="1:8" x14ac:dyDescent="0.35">
      <c r="A45" t="s">
        <v>8</v>
      </c>
      <c r="B45" t="s">
        <v>8</v>
      </c>
      <c r="C45" t="s">
        <v>13</v>
      </c>
      <c r="D45" t="s">
        <v>10</v>
      </c>
      <c r="E45" s="3">
        <v>45157</v>
      </c>
      <c r="F45" s="1">
        <v>44927</v>
      </c>
      <c r="G45" s="4">
        <v>7907.9364459999997</v>
      </c>
      <c r="H45">
        <v>940923</v>
      </c>
    </row>
    <row r="46" spans="1:8" x14ac:dyDescent="0.35">
      <c r="A46" t="s">
        <v>8</v>
      </c>
      <c r="B46" t="s">
        <v>8</v>
      </c>
      <c r="C46" t="s">
        <v>13</v>
      </c>
      <c r="D46" t="s">
        <v>10</v>
      </c>
      <c r="E46" s="3">
        <v>45164</v>
      </c>
      <c r="F46" s="1">
        <v>44927</v>
      </c>
      <c r="G46" s="4">
        <v>1106.513954</v>
      </c>
      <c r="H46">
        <v>100107</v>
      </c>
    </row>
    <row r="47" spans="1:8" x14ac:dyDescent="0.35">
      <c r="A47" t="s">
        <v>8</v>
      </c>
      <c r="B47" t="s">
        <v>8</v>
      </c>
      <c r="C47" t="s">
        <v>13</v>
      </c>
      <c r="D47" t="s">
        <v>11</v>
      </c>
      <c r="E47" s="3">
        <v>45108</v>
      </c>
      <c r="F47" s="1">
        <v>44927</v>
      </c>
      <c r="G47" s="4">
        <v>673.32786600000009</v>
      </c>
      <c r="H47">
        <v>319241</v>
      </c>
    </row>
    <row r="48" spans="1:8" x14ac:dyDescent="0.35">
      <c r="A48" t="s">
        <v>8</v>
      </c>
      <c r="B48" t="s">
        <v>8</v>
      </c>
      <c r="C48" t="s">
        <v>13</v>
      </c>
      <c r="D48" t="s">
        <v>11</v>
      </c>
      <c r="E48" s="3">
        <v>45115</v>
      </c>
      <c r="F48" s="1">
        <v>44927</v>
      </c>
      <c r="G48" s="4">
        <v>4737.6254869999993</v>
      </c>
      <c r="H48">
        <v>2358886</v>
      </c>
    </row>
    <row r="49" spans="1:8" x14ac:dyDescent="0.35">
      <c r="A49" t="s">
        <v>8</v>
      </c>
      <c r="B49" t="s">
        <v>8</v>
      </c>
      <c r="C49" t="s">
        <v>13</v>
      </c>
      <c r="D49" t="s">
        <v>11</v>
      </c>
      <c r="E49" s="3">
        <v>45122</v>
      </c>
      <c r="F49" s="1">
        <v>44927</v>
      </c>
      <c r="G49" s="4">
        <v>5037.4189039999992</v>
      </c>
      <c r="H49">
        <v>2664362</v>
      </c>
    </row>
    <row r="50" spans="1:8" x14ac:dyDescent="0.35">
      <c r="A50" t="s">
        <v>8</v>
      </c>
      <c r="B50" t="s">
        <v>8</v>
      </c>
      <c r="C50" t="s">
        <v>13</v>
      </c>
      <c r="D50" t="s">
        <v>11</v>
      </c>
      <c r="E50" s="3">
        <v>45129</v>
      </c>
      <c r="F50" s="1">
        <v>44927</v>
      </c>
      <c r="G50" s="4">
        <v>4364.9173510000001</v>
      </c>
      <c r="H50">
        <v>2662776</v>
      </c>
    </row>
    <row r="51" spans="1:8" x14ac:dyDescent="0.35">
      <c r="A51" t="s">
        <v>8</v>
      </c>
      <c r="B51" t="s">
        <v>8</v>
      </c>
      <c r="C51" t="s">
        <v>13</v>
      </c>
      <c r="D51" t="s">
        <v>11</v>
      </c>
      <c r="E51" s="3">
        <v>45136</v>
      </c>
      <c r="F51" s="1">
        <v>44927</v>
      </c>
      <c r="G51" s="4">
        <v>4655.8757210000003</v>
      </c>
      <c r="H51">
        <v>2613774</v>
      </c>
    </row>
    <row r="52" spans="1:8" x14ac:dyDescent="0.35">
      <c r="A52" t="s">
        <v>8</v>
      </c>
      <c r="B52" t="s">
        <v>8</v>
      </c>
      <c r="C52" t="s">
        <v>13</v>
      </c>
      <c r="D52" t="s">
        <v>11</v>
      </c>
      <c r="E52" s="3">
        <v>45143</v>
      </c>
      <c r="F52" s="1">
        <v>44927</v>
      </c>
      <c r="G52" s="4">
        <v>4551.2395979999992</v>
      </c>
      <c r="H52">
        <v>2431409</v>
      </c>
    </row>
    <row r="53" spans="1:8" x14ac:dyDescent="0.35">
      <c r="A53" t="s">
        <v>8</v>
      </c>
      <c r="B53" t="s">
        <v>8</v>
      </c>
      <c r="C53" t="s">
        <v>13</v>
      </c>
      <c r="D53" t="s">
        <v>11</v>
      </c>
      <c r="E53" s="3">
        <v>45150</v>
      </c>
      <c r="F53" s="1">
        <v>44927</v>
      </c>
      <c r="G53" s="4">
        <v>5394.2591620000012</v>
      </c>
      <c r="H53">
        <v>2606318</v>
      </c>
    </row>
    <row r="54" spans="1:8" x14ac:dyDescent="0.35">
      <c r="A54" t="s">
        <v>8</v>
      </c>
      <c r="B54" t="s">
        <v>8</v>
      </c>
      <c r="C54" t="s">
        <v>13</v>
      </c>
      <c r="D54" t="s">
        <v>11</v>
      </c>
      <c r="E54" s="3">
        <v>45157</v>
      </c>
      <c r="F54" s="1">
        <v>44927</v>
      </c>
      <c r="G54" s="4">
        <v>5355.2110149999999</v>
      </c>
      <c r="H54">
        <v>2268015</v>
      </c>
    </row>
    <row r="55" spans="1:8" x14ac:dyDescent="0.35">
      <c r="A55" t="s">
        <v>8</v>
      </c>
      <c r="B55" t="s">
        <v>8</v>
      </c>
      <c r="C55" t="s">
        <v>13</v>
      </c>
      <c r="D55" t="s">
        <v>11</v>
      </c>
      <c r="E55" s="3">
        <v>45164</v>
      </c>
      <c r="F55" s="1">
        <v>44927</v>
      </c>
      <c r="G55" s="4">
        <v>11104.198451</v>
      </c>
      <c r="H55">
        <v>3483250</v>
      </c>
    </row>
    <row r="56" spans="1:8" x14ac:dyDescent="0.35">
      <c r="A56" t="s">
        <v>8</v>
      </c>
      <c r="B56" t="s">
        <v>8</v>
      </c>
      <c r="C56" t="s">
        <v>13</v>
      </c>
      <c r="D56" t="s">
        <v>11</v>
      </c>
      <c r="E56" s="3">
        <v>45171</v>
      </c>
      <c r="F56" s="1">
        <v>44927</v>
      </c>
      <c r="G56" s="4">
        <v>12364.026618</v>
      </c>
      <c r="H56">
        <v>3661982</v>
      </c>
    </row>
    <row r="57" spans="1:8" x14ac:dyDescent="0.35">
      <c r="A57" t="s">
        <v>8</v>
      </c>
      <c r="B57" t="s">
        <v>8</v>
      </c>
      <c r="C57" t="s">
        <v>13</v>
      </c>
      <c r="D57" t="s">
        <v>11</v>
      </c>
      <c r="E57" s="3">
        <v>45178</v>
      </c>
      <c r="F57" s="1">
        <v>44927</v>
      </c>
      <c r="G57" s="4">
        <v>3480.1052730000001</v>
      </c>
      <c r="H57">
        <v>1082526</v>
      </c>
    </row>
    <row r="58" spans="1:8" x14ac:dyDescent="0.35">
      <c r="A58" t="s">
        <v>8</v>
      </c>
      <c r="B58" t="s">
        <v>8</v>
      </c>
      <c r="C58" t="s">
        <v>13</v>
      </c>
      <c r="D58" t="s">
        <v>12</v>
      </c>
      <c r="E58" s="3">
        <v>45108</v>
      </c>
      <c r="F58" s="1">
        <v>44927</v>
      </c>
      <c r="G58" s="4">
        <v>1431.8508470000002</v>
      </c>
      <c r="H58">
        <v>145797</v>
      </c>
    </row>
    <row r="59" spans="1:8" x14ac:dyDescent="0.35">
      <c r="A59" t="s">
        <v>8</v>
      </c>
      <c r="B59" t="s">
        <v>8</v>
      </c>
      <c r="C59" t="s">
        <v>13</v>
      </c>
      <c r="D59" t="s">
        <v>12</v>
      </c>
      <c r="E59" s="3">
        <v>45115</v>
      </c>
      <c r="F59" s="1">
        <v>44927</v>
      </c>
      <c r="G59" s="4">
        <v>9275.4324950000009</v>
      </c>
      <c r="H59">
        <v>2234097</v>
      </c>
    </row>
    <row r="60" spans="1:8" x14ac:dyDescent="0.35">
      <c r="A60" t="s">
        <v>8</v>
      </c>
      <c r="B60" t="s">
        <v>8</v>
      </c>
      <c r="C60" t="s">
        <v>13</v>
      </c>
      <c r="D60" t="s">
        <v>12</v>
      </c>
      <c r="E60" s="3">
        <v>45122</v>
      </c>
      <c r="F60" s="1">
        <v>44927</v>
      </c>
      <c r="G60" s="4">
        <v>5353.4812869999996</v>
      </c>
      <c r="H60">
        <v>1219258</v>
      </c>
    </row>
    <row r="61" spans="1:8" x14ac:dyDescent="0.35">
      <c r="A61" t="s">
        <v>8</v>
      </c>
      <c r="B61" t="s">
        <v>8</v>
      </c>
      <c r="C61" t="s">
        <v>13</v>
      </c>
      <c r="D61" t="s">
        <v>12</v>
      </c>
      <c r="E61" s="3">
        <v>45129</v>
      </c>
      <c r="F61" s="1">
        <v>44927</v>
      </c>
      <c r="G61" s="4">
        <v>1758.2325850000002</v>
      </c>
      <c r="H61">
        <v>634400</v>
      </c>
    </row>
    <row r="62" spans="1:8" x14ac:dyDescent="0.35">
      <c r="A62" t="s">
        <v>8</v>
      </c>
      <c r="B62" t="s">
        <v>8</v>
      </c>
      <c r="C62" t="s">
        <v>13</v>
      </c>
      <c r="D62" t="s">
        <v>12</v>
      </c>
      <c r="E62" s="3">
        <v>45136</v>
      </c>
      <c r="F62" s="1">
        <v>44927</v>
      </c>
      <c r="G62" s="4">
        <v>1325.620359</v>
      </c>
      <c r="H62">
        <v>403494</v>
      </c>
    </row>
    <row r="63" spans="1:8" x14ac:dyDescent="0.35">
      <c r="A63" t="s">
        <v>8</v>
      </c>
      <c r="B63" t="s">
        <v>8</v>
      </c>
      <c r="C63" t="s">
        <v>13</v>
      </c>
      <c r="D63" t="s">
        <v>12</v>
      </c>
      <c r="E63" s="3">
        <v>45143</v>
      </c>
      <c r="F63" s="1">
        <v>44927</v>
      </c>
      <c r="G63" s="4">
        <v>1480.8282359999998</v>
      </c>
      <c r="H63">
        <v>516226</v>
      </c>
    </row>
    <row r="64" spans="1:8" x14ac:dyDescent="0.35">
      <c r="A64" t="s">
        <v>8</v>
      </c>
      <c r="B64" t="s">
        <v>8</v>
      </c>
      <c r="C64" t="s">
        <v>13</v>
      </c>
      <c r="D64" t="s">
        <v>12</v>
      </c>
      <c r="E64" s="3">
        <v>45150</v>
      </c>
      <c r="F64" s="1">
        <v>44927</v>
      </c>
      <c r="G64" s="4">
        <v>2257.8540680000001</v>
      </c>
      <c r="H64">
        <v>748193</v>
      </c>
    </row>
    <row r="65" spans="1:8" x14ac:dyDescent="0.35">
      <c r="A65" t="s">
        <v>8</v>
      </c>
      <c r="B65" t="s">
        <v>8</v>
      </c>
      <c r="C65" t="s">
        <v>13</v>
      </c>
      <c r="D65" t="s">
        <v>12</v>
      </c>
      <c r="E65" s="3">
        <v>45157</v>
      </c>
      <c r="F65" s="1">
        <v>44927</v>
      </c>
      <c r="G65" s="4">
        <v>2433.0227869999999</v>
      </c>
      <c r="H65">
        <v>691033</v>
      </c>
    </row>
    <row r="66" spans="1:8" x14ac:dyDescent="0.35">
      <c r="A66" t="s">
        <v>8</v>
      </c>
      <c r="B66" t="s">
        <v>8</v>
      </c>
      <c r="C66" t="s">
        <v>13</v>
      </c>
      <c r="D66" t="s">
        <v>12</v>
      </c>
      <c r="E66" s="3">
        <v>45164</v>
      </c>
      <c r="F66" s="1">
        <v>44927</v>
      </c>
      <c r="G66" s="4">
        <v>304.294445</v>
      </c>
      <c r="H66">
        <v>70891</v>
      </c>
    </row>
    <row r="67" spans="1:8" x14ac:dyDescent="0.35">
      <c r="A67" t="s">
        <v>8</v>
      </c>
      <c r="B67" t="s">
        <v>8</v>
      </c>
      <c r="C67" t="s">
        <v>14</v>
      </c>
      <c r="D67" t="s">
        <v>10</v>
      </c>
      <c r="E67" s="3">
        <v>45759</v>
      </c>
      <c r="F67" s="1">
        <v>45658</v>
      </c>
      <c r="G67" s="4">
        <v>7626.22</v>
      </c>
      <c r="H67">
        <v>2104100</v>
      </c>
    </row>
    <row r="68" spans="1:8" x14ac:dyDescent="0.35">
      <c r="A68" t="s">
        <v>8</v>
      </c>
      <c r="B68" t="s">
        <v>8</v>
      </c>
      <c r="C68" t="s">
        <v>14</v>
      </c>
      <c r="D68" t="s">
        <v>10</v>
      </c>
      <c r="E68" s="3">
        <v>45766</v>
      </c>
      <c r="F68" s="1">
        <v>45658</v>
      </c>
      <c r="G68" s="4">
        <v>9972.65</v>
      </c>
      <c r="H68">
        <v>2634706</v>
      </c>
    </row>
    <row r="69" spans="1:8" x14ac:dyDescent="0.35">
      <c r="A69" t="s">
        <v>8</v>
      </c>
      <c r="B69" t="s">
        <v>8</v>
      </c>
      <c r="C69" t="s">
        <v>14</v>
      </c>
      <c r="D69" t="s">
        <v>10</v>
      </c>
      <c r="E69" s="3">
        <v>45773</v>
      </c>
      <c r="F69" s="1">
        <v>45658</v>
      </c>
      <c r="G69" s="4">
        <v>10644.05</v>
      </c>
      <c r="H69">
        <v>2784382</v>
      </c>
    </row>
    <row r="70" spans="1:8" x14ac:dyDescent="0.35">
      <c r="A70" t="s">
        <v>8</v>
      </c>
      <c r="B70" t="s">
        <v>8</v>
      </c>
      <c r="C70" t="s">
        <v>14</v>
      </c>
      <c r="D70" t="s">
        <v>10</v>
      </c>
      <c r="E70" s="3">
        <v>45780</v>
      </c>
      <c r="F70" s="1">
        <v>45658</v>
      </c>
      <c r="G70" s="4">
        <v>2939.98</v>
      </c>
      <c r="H70">
        <v>707774</v>
      </c>
    </row>
    <row r="71" spans="1:8" x14ac:dyDescent="0.35">
      <c r="A71" t="s">
        <v>8</v>
      </c>
      <c r="B71" t="s">
        <v>8</v>
      </c>
      <c r="C71" t="s">
        <v>14</v>
      </c>
      <c r="D71" t="s">
        <v>10</v>
      </c>
      <c r="E71" s="3">
        <v>45808</v>
      </c>
      <c r="F71" s="1">
        <v>45658</v>
      </c>
      <c r="G71" s="4">
        <v>1495.19</v>
      </c>
      <c r="H71">
        <v>345275</v>
      </c>
    </row>
    <row r="72" spans="1:8" x14ac:dyDescent="0.35">
      <c r="A72" t="s">
        <v>8</v>
      </c>
      <c r="B72" t="s">
        <v>8</v>
      </c>
      <c r="C72" t="s">
        <v>14</v>
      </c>
      <c r="D72" t="s">
        <v>10</v>
      </c>
      <c r="E72" s="3">
        <v>45815</v>
      </c>
      <c r="F72" s="1">
        <v>45658</v>
      </c>
      <c r="G72" s="4">
        <v>5354.1999999999989</v>
      </c>
      <c r="H72">
        <v>1448678</v>
      </c>
    </row>
    <row r="73" spans="1:8" x14ac:dyDescent="0.35">
      <c r="A73" t="s">
        <v>8</v>
      </c>
      <c r="B73" t="s">
        <v>8</v>
      </c>
      <c r="C73" t="s">
        <v>14</v>
      </c>
      <c r="D73" t="s">
        <v>10</v>
      </c>
      <c r="E73" s="3">
        <v>45822</v>
      </c>
      <c r="F73" s="1">
        <v>45658</v>
      </c>
      <c r="G73" s="4">
        <v>0.41000000000000003</v>
      </c>
      <c r="H73">
        <v>39</v>
      </c>
    </row>
    <row r="74" spans="1:8" x14ac:dyDescent="0.35">
      <c r="A74" t="s">
        <v>8</v>
      </c>
      <c r="B74" t="s">
        <v>8</v>
      </c>
      <c r="C74" t="s">
        <v>14</v>
      </c>
      <c r="D74" t="s">
        <v>10</v>
      </c>
      <c r="E74" s="3">
        <v>45829</v>
      </c>
      <c r="F74" s="1">
        <v>45658</v>
      </c>
      <c r="G74" s="4">
        <v>0.11</v>
      </c>
      <c r="H74">
        <v>14</v>
      </c>
    </row>
    <row r="75" spans="1:8" x14ac:dyDescent="0.35">
      <c r="A75" t="s">
        <v>8</v>
      </c>
      <c r="B75" t="s">
        <v>8</v>
      </c>
      <c r="C75" t="s">
        <v>14</v>
      </c>
      <c r="D75" t="s">
        <v>12</v>
      </c>
      <c r="E75" s="3">
        <v>45738</v>
      </c>
      <c r="F75" s="1">
        <v>45658</v>
      </c>
      <c r="G75" s="4">
        <v>11760.94</v>
      </c>
      <c r="H75">
        <v>2857659</v>
      </c>
    </row>
    <row r="76" spans="1:8" x14ac:dyDescent="0.35">
      <c r="A76" t="s">
        <v>8</v>
      </c>
      <c r="B76" t="s">
        <v>8</v>
      </c>
      <c r="C76" t="s">
        <v>14</v>
      </c>
      <c r="D76" t="s">
        <v>12</v>
      </c>
      <c r="E76" s="3">
        <v>45745</v>
      </c>
      <c r="F76" s="1">
        <v>45658</v>
      </c>
      <c r="G76" s="4">
        <v>14221.56</v>
      </c>
      <c r="H76">
        <v>3488612</v>
      </c>
    </row>
    <row r="77" spans="1:8" x14ac:dyDescent="0.35">
      <c r="A77" t="s">
        <v>8</v>
      </c>
      <c r="B77" t="s">
        <v>8</v>
      </c>
      <c r="C77" t="s">
        <v>14</v>
      </c>
      <c r="D77" t="s">
        <v>12</v>
      </c>
      <c r="E77" s="3">
        <v>45752</v>
      </c>
      <c r="F77" s="1">
        <v>45658</v>
      </c>
      <c r="G77" s="4">
        <v>2789.37</v>
      </c>
      <c r="H77">
        <v>747517</v>
      </c>
    </row>
    <row r="78" spans="1:8" x14ac:dyDescent="0.35">
      <c r="A78" t="s">
        <v>8</v>
      </c>
      <c r="B78" t="s">
        <v>8</v>
      </c>
      <c r="C78" t="s">
        <v>14</v>
      </c>
      <c r="D78" t="s">
        <v>12</v>
      </c>
      <c r="E78" s="3">
        <v>45759</v>
      </c>
      <c r="F78" s="1">
        <v>45658</v>
      </c>
      <c r="G78" s="4">
        <v>12.309999999999999</v>
      </c>
      <c r="H78">
        <v>4888</v>
      </c>
    </row>
    <row r="79" spans="1:8" x14ac:dyDescent="0.35">
      <c r="A79" t="s">
        <v>8</v>
      </c>
      <c r="B79" t="s">
        <v>8</v>
      </c>
      <c r="C79" t="s">
        <v>14</v>
      </c>
      <c r="D79" t="s">
        <v>12</v>
      </c>
      <c r="E79" s="3">
        <v>45766</v>
      </c>
      <c r="F79" s="1">
        <v>45658</v>
      </c>
      <c r="G79" s="4">
        <v>2.4</v>
      </c>
      <c r="H79">
        <v>676</v>
      </c>
    </row>
    <row r="80" spans="1:8" x14ac:dyDescent="0.35">
      <c r="A80" t="s">
        <v>8</v>
      </c>
      <c r="B80" t="s">
        <v>8</v>
      </c>
      <c r="C80" t="s">
        <v>14</v>
      </c>
      <c r="D80" t="s">
        <v>12</v>
      </c>
      <c r="E80" s="3">
        <v>45773</v>
      </c>
      <c r="F80" s="1">
        <v>45658</v>
      </c>
      <c r="G80" s="4">
        <v>12.120000000000001</v>
      </c>
      <c r="H80">
        <v>3731</v>
      </c>
    </row>
    <row r="81" spans="1:8" x14ac:dyDescent="0.35">
      <c r="A81" t="s">
        <v>8</v>
      </c>
      <c r="B81" t="s">
        <v>8</v>
      </c>
      <c r="C81" t="s">
        <v>14</v>
      </c>
      <c r="D81" t="s">
        <v>12</v>
      </c>
      <c r="E81" s="3">
        <v>45780</v>
      </c>
      <c r="F81" s="1">
        <v>45658</v>
      </c>
      <c r="G81" s="4">
        <v>8.01</v>
      </c>
      <c r="H81">
        <v>2643</v>
      </c>
    </row>
    <row r="82" spans="1:8" x14ac:dyDescent="0.35">
      <c r="A82" t="s">
        <v>8</v>
      </c>
      <c r="B82" t="s">
        <v>8</v>
      </c>
      <c r="C82" t="s">
        <v>14</v>
      </c>
      <c r="D82" t="s">
        <v>12</v>
      </c>
      <c r="E82" s="3">
        <v>45787</v>
      </c>
      <c r="F82" s="1">
        <v>45658</v>
      </c>
      <c r="G82" s="4">
        <v>4403.91</v>
      </c>
      <c r="H82">
        <v>1469491</v>
      </c>
    </row>
    <row r="83" spans="1:8" x14ac:dyDescent="0.35">
      <c r="A83" t="s">
        <v>8</v>
      </c>
      <c r="B83" t="s">
        <v>8</v>
      </c>
      <c r="C83" t="s">
        <v>14</v>
      </c>
      <c r="D83" t="s">
        <v>12</v>
      </c>
      <c r="E83" s="3">
        <v>45794</v>
      </c>
      <c r="F83" s="1">
        <v>45658</v>
      </c>
      <c r="G83" s="4">
        <v>13499.82</v>
      </c>
      <c r="H83">
        <v>3456088</v>
      </c>
    </row>
    <row r="84" spans="1:8" x14ac:dyDescent="0.35">
      <c r="A84" t="s">
        <v>8</v>
      </c>
      <c r="B84" t="s">
        <v>8</v>
      </c>
      <c r="C84" t="s">
        <v>14</v>
      </c>
      <c r="D84" t="s">
        <v>12</v>
      </c>
      <c r="E84" s="3">
        <v>45801</v>
      </c>
      <c r="F84" s="1">
        <v>45658</v>
      </c>
      <c r="G84" s="4">
        <v>2106.66</v>
      </c>
      <c r="H84">
        <v>514820</v>
      </c>
    </row>
    <row r="85" spans="1:8" x14ac:dyDescent="0.35">
      <c r="A85" t="s">
        <v>8</v>
      </c>
      <c r="B85" t="s">
        <v>8</v>
      </c>
      <c r="C85" t="s">
        <v>14</v>
      </c>
      <c r="D85" t="s">
        <v>12</v>
      </c>
      <c r="E85" s="3">
        <v>45815</v>
      </c>
      <c r="F85" s="1">
        <v>45658</v>
      </c>
      <c r="G85" s="4">
        <v>4319.22</v>
      </c>
      <c r="H85">
        <v>956796</v>
      </c>
    </row>
    <row r="86" spans="1:8" x14ac:dyDescent="0.35">
      <c r="A86" t="s">
        <v>8</v>
      </c>
      <c r="B86" t="s">
        <v>8</v>
      </c>
      <c r="C86" t="s">
        <v>14</v>
      </c>
      <c r="D86" t="s">
        <v>12</v>
      </c>
      <c r="E86" s="3">
        <v>45822</v>
      </c>
      <c r="F86" s="1">
        <v>45658</v>
      </c>
      <c r="G86" s="4">
        <v>12040.789999999999</v>
      </c>
      <c r="H86">
        <v>2367185</v>
      </c>
    </row>
    <row r="87" spans="1:8" x14ac:dyDescent="0.35">
      <c r="A87" t="s">
        <v>8</v>
      </c>
      <c r="B87" t="s">
        <v>8</v>
      </c>
      <c r="C87" t="s">
        <v>14</v>
      </c>
      <c r="D87" t="s">
        <v>12</v>
      </c>
      <c r="E87" s="3">
        <v>45829</v>
      </c>
      <c r="F87" s="1">
        <v>45658</v>
      </c>
      <c r="G87" s="4">
        <v>6790.08</v>
      </c>
      <c r="H87">
        <v>1232039</v>
      </c>
    </row>
    <row r="88" spans="1:8" x14ac:dyDescent="0.35">
      <c r="A88" t="s">
        <v>8</v>
      </c>
      <c r="B88" t="s">
        <v>15</v>
      </c>
      <c r="C88" t="s">
        <v>9</v>
      </c>
      <c r="D88" t="s">
        <v>11</v>
      </c>
      <c r="E88" s="3">
        <v>45185</v>
      </c>
      <c r="F88" s="1">
        <v>44927</v>
      </c>
      <c r="G88" s="4">
        <v>3288.6699899999999</v>
      </c>
      <c r="H88">
        <v>218398</v>
      </c>
    </row>
    <row r="89" spans="1:8" x14ac:dyDescent="0.35">
      <c r="A89" t="s">
        <v>8</v>
      </c>
      <c r="B89" t="s">
        <v>15</v>
      </c>
      <c r="C89" t="s">
        <v>9</v>
      </c>
      <c r="D89" t="s">
        <v>11</v>
      </c>
      <c r="E89" s="3">
        <v>45192</v>
      </c>
      <c r="F89" s="1">
        <v>44927</v>
      </c>
      <c r="G89" s="4">
        <v>14175.450015</v>
      </c>
      <c r="H89">
        <v>893066</v>
      </c>
    </row>
    <row r="90" spans="1:8" x14ac:dyDescent="0.35">
      <c r="A90" t="s">
        <v>8</v>
      </c>
      <c r="B90" t="s">
        <v>15</v>
      </c>
      <c r="C90" t="s">
        <v>9</v>
      </c>
      <c r="D90" t="s">
        <v>11</v>
      </c>
      <c r="E90" s="3">
        <v>45199</v>
      </c>
      <c r="F90" s="1">
        <v>44927</v>
      </c>
      <c r="G90" s="4">
        <v>6168.8799960000015</v>
      </c>
      <c r="H90">
        <v>329275</v>
      </c>
    </row>
    <row r="91" spans="1:8" x14ac:dyDescent="0.35">
      <c r="A91" t="s">
        <v>8</v>
      </c>
      <c r="B91" t="s">
        <v>16</v>
      </c>
      <c r="C91" t="s">
        <v>9</v>
      </c>
      <c r="D91" t="s">
        <v>11</v>
      </c>
      <c r="E91" s="3">
        <v>45248</v>
      </c>
      <c r="F91" s="1">
        <v>44927</v>
      </c>
      <c r="G91" s="4">
        <v>13939.809993000001</v>
      </c>
      <c r="H91">
        <v>2233752</v>
      </c>
    </row>
    <row r="92" spans="1:8" x14ac:dyDescent="0.35">
      <c r="A92" t="s">
        <v>8</v>
      </c>
      <c r="B92" t="s">
        <v>16</v>
      </c>
      <c r="C92" t="s">
        <v>9</v>
      </c>
      <c r="D92" t="s">
        <v>11</v>
      </c>
      <c r="E92" s="3">
        <v>45255</v>
      </c>
      <c r="F92" s="1">
        <v>44927</v>
      </c>
      <c r="G92" s="4">
        <v>28949.560006</v>
      </c>
      <c r="H92">
        <v>4666059</v>
      </c>
    </row>
    <row r="93" spans="1:8" x14ac:dyDescent="0.35">
      <c r="A93" t="s">
        <v>8</v>
      </c>
      <c r="B93" t="s">
        <v>16</v>
      </c>
      <c r="C93" t="s">
        <v>9</v>
      </c>
      <c r="D93" t="s">
        <v>11</v>
      </c>
      <c r="E93" s="3">
        <v>45262</v>
      </c>
      <c r="F93" s="1">
        <v>44927</v>
      </c>
      <c r="G93" s="4">
        <v>29383.910003000001</v>
      </c>
      <c r="H93">
        <v>4657170</v>
      </c>
    </row>
    <row r="94" spans="1:8" x14ac:dyDescent="0.35">
      <c r="A94" t="s">
        <v>8</v>
      </c>
      <c r="B94" t="s">
        <v>16</v>
      </c>
      <c r="C94" t="s">
        <v>9</v>
      </c>
      <c r="D94" t="s">
        <v>11</v>
      </c>
      <c r="E94" s="3">
        <v>45269</v>
      </c>
      <c r="F94" s="1">
        <v>44927</v>
      </c>
      <c r="G94" s="4">
        <v>28620.652752000005</v>
      </c>
      <c r="H94">
        <v>5005073</v>
      </c>
    </row>
    <row r="95" spans="1:8" x14ac:dyDescent="0.35">
      <c r="A95" t="s">
        <v>8</v>
      </c>
      <c r="B95" t="s">
        <v>16</v>
      </c>
      <c r="C95" t="s">
        <v>9</v>
      </c>
      <c r="D95" t="s">
        <v>11</v>
      </c>
      <c r="E95" s="3">
        <v>45276</v>
      </c>
      <c r="F95" s="1">
        <v>44927</v>
      </c>
      <c r="G95" s="4">
        <v>38450.740008999994</v>
      </c>
      <c r="H95">
        <v>5500117</v>
      </c>
    </row>
    <row r="96" spans="1:8" x14ac:dyDescent="0.35">
      <c r="A96" t="s">
        <v>8</v>
      </c>
      <c r="B96" t="s">
        <v>16</v>
      </c>
      <c r="C96" t="s">
        <v>9</v>
      </c>
      <c r="D96" t="s">
        <v>11</v>
      </c>
      <c r="E96" s="3">
        <v>45283</v>
      </c>
      <c r="F96" s="1">
        <v>44927</v>
      </c>
      <c r="G96" s="4">
        <v>37767.739996000004</v>
      </c>
      <c r="H96">
        <v>5158282</v>
      </c>
    </row>
    <row r="97" spans="1:8" x14ac:dyDescent="0.35">
      <c r="A97" t="s">
        <v>8</v>
      </c>
      <c r="B97" t="s">
        <v>16</v>
      </c>
      <c r="C97" t="s">
        <v>9</v>
      </c>
      <c r="D97" t="s">
        <v>11</v>
      </c>
      <c r="E97" s="3">
        <v>45290</v>
      </c>
      <c r="F97" s="1">
        <v>44927</v>
      </c>
      <c r="G97" s="4">
        <v>15955.130007</v>
      </c>
      <c r="H97">
        <v>2704263</v>
      </c>
    </row>
    <row r="98" spans="1:8" x14ac:dyDescent="0.35">
      <c r="A98" t="s">
        <v>8</v>
      </c>
      <c r="B98" t="s">
        <v>16</v>
      </c>
      <c r="C98" t="s">
        <v>9</v>
      </c>
      <c r="D98" t="s">
        <v>12</v>
      </c>
      <c r="E98" s="3">
        <v>45248</v>
      </c>
      <c r="F98" s="1">
        <v>44927</v>
      </c>
      <c r="G98" s="4">
        <v>10922.359995000001</v>
      </c>
      <c r="H98">
        <v>887014</v>
      </c>
    </row>
    <row r="99" spans="1:8" x14ac:dyDescent="0.35">
      <c r="A99" t="s">
        <v>8</v>
      </c>
      <c r="B99" t="s">
        <v>16</v>
      </c>
      <c r="C99" t="s">
        <v>9</v>
      </c>
      <c r="D99" t="s">
        <v>12</v>
      </c>
      <c r="E99" s="3">
        <v>45255</v>
      </c>
      <c r="F99" s="1">
        <v>44927</v>
      </c>
      <c r="G99" s="4">
        <v>22008.550004000004</v>
      </c>
      <c r="H99">
        <v>2108359</v>
      </c>
    </row>
    <row r="100" spans="1:8" x14ac:dyDescent="0.35">
      <c r="A100" t="s">
        <v>8</v>
      </c>
      <c r="B100" t="s">
        <v>16</v>
      </c>
      <c r="C100" t="s">
        <v>9</v>
      </c>
      <c r="D100" t="s">
        <v>12</v>
      </c>
      <c r="E100" s="3">
        <v>45262</v>
      </c>
      <c r="F100" s="1">
        <v>44927</v>
      </c>
      <c r="G100" s="4">
        <v>22200.819997000002</v>
      </c>
      <c r="H100">
        <v>1976115</v>
      </c>
    </row>
    <row r="101" spans="1:8" x14ac:dyDescent="0.35">
      <c r="A101" t="s">
        <v>8</v>
      </c>
      <c r="B101" t="s">
        <v>16</v>
      </c>
      <c r="C101" t="s">
        <v>9</v>
      </c>
      <c r="D101" t="s">
        <v>12</v>
      </c>
      <c r="E101" s="3">
        <v>45269</v>
      </c>
      <c r="F101" s="1">
        <v>44927</v>
      </c>
      <c r="G101" s="4">
        <v>21655.697800000002</v>
      </c>
      <c r="H101">
        <v>2271169</v>
      </c>
    </row>
    <row r="102" spans="1:8" x14ac:dyDescent="0.35">
      <c r="A102" t="s">
        <v>8</v>
      </c>
      <c r="B102" t="s">
        <v>16</v>
      </c>
      <c r="C102" t="s">
        <v>9</v>
      </c>
      <c r="D102" t="s">
        <v>12</v>
      </c>
      <c r="E102" s="3">
        <v>45276</v>
      </c>
      <c r="F102" s="1">
        <v>44927</v>
      </c>
      <c r="G102" s="4">
        <v>21466.060018</v>
      </c>
      <c r="H102">
        <v>1958670</v>
      </c>
    </row>
    <row r="103" spans="1:8" x14ac:dyDescent="0.35">
      <c r="A103" t="s">
        <v>8</v>
      </c>
      <c r="B103" t="s">
        <v>16</v>
      </c>
      <c r="C103" t="s">
        <v>9</v>
      </c>
      <c r="D103" t="s">
        <v>12</v>
      </c>
      <c r="E103" s="3">
        <v>45283</v>
      </c>
      <c r="F103" s="1">
        <v>44927</v>
      </c>
      <c r="G103" s="4">
        <v>21063.300009000002</v>
      </c>
      <c r="H103">
        <v>1863207</v>
      </c>
    </row>
    <row r="104" spans="1:8" x14ac:dyDescent="0.35">
      <c r="A104" t="s">
        <v>8</v>
      </c>
      <c r="B104" t="s">
        <v>16</v>
      </c>
      <c r="C104" t="s">
        <v>9</v>
      </c>
      <c r="D104" t="s">
        <v>12</v>
      </c>
      <c r="E104" s="3">
        <v>45290</v>
      </c>
      <c r="F104" s="1">
        <v>44927</v>
      </c>
      <c r="G104" s="4">
        <v>11239.950003</v>
      </c>
      <c r="H104">
        <v>1233138</v>
      </c>
    </row>
    <row r="105" spans="1:8" x14ac:dyDescent="0.35">
      <c r="A105" t="s">
        <v>8</v>
      </c>
      <c r="B105" t="s">
        <v>17</v>
      </c>
      <c r="C105" t="s">
        <v>9</v>
      </c>
      <c r="D105" t="s">
        <v>10</v>
      </c>
      <c r="E105" s="3">
        <v>45122</v>
      </c>
      <c r="F105" s="1">
        <v>44927</v>
      </c>
      <c r="G105" s="4">
        <v>32023.799993000004</v>
      </c>
      <c r="H105">
        <v>4557001</v>
      </c>
    </row>
    <row r="106" spans="1:8" x14ac:dyDescent="0.35">
      <c r="A106" t="s">
        <v>8</v>
      </c>
      <c r="B106" t="s">
        <v>17</v>
      </c>
      <c r="C106" t="s">
        <v>9</v>
      </c>
      <c r="D106" t="s">
        <v>10</v>
      </c>
      <c r="E106" s="3">
        <v>45129</v>
      </c>
      <c r="F106" s="1">
        <v>44927</v>
      </c>
      <c r="G106" s="4">
        <v>33622.089997999996</v>
      </c>
      <c r="H106">
        <v>4804148</v>
      </c>
    </row>
    <row r="107" spans="1:8" x14ac:dyDescent="0.35">
      <c r="A107" t="s">
        <v>8</v>
      </c>
      <c r="B107" t="s">
        <v>17</v>
      </c>
      <c r="C107" t="s">
        <v>9</v>
      </c>
      <c r="D107" t="s">
        <v>10</v>
      </c>
      <c r="E107" s="3">
        <v>45136</v>
      </c>
      <c r="F107" s="1">
        <v>44927</v>
      </c>
      <c r="G107" s="4">
        <v>32824.410005999998</v>
      </c>
      <c r="H107">
        <v>4753491</v>
      </c>
    </row>
    <row r="108" spans="1:8" x14ac:dyDescent="0.35">
      <c r="A108" t="s">
        <v>8</v>
      </c>
      <c r="B108" t="s">
        <v>17</v>
      </c>
      <c r="C108" t="s">
        <v>9</v>
      </c>
      <c r="D108" t="s">
        <v>10</v>
      </c>
      <c r="E108" s="3">
        <v>45143</v>
      </c>
      <c r="F108" s="1">
        <v>44927</v>
      </c>
      <c r="G108" s="4">
        <v>32766.600002999992</v>
      </c>
      <c r="H108">
        <v>5233861</v>
      </c>
    </row>
    <row r="109" spans="1:8" x14ac:dyDescent="0.35">
      <c r="A109" t="s">
        <v>8</v>
      </c>
      <c r="B109" t="s">
        <v>17</v>
      </c>
      <c r="C109" t="s">
        <v>9</v>
      </c>
      <c r="D109" t="s">
        <v>10</v>
      </c>
      <c r="E109" s="3">
        <v>45150</v>
      </c>
      <c r="F109" s="1">
        <v>44927</v>
      </c>
      <c r="G109" s="4">
        <v>31935.239996999993</v>
      </c>
      <c r="H109">
        <v>4991273</v>
      </c>
    </row>
    <row r="110" spans="1:8" x14ac:dyDescent="0.35">
      <c r="A110" t="s">
        <v>8</v>
      </c>
      <c r="B110" t="s">
        <v>17</v>
      </c>
      <c r="C110" t="s">
        <v>9</v>
      </c>
      <c r="D110" t="s">
        <v>10</v>
      </c>
      <c r="E110" s="3">
        <v>45157</v>
      </c>
      <c r="F110" s="1">
        <v>44927</v>
      </c>
      <c r="G110" s="4">
        <v>32411.340014000001</v>
      </c>
      <c r="H110">
        <v>4861713</v>
      </c>
    </row>
    <row r="111" spans="1:8" x14ac:dyDescent="0.35">
      <c r="A111" t="s">
        <v>8</v>
      </c>
      <c r="B111" t="s">
        <v>17</v>
      </c>
      <c r="C111" t="s">
        <v>9</v>
      </c>
      <c r="D111" t="s">
        <v>10</v>
      </c>
      <c r="E111" s="3">
        <v>45164</v>
      </c>
      <c r="F111" s="1">
        <v>44927</v>
      </c>
      <c r="G111" s="4">
        <v>4412.3699969999998</v>
      </c>
      <c r="H111">
        <v>699052</v>
      </c>
    </row>
    <row r="112" spans="1:8" x14ac:dyDescent="0.35">
      <c r="A112" t="s">
        <v>8</v>
      </c>
      <c r="B112" t="s">
        <v>18</v>
      </c>
      <c r="C112" t="s">
        <v>9</v>
      </c>
      <c r="D112" t="s">
        <v>10</v>
      </c>
      <c r="E112" s="3">
        <v>45780</v>
      </c>
      <c r="F112" s="1">
        <v>45658</v>
      </c>
      <c r="G112" s="4">
        <v>2330.3100000000004</v>
      </c>
      <c r="H112">
        <v>617631</v>
      </c>
    </row>
    <row r="113" spans="1:8" x14ac:dyDescent="0.35">
      <c r="A113" t="s">
        <v>8</v>
      </c>
      <c r="B113" t="s">
        <v>18</v>
      </c>
      <c r="C113" t="s">
        <v>9</v>
      </c>
      <c r="D113" t="s">
        <v>10</v>
      </c>
      <c r="E113" s="3">
        <v>45787</v>
      </c>
      <c r="F113" s="1">
        <v>45658</v>
      </c>
      <c r="G113" s="4">
        <v>9358.3799990000007</v>
      </c>
      <c r="H113">
        <v>2475528</v>
      </c>
    </row>
    <row r="114" spans="1:8" x14ac:dyDescent="0.35">
      <c r="A114" t="s">
        <v>8</v>
      </c>
      <c r="B114" t="s">
        <v>18</v>
      </c>
      <c r="C114" t="s">
        <v>9</v>
      </c>
      <c r="D114" t="s">
        <v>10</v>
      </c>
      <c r="E114" s="3">
        <v>45794</v>
      </c>
      <c r="F114" s="1">
        <v>45658</v>
      </c>
      <c r="G114" s="4">
        <v>9370.0399949999992</v>
      </c>
      <c r="H114">
        <v>1944035</v>
      </c>
    </row>
    <row r="115" spans="1:8" x14ac:dyDescent="0.35">
      <c r="A115" t="s">
        <v>8</v>
      </c>
      <c r="B115" t="s">
        <v>18</v>
      </c>
      <c r="C115" t="s">
        <v>9</v>
      </c>
      <c r="D115" t="s">
        <v>10</v>
      </c>
      <c r="E115" s="3">
        <v>45801</v>
      </c>
      <c r="F115" s="1">
        <v>45658</v>
      </c>
      <c r="G115" s="4">
        <v>164.18</v>
      </c>
      <c r="H115">
        <v>12632</v>
      </c>
    </row>
    <row r="116" spans="1:8" x14ac:dyDescent="0.35">
      <c r="A116" t="s">
        <v>8</v>
      </c>
      <c r="B116" t="s">
        <v>18</v>
      </c>
      <c r="C116" t="s">
        <v>9</v>
      </c>
      <c r="D116" t="s">
        <v>10</v>
      </c>
      <c r="E116" s="3">
        <v>45808</v>
      </c>
      <c r="F116" s="1">
        <v>45658</v>
      </c>
      <c r="G116" s="4">
        <v>279.79999800000002</v>
      </c>
      <c r="H116">
        <v>17816</v>
      </c>
    </row>
    <row r="117" spans="1:8" x14ac:dyDescent="0.35">
      <c r="A117" t="s">
        <v>8</v>
      </c>
      <c r="B117" t="s">
        <v>18</v>
      </c>
      <c r="C117" t="s">
        <v>9</v>
      </c>
      <c r="D117" t="s">
        <v>10</v>
      </c>
      <c r="E117" s="3">
        <v>45815</v>
      </c>
      <c r="F117" s="1">
        <v>45658</v>
      </c>
      <c r="G117" s="4">
        <v>12307.289990999998</v>
      </c>
      <c r="H117">
        <v>1810566</v>
      </c>
    </row>
    <row r="118" spans="1:8" x14ac:dyDescent="0.35">
      <c r="A118" t="s">
        <v>8</v>
      </c>
      <c r="B118" t="s">
        <v>18</v>
      </c>
      <c r="C118" t="s">
        <v>9</v>
      </c>
      <c r="D118" t="s">
        <v>10</v>
      </c>
      <c r="E118" s="3">
        <v>45822</v>
      </c>
      <c r="F118" s="1">
        <v>45658</v>
      </c>
      <c r="G118" s="4">
        <v>11489.900003999999</v>
      </c>
      <c r="H118">
        <v>1623404</v>
      </c>
    </row>
    <row r="119" spans="1:8" x14ac:dyDescent="0.35">
      <c r="A119" t="s">
        <v>8</v>
      </c>
      <c r="B119" t="s">
        <v>18</v>
      </c>
      <c r="C119" t="s">
        <v>9</v>
      </c>
      <c r="D119" t="s">
        <v>10</v>
      </c>
      <c r="E119" s="3">
        <v>45829</v>
      </c>
      <c r="F119" s="1">
        <v>45658</v>
      </c>
      <c r="G119" s="4">
        <v>8325.4899990000013</v>
      </c>
      <c r="H119">
        <v>1427702</v>
      </c>
    </row>
    <row r="120" spans="1:8" x14ac:dyDescent="0.35">
      <c r="A120" t="s">
        <v>8</v>
      </c>
      <c r="B120" t="s">
        <v>18</v>
      </c>
      <c r="C120" t="s">
        <v>9</v>
      </c>
      <c r="D120" t="s">
        <v>10</v>
      </c>
      <c r="E120" s="3">
        <v>45836</v>
      </c>
      <c r="F120" s="1">
        <v>45658</v>
      </c>
      <c r="G120" s="4">
        <v>11031.789997</v>
      </c>
      <c r="H120">
        <v>1748720</v>
      </c>
    </row>
    <row r="121" spans="1:8" x14ac:dyDescent="0.35">
      <c r="A121" t="s">
        <v>8</v>
      </c>
      <c r="B121" t="s">
        <v>18</v>
      </c>
      <c r="C121" t="s">
        <v>9</v>
      </c>
      <c r="D121" t="s">
        <v>10</v>
      </c>
      <c r="E121" s="3">
        <v>45843</v>
      </c>
      <c r="F121" s="1">
        <v>45658</v>
      </c>
      <c r="G121" s="4">
        <v>2842.2807999999995</v>
      </c>
      <c r="H121">
        <v>367387</v>
      </c>
    </row>
    <row r="122" spans="1:8" x14ac:dyDescent="0.35">
      <c r="A122" t="s">
        <v>8</v>
      </c>
      <c r="B122" t="s">
        <v>18</v>
      </c>
      <c r="C122" t="s">
        <v>9</v>
      </c>
      <c r="D122" t="s">
        <v>12</v>
      </c>
      <c r="E122" s="3">
        <v>45780</v>
      </c>
      <c r="F122" s="1">
        <v>45658</v>
      </c>
      <c r="G122" s="4">
        <v>6046.8999989999993</v>
      </c>
      <c r="H122">
        <v>761793</v>
      </c>
    </row>
    <row r="123" spans="1:8" x14ac:dyDescent="0.35">
      <c r="A123" t="s">
        <v>8</v>
      </c>
      <c r="B123" t="s">
        <v>18</v>
      </c>
      <c r="C123" t="s">
        <v>9</v>
      </c>
      <c r="D123" t="s">
        <v>12</v>
      </c>
      <c r="E123" s="3">
        <v>45787</v>
      </c>
      <c r="F123" s="1">
        <v>45658</v>
      </c>
      <c r="G123" s="4">
        <v>22076.550007999998</v>
      </c>
      <c r="H123">
        <v>2728434</v>
      </c>
    </row>
    <row r="124" spans="1:8" x14ac:dyDescent="0.35">
      <c r="A124" t="s">
        <v>8</v>
      </c>
      <c r="B124" t="s">
        <v>18</v>
      </c>
      <c r="C124" t="s">
        <v>9</v>
      </c>
      <c r="D124" t="s">
        <v>12</v>
      </c>
      <c r="E124" s="3">
        <v>45794</v>
      </c>
      <c r="F124" s="1">
        <v>45658</v>
      </c>
      <c r="G124" s="4">
        <v>21287.130004000002</v>
      </c>
      <c r="H124">
        <v>2518405</v>
      </c>
    </row>
    <row r="125" spans="1:8" x14ac:dyDescent="0.35">
      <c r="A125" t="s">
        <v>8</v>
      </c>
      <c r="B125" t="s">
        <v>18</v>
      </c>
      <c r="C125" t="s">
        <v>9</v>
      </c>
      <c r="D125" t="s">
        <v>12</v>
      </c>
      <c r="E125" s="3">
        <v>45801</v>
      </c>
      <c r="F125" s="1">
        <v>45658</v>
      </c>
      <c r="G125" s="4">
        <v>30498.509989000002</v>
      </c>
      <c r="H125">
        <v>3855759</v>
      </c>
    </row>
    <row r="126" spans="1:8" x14ac:dyDescent="0.35">
      <c r="A126" t="s">
        <v>8</v>
      </c>
      <c r="B126" t="s">
        <v>18</v>
      </c>
      <c r="C126" t="s">
        <v>9</v>
      </c>
      <c r="D126" t="s">
        <v>12</v>
      </c>
      <c r="E126" s="3">
        <v>45808</v>
      </c>
      <c r="F126" s="1">
        <v>45658</v>
      </c>
      <c r="G126" s="4">
        <v>29961.190005000004</v>
      </c>
      <c r="H126">
        <v>3828078</v>
      </c>
    </row>
    <row r="127" spans="1:8" x14ac:dyDescent="0.35">
      <c r="A127" t="s">
        <v>8</v>
      </c>
      <c r="B127" t="s">
        <v>18</v>
      </c>
      <c r="C127" t="s">
        <v>9</v>
      </c>
      <c r="D127" t="s">
        <v>12</v>
      </c>
      <c r="E127" s="3">
        <v>45815</v>
      </c>
      <c r="F127" s="1">
        <v>45658</v>
      </c>
      <c r="G127" s="4">
        <v>17945.27</v>
      </c>
      <c r="H127">
        <v>1955408</v>
      </c>
    </row>
    <row r="128" spans="1:8" x14ac:dyDescent="0.35">
      <c r="A128" t="s">
        <v>8</v>
      </c>
      <c r="B128" t="s">
        <v>18</v>
      </c>
      <c r="C128" t="s">
        <v>9</v>
      </c>
      <c r="D128" t="s">
        <v>12</v>
      </c>
      <c r="E128" s="3">
        <v>45822</v>
      </c>
      <c r="F128" s="1">
        <v>45658</v>
      </c>
      <c r="G128" s="4">
        <v>18628.280005000001</v>
      </c>
      <c r="H128">
        <v>1957157</v>
      </c>
    </row>
    <row r="129" spans="1:8" x14ac:dyDescent="0.35">
      <c r="A129" t="s">
        <v>8</v>
      </c>
      <c r="B129" t="s">
        <v>18</v>
      </c>
      <c r="C129" t="s">
        <v>9</v>
      </c>
      <c r="D129" t="s">
        <v>12</v>
      </c>
      <c r="E129" s="3">
        <v>45829</v>
      </c>
      <c r="F129" s="1">
        <v>45658</v>
      </c>
      <c r="G129" s="4">
        <v>22135.769990000001</v>
      </c>
      <c r="H129">
        <v>2641544</v>
      </c>
    </row>
    <row r="130" spans="1:8" x14ac:dyDescent="0.35">
      <c r="A130" t="s">
        <v>8</v>
      </c>
      <c r="B130" t="s">
        <v>18</v>
      </c>
      <c r="C130" t="s">
        <v>9</v>
      </c>
      <c r="D130" t="s">
        <v>12</v>
      </c>
      <c r="E130" s="3">
        <v>45836</v>
      </c>
      <c r="F130" s="1">
        <v>45658</v>
      </c>
      <c r="G130" s="4">
        <v>19292.110008</v>
      </c>
      <c r="H130">
        <v>2273732</v>
      </c>
    </row>
    <row r="131" spans="1:8" x14ac:dyDescent="0.35">
      <c r="A131" t="s">
        <v>8</v>
      </c>
      <c r="B131" t="s">
        <v>18</v>
      </c>
      <c r="C131" t="s">
        <v>9</v>
      </c>
      <c r="D131" t="s">
        <v>12</v>
      </c>
      <c r="E131" s="3">
        <v>45843</v>
      </c>
      <c r="F131" s="1">
        <v>45658</v>
      </c>
      <c r="G131" s="4">
        <v>7547.1574310000015</v>
      </c>
      <c r="H131">
        <v>965006</v>
      </c>
    </row>
    <row r="132" spans="1:8" x14ac:dyDescent="0.35">
      <c r="A132" t="s">
        <v>8</v>
      </c>
      <c r="B132" t="s">
        <v>18</v>
      </c>
      <c r="C132" t="s">
        <v>13</v>
      </c>
      <c r="D132" t="s">
        <v>10</v>
      </c>
      <c r="E132" s="3">
        <v>45815</v>
      </c>
      <c r="F132" s="1">
        <v>45658</v>
      </c>
      <c r="G132" s="4">
        <v>2709.0638840000001</v>
      </c>
      <c r="H132">
        <v>1247646</v>
      </c>
    </row>
    <row r="133" spans="1:8" x14ac:dyDescent="0.35">
      <c r="A133" t="s">
        <v>8</v>
      </c>
      <c r="B133" t="s">
        <v>18</v>
      </c>
      <c r="C133" t="s">
        <v>13</v>
      </c>
      <c r="D133" t="s">
        <v>10</v>
      </c>
      <c r="E133" s="3">
        <v>45822</v>
      </c>
      <c r="F133" s="1">
        <v>45658</v>
      </c>
      <c r="G133" s="4">
        <v>3011.8828819999999</v>
      </c>
      <c r="H133">
        <v>1380515</v>
      </c>
    </row>
    <row r="134" spans="1:8" x14ac:dyDescent="0.35">
      <c r="A134" t="s">
        <v>8</v>
      </c>
      <c r="B134" t="s">
        <v>18</v>
      </c>
      <c r="C134" t="s">
        <v>13</v>
      </c>
      <c r="D134" t="s">
        <v>10</v>
      </c>
      <c r="E134" s="3">
        <v>45829</v>
      </c>
      <c r="F134" s="1">
        <v>45658</v>
      </c>
      <c r="G134" s="4">
        <v>2216.2211049999996</v>
      </c>
      <c r="H134">
        <v>1036744</v>
      </c>
    </row>
    <row r="135" spans="1:8" x14ac:dyDescent="0.35">
      <c r="A135" t="s">
        <v>8</v>
      </c>
      <c r="B135" t="s">
        <v>18</v>
      </c>
      <c r="C135" t="s">
        <v>13</v>
      </c>
      <c r="D135" t="s">
        <v>10</v>
      </c>
      <c r="E135" s="3">
        <v>45836</v>
      </c>
      <c r="F135" s="1">
        <v>45658</v>
      </c>
      <c r="G135" s="4">
        <v>2380.7796990000002</v>
      </c>
      <c r="H135">
        <v>1087890</v>
      </c>
    </row>
    <row r="136" spans="1:8" x14ac:dyDescent="0.35">
      <c r="A136" t="s">
        <v>8</v>
      </c>
      <c r="B136" t="s">
        <v>18</v>
      </c>
      <c r="C136" t="s">
        <v>13</v>
      </c>
      <c r="D136" t="s">
        <v>10</v>
      </c>
      <c r="E136" s="3">
        <v>45843</v>
      </c>
      <c r="F136" s="1">
        <v>45658</v>
      </c>
      <c r="G136" s="4">
        <v>748.67284599999994</v>
      </c>
      <c r="H136">
        <v>371071</v>
      </c>
    </row>
    <row r="137" spans="1:8" x14ac:dyDescent="0.35">
      <c r="A137" t="s">
        <v>8</v>
      </c>
      <c r="B137" t="s">
        <v>18</v>
      </c>
      <c r="C137" t="s">
        <v>13</v>
      </c>
      <c r="D137" t="s">
        <v>12</v>
      </c>
      <c r="E137" s="3">
        <v>45815</v>
      </c>
      <c r="F137" s="1">
        <v>45658</v>
      </c>
      <c r="G137" s="4">
        <v>7321.2670310000003</v>
      </c>
      <c r="H137">
        <v>3384057</v>
      </c>
    </row>
    <row r="138" spans="1:8" x14ac:dyDescent="0.35">
      <c r="A138" t="s">
        <v>8</v>
      </c>
      <c r="B138" t="s">
        <v>18</v>
      </c>
      <c r="C138" t="s">
        <v>13</v>
      </c>
      <c r="D138" t="s">
        <v>12</v>
      </c>
      <c r="E138" s="3">
        <v>45822</v>
      </c>
      <c r="F138" s="1">
        <v>45658</v>
      </c>
      <c r="G138" s="4">
        <v>9172.1963170000017</v>
      </c>
      <c r="H138">
        <v>4164564</v>
      </c>
    </row>
    <row r="139" spans="1:8" x14ac:dyDescent="0.35">
      <c r="A139" t="s">
        <v>8</v>
      </c>
      <c r="B139" t="s">
        <v>18</v>
      </c>
      <c r="C139" t="s">
        <v>13</v>
      </c>
      <c r="D139" t="s">
        <v>12</v>
      </c>
      <c r="E139" s="3">
        <v>45829</v>
      </c>
      <c r="F139" s="1">
        <v>45658</v>
      </c>
      <c r="G139" s="4">
        <v>9919.7558059999992</v>
      </c>
      <c r="H139">
        <v>4593160</v>
      </c>
    </row>
    <row r="140" spans="1:8" x14ac:dyDescent="0.35">
      <c r="A140" t="s">
        <v>8</v>
      </c>
      <c r="B140" t="s">
        <v>18</v>
      </c>
      <c r="C140" t="s">
        <v>13</v>
      </c>
      <c r="D140" t="s">
        <v>12</v>
      </c>
      <c r="E140" s="3">
        <v>45836</v>
      </c>
      <c r="F140" s="1">
        <v>45658</v>
      </c>
      <c r="G140" s="4">
        <v>9780.5517020000007</v>
      </c>
      <c r="H140">
        <v>4416137</v>
      </c>
    </row>
    <row r="141" spans="1:8" x14ac:dyDescent="0.35">
      <c r="A141" t="s">
        <v>8</v>
      </c>
      <c r="B141" t="s">
        <v>18</v>
      </c>
      <c r="C141" t="s">
        <v>13</v>
      </c>
      <c r="D141" t="s">
        <v>12</v>
      </c>
      <c r="E141" s="3">
        <v>45843</v>
      </c>
      <c r="F141" s="1">
        <v>45658</v>
      </c>
      <c r="G141" s="4">
        <v>2739.6087280000002</v>
      </c>
      <c r="H141">
        <v>1331946</v>
      </c>
    </row>
    <row r="142" spans="1:8" x14ac:dyDescent="0.35">
      <c r="A142" t="s">
        <v>8</v>
      </c>
      <c r="B142" t="s">
        <v>18</v>
      </c>
      <c r="C142" t="s">
        <v>14</v>
      </c>
      <c r="D142" t="s">
        <v>10</v>
      </c>
      <c r="E142" s="3">
        <v>45815</v>
      </c>
      <c r="F142" s="1">
        <v>45658</v>
      </c>
      <c r="G142" s="4">
        <v>98617.08</v>
      </c>
      <c r="H142">
        <v>8351986</v>
      </c>
    </row>
    <row r="143" spans="1:8" x14ac:dyDescent="0.35">
      <c r="A143" t="s">
        <v>8</v>
      </c>
      <c r="B143" t="s">
        <v>18</v>
      </c>
      <c r="C143" t="s">
        <v>14</v>
      </c>
      <c r="D143" t="s">
        <v>10</v>
      </c>
      <c r="E143" s="3">
        <v>45822</v>
      </c>
      <c r="F143" s="1">
        <v>45658</v>
      </c>
      <c r="G143" s="4">
        <v>30096.099999999995</v>
      </c>
      <c r="H143">
        <v>3559856</v>
      </c>
    </row>
    <row r="144" spans="1:8" x14ac:dyDescent="0.35">
      <c r="A144" t="s">
        <v>8</v>
      </c>
      <c r="B144" t="s">
        <v>18</v>
      </c>
      <c r="C144" t="s">
        <v>14</v>
      </c>
      <c r="D144" t="s">
        <v>10</v>
      </c>
      <c r="E144" s="3">
        <v>45829</v>
      </c>
      <c r="F144" s="1">
        <v>45658</v>
      </c>
      <c r="G144" s="4">
        <v>21537.98</v>
      </c>
      <c r="H144">
        <v>3733581</v>
      </c>
    </row>
    <row r="145" spans="1:8" x14ac:dyDescent="0.35">
      <c r="A145" t="s">
        <v>8</v>
      </c>
      <c r="B145" t="s">
        <v>18</v>
      </c>
      <c r="C145" t="s">
        <v>14</v>
      </c>
      <c r="D145" t="s">
        <v>10</v>
      </c>
      <c r="E145" s="3">
        <v>45836</v>
      </c>
      <c r="F145" s="1">
        <v>45658</v>
      </c>
      <c r="G145" s="4">
        <v>40513.660000000003</v>
      </c>
      <c r="H145">
        <v>6523409</v>
      </c>
    </row>
    <row r="146" spans="1:8" x14ac:dyDescent="0.35">
      <c r="A146" t="s">
        <v>8</v>
      </c>
      <c r="B146" t="s">
        <v>18</v>
      </c>
      <c r="C146" t="s">
        <v>14</v>
      </c>
      <c r="D146" t="s">
        <v>10</v>
      </c>
      <c r="E146" s="3">
        <v>45843</v>
      </c>
      <c r="F146" s="1">
        <v>45658</v>
      </c>
      <c r="G146" s="4">
        <v>14155.99</v>
      </c>
      <c r="H146">
        <v>2289191</v>
      </c>
    </row>
    <row r="147" spans="1:8" x14ac:dyDescent="0.35">
      <c r="A147" t="s">
        <v>8</v>
      </c>
      <c r="B147" t="s">
        <v>18</v>
      </c>
      <c r="C147" t="s">
        <v>14</v>
      </c>
      <c r="D147" t="s">
        <v>12</v>
      </c>
      <c r="E147" s="3">
        <v>45815</v>
      </c>
      <c r="F147" s="1">
        <v>45658</v>
      </c>
      <c r="G147" s="4">
        <v>74899.410000000018</v>
      </c>
      <c r="H147">
        <v>10147501</v>
      </c>
    </row>
    <row r="148" spans="1:8" x14ac:dyDescent="0.35">
      <c r="A148" t="s">
        <v>8</v>
      </c>
      <c r="B148" t="s">
        <v>18</v>
      </c>
      <c r="C148" t="s">
        <v>14</v>
      </c>
      <c r="D148" t="s">
        <v>12</v>
      </c>
      <c r="E148" s="3">
        <v>45822</v>
      </c>
      <c r="F148" s="1">
        <v>45658</v>
      </c>
      <c r="G148" s="4">
        <v>46002.03</v>
      </c>
      <c r="H148">
        <v>8675368</v>
      </c>
    </row>
    <row r="149" spans="1:8" x14ac:dyDescent="0.35">
      <c r="A149" t="s">
        <v>8</v>
      </c>
      <c r="B149" t="s">
        <v>18</v>
      </c>
      <c r="C149" t="s">
        <v>14</v>
      </c>
      <c r="D149" t="s">
        <v>12</v>
      </c>
      <c r="E149" s="3">
        <v>45829</v>
      </c>
      <c r="F149" s="1">
        <v>45658</v>
      </c>
      <c r="G149" s="4">
        <v>33288.71</v>
      </c>
      <c r="H149">
        <v>6190838</v>
      </c>
    </row>
    <row r="150" spans="1:8" x14ac:dyDescent="0.35">
      <c r="A150" t="s">
        <v>8</v>
      </c>
      <c r="B150" t="s">
        <v>18</v>
      </c>
      <c r="C150" t="s">
        <v>14</v>
      </c>
      <c r="D150" t="s">
        <v>12</v>
      </c>
      <c r="E150" s="3">
        <v>45836</v>
      </c>
      <c r="F150" s="1">
        <v>45658</v>
      </c>
      <c r="G150" s="4">
        <v>14697.989999999996</v>
      </c>
      <c r="H150">
        <v>2624177</v>
      </c>
    </row>
    <row r="151" spans="1:8" x14ac:dyDescent="0.35">
      <c r="A151" t="s">
        <v>8</v>
      </c>
      <c r="B151" t="s">
        <v>18</v>
      </c>
      <c r="C151" t="s">
        <v>14</v>
      </c>
      <c r="D151" t="s">
        <v>12</v>
      </c>
      <c r="E151" s="3">
        <v>45843</v>
      </c>
      <c r="F151" s="1">
        <v>45658</v>
      </c>
      <c r="G151" s="4">
        <v>1151.33</v>
      </c>
      <c r="H151">
        <v>210299</v>
      </c>
    </row>
    <row r="152" spans="1:8" x14ac:dyDescent="0.35">
      <c r="A152" t="s">
        <v>8</v>
      </c>
      <c r="B152" t="s">
        <v>19</v>
      </c>
      <c r="C152" t="s">
        <v>9</v>
      </c>
      <c r="D152" t="s">
        <v>10</v>
      </c>
      <c r="E152" s="3">
        <v>45752</v>
      </c>
      <c r="F152" s="1">
        <v>45658</v>
      </c>
      <c r="G152" s="4">
        <v>3726.9300020000001</v>
      </c>
      <c r="H152">
        <v>232186</v>
      </c>
    </row>
    <row r="153" spans="1:8" x14ac:dyDescent="0.35">
      <c r="A153" t="s">
        <v>8</v>
      </c>
      <c r="B153" t="s">
        <v>19</v>
      </c>
      <c r="C153" t="s">
        <v>9</v>
      </c>
      <c r="D153" t="s">
        <v>10</v>
      </c>
      <c r="E153" s="3">
        <v>45759</v>
      </c>
      <c r="F153" s="1">
        <v>45658</v>
      </c>
      <c r="G153" s="4">
        <v>5037.8300049999998</v>
      </c>
      <c r="H153">
        <v>247387</v>
      </c>
    </row>
    <row r="154" spans="1:8" x14ac:dyDescent="0.35">
      <c r="A154" t="s">
        <v>8</v>
      </c>
      <c r="B154" t="s">
        <v>19</v>
      </c>
      <c r="C154" t="s">
        <v>9</v>
      </c>
      <c r="D154" t="s">
        <v>10</v>
      </c>
      <c r="E154" s="3">
        <v>45766</v>
      </c>
      <c r="F154" s="1">
        <v>45658</v>
      </c>
      <c r="G154" s="4">
        <v>2128.89</v>
      </c>
      <c r="H154">
        <v>92467</v>
      </c>
    </row>
    <row r="155" spans="1:8" x14ac:dyDescent="0.35">
      <c r="A155" t="s">
        <v>8</v>
      </c>
      <c r="B155" t="s">
        <v>19</v>
      </c>
      <c r="C155" t="s">
        <v>9</v>
      </c>
      <c r="D155" t="s">
        <v>10</v>
      </c>
      <c r="E155" s="3">
        <v>45773</v>
      </c>
      <c r="F155" s="1">
        <v>45658</v>
      </c>
      <c r="G155" s="4">
        <v>2959.32</v>
      </c>
      <c r="H155">
        <v>133079</v>
      </c>
    </row>
    <row r="156" spans="1:8" x14ac:dyDescent="0.35">
      <c r="A156" t="s">
        <v>8</v>
      </c>
      <c r="B156" t="s">
        <v>19</v>
      </c>
      <c r="C156" t="s">
        <v>9</v>
      </c>
      <c r="D156" t="s">
        <v>10</v>
      </c>
      <c r="E156" s="3">
        <v>45780</v>
      </c>
      <c r="F156" s="1">
        <v>45658</v>
      </c>
      <c r="G156" s="4">
        <v>2386.4699969999997</v>
      </c>
      <c r="H156">
        <v>102518</v>
      </c>
    </row>
    <row r="157" spans="1:8" x14ac:dyDescent="0.35">
      <c r="A157" t="s">
        <v>8</v>
      </c>
      <c r="B157" t="s">
        <v>19</v>
      </c>
      <c r="C157" t="s">
        <v>9</v>
      </c>
      <c r="D157" t="s">
        <v>11</v>
      </c>
      <c r="E157" s="3">
        <v>45311</v>
      </c>
      <c r="F157" s="1">
        <v>45292</v>
      </c>
      <c r="G157" s="4">
        <v>9067.4199919999992</v>
      </c>
      <c r="H157">
        <v>2851475</v>
      </c>
    </row>
    <row r="158" spans="1:8" x14ac:dyDescent="0.35">
      <c r="A158" t="s">
        <v>8</v>
      </c>
      <c r="B158" t="s">
        <v>19</v>
      </c>
      <c r="C158" t="s">
        <v>9</v>
      </c>
      <c r="D158" t="s">
        <v>11</v>
      </c>
      <c r="E158" s="3">
        <v>45318</v>
      </c>
      <c r="F158" s="1">
        <v>45292</v>
      </c>
      <c r="G158" s="4">
        <v>10316.090037999998</v>
      </c>
      <c r="H158">
        <v>2557828</v>
      </c>
    </row>
    <row r="159" spans="1:8" x14ac:dyDescent="0.35">
      <c r="A159" t="s">
        <v>8</v>
      </c>
      <c r="B159" t="s">
        <v>19</v>
      </c>
      <c r="C159" t="s">
        <v>9</v>
      </c>
      <c r="D159" t="s">
        <v>11</v>
      </c>
      <c r="E159" s="3">
        <v>45325</v>
      </c>
      <c r="F159" s="1">
        <v>45292</v>
      </c>
      <c r="G159" s="4">
        <v>10254.200008999998</v>
      </c>
      <c r="H159">
        <v>2072395</v>
      </c>
    </row>
    <row r="160" spans="1:8" x14ac:dyDescent="0.35">
      <c r="A160" t="s">
        <v>8</v>
      </c>
      <c r="B160" t="s">
        <v>19</v>
      </c>
      <c r="C160" t="s">
        <v>9</v>
      </c>
      <c r="D160" t="s">
        <v>11</v>
      </c>
      <c r="E160" s="3">
        <v>45332</v>
      </c>
      <c r="F160" s="1">
        <v>45292</v>
      </c>
      <c r="G160" s="4">
        <v>9035.6199949999991</v>
      </c>
      <c r="H160">
        <v>1661402</v>
      </c>
    </row>
    <row r="161" spans="1:8" x14ac:dyDescent="0.35">
      <c r="A161" t="s">
        <v>8</v>
      </c>
      <c r="B161" t="s">
        <v>19</v>
      </c>
      <c r="C161" t="s">
        <v>9</v>
      </c>
      <c r="D161" t="s">
        <v>11</v>
      </c>
      <c r="E161" s="3">
        <v>45339</v>
      </c>
      <c r="F161" s="1">
        <v>45292</v>
      </c>
      <c r="G161" s="4">
        <v>8334.6900050000004</v>
      </c>
      <c r="H161">
        <v>1313339</v>
      </c>
    </row>
    <row r="162" spans="1:8" x14ac:dyDescent="0.35">
      <c r="A162" t="s">
        <v>8</v>
      </c>
      <c r="B162" t="s">
        <v>19</v>
      </c>
      <c r="C162" t="s">
        <v>9</v>
      </c>
      <c r="D162" t="s">
        <v>11</v>
      </c>
      <c r="E162" s="3">
        <v>45346</v>
      </c>
      <c r="F162" s="1">
        <v>45292</v>
      </c>
      <c r="G162" s="4">
        <v>7664.35</v>
      </c>
      <c r="H162">
        <v>1175438</v>
      </c>
    </row>
    <row r="163" spans="1:8" x14ac:dyDescent="0.35">
      <c r="A163" t="s">
        <v>8</v>
      </c>
      <c r="B163" t="s">
        <v>19</v>
      </c>
      <c r="C163" t="s">
        <v>9</v>
      </c>
      <c r="D163" t="s">
        <v>11</v>
      </c>
      <c r="E163" s="3">
        <v>45353</v>
      </c>
      <c r="F163" s="1">
        <v>45292</v>
      </c>
      <c r="G163" s="4">
        <v>8849.7300099999993</v>
      </c>
      <c r="H163">
        <v>1235096</v>
      </c>
    </row>
    <row r="164" spans="1:8" x14ac:dyDescent="0.35">
      <c r="A164" t="s">
        <v>8</v>
      </c>
      <c r="B164" t="s">
        <v>19</v>
      </c>
      <c r="C164" t="s">
        <v>9</v>
      </c>
      <c r="D164" t="s">
        <v>11</v>
      </c>
      <c r="E164" s="3">
        <v>45360</v>
      </c>
      <c r="F164" s="1">
        <v>45292</v>
      </c>
      <c r="G164" s="4">
        <v>6477.3100000000013</v>
      </c>
      <c r="H164">
        <v>767686</v>
      </c>
    </row>
    <row r="165" spans="1:8" x14ac:dyDescent="0.35">
      <c r="A165" t="s">
        <v>8</v>
      </c>
      <c r="B165" t="s">
        <v>19</v>
      </c>
      <c r="C165" t="s">
        <v>9</v>
      </c>
      <c r="D165" t="s">
        <v>12</v>
      </c>
      <c r="E165" s="3">
        <v>45311</v>
      </c>
      <c r="F165" s="1">
        <v>45292</v>
      </c>
      <c r="G165" s="4">
        <v>23099.299995000001</v>
      </c>
      <c r="H165">
        <v>4668596</v>
      </c>
    </row>
    <row r="166" spans="1:8" x14ac:dyDescent="0.35">
      <c r="A166" t="s">
        <v>8</v>
      </c>
      <c r="B166" t="s">
        <v>19</v>
      </c>
      <c r="C166" t="s">
        <v>9</v>
      </c>
      <c r="D166" t="s">
        <v>12</v>
      </c>
      <c r="E166" s="3">
        <v>45318</v>
      </c>
      <c r="F166" s="1">
        <v>45292</v>
      </c>
      <c r="G166" s="4">
        <v>27238.429998000003</v>
      </c>
      <c r="H166">
        <v>5142787</v>
      </c>
    </row>
    <row r="167" spans="1:8" x14ac:dyDescent="0.35">
      <c r="A167" t="s">
        <v>8</v>
      </c>
      <c r="B167" t="s">
        <v>19</v>
      </c>
      <c r="C167" t="s">
        <v>9</v>
      </c>
      <c r="D167" t="s">
        <v>12</v>
      </c>
      <c r="E167" s="3">
        <v>45325</v>
      </c>
      <c r="F167" s="1">
        <v>45292</v>
      </c>
      <c r="G167" s="4">
        <v>26509.399992000002</v>
      </c>
      <c r="H167">
        <v>4721324</v>
      </c>
    </row>
    <row r="168" spans="1:8" x14ac:dyDescent="0.35">
      <c r="A168" t="s">
        <v>8</v>
      </c>
      <c r="B168" t="s">
        <v>19</v>
      </c>
      <c r="C168" t="s">
        <v>9</v>
      </c>
      <c r="D168" t="s">
        <v>12</v>
      </c>
      <c r="E168" s="3">
        <v>45332</v>
      </c>
      <c r="F168" s="1">
        <v>45292</v>
      </c>
      <c r="G168" s="4">
        <v>27634.220013999999</v>
      </c>
      <c r="H168">
        <v>4780363</v>
      </c>
    </row>
    <row r="169" spans="1:8" x14ac:dyDescent="0.35">
      <c r="A169" t="s">
        <v>8</v>
      </c>
      <c r="B169" t="s">
        <v>19</v>
      </c>
      <c r="C169" t="s">
        <v>9</v>
      </c>
      <c r="D169" t="s">
        <v>12</v>
      </c>
      <c r="E169" s="3">
        <v>45339</v>
      </c>
      <c r="F169" s="1">
        <v>45292</v>
      </c>
      <c r="G169" s="4">
        <v>28699.520009000003</v>
      </c>
      <c r="H169">
        <v>5080306</v>
      </c>
    </row>
    <row r="170" spans="1:8" x14ac:dyDescent="0.35">
      <c r="A170" t="s">
        <v>8</v>
      </c>
      <c r="B170" t="s">
        <v>19</v>
      </c>
      <c r="C170" t="s">
        <v>9</v>
      </c>
      <c r="D170" t="s">
        <v>12</v>
      </c>
      <c r="E170" s="3">
        <v>45346</v>
      </c>
      <c r="F170" s="1">
        <v>45292</v>
      </c>
      <c r="G170" s="4">
        <v>25574.460001000003</v>
      </c>
      <c r="H170">
        <v>4302069</v>
      </c>
    </row>
    <row r="171" spans="1:8" x14ac:dyDescent="0.35">
      <c r="A171" t="s">
        <v>8</v>
      </c>
      <c r="B171" t="s">
        <v>19</v>
      </c>
      <c r="C171" t="s">
        <v>9</v>
      </c>
      <c r="D171" t="s">
        <v>12</v>
      </c>
      <c r="E171" s="3">
        <v>45353</v>
      </c>
      <c r="F171" s="1">
        <v>45292</v>
      </c>
      <c r="G171" s="4">
        <v>29417.540019</v>
      </c>
      <c r="H171">
        <v>4911172</v>
      </c>
    </row>
    <row r="172" spans="1:8" x14ac:dyDescent="0.35">
      <c r="A172" t="s">
        <v>8</v>
      </c>
      <c r="B172" t="s">
        <v>19</v>
      </c>
      <c r="C172" t="s">
        <v>9</v>
      </c>
      <c r="D172" t="s">
        <v>12</v>
      </c>
      <c r="E172" s="3">
        <v>45360</v>
      </c>
      <c r="F172" s="1">
        <v>45292</v>
      </c>
      <c r="G172" s="4">
        <v>20819.060001999998</v>
      </c>
      <c r="H172">
        <v>3340778</v>
      </c>
    </row>
    <row r="173" spans="1:8" x14ac:dyDescent="0.35">
      <c r="A173" t="s">
        <v>8</v>
      </c>
      <c r="B173" t="s">
        <v>19</v>
      </c>
      <c r="C173" t="s">
        <v>9</v>
      </c>
      <c r="D173" t="s">
        <v>12</v>
      </c>
      <c r="E173" s="3">
        <v>45563</v>
      </c>
      <c r="F173" s="1">
        <v>45292</v>
      </c>
      <c r="G173" s="4">
        <v>35631.240027</v>
      </c>
      <c r="H173">
        <v>4928271</v>
      </c>
    </row>
    <row r="174" spans="1:8" x14ac:dyDescent="0.35">
      <c r="A174" t="s">
        <v>8</v>
      </c>
      <c r="B174" t="s">
        <v>19</v>
      </c>
      <c r="C174" t="s">
        <v>9</v>
      </c>
      <c r="D174" t="s">
        <v>12</v>
      </c>
      <c r="E174" s="3">
        <v>45570</v>
      </c>
      <c r="F174" s="1">
        <v>45292</v>
      </c>
      <c r="G174" s="4">
        <v>44596.750003000008</v>
      </c>
      <c r="H174">
        <v>6891066</v>
      </c>
    </row>
    <row r="175" spans="1:8" x14ac:dyDescent="0.35">
      <c r="A175" t="s">
        <v>8</v>
      </c>
      <c r="B175" t="s">
        <v>19</v>
      </c>
      <c r="C175" t="s">
        <v>9</v>
      </c>
      <c r="D175" t="s">
        <v>12</v>
      </c>
      <c r="E175" s="3">
        <v>45577</v>
      </c>
      <c r="F175" s="1">
        <v>45292</v>
      </c>
      <c r="G175" s="4">
        <v>43427.780012000003</v>
      </c>
      <c r="H175">
        <v>6861510</v>
      </c>
    </row>
    <row r="176" spans="1:8" x14ac:dyDescent="0.35">
      <c r="A176" t="s">
        <v>8</v>
      </c>
      <c r="B176" t="s">
        <v>19</v>
      </c>
      <c r="C176" t="s">
        <v>9</v>
      </c>
      <c r="D176" t="s">
        <v>12</v>
      </c>
      <c r="E176" s="3">
        <v>45584</v>
      </c>
      <c r="F176" s="1">
        <v>45292</v>
      </c>
      <c r="G176" s="4">
        <v>43565.130045000005</v>
      </c>
      <c r="H176">
        <v>7096076</v>
      </c>
    </row>
    <row r="177" spans="1:8" x14ac:dyDescent="0.35">
      <c r="A177" t="s">
        <v>8</v>
      </c>
      <c r="B177" t="s">
        <v>19</v>
      </c>
      <c r="C177" t="s">
        <v>9</v>
      </c>
      <c r="D177" t="s">
        <v>12</v>
      </c>
      <c r="E177" s="3">
        <v>45591</v>
      </c>
      <c r="F177" s="1">
        <v>45292</v>
      </c>
      <c r="G177" s="4">
        <v>42324.580056999992</v>
      </c>
      <c r="H177">
        <v>7044341</v>
      </c>
    </row>
    <row r="178" spans="1:8" x14ac:dyDescent="0.35">
      <c r="A178" t="s">
        <v>8</v>
      </c>
      <c r="B178" t="s">
        <v>19</v>
      </c>
      <c r="C178" t="s">
        <v>9</v>
      </c>
      <c r="D178" t="s">
        <v>12</v>
      </c>
      <c r="E178" s="3">
        <v>45598</v>
      </c>
      <c r="F178" s="1">
        <v>45292</v>
      </c>
      <c r="G178" s="4">
        <v>30454.520004000002</v>
      </c>
      <c r="H178">
        <v>4992226</v>
      </c>
    </row>
    <row r="179" spans="1:8" x14ac:dyDescent="0.35">
      <c r="A179" t="s">
        <v>8</v>
      </c>
      <c r="B179" t="s">
        <v>19</v>
      </c>
      <c r="C179" t="s">
        <v>9</v>
      </c>
      <c r="D179" t="s">
        <v>12</v>
      </c>
      <c r="E179" s="3">
        <v>45752</v>
      </c>
      <c r="F179" s="1">
        <v>45658</v>
      </c>
      <c r="G179" s="4">
        <v>26332.670003000007</v>
      </c>
      <c r="H179">
        <v>3413285</v>
      </c>
    </row>
    <row r="180" spans="1:8" x14ac:dyDescent="0.35">
      <c r="A180" t="s">
        <v>8</v>
      </c>
      <c r="B180" t="s">
        <v>19</v>
      </c>
      <c r="C180" t="s">
        <v>9</v>
      </c>
      <c r="D180" t="s">
        <v>12</v>
      </c>
      <c r="E180" s="3">
        <v>45759</v>
      </c>
      <c r="F180" s="1">
        <v>45658</v>
      </c>
      <c r="G180" s="4">
        <v>40211.920011999995</v>
      </c>
      <c r="H180">
        <v>4730431</v>
      </c>
    </row>
    <row r="181" spans="1:8" x14ac:dyDescent="0.35">
      <c r="A181" t="s">
        <v>8</v>
      </c>
      <c r="B181" t="s">
        <v>19</v>
      </c>
      <c r="C181" t="s">
        <v>9</v>
      </c>
      <c r="D181" t="s">
        <v>12</v>
      </c>
      <c r="E181" s="3">
        <v>45766</v>
      </c>
      <c r="F181" s="1">
        <v>45658</v>
      </c>
      <c r="G181" s="4">
        <v>42568.719991999991</v>
      </c>
      <c r="H181">
        <v>4636260</v>
      </c>
    </row>
    <row r="182" spans="1:8" x14ac:dyDescent="0.35">
      <c r="A182" t="s">
        <v>8</v>
      </c>
      <c r="B182" t="s">
        <v>19</v>
      </c>
      <c r="C182" t="s">
        <v>9</v>
      </c>
      <c r="D182" t="s">
        <v>12</v>
      </c>
      <c r="E182" s="3">
        <v>45773</v>
      </c>
      <c r="F182" s="1">
        <v>45658</v>
      </c>
      <c r="G182" s="4">
        <v>41346.440005000004</v>
      </c>
      <c r="H182">
        <v>4796712</v>
      </c>
    </row>
    <row r="183" spans="1:8" x14ac:dyDescent="0.35">
      <c r="A183" t="s">
        <v>8</v>
      </c>
      <c r="B183" t="s">
        <v>19</v>
      </c>
      <c r="C183" t="s">
        <v>9</v>
      </c>
      <c r="D183" t="s">
        <v>12</v>
      </c>
      <c r="E183" s="3">
        <v>45780</v>
      </c>
      <c r="F183" s="1">
        <v>45658</v>
      </c>
      <c r="G183" s="4">
        <v>33299.620000000003</v>
      </c>
      <c r="H183">
        <v>3939938</v>
      </c>
    </row>
    <row r="184" spans="1:8" x14ac:dyDescent="0.35">
      <c r="A184" t="s">
        <v>8</v>
      </c>
      <c r="B184" t="s">
        <v>19</v>
      </c>
      <c r="C184" t="s">
        <v>14</v>
      </c>
      <c r="D184" t="s">
        <v>10</v>
      </c>
      <c r="E184" s="3">
        <v>45752</v>
      </c>
      <c r="F184" s="1">
        <v>45658</v>
      </c>
      <c r="G184" s="4">
        <v>16008.249999999996</v>
      </c>
      <c r="H184">
        <v>3832689</v>
      </c>
    </row>
    <row r="185" spans="1:8" x14ac:dyDescent="0.35">
      <c r="A185" t="s">
        <v>8</v>
      </c>
      <c r="B185" t="s">
        <v>19</v>
      </c>
      <c r="C185" t="s">
        <v>14</v>
      </c>
      <c r="D185" t="s">
        <v>10</v>
      </c>
      <c r="E185" s="3">
        <v>45759</v>
      </c>
      <c r="F185" s="1">
        <v>45658</v>
      </c>
      <c r="G185" s="4">
        <v>13261.870000000003</v>
      </c>
      <c r="H185">
        <v>3129366</v>
      </c>
    </row>
    <row r="186" spans="1:8" x14ac:dyDescent="0.35">
      <c r="A186" t="s">
        <v>8</v>
      </c>
      <c r="B186" t="s">
        <v>19</v>
      </c>
      <c r="C186" t="s">
        <v>14</v>
      </c>
      <c r="D186" t="s">
        <v>10</v>
      </c>
      <c r="E186" s="3">
        <v>45766</v>
      </c>
      <c r="F186" s="1">
        <v>45658</v>
      </c>
      <c r="G186" s="4">
        <v>5356.93</v>
      </c>
      <c r="H186">
        <v>1402504</v>
      </c>
    </row>
    <row r="187" spans="1:8" x14ac:dyDescent="0.35">
      <c r="A187" t="s">
        <v>8</v>
      </c>
      <c r="B187" t="s">
        <v>19</v>
      </c>
      <c r="C187" t="s">
        <v>14</v>
      </c>
      <c r="D187" t="s">
        <v>10</v>
      </c>
      <c r="E187" s="3">
        <v>45773</v>
      </c>
      <c r="F187" s="1">
        <v>45658</v>
      </c>
      <c r="G187" s="4">
        <v>662.24999999999989</v>
      </c>
      <c r="H187">
        <v>179329</v>
      </c>
    </row>
    <row r="188" spans="1:8" x14ac:dyDescent="0.35">
      <c r="A188" t="s">
        <v>8</v>
      </c>
      <c r="B188" t="s">
        <v>19</v>
      </c>
      <c r="C188" t="s">
        <v>14</v>
      </c>
      <c r="D188" t="s">
        <v>10</v>
      </c>
      <c r="E188" s="3">
        <v>45843</v>
      </c>
      <c r="F188" s="1">
        <v>45658</v>
      </c>
      <c r="G188" s="4">
        <v>3284.99</v>
      </c>
      <c r="H188">
        <v>239521</v>
      </c>
    </row>
    <row r="189" spans="1:8" x14ac:dyDescent="0.35">
      <c r="A189" t="s">
        <v>8</v>
      </c>
      <c r="B189" t="s">
        <v>19</v>
      </c>
      <c r="C189" t="s">
        <v>14</v>
      </c>
      <c r="D189" t="s">
        <v>12</v>
      </c>
      <c r="E189" s="3">
        <v>45752</v>
      </c>
      <c r="F189" s="1">
        <v>45658</v>
      </c>
      <c r="G189" s="4">
        <v>26816.47</v>
      </c>
      <c r="H189">
        <v>6081499</v>
      </c>
    </row>
    <row r="190" spans="1:8" x14ac:dyDescent="0.35">
      <c r="A190" t="s">
        <v>8</v>
      </c>
      <c r="B190" t="s">
        <v>19</v>
      </c>
      <c r="C190" t="s">
        <v>14</v>
      </c>
      <c r="D190" t="s">
        <v>12</v>
      </c>
      <c r="E190" s="3">
        <v>45759</v>
      </c>
      <c r="F190" s="1">
        <v>45658</v>
      </c>
      <c r="G190" s="4">
        <v>51198.000000000007</v>
      </c>
      <c r="H190">
        <v>11661361</v>
      </c>
    </row>
    <row r="191" spans="1:8" x14ac:dyDescent="0.35">
      <c r="A191" t="s">
        <v>8</v>
      </c>
      <c r="B191" t="s">
        <v>19</v>
      </c>
      <c r="C191" t="s">
        <v>14</v>
      </c>
      <c r="D191" t="s">
        <v>12</v>
      </c>
      <c r="E191" s="3">
        <v>45766</v>
      </c>
      <c r="F191" s="1">
        <v>45658</v>
      </c>
      <c r="G191" s="4">
        <v>59325.53</v>
      </c>
      <c r="H191">
        <v>13602599</v>
      </c>
    </row>
    <row r="192" spans="1:8" x14ac:dyDescent="0.35">
      <c r="A192" t="s">
        <v>8</v>
      </c>
      <c r="B192" t="s">
        <v>19</v>
      </c>
      <c r="C192" t="s">
        <v>14</v>
      </c>
      <c r="D192" t="s">
        <v>12</v>
      </c>
      <c r="E192" s="3">
        <v>45773</v>
      </c>
      <c r="F192" s="1">
        <v>45658</v>
      </c>
      <c r="G192" s="4">
        <v>27364.320000000003</v>
      </c>
      <c r="H192">
        <v>6632512</v>
      </c>
    </row>
    <row r="193" spans="1:8" x14ac:dyDescent="0.35">
      <c r="A193" t="s">
        <v>8</v>
      </c>
      <c r="B193" t="s">
        <v>20</v>
      </c>
      <c r="C193" t="s">
        <v>9</v>
      </c>
      <c r="D193" t="s">
        <v>10</v>
      </c>
      <c r="E193" s="3">
        <v>45479</v>
      </c>
      <c r="F193" s="1">
        <v>45292</v>
      </c>
      <c r="G193" s="4">
        <v>24424.720026999996</v>
      </c>
      <c r="H193">
        <v>3392096</v>
      </c>
    </row>
    <row r="194" spans="1:8" x14ac:dyDescent="0.35">
      <c r="A194" t="s">
        <v>8</v>
      </c>
      <c r="B194" t="s">
        <v>20</v>
      </c>
      <c r="C194" t="s">
        <v>9</v>
      </c>
      <c r="D194" t="s">
        <v>10</v>
      </c>
      <c r="E194" s="3">
        <v>45486</v>
      </c>
      <c r="F194" s="1">
        <v>45292</v>
      </c>
      <c r="G194" s="4">
        <v>81965.99004400002</v>
      </c>
      <c r="H194">
        <v>11050292</v>
      </c>
    </row>
    <row r="195" spans="1:8" x14ac:dyDescent="0.35">
      <c r="A195" t="s">
        <v>8</v>
      </c>
      <c r="B195" t="s">
        <v>20</v>
      </c>
      <c r="C195" t="s">
        <v>9</v>
      </c>
      <c r="D195" t="s">
        <v>10</v>
      </c>
      <c r="E195" s="3">
        <v>45493</v>
      </c>
      <c r="F195" s="1">
        <v>45292</v>
      </c>
      <c r="G195" s="4">
        <v>63609.289988000004</v>
      </c>
      <c r="H195">
        <v>9444788</v>
      </c>
    </row>
    <row r="196" spans="1:8" x14ac:dyDescent="0.35">
      <c r="A196" t="s">
        <v>8</v>
      </c>
      <c r="B196" t="s">
        <v>20</v>
      </c>
      <c r="C196" t="s">
        <v>9</v>
      </c>
      <c r="D196" t="s">
        <v>10</v>
      </c>
      <c r="E196" s="3">
        <v>45577</v>
      </c>
      <c r="F196" s="1">
        <v>45292</v>
      </c>
      <c r="G196" s="4">
        <v>27674.170019000005</v>
      </c>
      <c r="H196">
        <v>5351815</v>
      </c>
    </row>
    <row r="197" spans="1:8" x14ac:dyDescent="0.35">
      <c r="A197" t="s">
        <v>8</v>
      </c>
      <c r="B197" t="s">
        <v>20</v>
      </c>
      <c r="C197" t="s">
        <v>9</v>
      </c>
      <c r="D197" t="s">
        <v>11</v>
      </c>
      <c r="E197" s="3">
        <v>45486</v>
      </c>
      <c r="F197" s="1">
        <v>45292</v>
      </c>
      <c r="G197" s="4">
        <v>30159.660002000001</v>
      </c>
      <c r="H197">
        <v>3064494</v>
      </c>
    </row>
    <row r="198" spans="1:8" x14ac:dyDescent="0.35">
      <c r="A198" t="s">
        <v>8</v>
      </c>
      <c r="B198" t="s">
        <v>20</v>
      </c>
      <c r="C198" t="s">
        <v>9</v>
      </c>
      <c r="D198" t="s">
        <v>11</v>
      </c>
      <c r="E198" s="3">
        <v>45493</v>
      </c>
      <c r="F198" s="1">
        <v>45292</v>
      </c>
      <c r="G198" s="4">
        <v>19835.46</v>
      </c>
      <c r="H198">
        <v>2067453</v>
      </c>
    </row>
    <row r="199" spans="1:8" x14ac:dyDescent="0.35">
      <c r="A199" t="s">
        <v>8</v>
      </c>
      <c r="B199" t="s">
        <v>21</v>
      </c>
      <c r="C199" t="s">
        <v>9</v>
      </c>
      <c r="D199" t="s">
        <v>10</v>
      </c>
      <c r="E199" s="3">
        <v>45360</v>
      </c>
      <c r="F199" s="1">
        <v>45292</v>
      </c>
      <c r="G199" s="4">
        <v>18326.030010000002</v>
      </c>
      <c r="H199">
        <v>4259605</v>
      </c>
    </row>
    <row r="200" spans="1:8" x14ac:dyDescent="0.35">
      <c r="A200" t="s">
        <v>8</v>
      </c>
      <c r="B200" t="s">
        <v>21</v>
      </c>
      <c r="C200" t="s">
        <v>9</v>
      </c>
      <c r="D200" t="s">
        <v>10</v>
      </c>
      <c r="E200" s="3">
        <v>45367</v>
      </c>
      <c r="F200" s="1">
        <v>45292</v>
      </c>
      <c r="G200" s="4">
        <v>32462.050018000002</v>
      </c>
      <c r="H200">
        <v>6448941</v>
      </c>
    </row>
    <row r="201" spans="1:8" x14ac:dyDescent="0.35">
      <c r="A201" t="s">
        <v>8</v>
      </c>
      <c r="B201" t="s">
        <v>21</v>
      </c>
      <c r="C201" t="s">
        <v>9</v>
      </c>
      <c r="D201" t="s">
        <v>10</v>
      </c>
      <c r="E201" s="3">
        <v>45374</v>
      </c>
      <c r="F201" s="1">
        <v>45292</v>
      </c>
      <c r="G201" s="4">
        <v>34007.000002000001</v>
      </c>
      <c r="H201">
        <v>6926578</v>
      </c>
    </row>
    <row r="202" spans="1:8" x14ac:dyDescent="0.35">
      <c r="A202" t="s">
        <v>8</v>
      </c>
      <c r="B202" t="s">
        <v>21</v>
      </c>
      <c r="C202" t="s">
        <v>9</v>
      </c>
      <c r="D202" t="s">
        <v>10</v>
      </c>
      <c r="E202" s="3">
        <v>45381</v>
      </c>
      <c r="F202" s="1">
        <v>45292</v>
      </c>
      <c r="G202" s="4">
        <v>24730.940003999996</v>
      </c>
      <c r="H202">
        <v>5079868</v>
      </c>
    </row>
    <row r="203" spans="1:8" x14ac:dyDescent="0.35">
      <c r="A203" t="s">
        <v>8</v>
      </c>
      <c r="B203" t="s">
        <v>21</v>
      </c>
      <c r="C203" t="s">
        <v>9</v>
      </c>
      <c r="D203" t="s">
        <v>10</v>
      </c>
      <c r="E203" s="3">
        <v>45388</v>
      </c>
      <c r="F203" s="1">
        <v>45292</v>
      </c>
      <c r="G203" s="4">
        <v>18361.370004</v>
      </c>
      <c r="H203">
        <v>4254545</v>
      </c>
    </row>
    <row r="204" spans="1:8" x14ac:dyDescent="0.35">
      <c r="A204" t="s">
        <v>8</v>
      </c>
      <c r="B204" t="s">
        <v>21</v>
      </c>
      <c r="C204" t="s">
        <v>9</v>
      </c>
      <c r="D204" t="s">
        <v>10</v>
      </c>
      <c r="E204" s="3">
        <v>45395</v>
      </c>
      <c r="F204" s="1">
        <v>45292</v>
      </c>
      <c r="G204" s="4">
        <v>18797.490014999996</v>
      </c>
      <c r="H204">
        <v>4201768</v>
      </c>
    </row>
    <row r="205" spans="1:8" x14ac:dyDescent="0.35">
      <c r="A205" t="s">
        <v>8</v>
      </c>
      <c r="B205" t="s">
        <v>21</v>
      </c>
      <c r="C205" t="s">
        <v>9</v>
      </c>
      <c r="D205" t="s">
        <v>10</v>
      </c>
      <c r="E205" s="3">
        <v>45402</v>
      </c>
      <c r="F205" s="1">
        <v>45292</v>
      </c>
      <c r="G205" s="4">
        <v>17913.090012000004</v>
      </c>
      <c r="H205">
        <v>3972312</v>
      </c>
    </row>
    <row r="206" spans="1:8" x14ac:dyDescent="0.35">
      <c r="A206" t="s">
        <v>8</v>
      </c>
      <c r="B206" t="s">
        <v>21</v>
      </c>
      <c r="C206" t="s">
        <v>9</v>
      </c>
      <c r="D206" t="s">
        <v>10</v>
      </c>
      <c r="E206" s="3">
        <v>45409</v>
      </c>
      <c r="F206" s="1">
        <v>45292</v>
      </c>
      <c r="G206" s="4">
        <v>2570.5500000000002</v>
      </c>
      <c r="H206">
        <v>550616</v>
      </c>
    </row>
    <row r="207" spans="1:8" x14ac:dyDescent="0.35">
      <c r="A207" t="s">
        <v>8</v>
      </c>
      <c r="B207" t="s">
        <v>21</v>
      </c>
      <c r="C207" t="s">
        <v>9</v>
      </c>
      <c r="D207" t="s">
        <v>12</v>
      </c>
      <c r="E207" s="3">
        <v>45381</v>
      </c>
      <c r="F207" s="1">
        <v>45292</v>
      </c>
      <c r="G207" s="4">
        <v>8934.980008999999</v>
      </c>
      <c r="H207">
        <v>1489547</v>
      </c>
    </row>
    <row r="208" spans="1:8" x14ac:dyDescent="0.35">
      <c r="A208" t="s">
        <v>8</v>
      </c>
      <c r="B208" t="s">
        <v>21</v>
      </c>
      <c r="C208" t="s">
        <v>9</v>
      </c>
      <c r="D208" t="s">
        <v>12</v>
      </c>
      <c r="E208" s="3">
        <v>45388</v>
      </c>
      <c r="F208" s="1">
        <v>45292</v>
      </c>
      <c r="G208" s="4">
        <v>15195.689995000001</v>
      </c>
      <c r="H208">
        <v>3074357</v>
      </c>
    </row>
    <row r="209" spans="1:8" x14ac:dyDescent="0.35">
      <c r="A209" t="s">
        <v>8</v>
      </c>
      <c r="B209" t="s">
        <v>21</v>
      </c>
      <c r="C209" t="s">
        <v>9</v>
      </c>
      <c r="D209" t="s">
        <v>12</v>
      </c>
      <c r="E209" s="3">
        <v>45395</v>
      </c>
      <c r="F209" s="1">
        <v>45292</v>
      </c>
      <c r="G209" s="4">
        <v>15381.100011</v>
      </c>
      <c r="H209">
        <v>2963532</v>
      </c>
    </row>
    <row r="210" spans="1:8" x14ac:dyDescent="0.35">
      <c r="A210" t="s">
        <v>8</v>
      </c>
      <c r="B210" t="s">
        <v>21</v>
      </c>
      <c r="C210" t="s">
        <v>9</v>
      </c>
      <c r="D210" t="s">
        <v>12</v>
      </c>
      <c r="E210" s="3">
        <v>45402</v>
      </c>
      <c r="F210" s="1">
        <v>45292</v>
      </c>
      <c r="G210" s="4">
        <v>15511.380012</v>
      </c>
      <c r="H210">
        <v>2925705</v>
      </c>
    </row>
    <row r="211" spans="1:8" x14ac:dyDescent="0.35">
      <c r="A211" t="s">
        <v>8</v>
      </c>
      <c r="B211" t="s">
        <v>21</v>
      </c>
      <c r="C211" t="s">
        <v>9</v>
      </c>
      <c r="D211" t="s">
        <v>12</v>
      </c>
      <c r="E211" s="3">
        <v>45409</v>
      </c>
      <c r="F211" s="1">
        <v>45292</v>
      </c>
      <c r="G211" s="4">
        <v>2306.7300070000001</v>
      </c>
      <c r="H211">
        <v>437071</v>
      </c>
    </row>
    <row r="212" spans="1:8" x14ac:dyDescent="0.35">
      <c r="A212" t="s">
        <v>8</v>
      </c>
      <c r="B212" t="s">
        <v>21</v>
      </c>
      <c r="C212" t="s">
        <v>13</v>
      </c>
      <c r="D212" t="s">
        <v>11</v>
      </c>
      <c r="E212" s="3">
        <v>45402</v>
      </c>
      <c r="F212" s="1">
        <v>45292</v>
      </c>
      <c r="G212" s="4">
        <v>19509.264289999999</v>
      </c>
      <c r="H212">
        <v>8656464</v>
      </c>
    </row>
    <row r="213" spans="1:8" x14ac:dyDescent="0.35">
      <c r="A213" t="s">
        <v>8</v>
      </c>
      <c r="B213" t="s">
        <v>21</v>
      </c>
      <c r="C213" t="s">
        <v>13</v>
      </c>
      <c r="D213" t="s">
        <v>11</v>
      </c>
      <c r="E213" s="3">
        <v>45409</v>
      </c>
      <c r="F213" s="1">
        <v>45292</v>
      </c>
      <c r="G213" s="4">
        <v>23529.212711000004</v>
      </c>
      <c r="H213">
        <v>11006321</v>
      </c>
    </row>
    <row r="214" spans="1:8" x14ac:dyDescent="0.35">
      <c r="A214" t="s">
        <v>8</v>
      </c>
      <c r="B214" t="s">
        <v>21</v>
      </c>
      <c r="C214" t="s">
        <v>13</v>
      </c>
      <c r="D214" t="s">
        <v>11</v>
      </c>
      <c r="E214" s="3">
        <v>45416</v>
      </c>
      <c r="F214" s="1">
        <v>45292</v>
      </c>
      <c r="G214" s="4">
        <v>23511.768031000003</v>
      </c>
      <c r="H214">
        <v>11031123</v>
      </c>
    </row>
    <row r="215" spans="1:8" x14ac:dyDescent="0.35">
      <c r="A215" t="s">
        <v>8</v>
      </c>
      <c r="B215" t="s">
        <v>21</v>
      </c>
      <c r="C215" t="s">
        <v>13</v>
      </c>
      <c r="D215" t="s">
        <v>11</v>
      </c>
      <c r="E215" s="3">
        <v>45423</v>
      </c>
      <c r="F215" s="1">
        <v>45292</v>
      </c>
      <c r="G215" s="4">
        <v>23547.020368999998</v>
      </c>
      <c r="H215">
        <v>10549998</v>
      </c>
    </row>
    <row r="216" spans="1:8" x14ac:dyDescent="0.35">
      <c r="A216" t="s">
        <v>8</v>
      </c>
      <c r="B216" t="s">
        <v>21</v>
      </c>
      <c r="C216" t="s">
        <v>13</v>
      </c>
      <c r="D216" t="s">
        <v>11</v>
      </c>
      <c r="E216" s="3">
        <v>45430</v>
      </c>
      <c r="F216" s="1">
        <v>45292</v>
      </c>
      <c r="G216" s="4">
        <v>23664.568042999999</v>
      </c>
      <c r="H216">
        <v>10183373</v>
      </c>
    </row>
    <row r="217" spans="1:8" x14ac:dyDescent="0.35">
      <c r="A217" t="s">
        <v>8</v>
      </c>
      <c r="B217" t="s">
        <v>21</v>
      </c>
      <c r="C217" t="s">
        <v>13</v>
      </c>
      <c r="D217" t="s">
        <v>11</v>
      </c>
      <c r="E217" s="3">
        <v>45437</v>
      </c>
      <c r="F217" s="1">
        <v>45292</v>
      </c>
      <c r="G217" s="4">
        <v>23503.562337000003</v>
      </c>
      <c r="H217">
        <v>9584341</v>
      </c>
    </row>
    <row r="218" spans="1:8" x14ac:dyDescent="0.35">
      <c r="A218" t="s">
        <v>8</v>
      </c>
      <c r="B218" t="s">
        <v>21</v>
      </c>
      <c r="C218" t="s">
        <v>13</v>
      </c>
      <c r="D218" t="s">
        <v>11</v>
      </c>
      <c r="E218" s="3">
        <v>45444</v>
      </c>
      <c r="F218" s="1">
        <v>45292</v>
      </c>
      <c r="G218" s="4">
        <v>19884.604219000001</v>
      </c>
      <c r="H218">
        <v>7777600</v>
      </c>
    </row>
    <row r="219" spans="1:8" x14ac:dyDescent="0.35">
      <c r="A219" t="s">
        <v>8</v>
      </c>
      <c r="B219" t="s">
        <v>21</v>
      </c>
      <c r="C219" t="s">
        <v>13</v>
      </c>
      <c r="D219" t="s">
        <v>12</v>
      </c>
      <c r="E219" s="3">
        <v>45409</v>
      </c>
      <c r="F219" s="1">
        <v>45292</v>
      </c>
      <c r="G219" s="4">
        <v>10352.390868999999</v>
      </c>
      <c r="H219">
        <v>2418419</v>
      </c>
    </row>
    <row r="220" spans="1:8" x14ac:dyDescent="0.35">
      <c r="A220" t="s">
        <v>8</v>
      </c>
      <c r="B220" t="s">
        <v>21</v>
      </c>
      <c r="C220" t="s">
        <v>13</v>
      </c>
      <c r="D220" t="s">
        <v>12</v>
      </c>
      <c r="E220" s="3">
        <v>45416</v>
      </c>
      <c r="F220" s="1">
        <v>45292</v>
      </c>
      <c r="G220" s="4">
        <v>12210.272929000001</v>
      </c>
      <c r="H220">
        <v>3325508</v>
      </c>
    </row>
    <row r="221" spans="1:8" x14ac:dyDescent="0.35">
      <c r="A221" t="s">
        <v>8</v>
      </c>
      <c r="B221" t="s">
        <v>21</v>
      </c>
      <c r="C221" t="s">
        <v>13</v>
      </c>
      <c r="D221" t="s">
        <v>12</v>
      </c>
      <c r="E221" s="3">
        <v>45423</v>
      </c>
      <c r="F221" s="1">
        <v>45292</v>
      </c>
      <c r="G221" s="4">
        <v>11893.582205999999</v>
      </c>
      <c r="H221">
        <v>3403755</v>
      </c>
    </row>
    <row r="222" spans="1:8" x14ac:dyDescent="0.35">
      <c r="A222" t="s">
        <v>8</v>
      </c>
      <c r="B222" t="s">
        <v>21</v>
      </c>
      <c r="C222" t="s">
        <v>13</v>
      </c>
      <c r="D222" t="s">
        <v>12</v>
      </c>
      <c r="E222" s="3">
        <v>45430</v>
      </c>
      <c r="F222" s="1">
        <v>45292</v>
      </c>
      <c r="G222" s="4">
        <v>11716.052162</v>
      </c>
      <c r="H222">
        <v>3073467</v>
      </c>
    </row>
    <row r="223" spans="1:8" x14ac:dyDescent="0.35">
      <c r="A223" t="s">
        <v>8</v>
      </c>
      <c r="B223" t="s">
        <v>21</v>
      </c>
      <c r="C223" t="s">
        <v>13</v>
      </c>
      <c r="D223" t="s">
        <v>12</v>
      </c>
      <c r="E223" s="3">
        <v>45437</v>
      </c>
      <c r="F223" s="1">
        <v>45292</v>
      </c>
      <c r="G223" s="4">
        <v>11536.083415999999</v>
      </c>
      <c r="H223">
        <v>2860742</v>
      </c>
    </row>
    <row r="224" spans="1:8" x14ac:dyDescent="0.35">
      <c r="A224" t="s">
        <v>8</v>
      </c>
      <c r="B224" t="s">
        <v>21</v>
      </c>
      <c r="C224" t="s">
        <v>13</v>
      </c>
      <c r="D224" t="s">
        <v>12</v>
      </c>
      <c r="E224" s="3">
        <v>45444</v>
      </c>
      <c r="F224" s="1">
        <v>45292</v>
      </c>
      <c r="G224" s="4">
        <v>9641.2184180000004</v>
      </c>
      <c r="H224">
        <v>2486671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95"/>
  <sheetViews>
    <sheetView zoomScale="95" zoomScaleNormal="95" workbookViewId="0">
      <selection sqref="A1:L1895"/>
    </sheetView>
  </sheetViews>
  <sheetFormatPr defaultRowHeight="14.5" x14ac:dyDescent="0.35"/>
  <cols>
    <col min="3" max="3" width="24.54296875" customWidth="1"/>
    <col min="5" max="5" width="13.54296875" bestFit="1" customWidth="1"/>
    <col min="6" max="6" width="10" customWidth="1"/>
    <col min="7" max="7" width="12.1796875" bestFit="1" customWidth="1"/>
    <col min="8" max="8" width="10" customWidth="1"/>
    <col min="9" max="11" width="11" customWidth="1"/>
  </cols>
  <sheetData>
    <row r="1" spans="1:12" x14ac:dyDescent="0.35">
      <c r="A1" t="s">
        <v>0</v>
      </c>
      <c r="B1" t="s">
        <v>2</v>
      </c>
      <c r="C1" t="s">
        <v>22</v>
      </c>
      <c r="D1" t="s">
        <v>23</v>
      </c>
      <c r="E1" t="s">
        <v>1</v>
      </c>
      <c r="F1" t="s">
        <v>5</v>
      </c>
      <c r="G1" t="s">
        <v>3</v>
      </c>
      <c r="H1" t="s">
        <v>24</v>
      </c>
      <c r="I1" t="s">
        <v>25</v>
      </c>
      <c r="J1" s="3" t="s">
        <v>4</v>
      </c>
      <c r="K1" t="s">
        <v>26</v>
      </c>
      <c r="L1" t="s">
        <v>27</v>
      </c>
    </row>
    <row r="2" spans="1:12" x14ac:dyDescent="0.35">
      <c r="A2" t="s">
        <v>8</v>
      </c>
      <c r="B2" t="s">
        <v>13</v>
      </c>
      <c r="C2" t="s">
        <v>28</v>
      </c>
      <c r="D2" t="str" cm="1">
        <f t="array" ref="D2">INDEX(_xlfn.TEXTSPLIT(C2,"_"),3)</f>
        <v>na</v>
      </c>
      <c r="E2" t="str">
        <f>VLOOKUP(D2,FranchiseMapping!$A$1:$B$15,2,FALSE)</f>
        <v>Biolage</v>
      </c>
      <c r="F2" s="1">
        <v>44927</v>
      </c>
      <c r="G2" t="s">
        <v>12</v>
      </c>
      <c r="H2" s="2">
        <v>45139</v>
      </c>
      <c r="I2" s="3">
        <v>45158</v>
      </c>
      <c r="J2" s="3">
        <f>I2 + (7 - WEEKDAY(I2, 1))</f>
        <v>45164</v>
      </c>
      <c r="K2" s="4">
        <v>304.294445</v>
      </c>
      <c r="L2">
        <v>70891</v>
      </c>
    </row>
    <row r="3" spans="1:12" x14ac:dyDescent="0.35">
      <c r="A3" t="s">
        <v>8</v>
      </c>
      <c r="B3" t="s">
        <v>14</v>
      </c>
      <c r="C3" t="s">
        <v>29</v>
      </c>
      <c r="D3" t="str" cm="1">
        <f t="array" ref="D3">INDEX(_xlfn.TEXTSPLIT(C3,"_"),3)</f>
        <v>bfr</v>
      </c>
      <c r="E3" t="str">
        <f>VLOOKUP(D3,FranchiseMapping!$A$1:$B$15,2,FALSE)</f>
        <v>Full Rescue</v>
      </c>
      <c r="F3" s="1">
        <v>45658</v>
      </c>
      <c r="G3" t="s">
        <v>12</v>
      </c>
      <c r="H3" s="2">
        <v>45809</v>
      </c>
      <c r="I3" s="3">
        <v>45838</v>
      </c>
      <c r="J3" s="3">
        <f t="shared" ref="J3:J66" si="0">I3 + (7 - WEEKDAY(I3, 1))</f>
        <v>45843</v>
      </c>
      <c r="K3" s="4">
        <v>111.02</v>
      </c>
      <c r="L3">
        <v>21455</v>
      </c>
    </row>
    <row r="4" spans="1:12" x14ac:dyDescent="0.35">
      <c r="A4" t="s">
        <v>8</v>
      </c>
      <c r="B4" t="s">
        <v>9</v>
      </c>
      <c r="C4" t="s">
        <v>30</v>
      </c>
      <c r="D4" t="str" cm="1">
        <f t="array" ref="D4">INDEX(_xlfn.TEXTSPLIT(C4,"_"),3)</f>
        <v>q3-haca-colorlast</v>
      </c>
      <c r="E4" t="str">
        <f>VLOOKUP(D4,FranchiseMapping!$A$1:$B$15,2,FALSE)</f>
        <v>Color Last</v>
      </c>
      <c r="F4" s="1">
        <v>44927</v>
      </c>
      <c r="G4" t="s">
        <v>10</v>
      </c>
      <c r="H4" s="2">
        <v>45139</v>
      </c>
      <c r="I4" s="3">
        <v>45139</v>
      </c>
      <c r="J4" s="3">
        <f t="shared" si="0"/>
        <v>45143</v>
      </c>
      <c r="K4" s="4">
        <v>2578.5499960000002</v>
      </c>
      <c r="L4">
        <v>429368</v>
      </c>
    </row>
    <row r="5" spans="1:12" x14ac:dyDescent="0.35">
      <c r="A5" t="s">
        <v>8</v>
      </c>
      <c r="B5" t="s">
        <v>9</v>
      </c>
      <c r="C5" t="s">
        <v>31</v>
      </c>
      <c r="D5" t="str" cm="1">
        <f t="array" ref="D5">INDEX(_xlfn.TEXTSPLIT(C5,"_"),3)</f>
        <v>scalp</v>
      </c>
      <c r="E5" t="str">
        <f>VLOOKUP(D5,FranchiseMapping!$A$1:$B$15,2,FALSE)</f>
        <v>Scalp Sync</v>
      </c>
      <c r="F5" s="1">
        <v>45292</v>
      </c>
      <c r="G5" t="s">
        <v>10</v>
      </c>
      <c r="H5" s="2">
        <v>45352</v>
      </c>
      <c r="I5" s="3">
        <v>45380</v>
      </c>
      <c r="J5" s="3">
        <f t="shared" si="0"/>
        <v>45381</v>
      </c>
      <c r="K5" s="4">
        <v>47.449999999999989</v>
      </c>
      <c r="L5">
        <v>8530</v>
      </c>
    </row>
    <row r="6" spans="1:12" x14ac:dyDescent="0.35">
      <c r="A6" t="s">
        <v>8</v>
      </c>
      <c r="B6" t="s">
        <v>13</v>
      </c>
      <c r="C6" t="s">
        <v>32</v>
      </c>
      <c r="D6" t="str" cm="1">
        <f t="array" ref="D6">INDEX(_xlfn.TEXTSPLIT(C6,"_"),3)</f>
        <v>na</v>
      </c>
      <c r="E6" t="str">
        <f>VLOOKUP(D6,FranchiseMapping!$A$1:$B$15,2,FALSE)</f>
        <v>Biolage</v>
      </c>
      <c r="F6" s="1">
        <v>44927</v>
      </c>
      <c r="G6" t="s">
        <v>11</v>
      </c>
      <c r="H6" s="2">
        <v>45139</v>
      </c>
      <c r="I6" s="3">
        <v>45164</v>
      </c>
      <c r="J6" s="3">
        <f t="shared" si="0"/>
        <v>45164</v>
      </c>
      <c r="K6" s="4">
        <v>1771.948586</v>
      </c>
      <c r="L6">
        <v>576979</v>
      </c>
    </row>
    <row r="7" spans="1:12" x14ac:dyDescent="0.35">
      <c r="A7" t="s">
        <v>8</v>
      </c>
      <c r="B7" t="s">
        <v>9</v>
      </c>
      <c r="C7" t="s">
        <v>30</v>
      </c>
      <c r="D7" t="str" cm="1">
        <f t="array" ref="D7">INDEX(_xlfn.TEXTSPLIT(C7,"_"),3)</f>
        <v>q3-haca-colorlast</v>
      </c>
      <c r="E7" t="str">
        <f>VLOOKUP(D7,FranchiseMapping!$A$1:$B$15,2,FALSE)</f>
        <v>Color Last</v>
      </c>
      <c r="F7" s="1">
        <v>44927</v>
      </c>
      <c r="G7" t="s">
        <v>10</v>
      </c>
      <c r="H7" s="2">
        <v>45139</v>
      </c>
      <c r="I7" s="3">
        <v>45148</v>
      </c>
      <c r="J7" s="3">
        <f t="shared" si="0"/>
        <v>45150</v>
      </c>
      <c r="K7" s="4">
        <v>3811.8899999999994</v>
      </c>
      <c r="L7">
        <v>545970</v>
      </c>
    </row>
    <row r="8" spans="1:12" x14ac:dyDescent="0.35">
      <c r="A8" t="s">
        <v>8</v>
      </c>
      <c r="B8" t="s">
        <v>9</v>
      </c>
      <c r="C8" t="s">
        <v>33</v>
      </c>
      <c r="D8" t="str" cm="1">
        <f t="array" ref="D8">INDEX(_xlfn.TEXTSPLIT(C8,"_"),3)</f>
        <v>hydrasource</v>
      </c>
      <c r="E8" t="str">
        <f>VLOOKUP(D8,FranchiseMapping!$A$1:$B$15,2,FALSE)</f>
        <v>Hydrasource</v>
      </c>
      <c r="F8" s="1">
        <v>45292</v>
      </c>
      <c r="G8" t="s">
        <v>11</v>
      </c>
      <c r="H8" s="2">
        <v>45292</v>
      </c>
      <c r="I8" s="3">
        <v>45322</v>
      </c>
      <c r="J8" s="3">
        <f t="shared" si="0"/>
        <v>45325</v>
      </c>
      <c r="K8" s="4">
        <v>1518.8000009999996</v>
      </c>
      <c r="L8">
        <v>298589</v>
      </c>
    </row>
    <row r="9" spans="1:12" x14ac:dyDescent="0.35">
      <c r="A9" t="s">
        <v>8</v>
      </c>
      <c r="B9" t="s">
        <v>9</v>
      </c>
      <c r="C9" t="s">
        <v>34</v>
      </c>
      <c r="D9" t="str" cm="1">
        <f t="array" ref="D9">INDEX(_xlfn.TEXTSPLIT(C9,"_"),3)</f>
        <v>hydrasource</v>
      </c>
      <c r="E9" t="str">
        <f>VLOOKUP(D9,FranchiseMapping!$A$1:$B$15,2,FALSE)</f>
        <v>Hydrasource</v>
      </c>
      <c r="F9" s="1">
        <v>45292</v>
      </c>
      <c r="G9" t="s">
        <v>12</v>
      </c>
      <c r="H9" s="2">
        <v>45352</v>
      </c>
      <c r="I9" s="3">
        <v>45355</v>
      </c>
      <c r="J9" s="3">
        <f t="shared" si="0"/>
        <v>45360</v>
      </c>
      <c r="K9" s="4">
        <v>905.08000099999992</v>
      </c>
      <c r="L9">
        <v>185712</v>
      </c>
    </row>
    <row r="10" spans="1:12" x14ac:dyDescent="0.35">
      <c r="A10" t="s">
        <v>8</v>
      </c>
      <c r="B10" t="s">
        <v>9</v>
      </c>
      <c r="C10" t="s">
        <v>35</v>
      </c>
      <c r="D10" t="str" cm="1">
        <f t="array" ref="D10">INDEX(_xlfn.TEXTSPLIT(C10,"_"),3)</f>
        <v>bfr</v>
      </c>
      <c r="E10" t="str">
        <f>VLOOKUP(D10,FranchiseMapping!$A$1:$B$15,2,FALSE)</f>
        <v>Full Rescue</v>
      </c>
      <c r="F10" s="1">
        <v>45658</v>
      </c>
      <c r="G10" t="s">
        <v>12</v>
      </c>
      <c r="H10" s="2">
        <v>45809</v>
      </c>
      <c r="I10" s="3">
        <v>45830</v>
      </c>
      <c r="J10" s="3">
        <f t="shared" si="0"/>
        <v>45836</v>
      </c>
      <c r="K10" s="4">
        <v>1746.3700029999998</v>
      </c>
      <c r="L10">
        <v>166220</v>
      </c>
    </row>
    <row r="11" spans="1:12" x14ac:dyDescent="0.35">
      <c r="A11" t="s">
        <v>8</v>
      </c>
      <c r="B11" t="s">
        <v>9</v>
      </c>
      <c r="C11" t="s">
        <v>36</v>
      </c>
      <c r="D11" t="str" cm="1">
        <f t="array" ref="D11">INDEX(_xlfn.TEXTSPLIT(C11,"_"),3)</f>
        <v>bfr</v>
      </c>
      <c r="E11" t="str">
        <f>VLOOKUP(D11,FranchiseMapping!$A$1:$B$15,2,FALSE)</f>
        <v>Full Rescue</v>
      </c>
      <c r="F11" s="1">
        <v>45658</v>
      </c>
      <c r="G11" t="s">
        <v>12</v>
      </c>
      <c r="H11" s="2">
        <v>45778</v>
      </c>
      <c r="I11" s="3">
        <v>45804</v>
      </c>
      <c r="J11" s="3">
        <f t="shared" si="0"/>
        <v>45808</v>
      </c>
      <c r="K11" s="4">
        <v>2470.4300009999997</v>
      </c>
      <c r="L11">
        <v>405349</v>
      </c>
    </row>
    <row r="12" spans="1:12" x14ac:dyDescent="0.35">
      <c r="A12" t="s">
        <v>8</v>
      </c>
      <c r="B12" t="s">
        <v>14</v>
      </c>
      <c r="C12" t="s">
        <v>37</v>
      </c>
      <c r="D12" t="str" cm="1">
        <f t="array" ref="D12">INDEX(_xlfn.TEXTSPLIT(C12,"_"),3)</f>
        <v>mult</v>
      </c>
      <c r="E12" t="str">
        <f>VLOOKUP(D12,FranchiseMapping!$A$1:$B$15,2,FALSE)</f>
        <v>Biolage</v>
      </c>
      <c r="F12" s="1">
        <v>45658</v>
      </c>
      <c r="G12" t="s">
        <v>12</v>
      </c>
      <c r="H12" s="2">
        <v>45717</v>
      </c>
      <c r="I12" s="3">
        <v>45741</v>
      </c>
      <c r="J12" s="3">
        <f t="shared" si="0"/>
        <v>45745</v>
      </c>
      <c r="K12" s="4">
        <v>2013.24</v>
      </c>
      <c r="L12">
        <v>498201</v>
      </c>
    </row>
    <row r="13" spans="1:12" x14ac:dyDescent="0.35">
      <c r="A13" t="s">
        <v>8</v>
      </c>
      <c r="B13" t="s">
        <v>14</v>
      </c>
      <c r="C13" t="s">
        <v>37</v>
      </c>
      <c r="D13" t="str" cm="1">
        <f t="array" ref="D13">INDEX(_xlfn.TEXTSPLIT(C13,"_"),3)</f>
        <v>mult</v>
      </c>
      <c r="E13" t="str">
        <f>VLOOKUP(D13,FranchiseMapping!$A$1:$B$15,2,FALSE)</f>
        <v>Biolage</v>
      </c>
      <c r="F13" s="1">
        <v>45658</v>
      </c>
      <c r="G13" t="s">
        <v>10</v>
      </c>
      <c r="H13" s="2">
        <v>45809</v>
      </c>
      <c r="I13" s="3">
        <v>45810</v>
      </c>
      <c r="J13" s="3">
        <f t="shared" si="0"/>
        <v>45815</v>
      </c>
      <c r="K13" s="4">
        <v>937.66</v>
      </c>
      <c r="L13">
        <v>274420</v>
      </c>
    </row>
    <row r="14" spans="1:12" x14ac:dyDescent="0.35">
      <c r="A14" t="s">
        <v>8</v>
      </c>
      <c r="B14" t="s">
        <v>9</v>
      </c>
      <c r="C14" t="s">
        <v>33</v>
      </c>
      <c r="D14" t="str" cm="1">
        <f t="array" ref="D14">INDEX(_xlfn.TEXTSPLIT(C14,"_"),3)</f>
        <v>hydrasource</v>
      </c>
      <c r="E14" t="str">
        <f>VLOOKUP(D14,FranchiseMapping!$A$1:$B$15,2,FALSE)</f>
        <v>Hydrasource</v>
      </c>
      <c r="F14" s="1">
        <v>45292</v>
      </c>
      <c r="G14" t="s">
        <v>11</v>
      </c>
      <c r="H14" s="2">
        <v>45352</v>
      </c>
      <c r="I14" s="3">
        <v>45354</v>
      </c>
      <c r="J14" s="3">
        <f t="shared" si="0"/>
        <v>45360</v>
      </c>
      <c r="K14" s="4">
        <v>1330.1400019999999</v>
      </c>
      <c r="L14">
        <v>185967</v>
      </c>
    </row>
    <row r="15" spans="1:12" x14ac:dyDescent="0.35">
      <c r="A15" t="s">
        <v>8</v>
      </c>
      <c r="B15" t="s">
        <v>9</v>
      </c>
      <c r="C15" t="s">
        <v>38</v>
      </c>
      <c r="D15" t="str" cm="1">
        <f t="array" ref="D15">INDEX(_xlfn.TEXTSPLIT(C15,"_"),3)</f>
        <v>hys</v>
      </c>
      <c r="E15" t="str">
        <f>VLOOKUP(D15,FranchiseMapping!$A$1:$B$15,2,FALSE)</f>
        <v>Hydrasource</v>
      </c>
      <c r="F15" s="1">
        <v>45658</v>
      </c>
      <c r="G15" t="s">
        <v>12</v>
      </c>
      <c r="H15" s="2">
        <v>45748</v>
      </c>
      <c r="I15" s="3">
        <v>45768</v>
      </c>
      <c r="J15" s="3">
        <f t="shared" si="0"/>
        <v>45773</v>
      </c>
      <c r="K15" s="4">
        <v>2141.9699999999998</v>
      </c>
      <c r="L15">
        <v>339280</v>
      </c>
    </row>
    <row r="16" spans="1:12" x14ac:dyDescent="0.35">
      <c r="A16" t="s">
        <v>8</v>
      </c>
      <c r="B16" t="s">
        <v>9</v>
      </c>
      <c r="C16" t="s">
        <v>36</v>
      </c>
      <c r="D16" t="str" cm="1">
        <f t="array" ref="D16">INDEX(_xlfn.TEXTSPLIT(C16,"_"),3)</f>
        <v>bfr</v>
      </c>
      <c r="E16" t="str">
        <f>VLOOKUP(D16,FranchiseMapping!$A$1:$B$15,2,FALSE)</f>
        <v>Full Rescue</v>
      </c>
      <c r="F16" s="1">
        <v>45658</v>
      </c>
      <c r="G16" t="s">
        <v>12</v>
      </c>
      <c r="H16" s="2">
        <v>45778</v>
      </c>
      <c r="I16" s="3">
        <v>45781</v>
      </c>
      <c r="J16" s="3">
        <f t="shared" si="0"/>
        <v>45787</v>
      </c>
      <c r="K16" s="4">
        <v>1663.6799999999998</v>
      </c>
      <c r="L16">
        <v>342663</v>
      </c>
    </row>
    <row r="17" spans="1:12" x14ac:dyDescent="0.35">
      <c r="A17" t="s">
        <v>8</v>
      </c>
      <c r="B17" t="s">
        <v>14</v>
      </c>
      <c r="C17" t="s">
        <v>37</v>
      </c>
      <c r="D17" t="str" cm="1">
        <f t="array" ref="D17">INDEX(_xlfn.TEXTSPLIT(C17,"_"),3)</f>
        <v>mult</v>
      </c>
      <c r="E17" t="str">
        <f>VLOOKUP(D17,FranchiseMapping!$A$1:$B$15,2,FALSE)</f>
        <v>Biolage</v>
      </c>
      <c r="F17" s="1">
        <v>45658</v>
      </c>
      <c r="G17" t="s">
        <v>12</v>
      </c>
      <c r="H17" s="2">
        <v>45717</v>
      </c>
      <c r="I17" s="3">
        <v>45738</v>
      </c>
      <c r="J17" s="3">
        <f t="shared" si="0"/>
        <v>45738</v>
      </c>
      <c r="K17" s="4">
        <v>2056.89</v>
      </c>
      <c r="L17">
        <v>534760</v>
      </c>
    </row>
    <row r="18" spans="1:12" x14ac:dyDescent="0.35">
      <c r="A18" t="s">
        <v>8</v>
      </c>
      <c r="B18" t="s">
        <v>13</v>
      </c>
      <c r="C18" t="s">
        <v>39</v>
      </c>
      <c r="D18" t="str" cm="1">
        <f t="array" ref="D18">INDEX(_xlfn.TEXTSPLIT(C18,"_"),3)</f>
        <v>scalp-sync</v>
      </c>
      <c r="E18" t="str">
        <f>VLOOKUP(D18,FranchiseMapping!$A$1:$B$15,2,FALSE)</f>
        <v>Scalp Sync</v>
      </c>
      <c r="F18" s="1">
        <v>45292</v>
      </c>
      <c r="G18" t="s">
        <v>12</v>
      </c>
      <c r="H18" s="2">
        <v>45413</v>
      </c>
      <c r="I18" s="3">
        <v>45434</v>
      </c>
      <c r="J18" s="3">
        <f t="shared" si="0"/>
        <v>45437</v>
      </c>
      <c r="K18" s="4">
        <v>1654.9704059999997</v>
      </c>
      <c r="L18">
        <v>427015</v>
      </c>
    </row>
    <row r="19" spans="1:12" x14ac:dyDescent="0.35">
      <c r="A19" t="s">
        <v>8</v>
      </c>
      <c r="B19" t="s">
        <v>9</v>
      </c>
      <c r="C19" t="s">
        <v>40</v>
      </c>
      <c r="D19" t="str" cm="1">
        <f t="array" ref="D19">INDEX(_xlfn.TEXTSPLIT(C19,"_"),3)</f>
        <v>hydrasource</v>
      </c>
      <c r="E19" t="str">
        <f>VLOOKUP(D19,FranchiseMapping!$A$1:$B$15,2,FALSE)</f>
        <v>Hydrasource</v>
      </c>
      <c r="F19" s="1">
        <v>45292</v>
      </c>
      <c r="G19" t="s">
        <v>12</v>
      </c>
      <c r="H19" s="2">
        <v>45292</v>
      </c>
      <c r="I19" s="3">
        <v>45316</v>
      </c>
      <c r="J19" s="3">
        <f t="shared" si="0"/>
        <v>45318</v>
      </c>
      <c r="K19" s="4">
        <v>3000.779998</v>
      </c>
      <c r="L19">
        <v>501284</v>
      </c>
    </row>
    <row r="20" spans="1:12" x14ac:dyDescent="0.35">
      <c r="A20" t="s">
        <v>8</v>
      </c>
      <c r="B20" t="s">
        <v>9</v>
      </c>
      <c r="C20" t="s">
        <v>36</v>
      </c>
      <c r="D20" t="str" cm="1">
        <f t="array" ref="D20">INDEX(_xlfn.TEXTSPLIT(C20,"_"),3)</f>
        <v>bfr</v>
      </c>
      <c r="E20" t="str">
        <f>VLOOKUP(D20,FranchiseMapping!$A$1:$B$15,2,FALSE)</f>
        <v>Full Rescue</v>
      </c>
      <c r="F20" s="1">
        <v>45658</v>
      </c>
      <c r="G20" t="s">
        <v>12</v>
      </c>
      <c r="H20" s="2">
        <v>45809</v>
      </c>
      <c r="I20" s="3">
        <v>45828</v>
      </c>
      <c r="J20" s="3">
        <f t="shared" si="0"/>
        <v>45829</v>
      </c>
      <c r="K20" s="4">
        <v>1057.17</v>
      </c>
      <c r="L20">
        <v>167895</v>
      </c>
    </row>
    <row r="21" spans="1:12" x14ac:dyDescent="0.35">
      <c r="A21" t="s">
        <v>8</v>
      </c>
      <c r="B21" t="s">
        <v>9</v>
      </c>
      <c r="C21" t="s">
        <v>35</v>
      </c>
      <c r="D21" t="str" cm="1">
        <f t="array" ref="D21">INDEX(_xlfn.TEXTSPLIT(C21,"_"),3)</f>
        <v>bfr</v>
      </c>
      <c r="E21" t="str">
        <f>VLOOKUP(D21,FranchiseMapping!$A$1:$B$15,2,FALSE)</f>
        <v>Full Rescue</v>
      </c>
      <c r="F21" s="1">
        <v>45658</v>
      </c>
      <c r="G21" t="s">
        <v>10</v>
      </c>
      <c r="H21" s="2">
        <v>45778</v>
      </c>
      <c r="I21" s="3">
        <v>45793</v>
      </c>
      <c r="J21" s="3">
        <f t="shared" si="0"/>
        <v>45794</v>
      </c>
      <c r="K21" s="4">
        <v>6.3000000000000007</v>
      </c>
      <c r="L21">
        <v>729</v>
      </c>
    </row>
    <row r="22" spans="1:12" x14ac:dyDescent="0.35">
      <c r="A22" t="s">
        <v>8</v>
      </c>
      <c r="B22" t="s">
        <v>9</v>
      </c>
      <c r="C22" t="s">
        <v>35</v>
      </c>
      <c r="D22" t="str" cm="1">
        <f t="array" ref="D22">INDEX(_xlfn.TEXTSPLIT(C22,"_"),3)</f>
        <v>bfr</v>
      </c>
      <c r="E22" t="str">
        <f>VLOOKUP(D22,FranchiseMapping!$A$1:$B$15,2,FALSE)</f>
        <v>Full Rescue</v>
      </c>
      <c r="F22" s="1">
        <v>45658</v>
      </c>
      <c r="G22" t="s">
        <v>12</v>
      </c>
      <c r="H22" s="2">
        <v>45809</v>
      </c>
      <c r="I22" s="3">
        <v>45818</v>
      </c>
      <c r="J22" s="3">
        <f t="shared" si="0"/>
        <v>45822</v>
      </c>
      <c r="K22" s="4">
        <v>1619.1400020000003</v>
      </c>
      <c r="L22">
        <v>119319</v>
      </c>
    </row>
    <row r="23" spans="1:12" x14ac:dyDescent="0.35">
      <c r="A23" t="s">
        <v>8</v>
      </c>
      <c r="B23" t="s">
        <v>9</v>
      </c>
      <c r="C23" t="s">
        <v>41</v>
      </c>
      <c r="D23" t="str" cm="1">
        <f t="array" ref="D23">INDEX(_xlfn.TEXTSPLIT(C23,"_"),3)</f>
        <v>hys</v>
      </c>
      <c r="E23" t="str">
        <f>VLOOKUP(D23,FranchiseMapping!$A$1:$B$15,2,FALSE)</f>
        <v>Hydrasource</v>
      </c>
      <c r="F23" s="1">
        <v>45658</v>
      </c>
      <c r="G23" t="s">
        <v>12</v>
      </c>
      <c r="H23" s="2">
        <v>45748</v>
      </c>
      <c r="I23" s="3">
        <v>45774</v>
      </c>
      <c r="J23" s="3">
        <f t="shared" si="0"/>
        <v>45780</v>
      </c>
      <c r="K23" s="4">
        <v>3980.4500000000003</v>
      </c>
      <c r="L23">
        <v>453366</v>
      </c>
    </row>
    <row r="24" spans="1:12" x14ac:dyDescent="0.35">
      <c r="A24" t="s">
        <v>8</v>
      </c>
      <c r="B24" t="s">
        <v>13</v>
      </c>
      <c r="C24" t="s">
        <v>42</v>
      </c>
      <c r="D24" t="str" cm="1">
        <f t="array" ref="D24">INDEX(_xlfn.TEXTSPLIT(C24,"_"),3)</f>
        <v>bfr</v>
      </c>
      <c r="E24" t="str">
        <f>VLOOKUP(D24,FranchiseMapping!$A$1:$B$15,2,FALSE)</f>
        <v>Full Rescue</v>
      </c>
      <c r="F24" s="1">
        <v>45658</v>
      </c>
      <c r="G24" t="s">
        <v>10</v>
      </c>
      <c r="H24" s="2">
        <v>45809</v>
      </c>
      <c r="I24" s="3">
        <v>45825</v>
      </c>
      <c r="J24" s="3">
        <f t="shared" si="0"/>
        <v>45829</v>
      </c>
      <c r="K24" s="4">
        <v>289.79104799999993</v>
      </c>
      <c r="L24">
        <v>139151</v>
      </c>
    </row>
    <row r="25" spans="1:12" x14ac:dyDescent="0.35">
      <c r="A25" t="s">
        <v>8</v>
      </c>
      <c r="B25" t="s">
        <v>14</v>
      </c>
      <c r="C25" t="s">
        <v>37</v>
      </c>
      <c r="D25" t="str" cm="1">
        <f t="array" ref="D25">INDEX(_xlfn.TEXTSPLIT(C25,"_"),3)</f>
        <v>mult</v>
      </c>
      <c r="E25" t="str">
        <f>VLOOKUP(D25,FranchiseMapping!$A$1:$B$15,2,FALSE)</f>
        <v>Biolage</v>
      </c>
      <c r="F25" s="1">
        <v>45658</v>
      </c>
      <c r="G25" t="s">
        <v>12</v>
      </c>
      <c r="H25" s="2">
        <v>45809</v>
      </c>
      <c r="I25" s="3">
        <v>45825</v>
      </c>
      <c r="J25" s="3">
        <f t="shared" si="0"/>
        <v>45829</v>
      </c>
      <c r="K25" s="4">
        <v>1719.9099999999999</v>
      </c>
      <c r="L25">
        <v>276128</v>
      </c>
    </row>
    <row r="26" spans="1:12" x14ac:dyDescent="0.35">
      <c r="A26" t="s">
        <v>8</v>
      </c>
      <c r="B26" t="s">
        <v>9</v>
      </c>
      <c r="C26" t="s">
        <v>34</v>
      </c>
      <c r="D26" t="str" cm="1">
        <f t="array" ref="D26">INDEX(_xlfn.TEXTSPLIT(C26,"_"),3)</f>
        <v>hydrasource</v>
      </c>
      <c r="E26" t="str">
        <f>VLOOKUP(D26,FranchiseMapping!$A$1:$B$15,2,FALSE)</f>
        <v>Hydrasource</v>
      </c>
      <c r="F26" s="1">
        <v>45292</v>
      </c>
      <c r="G26" t="s">
        <v>12</v>
      </c>
      <c r="H26" s="2">
        <v>45323</v>
      </c>
      <c r="I26" s="3">
        <v>45335</v>
      </c>
      <c r="J26" s="3">
        <f t="shared" si="0"/>
        <v>45339</v>
      </c>
      <c r="K26" s="4">
        <v>882.31000099999983</v>
      </c>
      <c r="L26">
        <v>190072</v>
      </c>
    </row>
    <row r="27" spans="1:12" x14ac:dyDescent="0.35">
      <c r="A27" t="s">
        <v>8</v>
      </c>
      <c r="B27" t="s">
        <v>14</v>
      </c>
      <c r="C27" t="s">
        <v>43</v>
      </c>
      <c r="D27" t="str" cm="1">
        <f t="array" ref="D27">INDEX(_xlfn.TEXTSPLIT(C27,"_"),3)</f>
        <v>bfr</v>
      </c>
      <c r="E27" t="str">
        <f>VLOOKUP(D27,FranchiseMapping!$A$1:$B$15,2,FALSE)</f>
        <v>Full Rescue</v>
      </c>
      <c r="F27" s="1">
        <v>45658</v>
      </c>
      <c r="G27" t="s">
        <v>10</v>
      </c>
      <c r="H27" s="2">
        <v>45809</v>
      </c>
      <c r="I27" s="3">
        <v>45820</v>
      </c>
      <c r="J27" s="3">
        <f t="shared" si="0"/>
        <v>45822</v>
      </c>
      <c r="K27" s="4">
        <v>317.76</v>
      </c>
      <c r="L27">
        <v>62366</v>
      </c>
    </row>
    <row r="28" spans="1:12" x14ac:dyDescent="0.35">
      <c r="A28" t="s">
        <v>8</v>
      </c>
      <c r="B28" t="s">
        <v>9</v>
      </c>
      <c r="C28" t="s">
        <v>35</v>
      </c>
      <c r="D28" t="str" cm="1">
        <f t="array" ref="D28">INDEX(_xlfn.TEXTSPLIT(C28,"_"),3)</f>
        <v>bfr</v>
      </c>
      <c r="E28" t="str">
        <f>VLOOKUP(D28,FranchiseMapping!$A$1:$B$15,2,FALSE)</f>
        <v>Full Rescue</v>
      </c>
      <c r="F28" s="1">
        <v>45658</v>
      </c>
      <c r="G28" t="s">
        <v>10</v>
      </c>
      <c r="H28" s="2">
        <v>45809</v>
      </c>
      <c r="I28" s="3">
        <v>45834</v>
      </c>
      <c r="J28" s="3">
        <f t="shared" si="0"/>
        <v>45836</v>
      </c>
      <c r="K28" s="4">
        <v>408.32999800000005</v>
      </c>
      <c r="L28">
        <v>42860</v>
      </c>
    </row>
    <row r="29" spans="1:12" x14ac:dyDescent="0.35">
      <c r="A29" t="s">
        <v>8</v>
      </c>
      <c r="B29" t="s">
        <v>13</v>
      </c>
      <c r="C29" t="s">
        <v>44</v>
      </c>
      <c r="D29" t="str" cm="1">
        <f t="array" ref="D29">INDEX(_xlfn.TEXTSPLIT(C29,"_"),3)</f>
        <v>na</v>
      </c>
      <c r="E29" t="str">
        <f>VLOOKUP(D29,FranchiseMapping!$A$1:$B$15,2,FALSE)</f>
        <v>Biolage</v>
      </c>
      <c r="F29" s="1">
        <v>44927</v>
      </c>
      <c r="G29" t="s">
        <v>11</v>
      </c>
      <c r="H29" s="2">
        <v>45108</v>
      </c>
      <c r="I29" s="3">
        <v>45112</v>
      </c>
      <c r="J29" s="3">
        <f t="shared" si="0"/>
        <v>45115</v>
      </c>
      <c r="K29" s="4">
        <v>677.75426499999992</v>
      </c>
      <c r="L29">
        <v>342483</v>
      </c>
    </row>
    <row r="30" spans="1:12" x14ac:dyDescent="0.35">
      <c r="A30" t="s">
        <v>8</v>
      </c>
      <c r="B30" t="s">
        <v>9</v>
      </c>
      <c r="C30" t="s">
        <v>45</v>
      </c>
      <c r="D30" t="str" cm="1">
        <f t="array" ref="D30">INDEX(_xlfn.TEXTSPLIT(C30,"_"),3)</f>
        <v>hydrasource</v>
      </c>
      <c r="E30" t="str">
        <f>VLOOKUP(D30,FranchiseMapping!$A$1:$B$15,2,FALSE)</f>
        <v>Hydrasource</v>
      </c>
      <c r="F30" s="1">
        <v>45292</v>
      </c>
      <c r="G30" t="s">
        <v>12</v>
      </c>
      <c r="H30" s="2">
        <v>45566</v>
      </c>
      <c r="I30" s="3">
        <v>45592</v>
      </c>
      <c r="J30" s="3">
        <f t="shared" si="0"/>
        <v>45598</v>
      </c>
      <c r="K30" s="4">
        <v>2764.839993</v>
      </c>
      <c r="L30">
        <v>307617</v>
      </c>
    </row>
    <row r="31" spans="1:12" x14ac:dyDescent="0.35">
      <c r="A31" t="s">
        <v>8</v>
      </c>
      <c r="B31" t="s">
        <v>9</v>
      </c>
      <c r="C31" t="s">
        <v>36</v>
      </c>
      <c r="D31" t="str" cm="1">
        <f t="array" ref="D31">INDEX(_xlfn.TEXTSPLIT(C31,"_"),3)</f>
        <v>bfr</v>
      </c>
      <c r="E31" t="str">
        <f>VLOOKUP(D31,FranchiseMapping!$A$1:$B$15,2,FALSE)</f>
        <v>Full Rescue</v>
      </c>
      <c r="F31" s="1">
        <v>45658</v>
      </c>
      <c r="G31" t="s">
        <v>10</v>
      </c>
      <c r="H31" s="2">
        <v>45778</v>
      </c>
      <c r="I31" s="3">
        <v>45783</v>
      </c>
      <c r="J31" s="3">
        <f t="shared" si="0"/>
        <v>45787</v>
      </c>
      <c r="K31" s="4">
        <v>1191.6100000000001</v>
      </c>
      <c r="L31">
        <v>328918</v>
      </c>
    </row>
    <row r="32" spans="1:12" x14ac:dyDescent="0.35">
      <c r="A32" t="s">
        <v>8</v>
      </c>
      <c r="B32" t="s">
        <v>9</v>
      </c>
      <c r="C32" t="s">
        <v>46</v>
      </c>
      <c r="D32" t="str" cm="1">
        <f t="array" ref="D32">INDEX(_xlfn.TEXTSPLIT(C32,"_"),3)</f>
        <v>mult</v>
      </c>
      <c r="E32" t="str">
        <f>VLOOKUP(D32,FranchiseMapping!$A$1:$B$15,2,FALSE)</f>
        <v>Biolage</v>
      </c>
      <c r="F32" s="1">
        <v>45658</v>
      </c>
      <c r="G32" t="s">
        <v>12</v>
      </c>
      <c r="H32" s="2">
        <v>45778</v>
      </c>
      <c r="I32" s="3">
        <v>45789</v>
      </c>
      <c r="J32" s="3">
        <f t="shared" si="0"/>
        <v>45794</v>
      </c>
      <c r="K32" s="4">
        <v>266.80999999999989</v>
      </c>
      <c r="L32">
        <v>50297</v>
      </c>
    </row>
    <row r="33" spans="1:12" x14ac:dyDescent="0.35">
      <c r="A33" t="s">
        <v>8</v>
      </c>
      <c r="B33" t="s">
        <v>14</v>
      </c>
      <c r="C33" t="s">
        <v>47</v>
      </c>
      <c r="D33" t="str" cm="1">
        <f t="array" ref="D33">INDEX(_xlfn.TEXTSPLIT(C33,"_"),3)</f>
        <v>hys</v>
      </c>
      <c r="E33" t="str">
        <f>VLOOKUP(D33,FranchiseMapping!$A$1:$B$15,2,FALSE)</f>
        <v>Hydrasource</v>
      </c>
      <c r="F33" s="1">
        <v>45658</v>
      </c>
      <c r="G33" t="s">
        <v>12</v>
      </c>
      <c r="H33" s="2">
        <v>45748</v>
      </c>
      <c r="I33" s="3">
        <v>45753</v>
      </c>
      <c r="J33" s="3">
        <f t="shared" si="0"/>
        <v>45759</v>
      </c>
      <c r="K33" s="4">
        <v>1516.74</v>
      </c>
      <c r="L33">
        <v>359158</v>
      </c>
    </row>
    <row r="34" spans="1:12" x14ac:dyDescent="0.35">
      <c r="A34" t="s">
        <v>8</v>
      </c>
      <c r="B34" t="s">
        <v>9</v>
      </c>
      <c r="C34" t="s">
        <v>48</v>
      </c>
      <c r="D34" t="str" cm="1">
        <f t="array" ref="D34">INDEX(_xlfn.TEXTSPLIT(C34,"_"),3)</f>
        <v>scalp</v>
      </c>
      <c r="E34" t="str">
        <f>VLOOKUP(D34,FranchiseMapping!$A$1:$B$15,2,FALSE)</f>
        <v>Scalp Sync</v>
      </c>
      <c r="F34" s="1">
        <v>45292</v>
      </c>
      <c r="G34" t="s">
        <v>12</v>
      </c>
      <c r="H34" s="2">
        <v>45383</v>
      </c>
      <c r="I34" s="3">
        <v>45399</v>
      </c>
      <c r="J34" s="3">
        <f t="shared" si="0"/>
        <v>45402</v>
      </c>
      <c r="K34" s="4">
        <v>664.77000099999998</v>
      </c>
      <c r="L34">
        <v>160717</v>
      </c>
    </row>
    <row r="35" spans="1:12" x14ac:dyDescent="0.35">
      <c r="A35" t="s">
        <v>8</v>
      </c>
      <c r="B35" t="s">
        <v>9</v>
      </c>
      <c r="C35" t="s">
        <v>31</v>
      </c>
      <c r="D35" t="str" cm="1">
        <f t="array" ref="D35">INDEX(_xlfn.TEXTSPLIT(C35,"_"),3)</f>
        <v>scalp</v>
      </c>
      <c r="E35" t="str">
        <f>VLOOKUP(D35,FranchiseMapping!$A$1:$B$15,2,FALSE)</f>
        <v>Scalp Sync</v>
      </c>
      <c r="F35" s="1">
        <v>45292</v>
      </c>
      <c r="G35" t="s">
        <v>10</v>
      </c>
      <c r="H35" s="2">
        <v>45352</v>
      </c>
      <c r="I35" s="3">
        <v>45362</v>
      </c>
      <c r="J35" s="3">
        <f t="shared" si="0"/>
        <v>45367</v>
      </c>
      <c r="K35" s="4">
        <v>1764.3200019999999</v>
      </c>
      <c r="L35">
        <v>248058</v>
      </c>
    </row>
    <row r="36" spans="1:12" x14ac:dyDescent="0.35">
      <c r="A36" t="s">
        <v>8</v>
      </c>
      <c r="B36" t="s">
        <v>14</v>
      </c>
      <c r="C36" t="s">
        <v>49</v>
      </c>
      <c r="D36" t="str" cm="1">
        <f t="array" ref="D36">INDEX(_xlfn.TEXTSPLIT(C36,"_"),3)</f>
        <v>hys</v>
      </c>
      <c r="E36" t="str">
        <f>VLOOKUP(D36,FranchiseMapping!$A$1:$B$15,2,FALSE)</f>
        <v>Hydrasource</v>
      </c>
      <c r="F36" s="1">
        <v>45658</v>
      </c>
      <c r="G36" t="s">
        <v>10</v>
      </c>
      <c r="H36" s="2">
        <v>45748</v>
      </c>
      <c r="I36" s="3">
        <v>45748</v>
      </c>
      <c r="J36" s="3">
        <f t="shared" si="0"/>
        <v>45752</v>
      </c>
      <c r="K36" s="4">
        <v>427.90999999999997</v>
      </c>
      <c r="L36">
        <v>118401</v>
      </c>
    </row>
    <row r="37" spans="1:12" x14ac:dyDescent="0.35">
      <c r="A37" t="s">
        <v>8</v>
      </c>
      <c r="B37" t="s">
        <v>9</v>
      </c>
      <c r="C37" t="s">
        <v>36</v>
      </c>
      <c r="D37" t="str" cm="1">
        <f t="array" ref="D37">INDEX(_xlfn.TEXTSPLIT(C37,"_"),3)</f>
        <v>bfr</v>
      </c>
      <c r="E37" t="str">
        <f>VLOOKUP(D37,FranchiseMapping!$A$1:$B$15,2,FALSE)</f>
        <v>Full Rescue</v>
      </c>
      <c r="F37" s="1">
        <v>45658</v>
      </c>
      <c r="G37" t="s">
        <v>12</v>
      </c>
      <c r="H37" s="2">
        <v>45809</v>
      </c>
      <c r="I37" s="3">
        <v>45830</v>
      </c>
      <c r="J37" s="3">
        <f t="shared" si="0"/>
        <v>45836</v>
      </c>
      <c r="K37" s="4">
        <v>1218.3499989999996</v>
      </c>
      <c r="L37">
        <v>199729</v>
      </c>
    </row>
    <row r="38" spans="1:12" x14ac:dyDescent="0.35">
      <c r="A38" t="s">
        <v>8</v>
      </c>
      <c r="B38" t="s">
        <v>14</v>
      </c>
      <c r="C38" t="s">
        <v>37</v>
      </c>
      <c r="D38" t="str" cm="1">
        <f t="array" ref="D38">INDEX(_xlfn.TEXTSPLIT(C38,"_"),3)</f>
        <v>mult</v>
      </c>
      <c r="E38" t="str">
        <f>VLOOKUP(D38,FranchiseMapping!$A$1:$B$15,2,FALSE)</f>
        <v>Biolage</v>
      </c>
      <c r="F38" s="1">
        <v>45658</v>
      </c>
      <c r="G38" t="s">
        <v>12</v>
      </c>
      <c r="H38" s="2">
        <v>45809</v>
      </c>
      <c r="I38" s="3">
        <v>45821</v>
      </c>
      <c r="J38" s="3">
        <f t="shared" si="0"/>
        <v>45822</v>
      </c>
      <c r="K38" s="4">
        <v>1678.9</v>
      </c>
      <c r="L38">
        <v>303590</v>
      </c>
    </row>
    <row r="39" spans="1:12" x14ac:dyDescent="0.35">
      <c r="A39" t="s">
        <v>8</v>
      </c>
      <c r="B39" t="s">
        <v>9</v>
      </c>
      <c r="C39" t="s">
        <v>45</v>
      </c>
      <c r="D39" t="str" cm="1">
        <f t="array" ref="D39">INDEX(_xlfn.TEXTSPLIT(C39,"_"),3)</f>
        <v>hydrasource</v>
      </c>
      <c r="E39" t="str">
        <f>VLOOKUP(D39,FranchiseMapping!$A$1:$B$15,2,FALSE)</f>
        <v>Hydrasource</v>
      </c>
      <c r="F39" s="1">
        <v>45292</v>
      </c>
      <c r="G39" t="s">
        <v>12</v>
      </c>
      <c r="H39" s="2">
        <v>45566</v>
      </c>
      <c r="I39" s="3">
        <v>45577</v>
      </c>
      <c r="J39" s="3">
        <f t="shared" si="0"/>
        <v>45577</v>
      </c>
      <c r="K39" s="4">
        <v>2586.1800070000004</v>
      </c>
      <c r="L39">
        <v>280414</v>
      </c>
    </row>
    <row r="40" spans="1:12" x14ac:dyDescent="0.35">
      <c r="A40" t="s">
        <v>8</v>
      </c>
      <c r="B40" t="s">
        <v>9</v>
      </c>
      <c r="C40" t="s">
        <v>50</v>
      </c>
      <c r="D40" t="str" cm="1">
        <f t="array" ref="D40">INDEX(_xlfn.TEXTSPLIT(C40,"_"),3)</f>
        <v>bond-therapy</v>
      </c>
      <c r="E40" t="str">
        <f>VLOOKUP(D40,FranchiseMapping!$A$1:$B$15,2,FALSE)</f>
        <v>Bond Therapy</v>
      </c>
      <c r="F40" s="1">
        <v>44927</v>
      </c>
      <c r="G40" t="s">
        <v>12</v>
      </c>
      <c r="H40" s="2">
        <v>45261</v>
      </c>
      <c r="I40" s="3">
        <v>45283</v>
      </c>
      <c r="J40" s="3">
        <f t="shared" si="0"/>
        <v>45283</v>
      </c>
      <c r="K40" s="4">
        <v>2974.6800079999998</v>
      </c>
      <c r="L40">
        <v>267023</v>
      </c>
    </row>
    <row r="41" spans="1:12" x14ac:dyDescent="0.35">
      <c r="A41" t="s">
        <v>8</v>
      </c>
      <c r="B41" t="s">
        <v>9</v>
      </c>
      <c r="C41" t="s">
        <v>34</v>
      </c>
      <c r="D41" t="str" cm="1">
        <f t="array" ref="D41">INDEX(_xlfn.TEXTSPLIT(C41,"_"),3)</f>
        <v>hydrasource</v>
      </c>
      <c r="E41" t="str">
        <f>VLOOKUP(D41,FranchiseMapping!$A$1:$B$15,2,FALSE)</f>
        <v>Hydrasource</v>
      </c>
      <c r="F41" s="1">
        <v>45292</v>
      </c>
      <c r="G41" t="s">
        <v>12</v>
      </c>
      <c r="H41" s="2">
        <v>45352</v>
      </c>
      <c r="I41" s="3">
        <v>45352</v>
      </c>
      <c r="J41" s="3">
        <f t="shared" si="0"/>
        <v>45353</v>
      </c>
      <c r="K41" s="4">
        <v>921.94999799999982</v>
      </c>
      <c r="L41">
        <v>189518</v>
      </c>
    </row>
    <row r="42" spans="1:12" x14ac:dyDescent="0.35">
      <c r="A42" t="s">
        <v>8</v>
      </c>
      <c r="B42" t="s">
        <v>13</v>
      </c>
      <c r="C42" t="s">
        <v>51</v>
      </c>
      <c r="D42" t="str" cm="1">
        <f t="array" ref="D42">INDEX(_xlfn.TEXTSPLIT(C42,"_"),3)</f>
        <v>na</v>
      </c>
      <c r="E42" t="str">
        <f>VLOOKUP(D42,FranchiseMapping!$A$1:$B$15,2,FALSE)</f>
        <v>Biolage</v>
      </c>
      <c r="F42" s="1">
        <v>44927</v>
      </c>
      <c r="G42" t="s">
        <v>11</v>
      </c>
      <c r="H42" s="2">
        <v>45139</v>
      </c>
      <c r="I42" s="3">
        <v>45152</v>
      </c>
      <c r="J42" s="3">
        <f t="shared" si="0"/>
        <v>45157</v>
      </c>
      <c r="K42" s="4">
        <v>767.61550799999998</v>
      </c>
      <c r="L42">
        <v>304696</v>
      </c>
    </row>
    <row r="43" spans="1:12" x14ac:dyDescent="0.35">
      <c r="A43" t="s">
        <v>8</v>
      </c>
      <c r="B43" t="s">
        <v>9</v>
      </c>
      <c r="C43" t="s">
        <v>45</v>
      </c>
      <c r="D43" t="str" cm="1">
        <f t="array" ref="D43">INDEX(_xlfn.TEXTSPLIT(C43,"_"),3)</f>
        <v>hydrasource</v>
      </c>
      <c r="E43" t="str">
        <f>VLOOKUP(D43,FranchiseMapping!$A$1:$B$15,2,FALSE)</f>
        <v>Hydrasource</v>
      </c>
      <c r="F43" s="1">
        <v>45292</v>
      </c>
      <c r="G43" t="s">
        <v>12</v>
      </c>
      <c r="H43" s="2">
        <v>45536</v>
      </c>
      <c r="I43" s="3">
        <v>45564</v>
      </c>
      <c r="J43" s="3">
        <f t="shared" si="0"/>
        <v>45570</v>
      </c>
      <c r="K43" s="4">
        <v>2742.3500010000002</v>
      </c>
      <c r="L43">
        <v>307924</v>
      </c>
    </row>
    <row r="44" spans="1:12" x14ac:dyDescent="0.35">
      <c r="A44" t="s">
        <v>8</v>
      </c>
      <c r="B44" t="s">
        <v>9</v>
      </c>
      <c r="C44" t="s">
        <v>45</v>
      </c>
      <c r="D44" t="str" cm="1">
        <f t="array" ref="D44">INDEX(_xlfn.TEXTSPLIT(C44,"_"),3)</f>
        <v>hydrasource</v>
      </c>
      <c r="E44" t="str">
        <f>VLOOKUP(D44,FranchiseMapping!$A$1:$B$15,2,FALSE)</f>
        <v>Hydrasource</v>
      </c>
      <c r="F44" s="1">
        <v>45292</v>
      </c>
      <c r="G44" t="s">
        <v>12</v>
      </c>
      <c r="H44" s="2">
        <v>45566</v>
      </c>
      <c r="I44" s="3">
        <v>45580</v>
      </c>
      <c r="J44" s="3">
        <f t="shared" si="0"/>
        <v>45584</v>
      </c>
      <c r="K44" s="4">
        <v>2329.7700100000002</v>
      </c>
      <c r="L44">
        <v>241441</v>
      </c>
    </row>
    <row r="45" spans="1:12" x14ac:dyDescent="0.35">
      <c r="A45" t="s">
        <v>8</v>
      </c>
      <c r="B45" t="s">
        <v>9</v>
      </c>
      <c r="C45" t="s">
        <v>52</v>
      </c>
      <c r="D45" t="str" cm="1">
        <f t="array" ref="D45">INDEX(_xlfn.TEXTSPLIT(C45,"_"),3)</f>
        <v>bond-therapy</v>
      </c>
      <c r="E45" t="str">
        <f>VLOOKUP(D45,FranchiseMapping!$A$1:$B$15,2,FALSE)</f>
        <v>Bond Therapy</v>
      </c>
      <c r="F45" s="1">
        <v>44927</v>
      </c>
      <c r="G45" t="s">
        <v>11</v>
      </c>
      <c r="H45" s="2">
        <v>45261</v>
      </c>
      <c r="I45" s="3">
        <v>45272</v>
      </c>
      <c r="J45" s="3">
        <f t="shared" si="0"/>
        <v>45276</v>
      </c>
      <c r="K45" s="4">
        <v>2809.3400029999993</v>
      </c>
      <c r="L45">
        <v>508720</v>
      </c>
    </row>
    <row r="46" spans="1:12" x14ac:dyDescent="0.35">
      <c r="A46" t="s">
        <v>8</v>
      </c>
      <c r="B46" t="s">
        <v>9</v>
      </c>
      <c r="C46" t="s">
        <v>53</v>
      </c>
      <c r="D46" t="str" cm="1">
        <f t="array" ref="D46">INDEX(_xlfn.TEXTSPLIT(C46,"_"),3)</f>
        <v>bond-therapy</v>
      </c>
      <c r="E46" t="str">
        <f>VLOOKUP(D46,FranchiseMapping!$A$1:$B$15,2,FALSE)</f>
        <v>Bond Therapy</v>
      </c>
      <c r="F46" s="1">
        <v>44927</v>
      </c>
      <c r="G46" t="s">
        <v>11</v>
      </c>
      <c r="H46" s="2">
        <v>45261</v>
      </c>
      <c r="I46" s="3">
        <v>45272</v>
      </c>
      <c r="J46" s="3">
        <f t="shared" si="0"/>
        <v>45276</v>
      </c>
      <c r="K46" s="4">
        <v>1182.8799999999999</v>
      </c>
      <c r="L46">
        <v>193363</v>
      </c>
    </row>
    <row r="47" spans="1:12" x14ac:dyDescent="0.35">
      <c r="A47" t="s">
        <v>8</v>
      </c>
      <c r="B47" t="s">
        <v>9</v>
      </c>
      <c r="C47" t="s">
        <v>54</v>
      </c>
      <c r="D47" t="str" cm="1">
        <f t="array" ref="D47">INDEX(_xlfn.TEXTSPLIT(C47,"_"),3)</f>
        <v>scalp</v>
      </c>
      <c r="E47" t="str">
        <f>VLOOKUP(D47,FranchiseMapping!$A$1:$B$15,2,FALSE)</f>
        <v>Scalp Sync</v>
      </c>
      <c r="F47" s="1">
        <v>45292</v>
      </c>
      <c r="G47" t="s">
        <v>10</v>
      </c>
      <c r="H47" s="2">
        <v>45383</v>
      </c>
      <c r="I47" s="3">
        <v>45394</v>
      </c>
      <c r="J47" s="3">
        <f t="shared" si="0"/>
        <v>45395</v>
      </c>
      <c r="K47" s="4">
        <v>2286.4599979999998</v>
      </c>
      <c r="L47">
        <v>517743</v>
      </c>
    </row>
    <row r="48" spans="1:12" x14ac:dyDescent="0.35">
      <c r="A48" t="s">
        <v>8</v>
      </c>
      <c r="B48" t="s">
        <v>9</v>
      </c>
      <c r="C48" t="s">
        <v>52</v>
      </c>
      <c r="D48" t="str" cm="1">
        <f t="array" ref="D48">INDEX(_xlfn.TEXTSPLIT(C48,"_"),3)</f>
        <v>bond-therapy</v>
      </c>
      <c r="E48" t="str">
        <f>VLOOKUP(D48,FranchiseMapping!$A$1:$B$15,2,FALSE)</f>
        <v>Bond Therapy</v>
      </c>
      <c r="F48" s="1">
        <v>44927</v>
      </c>
      <c r="G48" t="s">
        <v>11</v>
      </c>
      <c r="H48" s="2">
        <v>45231</v>
      </c>
      <c r="I48" s="3">
        <v>45249</v>
      </c>
      <c r="J48" s="3">
        <f t="shared" si="0"/>
        <v>45255</v>
      </c>
      <c r="K48" s="4">
        <v>3022.400001</v>
      </c>
      <c r="L48">
        <v>477284</v>
      </c>
    </row>
    <row r="49" spans="1:12" x14ac:dyDescent="0.35">
      <c r="A49" t="s">
        <v>8</v>
      </c>
      <c r="B49" t="s">
        <v>9</v>
      </c>
      <c r="C49" t="s">
        <v>41</v>
      </c>
      <c r="D49" t="str" cm="1">
        <f t="array" ref="D49">INDEX(_xlfn.TEXTSPLIT(C49,"_"),3)</f>
        <v>hys</v>
      </c>
      <c r="E49" t="str">
        <f>VLOOKUP(D49,FranchiseMapping!$A$1:$B$15,2,FALSE)</f>
        <v>Hydrasource</v>
      </c>
      <c r="F49" s="1">
        <v>45658</v>
      </c>
      <c r="G49" t="s">
        <v>12</v>
      </c>
      <c r="H49" s="2">
        <v>45748</v>
      </c>
      <c r="I49" s="3">
        <v>45766</v>
      </c>
      <c r="J49" s="3">
        <f t="shared" si="0"/>
        <v>45766</v>
      </c>
      <c r="K49" s="4">
        <v>3915.9299990000018</v>
      </c>
      <c r="L49">
        <v>396606</v>
      </c>
    </row>
    <row r="50" spans="1:12" x14ac:dyDescent="0.35">
      <c r="A50" t="s">
        <v>8</v>
      </c>
      <c r="B50" t="s">
        <v>14</v>
      </c>
      <c r="C50" t="s">
        <v>49</v>
      </c>
      <c r="D50" t="str" cm="1">
        <f t="array" ref="D50">INDEX(_xlfn.TEXTSPLIT(C50,"_"),3)</f>
        <v>hys</v>
      </c>
      <c r="E50" t="str">
        <f>VLOOKUP(D50,FranchiseMapping!$A$1:$B$15,2,FALSE)</f>
        <v>Hydrasource</v>
      </c>
      <c r="F50" s="1">
        <v>45658</v>
      </c>
      <c r="G50" t="s">
        <v>12</v>
      </c>
      <c r="H50" s="2">
        <v>45748</v>
      </c>
      <c r="I50" s="3">
        <v>45766</v>
      </c>
      <c r="J50" s="3">
        <f t="shared" si="0"/>
        <v>45766</v>
      </c>
      <c r="K50" s="4">
        <v>5344.7899999999991</v>
      </c>
      <c r="L50">
        <v>1167035</v>
      </c>
    </row>
    <row r="51" spans="1:12" x14ac:dyDescent="0.35">
      <c r="A51" t="s">
        <v>8</v>
      </c>
      <c r="B51" t="s">
        <v>14</v>
      </c>
      <c r="C51" t="s">
        <v>43</v>
      </c>
      <c r="D51" t="str" cm="1">
        <f t="array" ref="D51">INDEX(_xlfn.TEXTSPLIT(C51,"_"),3)</f>
        <v>bfr</v>
      </c>
      <c r="E51" t="str">
        <f>VLOOKUP(D51,FranchiseMapping!$A$1:$B$15,2,FALSE)</f>
        <v>Full Rescue</v>
      </c>
      <c r="F51" s="1">
        <v>45658</v>
      </c>
      <c r="G51" t="s">
        <v>10</v>
      </c>
      <c r="H51" s="2">
        <v>45809</v>
      </c>
      <c r="I51" s="3">
        <v>45818</v>
      </c>
      <c r="J51" s="3">
        <f t="shared" si="0"/>
        <v>45822</v>
      </c>
      <c r="K51" s="4">
        <v>497.48</v>
      </c>
      <c r="L51">
        <v>99289</v>
      </c>
    </row>
    <row r="52" spans="1:12" x14ac:dyDescent="0.35">
      <c r="A52" t="s">
        <v>8</v>
      </c>
      <c r="B52" t="s">
        <v>13</v>
      </c>
      <c r="C52" t="s">
        <v>28</v>
      </c>
      <c r="D52" t="str" cm="1">
        <f t="array" ref="D52">INDEX(_xlfn.TEXTSPLIT(C52,"_"),3)</f>
        <v>na</v>
      </c>
      <c r="E52" t="str">
        <f>VLOOKUP(D52,FranchiseMapping!$A$1:$B$15,2,FALSE)</f>
        <v>Biolage</v>
      </c>
      <c r="F52" s="1">
        <v>44927</v>
      </c>
      <c r="G52" t="s">
        <v>10</v>
      </c>
      <c r="H52" s="2">
        <v>45108</v>
      </c>
      <c r="I52" s="3">
        <v>45122</v>
      </c>
      <c r="J52" s="3">
        <f t="shared" si="0"/>
        <v>45122</v>
      </c>
      <c r="K52" s="4">
        <v>883.01509099999998</v>
      </c>
      <c r="L52">
        <v>163422</v>
      </c>
    </row>
    <row r="53" spans="1:12" x14ac:dyDescent="0.35">
      <c r="A53" t="s">
        <v>8</v>
      </c>
      <c r="B53" t="s">
        <v>9</v>
      </c>
      <c r="C53" t="s">
        <v>35</v>
      </c>
      <c r="D53" t="str" cm="1">
        <f t="array" ref="D53">INDEX(_xlfn.TEXTSPLIT(C53,"_"),3)</f>
        <v>bfr</v>
      </c>
      <c r="E53" t="str">
        <f>VLOOKUP(D53,FranchiseMapping!$A$1:$B$15,2,FALSE)</f>
        <v>Full Rescue</v>
      </c>
      <c r="F53" s="1">
        <v>45658</v>
      </c>
      <c r="G53" t="s">
        <v>10</v>
      </c>
      <c r="H53" s="2">
        <v>45809</v>
      </c>
      <c r="I53" s="3">
        <v>45825</v>
      </c>
      <c r="J53" s="3">
        <f t="shared" si="0"/>
        <v>45829</v>
      </c>
      <c r="K53" s="4">
        <v>61.97999999999999</v>
      </c>
      <c r="L53">
        <v>9206</v>
      </c>
    </row>
    <row r="54" spans="1:12" x14ac:dyDescent="0.35">
      <c r="A54" t="s">
        <v>8</v>
      </c>
      <c r="B54" t="s">
        <v>9</v>
      </c>
      <c r="C54" t="s">
        <v>35</v>
      </c>
      <c r="D54" t="str" cm="1">
        <f t="array" ref="D54">INDEX(_xlfn.TEXTSPLIT(C54,"_"),3)</f>
        <v>bfr</v>
      </c>
      <c r="E54" t="str">
        <f>VLOOKUP(D54,FranchiseMapping!$A$1:$B$15,2,FALSE)</f>
        <v>Full Rescue</v>
      </c>
      <c r="F54" s="1">
        <v>45658</v>
      </c>
      <c r="G54" t="s">
        <v>10</v>
      </c>
      <c r="H54" s="2">
        <v>45809</v>
      </c>
      <c r="I54" s="3">
        <v>45813</v>
      </c>
      <c r="J54" s="3">
        <f t="shared" si="0"/>
        <v>45815</v>
      </c>
      <c r="K54" s="4">
        <v>29.09</v>
      </c>
      <c r="L54">
        <v>2992</v>
      </c>
    </row>
    <row r="55" spans="1:12" x14ac:dyDescent="0.35">
      <c r="A55" t="s">
        <v>8</v>
      </c>
      <c r="B55" t="s">
        <v>9</v>
      </c>
      <c r="C55" t="s">
        <v>36</v>
      </c>
      <c r="D55" t="str" cm="1">
        <f t="array" ref="D55">INDEX(_xlfn.TEXTSPLIT(C55,"_"),3)</f>
        <v>bfr</v>
      </c>
      <c r="E55" t="str">
        <f>VLOOKUP(D55,FranchiseMapping!$A$1:$B$15,2,FALSE)</f>
        <v>Full Rescue</v>
      </c>
      <c r="F55" s="1">
        <v>45658</v>
      </c>
      <c r="G55" t="s">
        <v>12</v>
      </c>
      <c r="H55" s="2">
        <v>45809</v>
      </c>
      <c r="I55" s="3">
        <v>45838</v>
      </c>
      <c r="J55" s="3">
        <f t="shared" si="0"/>
        <v>45843</v>
      </c>
      <c r="K55" s="4">
        <v>1764.2541880000001</v>
      </c>
      <c r="L55">
        <v>280607</v>
      </c>
    </row>
    <row r="56" spans="1:12" x14ac:dyDescent="0.35">
      <c r="A56" t="s">
        <v>8</v>
      </c>
      <c r="B56" t="s">
        <v>9</v>
      </c>
      <c r="C56" t="s">
        <v>52</v>
      </c>
      <c r="D56" t="str" cm="1">
        <f t="array" ref="D56">INDEX(_xlfn.TEXTSPLIT(C56,"_"),3)</f>
        <v>bond-therapy</v>
      </c>
      <c r="E56" t="str">
        <f>VLOOKUP(D56,FranchiseMapping!$A$1:$B$15,2,FALSE)</f>
        <v>Bond Therapy</v>
      </c>
      <c r="F56" s="1">
        <v>44927</v>
      </c>
      <c r="G56" t="s">
        <v>11</v>
      </c>
      <c r="H56" s="2">
        <v>45261</v>
      </c>
      <c r="I56" s="3">
        <v>45266</v>
      </c>
      <c r="J56" s="3">
        <f t="shared" si="0"/>
        <v>45269</v>
      </c>
      <c r="K56" s="4">
        <v>2884.5466160000005</v>
      </c>
      <c r="L56">
        <v>519236</v>
      </c>
    </row>
    <row r="57" spans="1:12" x14ac:dyDescent="0.35">
      <c r="A57" t="s">
        <v>8</v>
      </c>
      <c r="B57" t="s">
        <v>13</v>
      </c>
      <c r="C57" t="s">
        <v>51</v>
      </c>
      <c r="D57" t="str" cm="1">
        <f t="array" ref="D57">INDEX(_xlfn.TEXTSPLIT(C57,"_"),3)</f>
        <v>na</v>
      </c>
      <c r="E57" t="str">
        <f>VLOOKUP(D57,FranchiseMapping!$A$1:$B$15,2,FALSE)</f>
        <v>Biolage</v>
      </c>
      <c r="F57" s="1">
        <v>44927</v>
      </c>
      <c r="G57" t="s">
        <v>11</v>
      </c>
      <c r="H57" s="2">
        <v>45108</v>
      </c>
      <c r="I57" s="3">
        <v>45134</v>
      </c>
      <c r="J57" s="3">
        <f t="shared" si="0"/>
        <v>45136</v>
      </c>
      <c r="K57" s="4">
        <v>637.51506900000004</v>
      </c>
      <c r="L57">
        <v>369455</v>
      </c>
    </row>
    <row r="58" spans="1:12" x14ac:dyDescent="0.35">
      <c r="A58" t="s">
        <v>8</v>
      </c>
      <c r="B58" t="s">
        <v>9</v>
      </c>
      <c r="C58" t="s">
        <v>55</v>
      </c>
      <c r="D58" t="str" cm="1">
        <f t="array" ref="D58">INDEX(_xlfn.TEXTSPLIT(C58,"_"),3)</f>
        <v>hydrasource</v>
      </c>
      <c r="E58" t="str">
        <f>VLOOKUP(D58,FranchiseMapping!$A$1:$B$15,2,FALSE)</f>
        <v>Hydrasource</v>
      </c>
      <c r="F58" s="1">
        <v>45292</v>
      </c>
      <c r="G58" t="s">
        <v>12</v>
      </c>
      <c r="H58" s="2">
        <v>45566</v>
      </c>
      <c r="I58" s="3">
        <v>45571</v>
      </c>
      <c r="J58" s="3">
        <f t="shared" si="0"/>
        <v>45577</v>
      </c>
      <c r="K58" s="4">
        <v>3946.8999989999998</v>
      </c>
      <c r="L58">
        <v>784180</v>
      </c>
    </row>
    <row r="59" spans="1:12" x14ac:dyDescent="0.35">
      <c r="A59" t="s">
        <v>8</v>
      </c>
      <c r="B59" t="s">
        <v>9</v>
      </c>
      <c r="C59" t="s">
        <v>54</v>
      </c>
      <c r="D59" t="str" cm="1">
        <f t="array" ref="D59">INDEX(_xlfn.TEXTSPLIT(C59,"_"),3)</f>
        <v>scalp</v>
      </c>
      <c r="E59" t="str">
        <f>VLOOKUP(D59,FranchiseMapping!$A$1:$B$15,2,FALSE)</f>
        <v>Scalp Sync</v>
      </c>
      <c r="F59" s="1">
        <v>45292</v>
      </c>
      <c r="G59" t="s">
        <v>10</v>
      </c>
      <c r="H59" s="2">
        <v>45352</v>
      </c>
      <c r="I59" s="3">
        <v>45381</v>
      </c>
      <c r="J59" s="3">
        <f t="shared" si="0"/>
        <v>45381</v>
      </c>
      <c r="K59" s="4">
        <v>2332.1800079999994</v>
      </c>
      <c r="L59">
        <v>479293</v>
      </c>
    </row>
    <row r="60" spans="1:12" x14ac:dyDescent="0.35">
      <c r="A60" t="s">
        <v>8</v>
      </c>
      <c r="B60" t="s">
        <v>9</v>
      </c>
      <c r="C60" t="s">
        <v>31</v>
      </c>
      <c r="D60" t="str" cm="1">
        <f t="array" ref="D60">INDEX(_xlfn.TEXTSPLIT(C60,"_"),3)</f>
        <v>scalp</v>
      </c>
      <c r="E60" t="str">
        <f>VLOOKUP(D60,FranchiseMapping!$A$1:$B$15,2,FALSE)</f>
        <v>Scalp Sync</v>
      </c>
      <c r="F60" s="1">
        <v>45292</v>
      </c>
      <c r="G60" t="s">
        <v>12</v>
      </c>
      <c r="H60" s="2">
        <v>45383</v>
      </c>
      <c r="I60" s="3">
        <v>45400</v>
      </c>
      <c r="J60" s="3">
        <f t="shared" si="0"/>
        <v>45402</v>
      </c>
      <c r="K60" s="4">
        <v>1400.4199989999997</v>
      </c>
      <c r="L60">
        <v>214395</v>
      </c>
    </row>
    <row r="61" spans="1:12" x14ac:dyDescent="0.35">
      <c r="A61" t="s">
        <v>8</v>
      </c>
      <c r="B61" t="s">
        <v>9</v>
      </c>
      <c r="C61" t="s">
        <v>52</v>
      </c>
      <c r="D61" t="str" cm="1">
        <f t="array" ref="D61">INDEX(_xlfn.TEXTSPLIT(C61,"_"),3)</f>
        <v>bond-therapy</v>
      </c>
      <c r="E61" t="str">
        <f>VLOOKUP(D61,FranchiseMapping!$A$1:$B$15,2,FALSE)</f>
        <v>Bond Therapy</v>
      </c>
      <c r="F61" s="1">
        <v>44927</v>
      </c>
      <c r="G61" t="s">
        <v>11</v>
      </c>
      <c r="H61" s="2">
        <v>45261</v>
      </c>
      <c r="I61" s="3">
        <v>45264</v>
      </c>
      <c r="J61" s="3">
        <f t="shared" si="0"/>
        <v>45269</v>
      </c>
      <c r="K61" s="4">
        <v>2958.1200010000007</v>
      </c>
      <c r="L61">
        <v>562616</v>
      </c>
    </row>
    <row r="62" spans="1:12" x14ac:dyDescent="0.35">
      <c r="A62" t="s">
        <v>8</v>
      </c>
      <c r="B62" t="s">
        <v>9</v>
      </c>
      <c r="C62" t="s">
        <v>50</v>
      </c>
      <c r="D62" t="str" cm="1">
        <f t="array" ref="D62">INDEX(_xlfn.TEXTSPLIT(C62,"_"),3)</f>
        <v>bond-therapy</v>
      </c>
      <c r="E62" t="str">
        <f>VLOOKUP(D62,FranchiseMapping!$A$1:$B$15,2,FALSE)</f>
        <v>Bond Therapy</v>
      </c>
      <c r="F62" s="1">
        <v>44927</v>
      </c>
      <c r="G62" t="s">
        <v>12</v>
      </c>
      <c r="H62" s="2">
        <v>45261</v>
      </c>
      <c r="I62" s="3">
        <v>45262</v>
      </c>
      <c r="J62" s="3">
        <f t="shared" si="0"/>
        <v>45262</v>
      </c>
      <c r="K62" s="4">
        <v>3052.3199969999996</v>
      </c>
      <c r="L62">
        <v>320047</v>
      </c>
    </row>
    <row r="63" spans="1:12" x14ac:dyDescent="0.35">
      <c r="A63" t="s">
        <v>8</v>
      </c>
      <c r="B63" t="s">
        <v>9</v>
      </c>
      <c r="C63" t="s">
        <v>56</v>
      </c>
      <c r="D63" t="str" cm="1">
        <f t="array" ref="D63">INDEX(_xlfn.TEXTSPLIT(C63,"_"),3)</f>
        <v>haca-colorlast-q3</v>
      </c>
      <c r="E63" t="str">
        <f>VLOOKUP(D63,FranchiseMapping!$A$1:$B$15,2,FALSE)</f>
        <v>Color Last</v>
      </c>
      <c r="F63" s="1">
        <v>44927</v>
      </c>
      <c r="G63" t="s">
        <v>10</v>
      </c>
      <c r="H63" s="2">
        <v>45139</v>
      </c>
      <c r="I63" s="3">
        <v>45147</v>
      </c>
      <c r="J63" s="3">
        <f t="shared" si="0"/>
        <v>45150</v>
      </c>
      <c r="K63" s="4">
        <v>658.9800029999999</v>
      </c>
      <c r="L63">
        <v>111723</v>
      </c>
    </row>
    <row r="64" spans="1:12" x14ac:dyDescent="0.35">
      <c r="A64" t="s">
        <v>8</v>
      </c>
      <c r="B64" t="s">
        <v>9</v>
      </c>
      <c r="C64" t="s">
        <v>34</v>
      </c>
      <c r="D64" t="str" cm="1">
        <f t="array" ref="D64">INDEX(_xlfn.TEXTSPLIT(C64,"_"),3)</f>
        <v>hydrasource</v>
      </c>
      <c r="E64" t="str">
        <f>VLOOKUP(D64,FranchiseMapping!$A$1:$B$15,2,FALSE)</f>
        <v>Hydrasource</v>
      </c>
      <c r="F64" s="1">
        <v>45292</v>
      </c>
      <c r="G64" t="s">
        <v>12</v>
      </c>
      <c r="H64" s="2">
        <v>45323</v>
      </c>
      <c r="I64" s="3">
        <v>45329</v>
      </c>
      <c r="J64" s="3">
        <f t="shared" si="0"/>
        <v>45332</v>
      </c>
      <c r="K64" s="4">
        <v>869.09000100000003</v>
      </c>
      <c r="L64">
        <v>193022</v>
      </c>
    </row>
    <row r="65" spans="1:12" x14ac:dyDescent="0.35">
      <c r="A65" t="s">
        <v>8</v>
      </c>
      <c r="B65" t="s">
        <v>9</v>
      </c>
      <c r="C65" t="s">
        <v>36</v>
      </c>
      <c r="D65" t="str" cm="1">
        <f t="array" ref="D65">INDEX(_xlfn.TEXTSPLIT(C65,"_"),3)</f>
        <v>bfr</v>
      </c>
      <c r="E65" t="str">
        <f>VLOOKUP(D65,FranchiseMapping!$A$1:$B$15,2,FALSE)</f>
        <v>Full Rescue</v>
      </c>
      <c r="F65" s="1">
        <v>45658</v>
      </c>
      <c r="G65" t="s">
        <v>12</v>
      </c>
      <c r="H65" s="2">
        <v>45778</v>
      </c>
      <c r="I65" s="3">
        <v>45791</v>
      </c>
      <c r="J65" s="3">
        <f t="shared" si="0"/>
        <v>45794</v>
      </c>
      <c r="K65" s="4">
        <v>328.11000100000001</v>
      </c>
      <c r="L65">
        <v>57025</v>
      </c>
    </row>
    <row r="66" spans="1:12" x14ac:dyDescent="0.35">
      <c r="A66" t="s">
        <v>8</v>
      </c>
      <c r="B66" t="s">
        <v>14</v>
      </c>
      <c r="C66" t="s">
        <v>37</v>
      </c>
      <c r="D66" t="str" cm="1">
        <f t="array" ref="D66">INDEX(_xlfn.TEXTSPLIT(C66,"_"),3)</f>
        <v>mult</v>
      </c>
      <c r="E66" t="str">
        <f>VLOOKUP(D66,FranchiseMapping!$A$1:$B$15,2,FALSE)</f>
        <v>Biolage</v>
      </c>
      <c r="F66" s="1">
        <v>45658</v>
      </c>
      <c r="G66" t="s">
        <v>12</v>
      </c>
      <c r="H66" s="2">
        <v>45748</v>
      </c>
      <c r="I66" s="3">
        <v>45775</v>
      </c>
      <c r="J66" s="3">
        <f t="shared" si="0"/>
        <v>45780</v>
      </c>
      <c r="K66" s="4">
        <v>6.1</v>
      </c>
      <c r="L66">
        <v>1832</v>
      </c>
    </row>
    <row r="67" spans="1:12" x14ac:dyDescent="0.35">
      <c r="A67" t="s">
        <v>8</v>
      </c>
      <c r="B67" t="s">
        <v>13</v>
      </c>
      <c r="C67" t="s">
        <v>51</v>
      </c>
      <c r="D67" t="str" cm="1">
        <f t="array" ref="D67">INDEX(_xlfn.TEXTSPLIT(C67,"_"),3)</f>
        <v>na</v>
      </c>
      <c r="E67" t="str">
        <f>VLOOKUP(D67,FranchiseMapping!$A$1:$B$15,2,FALSE)</f>
        <v>Biolage</v>
      </c>
      <c r="F67" s="1">
        <v>44927</v>
      </c>
      <c r="G67" t="s">
        <v>11</v>
      </c>
      <c r="H67" s="2">
        <v>45139</v>
      </c>
      <c r="I67" s="3">
        <v>45145</v>
      </c>
      <c r="J67" s="3">
        <f t="shared" ref="J67:J130" si="1">I67 + (7 - WEEKDAY(I67, 1))</f>
        <v>45150</v>
      </c>
      <c r="K67" s="4">
        <v>774.48605800000007</v>
      </c>
      <c r="L67">
        <v>407346</v>
      </c>
    </row>
    <row r="68" spans="1:12" x14ac:dyDescent="0.35">
      <c r="A68" t="s">
        <v>8</v>
      </c>
      <c r="B68" t="s">
        <v>9</v>
      </c>
      <c r="C68" t="s">
        <v>48</v>
      </c>
      <c r="D68" t="str" cm="1">
        <f t="array" ref="D68">INDEX(_xlfn.TEXTSPLIT(C68,"_"),3)</f>
        <v>scalp</v>
      </c>
      <c r="E68" t="str">
        <f>VLOOKUP(D68,FranchiseMapping!$A$1:$B$15,2,FALSE)</f>
        <v>Scalp Sync</v>
      </c>
      <c r="F68" s="1">
        <v>45292</v>
      </c>
      <c r="G68" t="s">
        <v>12</v>
      </c>
      <c r="H68" s="2">
        <v>45383</v>
      </c>
      <c r="I68" s="3">
        <v>45394</v>
      </c>
      <c r="J68" s="3">
        <f t="shared" si="1"/>
        <v>45395</v>
      </c>
      <c r="K68" s="4">
        <v>687.42999900000018</v>
      </c>
      <c r="L68">
        <v>163609</v>
      </c>
    </row>
    <row r="69" spans="1:12" x14ac:dyDescent="0.35">
      <c r="A69" t="s">
        <v>8</v>
      </c>
      <c r="B69" t="s">
        <v>9</v>
      </c>
      <c r="C69" t="s">
        <v>33</v>
      </c>
      <c r="D69" t="str" cm="1">
        <f t="array" ref="D69">INDEX(_xlfn.TEXTSPLIT(C69,"_"),3)</f>
        <v>hydrasource</v>
      </c>
      <c r="E69" t="str">
        <f>VLOOKUP(D69,FranchiseMapping!$A$1:$B$15,2,FALSE)</f>
        <v>Hydrasource</v>
      </c>
      <c r="F69" s="1">
        <v>45292</v>
      </c>
      <c r="G69" t="s">
        <v>11</v>
      </c>
      <c r="H69" s="2">
        <v>45292</v>
      </c>
      <c r="I69" s="3">
        <v>45318</v>
      </c>
      <c r="J69" s="3">
        <f t="shared" si="1"/>
        <v>45318</v>
      </c>
      <c r="K69" s="4">
        <v>1477.6100080000001</v>
      </c>
      <c r="L69">
        <v>313000</v>
      </c>
    </row>
    <row r="70" spans="1:12" x14ac:dyDescent="0.35">
      <c r="A70" t="s">
        <v>8</v>
      </c>
      <c r="B70" t="s">
        <v>13</v>
      </c>
      <c r="C70" t="s">
        <v>51</v>
      </c>
      <c r="D70" t="str" cm="1">
        <f t="array" ref="D70">INDEX(_xlfn.TEXTSPLIT(C70,"_"),3)</f>
        <v>na</v>
      </c>
      <c r="E70" t="str">
        <f>VLOOKUP(D70,FranchiseMapping!$A$1:$B$15,2,FALSE)</f>
        <v>Biolage</v>
      </c>
      <c r="F70" s="1">
        <v>44927</v>
      </c>
      <c r="G70" t="s">
        <v>11</v>
      </c>
      <c r="H70" s="2">
        <v>45139</v>
      </c>
      <c r="I70" s="3">
        <v>45150</v>
      </c>
      <c r="J70" s="3">
        <f t="shared" si="1"/>
        <v>45150</v>
      </c>
      <c r="K70" s="4">
        <v>769.35809399999994</v>
      </c>
      <c r="L70">
        <v>333947</v>
      </c>
    </row>
    <row r="71" spans="1:12" x14ac:dyDescent="0.35">
      <c r="A71" t="s">
        <v>8</v>
      </c>
      <c r="B71" t="s">
        <v>13</v>
      </c>
      <c r="C71" t="s">
        <v>28</v>
      </c>
      <c r="D71" t="str" cm="1">
        <f t="array" ref="D71">INDEX(_xlfn.TEXTSPLIT(C71,"_"),3)</f>
        <v>na</v>
      </c>
      <c r="E71" t="str">
        <f>VLOOKUP(D71,FranchiseMapping!$A$1:$B$15,2,FALSE)</f>
        <v>Biolage</v>
      </c>
      <c r="F71" s="1">
        <v>44927</v>
      </c>
      <c r="G71" t="s">
        <v>10</v>
      </c>
      <c r="H71" s="2">
        <v>45139</v>
      </c>
      <c r="I71" s="3">
        <v>45158</v>
      </c>
      <c r="J71" s="3">
        <f t="shared" si="1"/>
        <v>45164</v>
      </c>
      <c r="K71" s="4">
        <v>1106.513954</v>
      </c>
      <c r="L71">
        <v>100107</v>
      </c>
    </row>
    <row r="72" spans="1:12" x14ac:dyDescent="0.35">
      <c r="A72" t="s">
        <v>8</v>
      </c>
      <c r="B72" t="s">
        <v>9</v>
      </c>
      <c r="C72" t="s">
        <v>45</v>
      </c>
      <c r="D72" t="str" cm="1">
        <f t="array" ref="D72">INDEX(_xlfn.TEXTSPLIT(C72,"_"),3)</f>
        <v>hydrasource</v>
      </c>
      <c r="E72" t="str">
        <f>VLOOKUP(D72,FranchiseMapping!$A$1:$B$15,2,FALSE)</f>
        <v>Hydrasource</v>
      </c>
      <c r="F72" s="1">
        <v>45292</v>
      </c>
      <c r="G72" t="s">
        <v>12</v>
      </c>
      <c r="H72" s="2">
        <v>45566</v>
      </c>
      <c r="I72" s="3">
        <v>45575</v>
      </c>
      <c r="J72" s="3">
        <f t="shared" si="1"/>
        <v>45577</v>
      </c>
      <c r="K72" s="4">
        <v>2610.7099980000003</v>
      </c>
      <c r="L72">
        <v>270758</v>
      </c>
    </row>
    <row r="73" spans="1:12" x14ac:dyDescent="0.35">
      <c r="A73" t="s">
        <v>8</v>
      </c>
      <c r="B73" t="s">
        <v>14</v>
      </c>
      <c r="C73" t="s">
        <v>57</v>
      </c>
      <c r="D73" t="str" cm="1">
        <f t="array" ref="D73">INDEX(_xlfn.TEXTSPLIT(C73,"_"),3)</f>
        <v>bfr</v>
      </c>
      <c r="E73" t="str">
        <f>VLOOKUP(D73,FranchiseMapping!$A$1:$B$15,2,FALSE)</f>
        <v>Full Rescue</v>
      </c>
      <c r="F73" s="1">
        <v>45658</v>
      </c>
      <c r="G73" t="s">
        <v>10</v>
      </c>
      <c r="H73" s="2">
        <v>45809</v>
      </c>
      <c r="I73" s="3">
        <v>45813</v>
      </c>
      <c r="J73" s="3">
        <f t="shared" si="1"/>
        <v>45815</v>
      </c>
      <c r="K73" s="4">
        <v>14303.45</v>
      </c>
      <c r="L73">
        <v>1036521</v>
      </c>
    </row>
    <row r="74" spans="1:12" x14ac:dyDescent="0.35">
      <c r="A74" t="s">
        <v>8</v>
      </c>
      <c r="B74" t="s">
        <v>9</v>
      </c>
      <c r="C74" t="s">
        <v>35</v>
      </c>
      <c r="D74" t="str" cm="1">
        <f t="array" ref="D74">INDEX(_xlfn.TEXTSPLIT(C74,"_"),3)</f>
        <v>bfr</v>
      </c>
      <c r="E74" t="str">
        <f>VLOOKUP(D74,FranchiseMapping!$A$1:$B$15,2,FALSE)</f>
        <v>Full Rescue</v>
      </c>
      <c r="F74" s="1">
        <v>45658</v>
      </c>
      <c r="G74" t="s">
        <v>12</v>
      </c>
      <c r="H74" s="2">
        <v>45809</v>
      </c>
      <c r="I74" s="3">
        <v>45838</v>
      </c>
      <c r="J74" s="3">
        <f t="shared" si="1"/>
        <v>45843</v>
      </c>
      <c r="K74" s="4">
        <v>1400.369353</v>
      </c>
      <c r="L74">
        <v>124061</v>
      </c>
    </row>
    <row r="75" spans="1:12" x14ac:dyDescent="0.35">
      <c r="A75" t="s">
        <v>8</v>
      </c>
      <c r="B75" t="s">
        <v>14</v>
      </c>
      <c r="C75" t="s">
        <v>43</v>
      </c>
      <c r="D75" t="str" cm="1">
        <f t="array" ref="D75">INDEX(_xlfn.TEXTSPLIT(C75,"_"),3)</f>
        <v>bfr</v>
      </c>
      <c r="E75" t="str">
        <f>VLOOKUP(D75,FranchiseMapping!$A$1:$B$15,2,FALSE)</f>
        <v>Full Rescue</v>
      </c>
      <c r="F75" s="1">
        <v>45658</v>
      </c>
      <c r="G75" t="s">
        <v>12</v>
      </c>
      <c r="H75" s="2">
        <v>45809</v>
      </c>
      <c r="I75" s="3">
        <v>45817</v>
      </c>
      <c r="J75" s="3">
        <f t="shared" si="1"/>
        <v>45822</v>
      </c>
      <c r="K75" s="4">
        <v>5503.0599999999995</v>
      </c>
      <c r="L75">
        <v>1186240</v>
      </c>
    </row>
    <row r="76" spans="1:12" x14ac:dyDescent="0.35">
      <c r="A76" t="s">
        <v>8</v>
      </c>
      <c r="B76" t="s">
        <v>14</v>
      </c>
      <c r="C76" t="s">
        <v>37</v>
      </c>
      <c r="D76" t="str" cm="1">
        <f t="array" ref="D76">INDEX(_xlfn.TEXTSPLIT(C76,"_"),3)</f>
        <v>mult</v>
      </c>
      <c r="E76" t="str">
        <f>VLOOKUP(D76,FranchiseMapping!$A$1:$B$15,2,FALSE)</f>
        <v>Biolage</v>
      </c>
      <c r="F76" s="1">
        <v>45658</v>
      </c>
      <c r="G76" t="s">
        <v>10</v>
      </c>
      <c r="H76" s="2">
        <v>45809</v>
      </c>
      <c r="I76" s="3">
        <v>45817</v>
      </c>
      <c r="J76" s="3">
        <f t="shared" si="1"/>
        <v>45822</v>
      </c>
      <c r="K76" s="4">
        <v>0.04</v>
      </c>
      <c r="L76">
        <v>7</v>
      </c>
    </row>
    <row r="77" spans="1:12" x14ac:dyDescent="0.35">
      <c r="A77" t="s">
        <v>8</v>
      </c>
      <c r="B77" t="s">
        <v>13</v>
      </c>
      <c r="C77" t="s">
        <v>51</v>
      </c>
      <c r="D77" t="str" cm="1">
        <f t="array" ref="D77">INDEX(_xlfn.TEXTSPLIT(C77,"_"),3)</f>
        <v>na</v>
      </c>
      <c r="E77" t="str">
        <f>VLOOKUP(D77,FranchiseMapping!$A$1:$B$15,2,FALSE)</f>
        <v>Biolage</v>
      </c>
      <c r="F77" s="1">
        <v>44927</v>
      </c>
      <c r="G77" t="s">
        <v>11</v>
      </c>
      <c r="H77" s="2">
        <v>45139</v>
      </c>
      <c r="I77" s="3">
        <v>45155</v>
      </c>
      <c r="J77" s="3">
        <f t="shared" si="1"/>
        <v>45157</v>
      </c>
      <c r="K77" s="4">
        <v>766.2992230000001</v>
      </c>
      <c r="L77">
        <v>349447</v>
      </c>
    </row>
    <row r="78" spans="1:12" x14ac:dyDescent="0.35">
      <c r="A78" t="s">
        <v>8</v>
      </c>
      <c r="B78" t="s">
        <v>9</v>
      </c>
      <c r="C78" t="s">
        <v>45</v>
      </c>
      <c r="D78" t="str" cm="1">
        <f t="array" ref="D78">INDEX(_xlfn.TEXTSPLIT(C78,"_"),3)</f>
        <v>hydrasource</v>
      </c>
      <c r="E78" t="str">
        <f>VLOOKUP(D78,FranchiseMapping!$A$1:$B$15,2,FALSE)</f>
        <v>Hydrasource</v>
      </c>
      <c r="F78" s="1">
        <v>45292</v>
      </c>
      <c r="G78" t="s">
        <v>12</v>
      </c>
      <c r="H78" s="2">
        <v>45566</v>
      </c>
      <c r="I78" s="3">
        <v>45572</v>
      </c>
      <c r="J78" s="3">
        <f t="shared" si="1"/>
        <v>45577</v>
      </c>
      <c r="K78" s="4">
        <v>2524.929999</v>
      </c>
      <c r="L78">
        <v>300558</v>
      </c>
    </row>
    <row r="79" spans="1:12" x14ac:dyDescent="0.35">
      <c r="A79" t="s">
        <v>8</v>
      </c>
      <c r="B79" t="s">
        <v>13</v>
      </c>
      <c r="C79" t="s">
        <v>28</v>
      </c>
      <c r="D79" t="str" cm="1">
        <f t="array" ref="D79">INDEX(_xlfn.TEXTSPLIT(C79,"_"),3)</f>
        <v>na</v>
      </c>
      <c r="E79" t="str">
        <f>VLOOKUP(D79,FranchiseMapping!$A$1:$B$15,2,FALSE)</f>
        <v>Biolage</v>
      </c>
      <c r="F79" s="1">
        <v>44927</v>
      </c>
      <c r="G79" t="s">
        <v>10</v>
      </c>
      <c r="H79" s="2">
        <v>45108</v>
      </c>
      <c r="I79" s="3">
        <v>45125</v>
      </c>
      <c r="J79" s="3">
        <f t="shared" si="1"/>
        <v>45129</v>
      </c>
      <c r="K79" s="4">
        <v>1198.6503620000001</v>
      </c>
      <c r="L79">
        <v>164456</v>
      </c>
    </row>
    <row r="80" spans="1:12" x14ac:dyDescent="0.35">
      <c r="A80" t="s">
        <v>8</v>
      </c>
      <c r="B80" t="s">
        <v>9</v>
      </c>
      <c r="C80" t="s">
        <v>38</v>
      </c>
      <c r="D80" t="str" cm="1">
        <f t="array" ref="D80">INDEX(_xlfn.TEXTSPLIT(C80,"_"),3)</f>
        <v>hys</v>
      </c>
      <c r="E80" t="str">
        <f>VLOOKUP(D80,FranchiseMapping!$A$1:$B$15,2,FALSE)</f>
        <v>Hydrasource</v>
      </c>
      <c r="F80" s="1">
        <v>45658</v>
      </c>
      <c r="G80" t="s">
        <v>10</v>
      </c>
      <c r="H80" s="2">
        <v>45748</v>
      </c>
      <c r="I80" s="3">
        <v>45776</v>
      </c>
      <c r="J80" s="3">
        <f t="shared" si="1"/>
        <v>45780</v>
      </c>
      <c r="K80" s="4">
        <v>388.7</v>
      </c>
      <c r="L80">
        <v>16821</v>
      </c>
    </row>
    <row r="81" spans="1:12" x14ac:dyDescent="0.35">
      <c r="A81" t="s">
        <v>8</v>
      </c>
      <c r="B81" t="s">
        <v>9</v>
      </c>
      <c r="C81" t="s">
        <v>53</v>
      </c>
      <c r="D81" t="str" cm="1">
        <f t="array" ref="D81">INDEX(_xlfn.TEXTSPLIT(C81,"_"),3)</f>
        <v>bond-therapy</v>
      </c>
      <c r="E81" t="str">
        <f>VLOOKUP(D81,FranchiseMapping!$A$1:$B$15,2,FALSE)</f>
        <v>Bond Therapy</v>
      </c>
      <c r="F81" s="1">
        <v>44927</v>
      </c>
      <c r="G81" t="s">
        <v>11</v>
      </c>
      <c r="H81" s="2">
        <v>45261</v>
      </c>
      <c r="I81" s="3">
        <v>45284</v>
      </c>
      <c r="J81" s="3">
        <f t="shared" si="1"/>
        <v>45290</v>
      </c>
      <c r="K81" s="4">
        <v>1188.9200019999998</v>
      </c>
      <c r="L81">
        <v>234496</v>
      </c>
    </row>
    <row r="82" spans="1:12" x14ac:dyDescent="0.35">
      <c r="A82" t="s">
        <v>8</v>
      </c>
      <c r="B82" t="s">
        <v>14</v>
      </c>
      <c r="C82" t="s">
        <v>49</v>
      </c>
      <c r="D82" t="str" cm="1">
        <f t="array" ref="D82">INDEX(_xlfn.TEXTSPLIT(C82,"_"),3)</f>
        <v>hys</v>
      </c>
      <c r="E82" t="str">
        <f>VLOOKUP(D82,FranchiseMapping!$A$1:$B$15,2,FALSE)</f>
        <v>Hydrasource</v>
      </c>
      <c r="F82" s="1">
        <v>45658</v>
      </c>
      <c r="G82" t="s">
        <v>12</v>
      </c>
      <c r="H82" s="2">
        <v>45748</v>
      </c>
      <c r="I82" s="3">
        <v>45754</v>
      </c>
      <c r="J82" s="3">
        <f t="shared" si="1"/>
        <v>45759</v>
      </c>
      <c r="K82" s="4">
        <v>5368.0599999999995</v>
      </c>
      <c r="L82">
        <v>1280246</v>
      </c>
    </row>
    <row r="83" spans="1:12" x14ac:dyDescent="0.35">
      <c r="A83" t="s">
        <v>8</v>
      </c>
      <c r="B83" t="s">
        <v>9</v>
      </c>
      <c r="C83" t="s">
        <v>35</v>
      </c>
      <c r="D83" t="str" cm="1">
        <f t="array" ref="D83">INDEX(_xlfn.TEXTSPLIT(C83,"_"),3)</f>
        <v>bfr</v>
      </c>
      <c r="E83" t="str">
        <f>VLOOKUP(D83,FranchiseMapping!$A$1:$B$15,2,FALSE)</f>
        <v>Full Rescue</v>
      </c>
      <c r="F83" s="1">
        <v>45658</v>
      </c>
      <c r="G83" t="s">
        <v>10</v>
      </c>
      <c r="H83" s="2">
        <v>45778</v>
      </c>
      <c r="I83" s="3">
        <v>45805</v>
      </c>
      <c r="J83" s="3">
        <f t="shared" si="1"/>
        <v>45808</v>
      </c>
      <c r="K83" s="4">
        <v>17.2</v>
      </c>
      <c r="L83">
        <v>1974</v>
      </c>
    </row>
    <row r="84" spans="1:12" x14ac:dyDescent="0.35">
      <c r="A84" t="s">
        <v>8</v>
      </c>
      <c r="B84" t="s">
        <v>14</v>
      </c>
      <c r="C84" t="s">
        <v>37</v>
      </c>
      <c r="D84" t="str" cm="1">
        <f t="array" ref="D84">INDEX(_xlfn.TEXTSPLIT(C84,"_"),3)</f>
        <v>mult</v>
      </c>
      <c r="E84" t="str">
        <f>VLOOKUP(D84,FranchiseMapping!$A$1:$B$15,2,FALSE)</f>
        <v>Biolage</v>
      </c>
      <c r="F84" s="1">
        <v>45658</v>
      </c>
      <c r="G84" t="s">
        <v>10</v>
      </c>
      <c r="H84" s="2">
        <v>45809</v>
      </c>
      <c r="I84" s="3">
        <v>45821</v>
      </c>
      <c r="J84" s="3">
        <f t="shared" si="1"/>
        <v>45822</v>
      </c>
      <c r="K84" s="4">
        <v>0.03</v>
      </c>
      <c r="L84">
        <v>2</v>
      </c>
    </row>
    <row r="85" spans="1:12" x14ac:dyDescent="0.35">
      <c r="A85" t="s">
        <v>8</v>
      </c>
      <c r="B85" t="s">
        <v>9</v>
      </c>
      <c r="C85" t="s">
        <v>46</v>
      </c>
      <c r="D85" t="str" cm="1">
        <f t="array" ref="D85">INDEX(_xlfn.TEXTSPLIT(C85,"_"),3)</f>
        <v>mult</v>
      </c>
      <c r="E85" t="str">
        <f>VLOOKUP(D85,FranchiseMapping!$A$1:$B$15,2,FALSE)</f>
        <v>Biolage</v>
      </c>
      <c r="F85" s="1">
        <v>45658</v>
      </c>
      <c r="G85" t="s">
        <v>10</v>
      </c>
      <c r="H85" s="2">
        <v>45778</v>
      </c>
      <c r="I85" s="3">
        <v>45782</v>
      </c>
      <c r="J85" s="3">
        <f t="shared" si="1"/>
        <v>45787</v>
      </c>
      <c r="K85" s="4">
        <v>1267.9699989999997</v>
      </c>
      <c r="L85">
        <v>253750</v>
      </c>
    </row>
    <row r="86" spans="1:12" x14ac:dyDescent="0.35">
      <c r="A86" t="s">
        <v>8</v>
      </c>
      <c r="B86" t="s">
        <v>9</v>
      </c>
      <c r="C86" t="s">
        <v>36</v>
      </c>
      <c r="D86" t="str" cm="1">
        <f t="array" ref="D86">INDEX(_xlfn.TEXTSPLIT(C86,"_"),3)</f>
        <v>bfr</v>
      </c>
      <c r="E86" t="str">
        <f>VLOOKUP(D86,FranchiseMapping!$A$1:$B$15,2,FALSE)</f>
        <v>Full Rescue</v>
      </c>
      <c r="F86" s="1">
        <v>45658</v>
      </c>
      <c r="G86" t="s">
        <v>10</v>
      </c>
      <c r="H86" s="2">
        <v>45778</v>
      </c>
      <c r="I86" s="3">
        <v>45785</v>
      </c>
      <c r="J86" s="3">
        <f t="shared" si="1"/>
        <v>45787</v>
      </c>
      <c r="K86" s="4">
        <v>1381.9099999999999</v>
      </c>
      <c r="L86">
        <v>373061</v>
      </c>
    </row>
    <row r="87" spans="1:12" x14ac:dyDescent="0.35">
      <c r="A87" t="s">
        <v>8</v>
      </c>
      <c r="B87" t="s">
        <v>9</v>
      </c>
      <c r="C87" t="s">
        <v>35</v>
      </c>
      <c r="D87" t="str" cm="1">
        <f t="array" ref="D87">INDEX(_xlfn.TEXTSPLIT(C87,"_"),3)</f>
        <v>bfr</v>
      </c>
      <c r="E87" t="str">
        <f>VLOOKUP(D87,FranchiseMapping!$A$1:$B$15,2,FALSE)</f>
        <v>Full Rescue</v>
      </c>
      <c r="F87" s="1">
        <v>45658</v>
      </c>
      <c r="G87" t="s">
        <v>10</v>
      </c>
      <c r="H87" s="2">
        <v>45778</v>
      </c>
      <c r="I87" s="3">
        <v>45785</v>
      </c>
      <c r="J87" s="3">
        <f t="shared" si="1"/>
        <v>45787</v>
      </c>
      <c r="K87" s="4">
        <v>11.729999999999999</v>
      </c>
      <c r="L87">
        <v>1326</v>
      </c>
    </row>
    <row r="88" spans="1:12" x14ac:dyDescent="0.35">
      <c r="A88" t="s">
        <v>8</v>
      </c>
      <c r="B88" t="s">
        <v>9</v>
      </c>
      <c r="C88" t="s">
        <v>58</v>
      </c>
      <c r="D88" t="str" cm="1">
        <f t="array" ref="D88">INDEX(_xlfn.TEXTSPLIT(C88,"_"),3)</f>
        <v>oct-prime-day</v>
      </c>
      <c r="E88" t="str">
        <f>VLOOKUP(D88,FranchiseMapping!$A$1:$B$15,2,FALSE)</f>
        <v>Prime Day</v>
      </c>
      <c r="F88" s="1">
        <v>45292</v>
      </c>
      <c r="G88" t="s">
        <v>10</v>
      </c>
      <c r="H88" s="2">
        <v>45566</v>
      </c>
      <c r="I88" s="3">
        <v>45573</v>
      </c>
      <c r="J88" s="3">
        <f t="shared" si="1"/>
        <v>45577</v>
      </c>
      <c r="K88" s="4">
        <v>19931.370013000003</v>
      </c>
      <c r="L88">
        <v>3872901</v>
      </c>
    </row>
    <row r="89" spans="1:12" x14ac:dyDescent="0.35">
      <c r="A89" t="s">
        <v>8</v>
      </c>
      <c r="B89" t="s">
        <v>13</v>
      </c>
      <c r="C89" t="s">
        <v>59</v>
      </c>
      <c r="D89" t="str" cm="1">
        <f t="array" ref="D89">INDEX(_xlfn.TEXTSPLIT(C89,"_"),3)</f>
        <v>scalp-sync</v>
      </c>
      <c r="E89" t="str">
        <f>VLOOKUP(D89,FranchiseMapping!$A$1:$B$15,2,FALSE)</f>
        <v>Scalp Sync</v>
      </c>
      <c r="F89" s="1">
        <v>45292</v>
      </c>
      <c r="G89" t="s">
        <v>11</v>
      </c>
      <c r="H89" s="2">
        <v>45413</v>
      </c>
      <c r="I89" s="3">
        <v>45413</v>
      </c>
      <c r="J89" s="3">
        <f t="shared" si="1"/>
        <v>45416</v>
      </c>
      <c r="K89" s="4">
        <v>3361.1560619999996</v>
      </c>
      <c r="L89">
        <v>1613062</v>
      </c>
    </row>
    <row r="90" spans="1:12" x14ac:dyDescent="0.35">
      <c r="A90" t="s">
        <v>8</v>
      </c>
      <c r="B90" t="s">
        <v>14</v>
      </c>
      <c r="C90" t="s">
        <v>57</v>
      </c>
      <c r="D90" t="str" cm="1">
        <f t="array" ref="D90">INDEX(_xlfn.TEXTSPLIT(C90,"_"),3)</f>
        <v>bfr</v>
      </c>
      <c r="E90" t="str">
        <f>VLOOKUP(D90,FranchiseMapping!$A$1:$B$15,2,FALSE)</f>
        <v>Full Rescue</v>
      </c>
      <c r="F90" s="1">
        <v>45658</v>
      </c>
      <c r="G90" t="s">
        <v>10</v>
      </c>
      <c r="H90" s="2">
        <v>45809</v>
      </c>
      <c r="I90" s="3">
        <v>45814</v>
      </c>
      <c r="J90" s="3">
        <f t="shared" si="1"/>
        <v>45815</v>
      </c>
      <c r="K90" s="4">
        <v>14358.279999999999</v>
      </c>
      <c r="L90">
        <v>1040475</v>
      </c>
    </row>
    <row r="91" spans="1:12" x14ac:dyDescent="0.35">
      <c r="A91" t="s">
        <v>8</v>
      </c>
      <c r="B91" t="s">
        <v>9</v>
      </c>
      <c r="C91" t="s">
        <v>46</v>
      </c>
      <c r="D91" t="str" cm="1">
        <f t="array" ref="D91">INDEX(_xlfn.TEXTSPLIT(C91,"_"),3)</f>
        <v>mult</v>
      </c>
      <c r="E91" t="str">
        <f>VLOOKUP(D91,FranchiseMapping!$A$1:$B$15,2,FALSE)</f>
        <v>Biolage</v>
      </c>
      <c r="F91" s="1">
        <v>45658</v>
      </c>
      <c r="G91" t="s">
        <v>12</v>
      </c>
      <c r="H91" s="2">
        <v>45717</v>
      </c>
      <c r="I91" s="3">
        <v>45744</v>
      </c>
      <c r="J91" s="3">
        <f t="shared" si="1"/>
        <v>45745</v>
      </c>
      <c r="K91" s="4">
        <v>2746.1700009999995</v>
      </c>
      <c r="L91">
        <v>286052</v>
      </c>
    </row>
    <row r="92" spans="1:12" x14ac:dyDescent="0.35">
      <c r="A92" t="s">
        <v>8</v>
      </c>
      <c r="B92" t="s">
        <v>13</v>
      </c>
      <c r="C92" t="s">
        <v>39</v>
      </c>
      <c r="D92" t="str" cm="1">
        <f t="array" ref="D92">INDEX(_xlfn.TEXTSPLIT(C92,"_"),3)</f>
        <v>scalp-sync</v>
      </c>
      <c r="E92" t="str">
        <f>VLOOKUP(D92,FranchiseMapping!$A$1:$B$15,2,FALSE)</f>
        <v>Scalp Sync</v>
      </c>
      <c r="F92" s="1">
        <v>45292</v>
      </c>
      <c r="G92" t="s">
        <v>12</v>
      </c>
      <c r="H92" s="2">
        <v>45413</v>
      </c>
      <c r="I92" s="3">
        <v>45436</v>
      </c>
      <c r="J92" s="3">
        <f t="shared" si="1"/>
        <v>45437</v>
      </c>
      <c r="K92" s="4">
        <v>1639.142846</v>
      </c>
      <c r="L92">
        <v>406652</v>
      </c>
    </row>
    <row r="93" spans="1:12" x14ac:dyDescent="0.35">
      <c r="A93" t="s">
        <v>8</v>
      </c>
      <c r="B93" t="s">
        <v>9</v>
      </c>
      <c r="C93" t="s">
        <v>35</v>
      </c>
      <c r="D93" t="str" cm="1">
        <f t="array" ref="D93">INDEX(_xlfn.TEXTSPLIT(C93,"_"),3)</f>
        <v>bfr</v>
      </c>
      <c r="E93" t="str">
        <f>VLOOKUP(D93,FranchiseMapping!$A$1:$B$15,2,FALSE)</f>
        <v>Full Rescue</v>
      </c>
      <c r="F93" s="1">
        <v>45658</v>
      </c>
      <c r="G93" t="s">
        <v>12</v>
      </c>
      <c r="H93" s="2">
        <v>45839</v>
      </c>
      <c r="I93" s="3">
        <v>45839</v>
      </c>
      <c r="J93" s="3">
        <f t="shared" si="1"/>
        <v>45843</v>
      </c>
      <c r="K93" s="4">
        <v>355.13323700000007</v>
      </c>
      <c r="L93">
        <v>41045</v>
      </c>
    </row>
    <row r="94" spans="1:12" x14ac:dyDescent="0.35">
      <c r="A94" t="s">
        <v>8</v>
      </c>
      <c r="B94" t="s">
        <v>9</v>
      </c>
      <c r="C94" t="s">
        <v>34</v>
      </c>
      <c r="D94" t="str" cm="1">
        <f t="array" ref="D94">INDEX(_xlfn.TEXTSPLIT(C94,"_"),3)</f>
        <v>hydrasource</v>
      </c>
      <c r="E94" t="str">
        <f>VLOOKUP(D94,FranchiseMapping!$A$1:$B$15,2,FALSE)</f>
        <v>Hydrasource</v>
      </c>
      <c r="F94" s="1">
        <v>45292</v>
      </c>
      <c r="G94" t="s">
        <v>12</v>
      </c>
      <c r="H94" s="2">
        <v>45352</v>
      </c>
      <c r="I94" s="3">
        <v>45353</v>
      </c>
      <c r="J94" s="3">
        <f t="shared" si="1"/>
        <v>45353</v>
      </c>
      <c r="K94" s="4">
        <v>956.81999900000005</v>
      </c>
      <c r="L94">
        <v>206733</v>
      </c>
    </row>
    <row r="95" spans="1:12" x14ac:dyDescent="0.35">
      <c r="A95" t="s">
        <v>8</v>
      </c>
      <c r="B95" t="s">
        <v>14</v>
      </c>
      <c r="C95" t="s">
        <v>37</v>
      </c>
      <c r="D95" t="str" cm="1">
        <f t="array" ref="D95">INDEX(_xlfn.TEXTSPLIT(C95,"_"),3)</f>
        <v>mult</v>
      </c>
      <c r="E95" t="str">
        <f>VLOOKUP(D95,FranchiseMapping!$A$1:$B$15,2,FALSE)</f>
        <v>Biolage</v>
      </c>
      <c r="F95" s="1">
        <v>45658</v>
      </c>
      <c r="G95" t="s">
        <v>10</v>
      </c>
      <c r="H95" s="2">
        <v>45748</v>
      </c>
      <c r="I95" s="3">
        <v>45763</v>
      </c>
      <c r="J95" s="3">
        <f t="shared" si="1"/>
        <v>45766</v>
      </c>
      <c r="K95" s="4">
        <v>1291.6000000000001</v>
      </c>
      <c r="L95">
        <v>341649</v>
      </c>
    </row>
    <row r="96" spans="1:12" x14ac:dyDescent="0.35">
      <c r="A96" t="s">
        <v>8</v>
      </c>
      <c r="B96" t="s">
        <v>9</v>
      </c>
      <c r="C96" t="s">
        <v>48</v>
      </c>
      <c r="D96" t="str" cm="1">
        <f t="array" ref="D96">INDEX(_xlfn.TEXTSPLIT(C96,"_"),3)</f>
        <v>scalp</v>
      </c>
      <c r="E96" t="str">
        <f>VLOOKUP(D96,FranchiseMapping!$A$1:$B$15,2,FALSE)</f>
        <v>Scalp Sync</v>
      </c>
      <c r="F96" s="1">
        <v>45292</v>
      </c>
      <c r="G96" t="s">
        <v>10</v>
      </c>
      <c r="H96" s="2">
        <v>45352</v>
      </c>
      <c r="I96" s="3">
        <v>45360</v>
      </c>
      <c r="J96" s="3">
        <f t="shared" si="1"/>
        <v>45360</v>
      </c>
      <c r="K96" s="4">
        <v>1010.6499969999999</v>
      </c>
      <c r="L96">
        <v>234316</v>
      </c>
    </row>
    <row r="97" spans="1:12" x14ac:dyDescent="0.35">
      <c r="A97" t="s">
        <v>8</v>
      </c>
      <c r="B97" t="s">
        <v>9</v>
      </c>
      <c r="C97" t="s">
        <v>60</v>
      </c>
      <c r="D97" t="str" cm="1">
        <f t="array" ref="D97">INDEX(_xlfn.TEXTSPLIT(C97,"_"),3)</f>
        <v>blowdrycream</v>
      </c>
      <c r="E97" t="str">
        <f>VLOOKUP(D97,FranchiseMapping!$A$1:$B$15,2,FALSE)</f>
        <v>Blowdry Cream</v>
      </c>
      <c r="F97" s="1">
        <v>44927</v>
      </c>
      <c r="G97" t="s">
        <v>11</v>
      </c>
      <c r="H97" s="2">
        <v>45170</v>
      </c>
      <c r="I97" s="3">
        <v>45188</v>
      </c>
      <c r="J97" s="3">
        <f t="shared" si="1"/>
        <v>45192</v>
      </c>
      <c r="K97" s="4">
        <v>2101.2100050000004</v>
      </c>
      <c r="L97">
        <v>124729</v>
      </c>
    </row>
    <row r="98" spans="1:12" x14ac:dyDescent="0.35">
      <c r="A98" t="s">
        <v>8</v>
      </c>
      <c r="B98" t="s">
        <v>14</v>
      </c>
      <c r="C98" t="s">
        <v>47</v>
      </c>
      <c r="D98" t="str" cm="1">
        <f t="array" ref="D98">INDEX(_xlfn.TEXTSPLIT(C98,"_"),3)</f>
        <v>hys</v>
      </c>
      <c r="E98" t="str">
        <f>VLOOKUP(D98,FranchiseMapping!$A$1:$B$15,2,FALSE)</f>
        <v>Hydrasource</v>
      </c>
      <c r="F98" s="1">
        <v>45658</v>
      </c>
      <c r="G98" t="s">
        <v>10</v>
      </c>
      <c r="H98" s="2">
        <v>45748</v>
      </c>
      <c r="I98" s="3">
        <v>45761</v>
      </c>
      <c r="J98" s="3">
        <f t="shared" si="1"/>
        <v>45766</v>
      </c>
      <c r="K98" s="4">
        <v>1816.85</v>
      </c>
      <c r="L98">
        <v>450696</v>
      </c>
    </row>
    <row r="99" spans="1:12" x14ac:dyDescent="0.35">
      <c r="A99" t="s">
        <v>8</v>
      </c>
      <c r="B99" t="s">
        <v>14</v>
      </c>
      <c r="C99" t="s">
        <v>29</v>
      </c>
      <c r="D99" t="str" cm="1">
        <f t="array" ref="D99">INDEX(_xlfn.TEXTSPLIT(C99,"_"),3)</f>
        <v>bfr</v>
      </c>
      <c r="E99" t="str">
        <f>VLOOKUP(D99,FranchiseMapping!$A$1:$B$15,2,FALSE)</f>
        <v>Full Rescue</v>
      </c>
      <c r="F99" s="1">
        <v>45658</v>
      </c>
      <c r="G99" t="s">
        <v>10</v>
      </c>
      <c r="H99" s="2">
        <v>45809</v>
      </c>
      <c r="I99" s="3">
        <v>45831</v>
      </c>
      <c r="J99" s="3">
        <f t="shared" si="1"/>
        <v>45836</v>
      </c>
      <c r="K99" s="4">
        <v>1194.06</v>
      </c>
      <c r="L99">
        <v>204664</v>
      </c>
    </row>
    <row r="100" spans="1:12" x14ac:dyDescent="0.35">
      <c r="A100" t="s">
        <v>8</v>
      </c>
      <c r="B100" t="s">
        <v>9</v>
      </c>
      <c r="C100" t="s">
        <v>61</v>
      </c>
      <c r="D100" t="str" cm="1">
        <f t="array" ref="D100">INDEX(_xlfn.TEXTSPLIT(C100,"_"),3)</f>
        <v>prime-day</v>
      </c>
      <c r="E100" t="str">
        <f>VLOOKUP(D100,FranchiseMapping!$A$1:$B$15,2,FALSE)</f>
        <v>Prime Day</v>
      </c>
      <c r="F100" s="1">
        <v>45292</v>
      </c>
      <c r="G100" t="s">
        <v>10</v>
      </c>
      <c r="H100" s="2">
        <v>45474</v>
      </c>
      <c r="I100" s="3">
        <v>45487</v>
      </c>
      <c r="J100" s="3">
        <f t="shared" si="1"/>
        <v>45493</v>
      </c>
      <c r="K100" s="4">
        <v>3508.959989</v>
      </c>
      <c r="L100">
        <v>623037</v>
      </c>
    </row>
    <row r="101" spans="1:12" x14ac:dyDescent="0.35">
      <c r="A101" t="s">
        <v>8</v>
      </c>
      <c r="B101" t="s">
        <v>9</v>
      </c>
      <c r="C101" t="s">
        <v>46</v>
      </c>
      <c r="D101" t="str" cm="1">
        <f t="array" ref="D101">INDEX(_xlfn.TEXTSPLIT(C101,"_"),3)</f>
        <v>mult</v>
      </c>
      <c r="E101" t="str">
        <f>VLOOKUP(D101,FranchiseMapping!$A$1:$B$15,2,FALSE)</f>
        <v>Biolage</v>
      </c>
      <c r="F101" s="1">
        <v>45658</v>
      </c>
      <c r="G101" t="s">
        <v>12</v>
      </c>
      <c r="H101" s="2">
        <v>45778</v>
      </c>
      <c r="I101" s="3">
        <v>45795</v>
      </c>
      <c r="J101" s="3">
        <f t="shared" si="1"/>
        <v>45801</v>
      </c>
      <c r="K101" s="4">
        <v>218.07999999999993</v>
      </c>
      <c r="L101">
        <v>36425</v>
      </c>
    </row>
    <row r="102" spans="1:12" x14ac:dyDescent="0.35">
      <c r="A102" t="s">
        <v>8</v>
      </c>
      <c r="B102" t="s">
        <v>14</v>
      </c>
      <c r="C102" t="s">
        <v>37</v>
      </c>
      <c r="D102" t="str" cm="1">
        <f t="array" ref="D102">INDEX(_xlfn.TEXTSPLIT(C102,"_"),3)</f>
        <v>mult</v>
      </c>
      <c r="E102" t="str">
        <f>VLOOKUP(D102,FranchiseMapping!$A$1:$B$15,2,FALSE)</f>
        <v>Biolage</v>
      </c>
      <c r="F102" s="1">
        <v>45658</v>
      </c>
      <c r="G102" t="s">
        <v>10</v>
      </c>
      <c r="H102" s="2">
        <v>45809</v>
      </c>
      <c r="I102" s="3">
        <v>45825</v>
      </c>
      <c r="J102" s="3">
        <f t="shared" si="1"/>
        <v>45829</v>
      </c>
      <c r="K102" s="4">
        <v>0.09</v>
      </c>
      <c r="L102">
        <v>5</v>
      </c>
    </row>
    <row r="103" spans="1:12" x14ac:dyDescent="0.35">
      <c r="A103" t="s">
        <v>8</v>
      </c>
      <c r="B103" t="s">
        <v>13</v>
      </c>
      <c r="C103" t="s">
        <v>62</v>
      </c>
      <c r="D103" t="str" cm="1">
        <f t="array" ref="D103">INDEX(_xlfn.TEXTSPLIT(C103,"_"),3)</f>
        <v>na</v>
      </c>
      <c r="E103" t="str">
        <f>VLOOKUP(D103,FranchiseMapping!$A$1:$B$15,2,FALSE)</f>
        <v>Biolage</v>
      </c>
      <c r="F103" s="1">
        <v>44927</v>
      </c>
      <c r="G103" t="s">
        <v>12</v>
      </c>
      <c r="H103" s="2">
        <v>45108</v>
      </c>
      <c r="I103" s="3">
        <v>45108</v>
      </c>
      <c r="J103" s="3">
        <f t="shared" si="1"/>
        <v>45108</v>
      </c>
      <c r="K103" s="4">
        <v>1431.8508470000002</v>
      </c>
      <c r="L103">
        <v>145797</v>
      </c>
    </row>
    <row r="104" spans="1:12" x14ac:dyDescent="0.35">
      <c r="A104" t="s">
        <v>8</v>
      </c>
      <c r="B104" t="s">
        <v>9</v>
      </c>
      <c r="C104" t="s">
        <v>36</v>
      </c>
      <c r="D104" t="str" cm="1">
        <f t="array" ref="D104">INDEX(_xlfn.TEXTSPLIT(C104,"_"),3)</f>
        <v>bfr</v>
      </c>
      <c r="E104" t="str">
        <f>VLOOKUP(D104,FranchiseMapping!$A$1:$B$15,2,FALSE)</f>
        <v>Full Rescue</v>
      </c>
      <c r="F104" s="1">
        <v>45658</v>
      </c>
      <c r="G104" t="s">
        <v>10</v>
      </c>
      <c r="H104" s="2">
        <v>45809</v>
      </c>
      <c r="I104" s="3">
        <v>45834</v>
      </c>
      <c r="J104" s="3">
        <f t="shared" si="1"/>
        <v>45836</v>
      </c>
      <c r="K104" s="4">
        <v>1313.75</v>
      </c>
      <c r="L104">
        <v>225031</v>
      </c>
    </row>
    <row r="105" spans="1:12" x14ac:dyDescent="0.35">
      <c r="A105" t="s">
        <v>8</v>
      </c>
      <c r="B105" t="s">
        <v>9</v>
      </c>
      <c r="C105" t="s">
        <v>30</v>
      </c>
      <c r="D105" t="str" cm="1">
        <f t="array" ref="D105">INDEX(_xlfn.TEXTSPLIT(C105,"_"),3)</f>
        <v>q3-haca-colorlast</v>
      </c>
      <c r="E105" t="str">
        <f>VLOOKUP(D105,FranchiseMapping!$A$1:$B$15,2,FALSE)</f>
        <v>Color Last</v>
      </c>
      <c r="F105" s="1">
        <v>44927</v>
      </c>
      <c r="G105" t="s">
        <v>10</v>
      </c>
      <c r="H105" s="2">
        <v>45108</v>
      </c>
      <c r="I105" s="3">
        <v>45117</v>
      </c>
      <c r="J105" s="3">
        <f t="shared" si="1"/>
        <v>45122</v>
      </c>
      <c r="K105" s="4">
        <v>1995.73</v>
      </c>
      <c r="L105">
        <v>237064</v>
      </c>
    </row>
    <row r="106" spans="1:12" x14ac:dyDescent="0.35">
      <c r="A106" t="s">
        <v>8</v>
      </c>
      <c r="B106" t="s">
        <v>9</v>
      </c>
      <c r="C106" t="s">
        <v>36</v>
      </c>
      <c r="D106" t="str" cm="1">
        <f t="array" ref="D106">INDEX(_xlfn.TEXTSPLIT(C106,"_"),3)</f>
        <v>bfr</v>
      </c>
      <c r="E106" t="str">
        <f>VLOOKUP(D106,FranchiseMapping!$A$1:$B$15,2,FALSE)</f>
        <v>Full Rescue</v>
      </c>
      <c r="F106" s="1">
        <v>45658</v>
      </c>
      <c r="G106" t="s">
        <v>10</v>
      </c>
      <c r="H106" s="2">
        <v>45778</v>
      </c>
      <c r="I106" s="3">
        <v>45784</v>
      </c>
      <c r="J106" s="3">
        <f t="shared" si="1"/>
        <v>45787</v>
      </c>
      <c r="K106" s="4">
        <v>1245.409999</v>
      </c>
      <c r="L106">
        <v>345013</v>
      </c>
    </row>
    <row r="107" spans="1:12" x14ac:dyDescent="0.35">
      <c r="A107" t="s">
        <v>8</v>
      </c>
      <c r="B107" t="s">
        <v>9</v>
      </c>
      <c r="C107" t="s">
        <v>56</v>
      </c>
      <c r="D107" t="str" cm="1">
        <f t="array" ref="D107">INDEX(_xlfn.TEXTSPLIT(C107,"_"),3)</f>
        <v>haca-colorlast-q3</v>
      </c>
      <c r="E107" t="str">
        <f>VLOOKUP(D107,FranchiseMapping!$A$1:$B$15,2,FALSE)</f>
        <v>Color Last</v>
      </c>
      <c r="F107" s="1">
        <v>44927</v>
      </c>
      <c r="G107" t="s">
        <v>10</v>
      </c>
      <c r="H107" s="2">
        <v>45139</v>
      </c>
      <c r="I107" s="3">
        <v>45141</v>
      </c>
      <c r="J107" s="3">
        <f t="shared" si="1"/>
        <v>45143</v>
      </c>
      <c r="K107" s="4">
        <v>2068.2600039999998</v>
      </c>
      <c r="L107">
        <v>330767</v>
      </c>
    </row>
    <row r="108" spans="1:12" x14ac:dyDescent="0.35">
      <c r="A108" t="s">
        <v>8</v>
      </c>
      <c r="B108" t="s">
        <v>13</v>
      </c>
      <c r="C108" t="s">
        <v>59</v>
      </c>
      <c r="D108" t="str" cm="1">
        <f t="array" ref="D108">INDEX(_xlfn.TEXTSPLIT(C108,"_"),3)</f>
        <v>scalp-sync</v>
      </c>
      <c r="E108" t="str">
        <f>VLOOKUP(D108,FranchiseMapping!$A$1:$B$15,2,FALSE)</f>
        <v>Scalp Sync</v>
      </c>
      <c r="F108" s="1">
        <v>45292</v>
      </c>
      <c r="G108" t="s">
        <v>11</v>
      </c>
      <c r="H108" s="2">
        <v>45413</v>
      </c>
      <c r="I108" s="3">
        <v>45420</v>
      </c>
      <c r="J108" s="3">
        <f t="shared" si="1"/>
        <v>45423</v>
      </c>
      <c r="K108" s="4">
        <v>3361.5704619999997</v>
      </c>
      <c r="L108">
        <v>1511267</v>
      </c>
    </row>
    <row r="109" spans="1:12" x14ac:dyDescent="0.35">
      <c r="A109" t="s">
        <v>8</v>
      </c>
      <c r="B109" t="s">
        <v>13</v>
      </c>
      <c r="C109" t="s">
        <v>59</v>
      </c>
      <c r="D109" t="str" cm="1">
        <f t="array" ref="D109">INDEX(_xlfn.TEXTSPLIT(C109,"_"),3)</f>
        <v>scalp-sync</v>
      </c>
      <c r="E109" t="str">
        <f>VLOOKUP(D109,FranchiseMapping!$A$1:$B$15,2,FALSE)</f>
        <v>Scalp Sync</v>
      </c>
      <c r="F109" s="1">
        <v>45292</v>
      </c>
      <c r="G109" t="s">
        <v>11</v>
      </c>
      <c r="H109" s="2">
        <v>45383</v>
      </c>
      <c r="I109" s="3">
        <v>45403</v>
      </c>
      <c r="J109" s="3">
        <f t="shared" si="1"/>
        <v>45409</v>
      </c>
      <c r="K109" s="4">
        <v>3367.439429999999</v>
      </c>
      <c r="L109">
        <v>1560167</v>
      </c>
    </row>
    <row r="110" spans="1:12" x14ac:dyDescent="0.35">
      <c r="A110" t="s">
        <v>8</v>
      </c>
      <c r="B110" t="s">
        <v>13</v>
      </c>
      <c r="C110" t="s">
        <v>28</v>
      </c>
      <c r="D110" t="str" cm="1">
        <f t="array" ref="D110">INDEX(_xlfn.TEXTSPLIT(C110,"_"),3)</f>
        <v>na</v>
      </c>
      <c r="E110" t="str">
        <f>VLOOKUP(D110,FranchiseMapping!$A$1:$B$15,2,FALSE)</f>
        <v>Biolage</v>
      </c>
      <c r="F110" s="1">
        <v>44927</v>
      </c>
      <c r="G110" t="s">
        <v>12</v>
      </c>
      <c r="H110" s="2">
        <v>45139</v>
      </c>
      <c r="I110" s="3">
        <v>45148</v>
      </c>
      <c r="J110" s="3">
        <f t="shared" si="1"/>
        <v>45150</v>
      </c>
      <c r="K110" s="4">
        <v>364.20618999999999</v>
      </c>
      <c r="L110">
        <v>106965</v>
      </c>
    </row>
    <row r="111" spans="1:12" x14ac:dyDescent="0.35">
      <c r="A111" t="s">
        <v>8</v>
      </c>
      <c r="B111" t="s">
        <v>14</v>
      </c>
      <c r="C111" t="s">
        <v>29</v>
      </c>
      <c r="D111" t="str" cm="1">
        <f t="array" ref="D111">INDEX(_xlfn.TEXTSPLIT(C111,"_"),3)</f>
        <v>bfr</v>
      </c>
      <c r="E111" t="str">
        <f>VLOOKUP(D111,FranchiseMapping!$A$1:$B$15,2,FALSE)</f>
        <v>Full Rescue</v>
      </c>
      <c r="F111" s="1">
        <v>45658</v>
      </c>
      <c r="G111" t="s">
        <v>10</v>
      </c>
      <c r="H111" s="2">
        <v>45809</v>
      </c>
      <c r="I111" s="3">
        <v>45837</v>
      </c>
      <c r="J111" s="3">
        <f t="shared" si="1"/>
        <v>45843</v>
      </c>
      <c r="K111" s="4">
        <v>1683.69</v>
      </c>
      <c r="L111">
        <v>300587</v>
      </c>
    </row>
    <row r="112" spans="1:12" x14ac:dyDescent="0.35">
      <c r="A112" t="s">
        <v>8</v>
      </c>
      <c r="B112" t="s">
        <v>9</v>
      </c>
      <c r="C112" t="s">
        <v>36</v>
      </c>
      <c r="D112" t="str" cm="1">
        <f t="array" ref="D112">INDEX(_xlfn.TEXTSPLIT(C112,"_"),3)</f>
        <v>bfr</v>
      </c>
      <c r="E112" t="str">
        <f>VLOOKUP(D112,FranchiseMapping!$A$1:$B$15,2,FALSE)</f>
        <v>Full Rescue</v>
      </c>
      <c r="F112" s="1">
        <v>45658</v>
      </c>
      <c r="G112" t="s">
        <v>12</v>
      </c>
      <c r="H112" s="2">
        <v>45809</v>
      </c>
      <c r="I112" s="3">
        <v>45837</v>
      </c>
      <c r="J112" s="3">
        <f t="shared" si="1"/>
        <v>45843</v>
      </c>
      <c r="K112" s="4">
        <v>1747.000004</v>
      </c>
      <c r="L112">
        <v>277879</v>
      </c>
    </row>
    <row r="113" spans="1:12" x14ac:dyDescent="0.35">
      <c r="A113" t="s">
        <v>8</v>
      </c>
      <c r="B113" t="s">
        <v>14</v>
      </c>
      <c r="C113" t="s">
        <v>57</v>
      </c>
      <c r="D113" t="str" cm="1">
        <f t="array" ref="D113">INDEX(_xlfn.TEXTSPLIT(C113,"_"),3)</f>
        <v>bfr</v>
      </c>
      <c r="E113" t="str">
        <f>VLOOKUP(D113,FranchiseMapping!$A$1:$B$15,2,FALSE)</f>
        <v>Full Rescue</v>
      </c>
      <c r="F113" s="1">
        <v>45658</v>
      </c>
      <c r="G113" t="s">
        <v>12</v>
      </c>
      <c r="H113" s="2">
        <v>45809</v>
      </c>
      <c r="I113" s="3">
        <v>45811</v>
      </c>
      <c r="J113" s="3">
        <f t="shared" si="1"/>
        <v>45815</v>
      </c>
      <c r="K113" s="4">
        <v>7229.94</v>
      </c>
      <c r="L113">
        <v>523960</v>
      </c>
    </row>
    <row r="114" spans="1:12" x14ac:dyDescent="0.35">
      <c r="A114" t="s">
        <v>8</v>
      </c>
      <c r="B114" t="s">
        <v>9</v>
      </c>
      <c r="C114" t="s">
        <v>35</v>
      </c>
      <c r="D114" t="str" cm="1">
        <f t="array" ref="D114">INDEX(_xlfn.TEXTSPLIT(C114,"_"),3)</f>
        <v>bfr</v>
      </c>
      <c r="E114" t="str">
        <f>VLOOKUP(D114,FranchiseMapping!$A$1:$B$15,2,FALSE)</f>
        <v>Full Rescue</v>
      </c>
      <c r="F114" s="1">
        <v>45658</v>
      </c>
      <c r="G114" t="s">
        <v>12</v>
      </c>
      <c r="H114" s="2">
        <v>45778</v>
      </c>
      <c r="I114" s="3">
        <v>45802</v>
      </c>
      <c r="J114" s="3">
        <f t="shared" si="1"/>
        <v>45808</v>
      </c>
      <c r="K114" s="4">
        <v>1803.95</v>
      </c>
      <c r="L114">
        <v>141575</v>
      </c>
    </row>
    <row r="115" spans="1:12" x14ac:dyDescent="0.35">
      <c r="A115" t="s">
        <v>8</v>
      </c>
      <c r="B115" t="s">
        <v>9</v>
      </c>
      <c r="C115" t="s">
        <v>53</v>
      </c>
      <c r="D115" t="str" cm="1">
        <f t="array" ref="D115">INDEX(_xlfn.TEXTSPLIT(C115,"_"),3)</f>
        <v>bond-therapy</v>
      </c>
      <c r="E115" t="str">
        <f>VLOOKUP(D115,FranchiseMapping!$A$1:$B$15,2,FALSE)</f>
        <v>Bond Therapy</v>
      </c>
      <c r="F115" s="1">
        <v>44927</v>
      </c>
      <c r="G115" t="s">
        <v>11</v>
      </c>
      <c r="H115" s="2">
        <v>45261</v>
      </c>
      <c r="I115" s="3">
        <v>45261</v>
      </c>
      <c r="J115" s="3">
        <f t="shared" si="1"/>
        <v>45262</v>
      </c>
      <c r="K115" s="4">
        <v>1240.349997</v>
      </c>
      <c r="L115">
        <v>199869</v>
      </c>
    </row>
    <row r="116" spans="1:12" x14ac:dyDescent="0.35">
      <c r="A116" t="s">
        <v>8</v>
      </c>
      <c r="B116" t="s">
        <v>9</v>
      </c>
      <c r="C116" t="s">
        <v>33</v>
      </c>
      <c r="D116" t="str" cm="1">
        <f t="array" ref="D116">INDEX(_xlfn.TEXTSPLIT(C116,"_"),3)</f>
        <v>hydrasource</v>
      </c>
      <c r="E116" t="str">
        <f>VLOOKUP(D116,FranchiseMapping!$A$1:$B$15,2,FALSE)</f>
        <v>Hydrasource</v>
      </c>
      <c r="F116" s="1">
        <v>45292</v>
      </c>
      <c r="G116" t="s">
        <v>11</v>
      </c>
      <c r="H116" s="2">
        <v>45323</v>
      </c>
      <c r="I116" s="3">
        <v>45325</v>
      </c>
      <c r="J116" s="3">
        <f t="shared" si="1"/>
        <v>45325</v>
      </c>
      <c r="K116" s="4">
        <v>1523.5800020000001</v>
      </c>
      <c r="L116">
        <v>287174</v>
      </c>
    </row>
    <row r="117" spans="1:12" x14ac:dyDescent="0.35">
      <c r="A117" t="s">
        <v>8</v>
      </c>
      <c r="B117" t="s">
        <v>13</v>
      </c>
      <c r="C117" t="s">
        <v>28</v>
      </c>
      <c r="D117" t="str" cm="1">
        <f t="array" ref="D117">INDEX(_xlfn.TEXTSPLIT(C117,"_"),3)</f>
        <v>na</v>
      </c>
      <c r="E117" t="str">
        <f>VLOOKUP(D117,FranchiseMapping!$A$1:$B$15,2,FALSE)</f>
        <v>Biolage</v>
      </c>
      <c r="F117" s="1">
        <v>44927</v>
      </c>
      <c r="G117" t="s">
        <v>10</v>
      </c>
      <c r="H117" s="2">
        <v>45139</v>
      </c>
      <c r="I117" s="3">
        <v>45152</v>
      </c>
      <c r="J117" s="3">
        <f t="shared" si="1"/>
        <v>45157</v>
      </c>
      <c r="K117" s="4">
        <v>1087.3368399999999</v>
      </c>
      <c r="L117">
        <v>143780</v>
      </c>
    </row>
    <row r="118" spans="1:12" x14ac:dyDescent="0.35">
      <c r="A118" t="s">
        <v>8</v>
      </c>
      <c r="B118" t="s">
        <v>9</v>
      </c>
      <c r="C118" t="s">
        <v>56</v>
      </c>
      <c r="D118" t="str" cm="1">
        <f t="array" ref="D118">INDEX(_xlfn.TEXTSPLIT(C118,"_"),3)</f>
        <v>haca-colorlast-q3</v>
      </c>
      <c r="E118" t="str">
        <f>VLOOKUP(D118,FranchiseMapping!$A$1:$B$15,2,FALSE)</f>
        <v>Color Last</v>
      </c>
      <c r="F118" s="1">
        <v>44927</v>
      </c>
      <c r="G118" t="s">
        <v>10</v>
      </c>
      <c r="H118" s="2">
        <v>45108</v>
      </c>
      <c r="I118" s="3">
        <v>45133</v>
      </c>
      <c r="J118" s="3">
        <f t="shared" si="1"/>
        <v>45136</v>
      </c>
      <c r="K118" s="4">
        <v>1935.2200079999998</v>
      </c>
      <c r="L118">
        <v>272365</v>
      </c>
    </row>
    <row r="119" spans="1:12" x14ac:dyDescent="0.35">
      <c r="A119" t="s">
        <v>8</v>
      </c>
      <c r="B119" t="s">
        <v>9</v>
      </c>
      <c r="C119" t="s">
        <v>63</v>
      </c>
      <c r="D119" t="str" cm="1">
        <f t="array" ref="D119">INDEX(_xlfn.TEXTSPLIT(C119,"_"),3)</f>
        <v>prime-day</v>
      </c>
      <c r="E119" t="str">
        <f>VLOOKUP(D119,FranchiseMapping!$A$1:$B$15,2,FALSE)</f>
        <v>Prime Day</v>
      </c>
      <c r="F119" s="1">
        <v>45292</v>
      </c>
      <c r="G119" t="s">
        <v>10</v>
      </c>
      <c r="H119" s="2">
        <v>45474</v>
      </c>
      <c r="I119" s="3">
        <v>45489</v>
      </c>
      <c r="J119" s="3">
        <f t="shared" si="1"/>
        <v>45493</v>
      </c>
      <c r="K119" s="4">
        <v>6465.8300010000012</v>
      </c>
      <c r="L119">
        <v>977112</v>
      </c>
    </row>
    <row r="120" spans="1:12" x14ac:dyDescent="0.35">
      <c r="A120" t="s">
        <v>8</v>
      </c>
      <c r="B120" t="s">
        <v>9</v>
      </c>
      <c r="C120" t="s">
        <v>54</v>
      </c>
      <c r="D120" t="str" cm="1">
        <f t="array" ref="D120">INDEX(_xlfn.TEXTSPLIT(C120,"_"),3)</f>
        <v>scalp</v>
      </c>
      <c r="E120" t="str">
        <f>VLOOKUP(D120,FranchiseMapping!$A$1:$B$15,2,FALSE)</f>
        <v>Scalp Sync</v>
      </c>
      <c r="F120" s="1">
        <v>45292</v>
      </c>
      <c r="G120" t="s">
        <v>10</v>
      </c>
      <c r="H120" s="2">
        <v>45352</v>
      </c>
      <c r="I120" s="3">
        <v>45360</v>
      </c>
      <c r="J120" s="3">
        <f t="shared" si="1"/>
        <v>45360</v>
      </c>
      <c r="K120" s="4">
        <v>2356.340005</v>
      </c>
      <c r="L120">
        <v>555763</v>
      </c>
    </row>
    <row r="121" spans="1:12" x14ac:dyDescent="0.35">
      <c r="A121" t="s">
        <v>8</v>
      </c>
      <c r="B121" t="s">
        <v>9</v>
      </c>
      <c r="C121" t="s">
        <v>35</v>
      </c>
      <c r="D121" t="str" cm="1">
        <f t="array" ref="D121">INDEX(_xlfn.TEXTSPLIT(C121,"_"),3)</f>
        <v>bfr</v>
      </c>
      <c r="E121" t="str">
        <f>VLOOKUP(D121,FranchiseMapping!$A$1:$B$15,2,FALSE)</f>
        <v>Full Rescue</v>
      </c>
      <c r="F121" s="1">
        <v>45658</v>
      </c>
      <c r="G121" t="s">
        <v>10</v>
      </c>
      <c r="H121" s="2">
        <v>45778</v>
      </c>
      <c r="I121" s="3">
        <v>45786</v>
      </c>
      <c r="J121" s="3">
        <f t="shared" si="1"/>
        <v>45787</v>
      </c>
      <c r="K121" s="4">
        <v>12.499999999999998</v>
      </c>
      <c r="L121">
        <v>1513</v>
      </c>
    </row>
    <row r="122" spans="1:12" x14ac:dyDescent="0.35">
      <c r="A122" t="s">
        <v>8</v>
      </c>
      <c r="B122" t="s">
        <v>9</v>
      </c>
      <c r="C122" t="s">
        <v>34</v>
      </c>
      <c r="D122" t="str" cm="1">
        <f t="array" ref="D122">INDEX(_xlfn.TEXTSPLIT(C122,"_"),3)</f>
        <v>hydrasource</v>
      </c>
      <c r="E122" t="str">
        <f>VLOOKUP(D122,FranchiseMapping!$A$1:$B$15,2,FALSE)</f>
        <v>Hydrasource</v>
      </c>
      <c r="F122" s="1">
        <v>45292</v>
      </c>
      <c r="G122" t="s">
        <v>12</v>
      </c>
      <c r="H122" s="2">
        <v>45352</v>
      </c>
      <c r="I122" s="3">
        <v>45358</v>
      </c>
      <c r="J122" s="3">
        <f t="shared" si="1"/>
        <v>45360</v>
      </c>
      <c r="K122" s="4">
        <v>863.15</v>
      </c>
      <c r="L122">
        <v>153512</v>
      </c>
    </row>
    <row r="123" spans="1:12" x14ac:dyDescent="0.35">
      <c r="A123" t="s">
        <v>8</v>
      </c>
      <c r="B123" t="s">
        <v>14</v>
      </c>
      <c r="C123" t="s">
        <v>43</v>
      </c>
      <c r="D123" t="str" cm="1">
        <f t="array" ref="D123">INDEX(_xlfn.TEXTSPLIT(C123,"_"),3)</f>
        <v>bfr</v>
      </c>
      <c r="E123" t="str">
        <f>VLOOKUP(D123,FranchiseMapping!$A$1:$B$15,2,FALSE)</f>
        <v>Full Rescue</v>
      </c>
      <c r="F123" s="1">
        <v>45658</v>
      </c>
      <c r="G123" t="s">
        <v>12</v>
      </c>
      <c r="H123" s="2">
        <v>45809</v>
      </c>
      <c r="I123" s="3">
        <v>45831</v>
      </c>
      <c r="J123" s="3">
        <f t="shared" si="1"/>
        <v>45836</v>
      </c>
      <c r="K123" s="4">
        <v>5157.0599999999995</v>
      </c>
      <c r="L123">
        <v>938035</v>
      </c>
    </row>
    <row r="124" spans="1:12" x14ac:dyDescent="0.35">
      <c r="A124" t="s">
        <v>8</v>
      </c>
      <c r="B124" t="s">
        <v>9</v>
      </c>
      <c r="C124" t="s">
        <v>52</v>
      </c>
      <c r="D124" t="str" cm="1">
        <f t="array" ref="D124">INDEX(_xlfn.TEXTSPLIT(C124,"_"),3)</f>
        <v>bond-therapy</v>
      </c>
      <c r="E124" t="str">
        <f>VLOOKUP(D124,FranchiseMapping!$A$1:$B$15,2,FALSE)</f>
        <v>Bond Therapy</v>
      </c>
      <c r="F124" s="1">
        <v>44927</v>
      </c>
      <c r="G124" t="s">
        <v>11</v>
      </c>
      <c r="H124" s="2">
        <v>45261</v>
      </c>
      <c r="I124" s="3">
        <v>45278</v>
      </c>
      <c r="J124" s="3">
        <f t="shared" si="1"/>
        <v>45283</v>
      </c>
      <c r="K124" s="4">
        <v>2772.8900009999998</v>
      </c>
      <c r="L124">
        <v>472333</v>
      </c>
    </row>
    <row r="125" spans="1:12" x14ac:dyDescent="0.35">
      <c r="A125" t="s">
        <v>8</v>
      </c>
      <c r="B125" t="s">
        <v>9</v>
      </c>
      <c r="C125" t="s">
        <v>64</v>
      </c>
      <c r="D125" t="str" cm="1">
        <f t="array" ref="D125">INDEX(_xlfn.TEXTSPLIT(C125,"_"),3)</f>
        <v>mult</v>
      </c>
      <c r="E125" t="str">
        <f>VLOOKUP(D125,FranchiseMapping!$A$1:$B$15,2,FALSE)</f>
        <v>Biolage</v>
      </c>
      <c r="F125" s="1">
        <v>45292</v>
      </c>
      <c r="G125" t="s">
        <v>12</v>
      </c>
      <c r="H125" s="2">
        <v>45597</v>
      </c>
      <c r="I125" s="3">
        <v>45623</v>
      </c>
      <c r="J125" s="3">
        <f t="shared" si="1"/>
        <v>45626</v>
      </c>
      <c r="K125" s="4">
        <v>6250.100003999999</v>
      </c>
      <c r="L125">
        <v>459694</v>
      </c>
    </row>
    <row r="126" spans="1:12" x14ac:dyDescent="0.35">
      <c r="A126" t="s">
        <v>8</v>
      </c>
      <c r="B126" t="s">
        <v>13</v>
      </c>
      <c r="C126" t="s">
        <v>32</v>
      </c>
      <c r="D126" t="str" cm="1">
        <f t="array" ref="D126">INDEX(_xlfn.TEXTSPLIT(C126,"_"),3)</f>
        <v>na</v>
      </c>
      <c r="E126" t="str">
        <f>VLOOKUP(D126,FranchiseMapping!$A$1:$B$15,2,FALSE)</f>
        <v>Biolage</v>
      </c>
      <c r="F126" s="1">
        <v>44927</v>
      </c>
      <c r="G126" t="s">
        <v>11</v>
      </c>
      <c r="H126" s="2">
        <v>45139</v>
      </c>
      <c r="I126" s="3">
        <v>45169</v>
      </c>
      <c r="J126" s="3">
        <f t="shared" si="1"/>
        <v>45171</v>
      </c>
      <c r="K126" s="4">
        <v>1770.950257</v>
      </c>
      <c r="L126">
        <v>507697</v>
      </c>
    </row>
    <row r="127" spans="1:12" x14ac:dyDescent="0.35">
      <c r="A127" t="s">
        <v>8</v>
      </c>
      <c r="B127" t="s">
        <v>9</v>
      </c>
      <c r="C127" t="s">
        <v>36</v>
      </c>
      <c r="D127" t="str" cm="1">
        <f t="array" ref="D127">INDEX(_xlfn.TEXTSPLIT(C127,"_"),3)</f>
        <v>bfr</v>
      </c>
      <c r="E127" t="str">
        <f>VLOOKUP(D127,FranchiseMapping!$A$1:$B$15,2,FALSE)</f>
        <v>Full Rescue</v>
      </c>
      <c r="F127" s="1">
        <v>45658</v>
      </c>
      <c r="G127" t="s">
        <v>12</v>
      </c>
      <c r="H127" s="2">
        <v>45809</v>
      </c>
      <c r="I127" s="3">
        <v>45817</v>
      </c>
      <c r="J127" s="3">
        <f t="shared" si="1"/>
        <v>45822</v>
      </c>
      <c r="K127" s="4">
        <v>1052.0199949999999</v>
      </c>
      <c r="L127">
        <v>177032</v>
      </c>
    </row>
    <row r="128" spans="1:12" x14ac:dyDescent="0.35">
      <c r="A128" t="s">
        <v>8</v>
      </c>
      <c r="B128" t="s">
        <v>9</v>
      </c>
      <c r="C128" t="s">
        <v>55</v>
      </c>
      <c r="D128" t="str" cm="1">
        <f t="array" ref="D128">INDEX(_xlfn.TEXTSPLIT(C128,"_"),3)</f>
        <v>hydrasource</v>
      </c>
      <c r="E128" t="str">
        <f>VLOOKUP(D128,FranchiseMapping!$A$1:$B$15,2,FALSE)</f>
        <v>Hydrasource</v>
      </c>
      <c r="F128" s="1">
        <v>45292</v>
      </c>
      <c r="G128" t="s">
        <v>12</v>
      </c>
      <c r="H128" s="2">
        <v>45566</v>
      </c>
      <c r="I128" s="3">
        <v>45570</v>
      </c>
      <c r="J128" s="3">
        <f t="shared" si="1"/>
        <v>45570</v>
      </c>
      <c r="K128" s="4">
        <v>3572.0899979999999</v>
      </c>
      <c r="L128">
        <v>678721</v>
      </c>
    </row>
    <row r="129" spans="1:12" x14ac:dyDescent="0.35">
      <c r="A129" t="s">
        <v>8</v>
      </c>
      <c r="B129" t="s">
        <v>9</v>
      </c>
      <c r="C129" t="s">
        <v>30</v>
      </c>
      <c r="D129" t="str" cm="1">
        <f t="array" ref="D129">INDEX(_xlfn.TEXTSPLIT(C129,"_"),3)</f>
        <v>q3-haca-colorlast</v>
      </c>
      <c r="E129" t="str">
        <f>VLOOKUP(D129,FranchiseMapping!$A$1:$B$15,2,FALSE)</f>
        <v>Color Last</v>
      </c>
      <c r="F129" s="1">
        <v>44927</v>
      </c>
      <c r="G129" t="s">
        <v>10</v>
      </c>
      <c r="H129" s="2">
        <v>45108</v>
      </c>
      <c r="I129" s="3">
        <v>45125</v>
      </c>
      <c r="J129" s="3">
        <f t="shared" si="1"/>
        <v>45129</v>
      </c>
      <c r="K129" s="4">
        <v>2660.2499999999995</v>
      </c>
      <c r="L129">
        <v>357031</v>
      </c>
    </row>
    <row r="130" spans="1:12" x14ac:dyDescent="0.35">
      <c r="A130" t="s">
        <v>8</v>
      </c>
      <c r="B130" t="s">
        <v>9</v>
      </c>
      <c r="C130" t="s">
        <v>33</v>
      </c>
      <c r="D130" t="str" cm="1">
        <f t="array" ref="D130">INDEX(_xlfn.TEXTSPLIT(C130,"_"),3)</f>
        <v>hydrasource</v>
      </c>
      <c r="E130" t="str">
        <f>VLOOKUP(D130,FranchiseMapping!$A$1:$B$15,2,FALSE)</f>
        <v>Hydrasource</v>
      </c>
      <c r="F130" s="1">
        <v>45292</v>
      </c>
      <c r="G130" t="s">
        <v>11</v>
      </c>
      <c r="H130" s="2">
        <v>45323</v>
      </c>
      <c r="I130" s="3">
        <v>45336</v>
      </c>
      <c r="J130" s="3">
        <f t="shared" si="1"/>
        <v>45339</v>
      </c>
      <c r="K130" s="4">
        <v>1217.72</v>
      </c>
      <c r="L130">
        <v>175021</v>
      </c>
    </row>
    <row r="131" spans="1:12" x14ac:dyDescent="0.35">
      <c r="A131" t="s">
        <v>8</v>
      </c>
      <c r="B131" t="s">
        <v>9</v>
      </c>
      <c r="C131" t="s">
        <v>48</v>
      </c>
      <c r="D131" t="str" cm="1">
        <f t="array" ref="D131">INDEX(_xlfn.TEXTSPLIT(C131,"_"),3)</f>
        <v>scalp</v>
      </c>
      <c r="E131" t="str">
        <f>VLOOKUP(D131,FranchiseMapping!$A$1:$B$15,2,FALSE)</f>
        <v>Scalp Sync</v>
      </c>
      <c r="F131" s="1">
        <v>45292</v>
      </c>
      <c r="G131" t="s">
        <v>12</v>
      </c>
      <c r="H131" s="2">
        <v>45383</v>
      </c>
      <c r="I131" s="3">
        <v>45400</v>
      </c>
      <c r="J131" s="3">
        <f t="shared" ref="J131:J194" si="2">I131 + (7 - WEEKDAY(I131, 1))</f>
        <v>45402</v>
      </c>
      <c r="K131" s="4">
        <v>675.72999800000002</v>
      </c>
      <c r="L131">
        <v>178509</v>
      </c>
    </row>
    <row r="132" spans="1:12" x14ac:dyDescent="0.35">
      <c r="A132" t="s">
        <v>8</v>
      </c>
      <c r="B132" t="s">
        <v>9</v>
      </c>
      <c r="C132" t="s">
        <v>46</v>
      </c>
      <c r="D132" t="str" cm="1">
        <f t="array" ref="D132">INDEX(_xlfn.TEXTSPLIT(C132,"_"),3)</f>
        <v>mult</v>
      </c>
      <c r="E132" t="str">
        <f>VLOOKUP(D132,FranchiseMapping!$A$1:$B$15,2,FALSE)</f>
        <v>Biolage</v>
      </c>
      <c r="F132" s="1">
        <v>45658</v>
      </c>
      <c r="G132" t="s">
        <v>10</v>
      </c>
      <c r="H132" s="2">
        <v>45809</v>
      </c>
      <c r="I132" s="3">
        <v>45809</v>
      </c>
      <c r="J132" s="3">
        <f t="shared" si="2"/>
        <v>45815</v>
      </c>
      <c r="K132" s="4">
        <v>944.01999899999998</v>
      </c>
      <c r="L132">
        <v>180037</v>
      </c>
    </row>
    <row r="133" spans="1:12" x14ac:dyDescent="0.35">
      <c r="A133" t="s">
        <v>8</v>
      </c>
      <c r="B133" t="s">
        <v>9</v>
      </c>
      <c r="C133" t="s">
        <v>33</v>
      </c>
      <c r="D133" t="str" cm="1">
        <f t="array" ref="D133">INDEX(_xlfn.TEXTSPLIT(C133,"_"),3)</f>
        <v>hydrasource</v>
      </c>
      <c r="E133" t="str">
        <f>VLOOKUP(D133,FranchiseMapping!$A$1:$B$15,2,FALSE)</f>
        <v>Hydrasource</v>
      </c>
      <c r="F133" s="1">
        <v>45292</v>
      </c>
      <c r="G133" t="s">
        <v>11</v>
      </c>
      <c r="H133" s="2">
        <v>45323</v>
      </c>
      <c r="I133" s="3">
        <v>45329</v>
      </c>
      <c r="J133" s="3">
        <f t="shared" si="2"/>
        <v>45332</v>
      </c>
      <c r="K133" s="4">
        <v>1140.8000050000001</v>
      </c>
      <c r="L133">
        <v>203921</v>
      </c>
    </row>
    <row r="134" spans="1:12" x14ac:dyDescent="0.35">
      <c r="A134" t="s">
        <v>8</v>
      </c>
      <c r="B134" t="s">
        <v>13</v>
      </c>
      <c r="C134" t="s">
        <v>42</v>
      </c>
      <c r="D134" t="str" cm="1">
        <f t="array" ref="D134">INDEX(_xlfn.TEXTSPLIT(C134,"_"),3)</f>
        <v>bfr</v>
      </c>
      <c r="E134" t="str">
        <f>VLOOKUP(D134,FranchiseMapping!$A$1:$B$15,2,FALSE)</f>
        <v>Full Rescue</v>
      </c>
      <c r="F134" s="1">
        <v>45658</v>
      </c>
      <c r="G134" t="s">
        <v>10</v>
      </c>
      <c r="H134" s="2">
        <v>45809</v>
      </c>
      <c r="I134" s="3">
        <v>45821</v>
      </c>
      <c r="J134" s="3">
        <f t="shared" si="2"/>
        <v>45822</v>
      </c>
      <c r="K134" s="4">
        <v>414.44606200000004</v>
      </c>
      <c r="L134">
        <v>194733</v>
      </c>
    </row>
    <row r="135" spans="1:12" x14ac:dyDescent="0.35">
      <c r="A135" t="s">
        <v>8</v>
      </c>
      <c r="B135" t="s">
        <v>14</v>
      </c>
      <c r="C135" t="s">
        <v>47</v>
      </c>
      <c r="D135" t="str" cm="1">
        <f t="array" ref="D135">INDEX(_xlfn.TEXTSPLIT(C135,"_"),3)</f>
        <v>hys</v>
      </c>
      <c r="E135" t="str">
        <f>VLOOKUP(D135,FranchiseMapping!$A$1:$B$15,2,FALSE)</f>
        <v>Hydrasource</v>
      </c>
      <c r="F135" s="1">
        <v>45658</v>
      </c>
      <c r="G135" t="s">
        <v>10</v>
      </c>
      <c r="H135" s="2">
        <v>45748</v>
      </c>
      <c r="I135" s="3">
        <v>45762</v>
      </c>
      <c r="J135" s="3">
        <f t="shared" si="2"/>
        <v>45766</v>
      </c>
      <c r="K135" s="4">
        <v>883.44999999999993</v>
      </c>
      <c r="L135">
        <v>194111</v>
      </c>
    </row>
    <row r="136" spans="1:12" x14ac:dyDescent="0.35">
      <c r="A136" t="s">
        <v>8</v>
      </c>
      <c r="B136" t="s">
        <v>9</v>
      </c>
      <c r="C136" t="s">
        <v>54</v>
      </c>
      <c r="D136" t="str" cm="1">
        <f t="array" ref="D136">INDEX(_xlfn.TEXTSPLIT(C136,"_"),3)</f>
        <v>scalp</v>
      </c>
      <c r="E136" t="str">
        <f>VLOOKUP(D136,FranchiseMapping!$A$1:$B$15,2,FALSE)</f>
        <v>Scalp Sync</v>
      </c>
      <c r="F136" s="1">
        <v>45292</v>
      </c>
      <c r="G136" t="s">
        <v>10</v>
      </c>
      <c r="H136" s="2">
        <v>45383</v>
      </c>
      <c r="I136" s="3">
        <v>45396</v>
      </c>
      <c r="J136" s="3">
        <f t="shared" si="2"/>
        <v>45402</v>
      </c>
      <c r="K136" s="4">
        <v>2464.3199980000004</v>
      </c>
      <c r="L136">
        <v>617090</v>
      </c>
    </row>
    <row r="137" spans="1:12" x14ac:dyDescent="0.35">
      <c r="A137" t="s">
        <v>8</v>
      </c>
      <c r="B137" t="s">
        <v>9</v>
      </c>
      <c r="C137" t="s">
        <v>46</v>
      </c>
      <c r="D137" t="str" cm="1">
        <f t="array" ref="D137">INDEX(_xlfn.TEXTSPLIT(C137,"_"),3)</f>
        <v>mult</v>
      </c>
      <c r="E137" t="str">
        <f>VLOOKUP(D137,FranchiseMapping!$A$1:$B$15,2,FALSE)</f>
        <v>Biolage</v>
      </c>
      <c r="F137" s="1">
        <v>45658</v>
      </c>
      <c r="G137" t="s">
        <v>12</v>
      </c>
      <c r="H137" s="2">
        <v>45717</v>
      </c>
      <c r="I137" s="3">
        <v>45740</v>
      </c>
      <c r="J137" s="3">
        <f t="shared" si="2"/>
        <v>45745</v>
      </c>
      <c r="K137" s="4">
        <v>2755.8299990000005</v>
      </c>
      <c r="L137">
        <v>491909</v>
      </c>
    </row>
    <row r="138" spans="1:12" x14ac:dyDescent="0.35">
      <c r="A138" t="s">
        <v>8</v>
      </c>
      <c r="B138" t="s">
        <v>9</v>
      </c>
      <c r="C138" t="s">
        <v>46</v>
      </c>
      <c r="D138" t="str" cm="1">
        <f t="array" ref="D138">INDEX(_xlfn.TEXTSPLIT(C138,"_"),3)</f>
        <v>mult</v>
      </c>
      <c r="E138" t="str">
        <f>VLOOKUP(D138,FranchiseMapping!$A$1:$B$15,2,FALSE)</f>
        <v>Biolage</v>
      </c>
      <c r="F138" s="1">
        <v>45658</v>
      </c>
      <c r="G138" t="s">
        <v>12</v>
      </c>
      <c r="H138" s="2">
        <v>45717</v>
      </c>
      <c r="I138" s="3">
        <v>45741</v>
      </c>
      <c r="J138" s="3">
        <f t="shared" si="2"/>
        <v>45745</v>
      </c>
      <c r="K138" s="4">
        <v>2386.0599989999996</v>
      </c>
      <c r="L138">
        <v>412444</v>
      </c>
    </row>
    <row r="139" spans="1:12" x14ac:dyDescent="0.35">
      <c r="A139" t="s">
        <v>8</v>
      </c>
      <c r="B139" t="s">
        <v>9</v>
      </c>
      <c r="C139" t="s">
        <v>46</v>
      </c>
      <c r="D139" t="str" cm="1">
        <f t="array" ref="D139">INDEX(_xlfn.TEXTSPLIT(C139,"_"),3)</f>
        <v>mult</v>
      </c>
      <c r="E139" t="str">
        <f>VLOOKUP(D139,FranchiseMapping!$A$1:$B$15,2,FALSE)</f>
        <v>Biolage</v>
      </c>
      <c r="F139" s="1">
        <v>45658</v>
      </c>
      <c r="G139" t="s">
        <v>12</v>
      </c>
      <c r="H139" s="2">
        <v>45717</v>
      </c>
      <c r="I139" s="3">
        <v>45745</v>
      </c>
      <c r="J139" s="3">
        <f t="shared" si="2"/>
        <v>45745</v>
      </c>
      <c r="K139" s="4">
        <v>2781.7700020000007</v>
      </c>
      <c r="L139">
        <v>223258</v>
      </c>
    </row>
    <row r="140" spans="1:12" x14ac:dyDescent="0.35">
      <c r="A140" t="s">
        <v>8</v>
      </c>
      <c r="B140" t="s">
        <v>9</v>
      </c>
      <c r="C140" t="s">
        <v>46</v>
      </c>
      <c r="D140" t="str" cm="1">
        <f t="array" ref="D140">INDEX(_xlfn.TEXTSPLIT(C140,"_"),3)</f>
        <v>mult</v>
      </c>
      <c r="E140" t="str">
        <f>VLOOKUP(D140,FranchiseMapping!$A$1:$B$15,2,FALSE)</f>
        <v>Biolage</v>
      </c>
      <c r="F140" s="1">
        <v>45658</v>
      </c>
      <c r="G140" t="s">
        <v>12</v>
      </c>
      <c r="H140" s="2">
        <v>45778</v>
      </c>
      <c r="I140" s="3">
        <v>45803</v>
      </c>
      <c r="J140" s="3">
        <f t="shared" si="2"/>
        <v>45808</v>
      </c>
      <c r="K140" s="4">
        <v>200.64000000000001</v>
      </c>
      <c r="L140">
        <v>34481</v>
      </c>
    </row>
    <row r="141" spans="1:12" x14ac:dyDescent="0.35">
      <c r="A141" t="s">
        <v>8</v>
      </c>
      <c r="B141" t="s">
        <v>9</v>
      </c>
      <c r="C141" t="s">
        <v>31</v>
      </c>
      <c r="D141" t="str" cm="1">
        <f t="array" ref="D141">INDEX(_xlfn.TEXTSPLIT(C141,"_"),3)</f>
        <v>scalp</v>
      </c>
      <c r="E141" t="str">
        <f>VLOOKUP(D141,FranchiseMapping!$A$1:$B$15,2,FALSE)</f>
        <v>Scalp Sync</v>
      </c>
      <c r="F141" s="1">
        <v>45292</v>
      </c>
      <c r="G141" t="s">
        <v>12</v>
      </c>
      <c r="H141" s="2">
        <v>45383</v>
      </c>
      <c r="I141" s="3">
        <v>45384</v>
      </c>
      <c r="J141" s="3">
        <f t="shared" si="2"/>
        <v>45388</v>
      </c>
      <c r="K141" s="4">
        <v>1419.820001</v>
      </c>
      <c r="L141">
        <v>261057</v>
      </c>
    </row>
    <row r="142" spans="1:12" x14ac:dyDescent="0.35">
      <c r="A142" t="s">
        <v>8</v>
      </c>
      <c r="B142" t="s">
        <v>14</v>
      </c>
      <c r="C142" t="s">
        <v>37</v>
      </c>
      <c r="D142" t="str" cm="1">
        <f t="array" ref="D142">INDEX(_xlfn.TEXTSPLIT(C142,"_"),3)</f>
        <v>mult</v>
      </c>
      <c r="E142" t="str">
        <f>VLOOKUP(D142,FranchiseMapping!$A$1:$B$15,2,FALSE)</f>
        <v>Biolage</v>
      </c>
      <c r="F142" s="1">
        <v>45658</v>
      </c>
      <c r="G142" t="s">
        <v>10</v>
      </c>
      <c r="H142" s="2">
        <v>45748</v>
      </c>
      <c r="I142" s="3">
        <v>45770</v>
      </c>
      <c r="J142" s="3">
        <f t="shared" si="2"/>
        <v>45773</v>
      </c>
      <c r="K142" s="4">
        <v>1490.6699999999998</v>
      </c>
      <c r="L142">
        <v>384437</v>
      </c>
    </row>
    <row r="143" spans="1:12" x14ac:dyDescent="0.35">
      <c r="A143" t="s">
        <v>8</v>
      </c>
      <c r="B143" t="s">
        <v>9</v>
      </c>
      <c r="C143" t="s">
        <v>30</v>
      </c>
      <c r="D143" t="str" cm="1">
        <f t="array" ref="D143">INDEX(_xlfn.TEXTSPLIT(C143,"_"),3)</f>
        <v>q3-haca-colorlast</v>
      </c>
      <c r="E143" t="str">
        <f>VLOOKUP(D143,FranchiseMapping!$A$1:$B$15,2,FALSE)</f>
        <v>Color Last</v>
      </c>
      <c r="F143" s="1">
        <v>44927</v>
      </c>
      <c r="G143" t="s">
        <v>10</v>
      </c>
      <c r="H143" s="2">
        <v>45108</v>
      </c>
      <c r="I143" s="3">
        <v>45121</v>
      </c>
      <c r="J143" s="3">
        <f t="shared" si="2"/>
        <v>45122</v>
      </c>
      <c r="K143" s="4">
        <v>2544.7599999999989</v>
      </c>
      <c r="L143">
        <v>305220</v>
      </c>
    </row>
    <row r="144" spans="1:12" x14ac:dyDescent="0.35">
      <c r="A144" t="s">
        <v>8</v>
      </c>
      <c r="B144" t="s">
        <v>9</v>
      </c>
      <c r="C144" t="s">
        <v>46</v>
      </c>
      <c r="D144" t="str" cm="1">
        <f t="array" ref="D144">INDEX(_xlfn.TEXTSPLIT(C144,"_"),3)</f>
        <v>mult</v>
      </c>
      <c r="E144" t="str">
        <f>VLOOKUP(D144,FranchiseMapping!$A$1:$B$15,2,FALSE)</f>
        <v>Biolage</v>
      </c>
      <c r="F144" s="1">
        <v>45658</v>
      </c>
      <c r="G144" t="s">
        <v>12</v>
      </c>
      <c r="H144" s="2">
        <v>45748</v>
      </c>
      <c r="I144" s="3">
        <v>45765</v>
      </c>
      <c r="J144" s="3">
        <f t="shared" si="2"/>
        <v>45766</v>
      </c>
      <c r="K144" s="4">
        <v>1057.3499999999999</v>
      </c>
      <c r="L144">
        <v>245708</v>
      </c>
    </row>
    <row r="145" spans="1:12" x14ac:dyDescent="0.35">
      <c r="A145" t="s">
        <v>8</v>
      </c>
      <c r="B145" t="s">
        <v>9</v>
      </c>
      <c r="C145" t="s">
        <v>65</v>
      </c>
      <c r="D145" t="str" cm="1">
        <f t="array" ref="D145">INDEX(_xlfn.TEXTSPLIT(C145,"_"),3)</f>
        <v>prime-day</v>
      </c>
      <c r="E145" t="str">
        <f>VLOOKUP(D145,FranchiseMapping!$A$1:$B$15,2,FALSE)</f>
        <v>Prime Day</v>
      </c>
      <c r="F145" s="1">
        <v>45292</v>
      </c>
      <c r="G145" t="s">
        <v>10</v>
      </c>
      <c r="H145" s="2">
        <v>45474</v>
      </c>
      <c r="I145" s="3">
        <v>45484</v>
      </c>
      <c r="J145" s="3">
        <f t="shared" si="2"/>
        <v>45486</v>
      </c>
      <c r="K145" s="4">
        <v>2358.1399959999999</v>
      </c>
      <c r="L145">
        <v>198165</v>
      </c>
    </row>
    <row r="146" spans="1:12" x14ac:dyDescent="0.35">
      <c r="A146" t="s">
        <v>8</v>
      </c>
      <c r="B146" t="s">
        <v>14</v>
      </c>
      <c r="C146" t="s">
        <v>29</v>
      </c>
      <c r="D146" t="str" cm="1">
        <f t="array" ref="D146">INDEX(_xlfn.TEXTSPLIT(C146,"_"),3)</f>
        <v>bfr</v>
      </c>
      <c r="E146" t="str">
        <f>VLOOKUP(D146,FranchiseMapping!$A$1:$B$15,2,FALSE)</f>
        <v>Full Rescue</v>
      </c>
      <c r="F146" s="1">
        <v>45658</v>
      </c>
      <c r="G146" t="s">
        <v>10</v>
      </c>
      <c r="H146" s="2">
        <v>45809</v>
      </c>
      <c r="I146" s="3">
        <v>45816</v>
      </c>
      <c r="J146" s="3">
        <f t="shared" si="2"/>
        <v>45822</v>
      </c>
      <c r="K146" s="4">
        <v>1749.07</v>
      </c>
      <c r="L146">
        <v>227806</v>
      </c>
    </row>
    <row r="147" spans="1:12" x14ac:dyDescent="0.35">
      <c r="A147" t="s">
        <v>8</v>
      </c>
      <c r="B147" t="s">
        <v>9</v>
      </c>
      <c r="C147" t="s">
        <v>48</v>
      </c>
      <c r="D147" t="str" cm="1">
        <f t="array" ref="D147">INDEX(_xlfn.TEXTSPLIT(C147,"_"),3)</f>
        <v>scalp</v>
      </c>
      <c r="E147" t="str">
        <f>VLOOKUP(D147,FranchiseMapping!$A$1:$B$15,2,FALSE)</f>
        <v>Scalp Sync</v>
      </c>
      <c r="F147" s="1">
        <v>45292</v>
      </c>
      <c r="G147" t="s">
        <v>10</v>
      </c>
      <c r="H147" s="2">
        <v>45383</v>
      </c>
      <c r="I147" s="3">
        <v>45394</v>
      </c>
      <c r="J147" s="3">
        <f t="shared" si="2"/>
        <v>45395</v>
      </c>
      <c r="K147" s="4">
        <v>268.60000100000002</v>
      </c>
      <c r="L147">
        <v>63550</v>
      </c>
    </row>
    <row r="148" spans="1:12" x14ac:dyDescent="0.35">
      <c r="A148" t="s">
        <v>8</v>
      </c>
      <c r="B148" t="s">
        <v>9</v>
      </c>
      <c r="C148" t="s">
        <v>34</v>
      </c>
      <c r="D148" t="str" cm="1">
        <f t="array" ref="D148">INDEX(_xlfn.TEXTSPLIT(C148,"_"),3)</f>
        <v>hydrasource</v>
      </c>
      <c r="E148" t="str">
        <f>VLOOKUP(D148,FranchiseMapping!$A$1:$B$15,2,FALSE)</f>
        <v>Hydrasource</v>
      </c>
      <c r="F148" s="1">
        <v>45292</v>
      </c>
      <c r="G148" t="s">
        <v>12</v>
      </c>
      <c r="H148" s="2">
        <v>45352</v>
      </c>
      <c r="I148" s="3">
        <v>45356</v>
      </c>
      <c r="J148" s="3">
        <f t="shared" si="2"/>
        <v>45360</v>
      </c>
      <c r="K148" s="4">
        <v>848.41999900000008</v>
      </c>
      <c r="L148">
        <v>153369</v>
      </c>
    </row>
    <row r="149" spans="1:12" x14ac:dyDescent="0.35">
      <c r="A149" t="s">
        <v>8</v>
      </c>
      <c r="B149" t="s">
        <v>9</v>
      </c>
      <c r="C149" t="s">
        <v>50</v>
      </c>
      <c r="D149" t="str" cm="1">
        <f t="array" ref="D149">INDEX(_xlfn.TEXTSPLIT(C149,"_"),3)</f>
        <v>bond-therapy</v>
      </c>
      <c r="E149" t="str">
        <f>VLOOKUP(D149,FranchiseMapping!$A$1:$B$15,2,FALSE)</f>
        <v>Bond Therapy</v>
      </c>
      <c r="F149" s="1">
        <v>44927</v>
      </c>
      <c r="G149" t="s">
        <v>12</v>
      </c>
      <c r="H149" s="2">
        <v>45231</v>
      </c>
      <c r="I149" s="3">
        <v>45248</v>
      </c>
      <c r="J149" s="3">
        <f t="shared" si="2"/>
        <v>45248</v>
      </c>
      <c r="K149" s="4">
        <v>3200.8999999999996</v>
      </c>
      <c r="L149">
        <v>283151</v>
      </c>
    </row>
    <row r="150" spans="1:12" x14ac:dyDescent="0.35">
      <c r="A150" t="s">
        <v>8</v>
      </c>
      <c r="B150" t="s">
        <v>13</v>
      </c>
      <c r="C150" t="s">
        <v>62</v>
      </c>
      <c r="D150" t="str" cm="1">
        <f t="array" ref="D150">INDEX(_xlfn.TEXTSPLIT(C150,"_"),3)</f>
        <v>na</v>
      </c>
      <c r="E150" t="str">
        <f>VLOOKUP(D150,FranchiseMapping!$A$1:$B$15,2,FALSE)</f>
        <v>Biolage</v>
      </c>
      <c r="F150" s="1">
        <v>44927</v>
      </c>
      <c r="G150" t="s">
        <v>10</v>
      </c>
      <c r="H150" s="2">
        <v>45108</v>
      </c>
      <c r="I150" s="3">
        <v>45122</v>
      </c>
      <c r="J150" s="3">
        <f t="shared" si="2"/>
        <v>45122</v>
      </c>
      <c r="K150" s="4">
        <v>0.21890100000000001</v>
      </c>
      <c r="L150">
        <v>15</v>
      </c>
    </row>
    <row r="151" spans="1:12" x14ac:dyDescent="0.35">
      <c r="A151" t="s">
        <v>8</v>
      </c>
      <c r="B151" t="s">
        <v>13</v>
      </c>
      <c r="C151" t="s">
        <v>59</v>
      </c>
      <c r="D151" t="str" cm="1">
        <f t="array" ref="D151">INDEX(_xlfn.TEXTSPLIT(C151,"_"),3)</f>
        <v>scalp-sync</v>
      </c>
      <c r="E151" t="str">
        <f>VLOOKUP(D151,FranchiseMapping!$A$1:$B$15,2,FALSE)</f>
        <v>Scalp Sync</v>
      </c>
      <c r="F151" s="1">
        <v>45292</v>
      </c>
      <c r="G151" t="s">
        <v>11</v>
      </c>
      <c r="H151" s="2">
        <v>45413</v>
      </c>
      <c r="I151" s="3">
        <v>45431</v>
      </c>
      <c r="J151" s="3">
        <f t="shared" si="2"/>
        <v>45437</v>
      </c>
      <c r="K151" s="4">
        <v>3382.7212080000004</v>
      </c>
      <c r="L151">
        <v>1409006</v>
      </c>
    </row>
    <row r="152" spans="1:12" x14ac:dyDescent="0.35">
      <c r="A152" t="s">
        <v>8</v>
      </c>
      <c r="B152" t="s">
        <v>9</v>
      </c>
      <c r="C152" t="s">
        <v>40</v>
      </c>
      <c r="D152" t="str" cm="1">
        <f t="array" ref="D152">INDEX(_xlfn.TEXTSPLIT(C152,"_"),3)</f>
        <v>hydrasource</v>
      </c>
      <c r="E152" t="str">
        <f>VLOOKUP(D152,FranchiseMapping!$A$1:$B$15,2,FALSE)</f>
        <v>Hydrasource</v>
      </c>
      <c r="F152" s="1">
        <v>45292</v>
      </c>
      <c r="G152" t="s">
        <v>12</v>
      </c>
      <c r="H152" s="2">
        <v>45352</v>
      </c>
      <c r="I152" s="3">
        <v>45358</v>
      </c>
      <c r="J152" s="3">
        <f t="shared" si="2"/>
        <v>45360</v>
      </c>
      <c r="K152" s="4">
        <v>3199.3100060000002</v>
      </c>
      <c r="L152">
        <v>460096</v>
      </c>
    </row>
    <row r="153" spans="1:12" x14ac:dyDescent="0.35">
      <c r="A153" t="s">
        <v>8</v>
      </c>
      <c r="B153" t="s">
        <v>14</v>
      </c>
      <c r="C153" t="s">
        <v>37</v>
      </c>
      <c r="D153" t="str" cm="1">
        <f t="array" ref="D153">INDEX(_xlfn.TEXTSPLIT(C153,"_"),3)</f>
        <v>mult</v>
      </c>
      <c r="E153" t="str">
        <f>VLOOKUP(D153,FranchiseMapping!$A$1:$B$15,2,FALSE)</f>
        <v>Biolage</v>
      </c>
      <c r="F153" s="1">
        <v>45658</v>
      </c>
      <c r="G153" t="s">
        <v>12</v>
      </c>
      <c r="H153" s="2">
        <v>45809</v>
      </c>
      <c r="I153" s="3">
        <v>45820</v>
      </c>
      <c r="J153" s="3">
        <f t="shared" si="2"/>
        <v>45822</v>
      </c>
      <c r="K153" s="4">
        <v>1715.85</v>
      </c>
      <c r="L153">
        <v>337172</v>
      </c>
    </row>
    <row r="154" spans="1:12" x14ac:dyDescent="0.35">
      <c r="A154" t="s">
        <v>8</v>
      </c>
      <c r="B154" t="s">
        <v>13</v>
      </c>
      <c r="C154" t="s">
        <v>28</v>
      </c>
      <c r="D154" t="str" cm="1">
        <f t="array" ref="D154">INDEX(_xlfn.TEXTSPLIT(C154,"_"),3)</f>
        <v>na</v>
      </c>
      <c r="E154" t="str">
        <f>VLOOKUP(D154,FranchiseMapping!$A$1:$B$15,2,FALSE)</f>
        <v>Biolage</v>
      </c>
      <c r="F154" s="1">
        <v>44927</v>
      </c>
      <c r="G154" t="s">
        <v>10</v>
      </c>
      <c r="H154" s="2">
        <v>45139</v>
      </c>
      <c r="I154" s="3">
        <v>45155</v>
      </c>
      <c r="J154" s="3">
        <f t="shared" si="2"/>
        <v>45157</v>
      </c>
      <c r="K154" s="4">
        <v>1146.351322</v>
      </c>
      <c r="L154">
        <v>132692</v>
      </c>
    </row>
    <row r="155" spans="1:12" x14ac:dyDescent="0.35">
      <c r="A155" t="s">
        <v>8</v>
      </c>
      <c r="B155" t="s">
        <v>9</v>
      </c>
      <c r="C155" t="s">
        <v>38</v>
      </c>
      <c r="D155" t="str" cm="1">
        <f t="array" ref="D155">INDEX(_xlfn.TEXTSPLIT(C155,"_"),3)</f>
        <v>hys</v>
      </c>
      <c r="E155" t="str">
        <f>VLOOKUP(D155,FranchiseMapping!$A$1:$B$15,2,FALSE)</f>
        <v>Hydrasource</v>
      </c>
      <c r="F155" s="1">
        <v>45658</v>
      </c>
      <c r="G155" t="s">
        <v>12</v>
      </c>
      <c r="H155" s="2">
        <v>45748</v>
      </c>
      <c r="I155" s="3">
        <v>45760</v>
      </c>
      <c r="J155" s="3">
        <f t="shared" si="2"/>
        <v>45766</v>
      </c>
      <c r="K155" s="4">
        <v>2435.7499989999997</v>
      </c>
      <c r="L155">
        <v>308169</v>
      </c>
    </row>
    <row r="156" spans="1:12" x14ac:dyDescent="0.35">
      <c r="A156" t="s">
        <v>8</v>
      </c>
      <c r="B156" t="s">
        <v>9</v>
      </c>
      <c r="C156" t="s">
        <v>46</v>
      </c>
      <c r="D156" t="str" cm="1">
        <f t="array" ref="D156">INDEX(_xlfn.TEXTSPLIT(C156,"_"),3)</f>
        <v>mult</v>
      </c>
      <c r="E156" t="str">
        <f>VLOOKUP(D156,FranchiseMapping!$A$1:$B$15,2,FALSE)</f>
        <v>Biolage</v>
      </c>
      <c r="F156" s="1">
        <v>45658</v>
      </c>
      <c r="G156" t="s">
        <v>12</v>
      </c>
      <c r="H156" s="2">
        <v>45748</v>
      </c>
      <c r="I156" s="3">
        <v>45760</v>
      </c>
      <c r="J156" s="3">
        <f t="shared" si="2"/>
        <v>45766</v>
      </c>
      <c r="K156" s="4">
        <v>985.33000199999958</v>
      </c>
      <c r="L156">
        <v>221785</v>
      </c>
    </row>
    <row r="157" spans="1:12" x14ac:dyDescent="0.35">
      <c r="A157" t="s">
        <v>8</v>
      </c>
      <c r="B157" t="s">
        <v>9</v>
      </c>
      <c r="C157" t="s">
        <v>50</v>
      </c>
      <c r="D157" t="str" cm="1">
        <f t="array" ref="D157">INDEX(_xlfn.TEXTSPLIT(C157,"_"),3)</f>
        <v>bond-therapy</v>
      </c>
      <c r="E157" t="str">
        <f>VLOOKUP(D157,FranchiseMapping!$A$1:$B$15,2,FALSE)</f>
        <v>Bond Therapy</v>
      </c>
      <c r="F157" s="1">
        <v>44927</v>
      </c>
      <c r="G157" t="s">
        <v>12</v>
      </c>
      <c r="H157" s="2">
        <v>45261</v>
      </c>
      <c r="I157" s="3">
        <v>45280</v>
      </c>
      <c r="J157" s="3">
        <f t="shared" si="2"/>
        <v>45283</v>
      </c>
      <c r="K157" s="4">
        <v>2920.9200009999995</v>
      </c>
      <c r="L157">
        <v>268063</v>
      </c>
    </row>
    <row r="158" spans="1:12" x14ac:dyDescent="0.35">
      <c r="A158" t="s">
        <v>8</v>
      </c>
      <c r="B158" t="s">
        <v>9</v>
      </c>
      <c r="C158" t="s">
        <v>53</v>
      </c>
      <c r="D158" t="str" cm="1">
        <f t="array" ref="D158">INDEX(_xlfn.TEXTSPLIT(C158,"_"),3)</f>
        <v>bond-therapy</v>
      </c>
      <c r="E158" t="str">
        <f>VLOOKUP(D158,FranchiseMapping!$A$1:$B$15,2,FALSE)</f>
        <v>Bond Therapy</v>
      </c>
      <c r="F158" s="1">
        <v>44927</v>
      </c>
      <c r="G158" t="s">
        <v>11</v>
      </c>
      <c r="H158" s="2">
        <v>45261</v>
      </c>
      <c r="I158" s="3">
        <v>45280</v>
      </c>
      <c r="J158" s="3">
        <f t="shared" si="2"/>
        <v>45283</v>
      </c>
      <c r="K158" s="4">
        <v>1185.33</v>
      </c>
      <c r="L158">
        <v>205662</v>
      </c>
    </row>
    <row r="159" spans="1:12" x14ac:dyDescent="0.35">
      <c r="A159" t="s">
        <v>8</v>
      </c>
      <c r="B159" t="s">
        <v>9</v>
      </c>
      <c r="C159" t="s">
        <v>54</v>
      </c>
      <c r="D159" t="str" cm="1">
        <f t="array" ref="D159">INDEX(_xlfn.TEXTSPLIT(C159,"_"),3)</f>
        <v>scalp</v>
      </c>
      <c r="E159" t="str">
        <f>VLOOKUP(D159,FranchiseMapping!$A$1:$B$15,2,FALSE)</f>
        <v>Scalp Sync</v>
      </c>
      <c r="F159" s="1">
        <v>45292</v>
      </c>
      <c r="G159" t="s">
        <v>10</v>
      </c>
      <c r="H159" s="2">
        <v>45352</v>
      </c>
      <c r="I159" s="3">
        <v>45362</v>
      </c>
      <c r="J159" s="3">
        <f t="shared" si="2"/>
        <v>45367</v>
      </c>
      <c r="K159" s="4">
        <v>2291.7399979999996</v>
      </c>
      <c r="L159">
        <v>515760</v>
      </c>
    </row>
    <row r="160" spans="1:12" x14ac:dyDescent="0.35">
      <c r="A160" t="s">
        <v>8</v>
      </c>
      <c r="B160" t="s">
        <v>9</v>
      </c>
      <c r="C160" t="s">
        <v>38</v>
      </c>
      <c r="D160" t="str" cm="1">
        <f t="array" ref="D160">INDEX(_xlfn.TEXTSPLIT(C160,"_"),3)</f>
        <v>hys</v>
      </c>
      <c r="E160" t="str">
        <f>VLOOKUP(D160,FranchiseMapping!$A$1:$B$15,2,FALSE)</f>
        <v>Hydrasource</v>
      </c>
      <c r="F160" s="1">
        <v>45658</v>
      </c>
      <c r="G160" t="s">
        <v>10</v>
      </c>
      <c r="H160" s="2">
        <v>45748</v>
      </c>
      <c r="I160" s="3">
        <v>45754</v>
      </c>
      <c r="J160" s="3">
        <f t="shared" si="2"/>
        <v>45759</v>
      </c>
      <c r="K160" s="4">
        <v>1042.549998</v>
      </c>
      <c r="L160">
        <v>47617</v>
      </c>
    </row>
    <row r="161" spans="1:12" x14ac:dyDescent="0.35">
      <c r="A161" t="s">
        <v>8</v>
      </c>
      <c r="B161" t="s">
        <v>9</v>
      </c>
      <c r="C161" t="s">
        <v>46</v>
      </c>
      <c r="D161" t="str" cm="1">
        <f t="array" ref="D161">INDEX(_xlfn.TEXTSPLIT(C161,"_"),3)</f>
        <v>mult</v>
      </c>
      <c r="E161" t="str">
        <f>VLOOKUP(D161,FranchiseMapping!$A$1:$B$15,2,FALSE)</f>
        <v>Biolage</v>
      </c>
      <c r="F161" s="1">
        <v>45658</v>
      </c>
      <c r="G161" t="s">
        <v>10</v>
      </c>
      <c r="H161" s="2">
        <v>45748</v>
      </c>
      <c r="I161" s="3">
        <v>45769</v>
      </c>
      <c r="J161" s="3">
        <f t="shared" si="2"/>
        <v>45773</v>
      </c>
      <c r="K161" s="4">
        <v>835.55</v>
      </c>
      <c r="L161">
        <v>184916</v>
      </c>
    </row>
    <row r="162" spans="1:12" x14ac:dyDescent="0.35">
      <c r="A162" t="s">
        <v>8</v>
      </c>
      <c r="B162" t="s">
        <v>14</v>
      </c>
      <c r="C162" t="s">
        <v>47</v>
      </c>
      <c r="D162" t="str" cm="1">
        <f t="array" ref="D162">INDEX(_xlfn.TEXTSPLIT(C162,"_"),3)</f>
        <v>hys</v>
      </c>
      <c r="E162" t="str">
        <f>VLOOKUP(D162,FranchiseMapping!$A$1:$B$15,2,FALSE)</f>
        <v>Hydrasource</v>
      </c>
      <c r="F162" s="1">
        <v>45658</v>
      </c>
      <c r="G162" t="s">
        <v>12</v>
      </c>
      <c r="H162" s="2">
        <v>45748</v>
      </c>
      <c r="I162" s="3">
        <v>45769</v>
      </c>
      <c r="J162" s="3">
        <f t="shared" si="2"/>
        <v>45773</v>
      </c>
      <c r="K162" s="4">
        <v>3827.6000000000004</v>
      </c>
      <c r="L162">
        <v>1005095</v>
      </c>
    </row>
    <row r="163" spans="1:12" x14ac:dyDescent="0.35">
      <c r="A163" t="s">
        <v>8</v>
      </c>
      <c r="B163" t="s">
        <v>13</v>
      </c>
      <c r="C163" t="s">
        <v>59</v>
      </c>
      <c r="D163" t="str" cm="1">
        <f t="array" ref="D163">INDEX(_xlfn.TEXTSPLIT(C163,"_"),3)</f>
        <v>scalp-sync</v>
      </c>
      <c r="E163" t="str">
        <f>VLOOKUP(D163,FranchiseMapping!$A$1:$B$15,2,FALSE)</f>
        <v>Scalp Sync</v>
      </c>
      <c r="F163" s="1">
        <v>45292</v>
      </c>
      <c r="G163" t="s">
        <v>11</v>
      </c>
      <c r="H163" s="2">
        <v>45383</v>
      </c>
      <c r="I163" s="3">
        <v>45400</v>
      </c>
      <c r="J163" s="3">
        <f t="shared" si="2"/>
        <v>45402</v>
      </c>
      <c r="K163" s="4">
        <v>3392.30222</v>
      </c>
      <c r="L163">
        <v>1557146</v>
      </c>
    </row>
    <row r="164" spans="1:12" x14ac:dyDescent="0.35">
      <c r="A164" t="s">
        <v>8</v>
      </c>
      <c r="B164" t="s">
        <v>9</v>
      </c>
      <c r="C164" t="s">
        <v>35</v>
      </c>
      <c r="D164" t="str" cm="1">
        <f t="array" ref="D164">INDEX(_xlfn.TEXTSPLIT(C164,"_"),3)</f>
        <v>bfr</v>
      </c>
      <c r="E164" t="str">
        <f>VLOOKUP(D164,FranchiseMapping!$A$1:$B$15,2,FALSE)</f>
        <v>Full Rescue</v>
      </c>
      <c r="F164" s="1">
        <v>45658</v>
      </c>
      <c r="G164" t="s">
        <v>12</v>
      </c>
      <c r="H164" s="2">
        <v>45809</v>
      </c>
      <c r="I164" s="3">
        <v>45819</v>
      </c>
      <c r="J164" s="3">
        <f t="shared" si="2"/>
        <v>45822</v>
      </c>
      <c r="K164" s="4">
        <v>1636.5199970000003</v>
      </c>
      <c r="L164">
        <v>100145</v>
      </c>
    </row>
    <row r="165" spans="1:12" x14ac:dyDescent="0.35">
      <c r="A165" t="s">
        <v>8</v>
      </c>
      <c r="B165" t="s">
        <v>14</v>
      </c>
      <c r="C165" t="s">
        <v>37</v>
      </c>
      <c r="D165" t="str" cm="1">
        <f t="array" ref="D165">INDEX(_xlfn.TEXTSPLIT(C165,"_"),3)</f>
        <v>mult</v>
      </c>
      <c r="E165" t="str">
        <f>VLOOKUP(D165,FranchiseMapping!$A$1:$B$15,2,FALSE)</f>
        <v>Biolage</v>
      </c>
      <c r="F165" s="1">
        <v>45658</v>
      </c>
      <c r="G165" t="s">
        <v>12</v>
      </c>
      <c r="H165" s="2">
        <v>45809</v>
      </c>
      <c r="I165" s="3">
        <v>45819</v>
      </c>
      <c r="J165" s="3">
        <f t="shared" si="2"/>
        <v>45822</v>
      </c>
      <c r="K165" s="4">
        <v>1777.95</v>
      </c>
      <c r="L165">
        <v>334724</v>
      </c>
    </row>
    <row r="166" spans="1:12" x14ac:dyDescent="0.35">
      <c r="A166" t="s">
        <v>8</v>
      </c>
      <c r="B166" t="s">
        <v>13</v>
      </c>
      <c r="C166" t="s">
        <v>39</v>
      </c>
      <c r="D166" t="str" cm="1">
        <f t="array" ref="D166">INDEX(_xlfn.TEXTSPLIT(C166,"_"),3)</f>
        <v>scalp-sync</v>
      </c>
      <c r="E166" t="str">
        <f>VLOOKUP(D166,FranchiseMapping!$A$1:$B$15,2,FALSE)</f>
        <v>Scalp Sync</v>
      </c>
      <c r="F166" s="1">
        <v>45292</v>
      </c>
      <c r="G166" t="s">
        <v>12</v>
      </c>
      <c r="H166" s="2">
        <v>45413</v>
      </c>
      <c r="I166" s="3">
        <v>45428</v>
      </c>
      <c r="J166" s="3">
        <f t="shared" si="2"/>
        <v>45430</v>
      </c>
      <c r="K166" s="4">
        <v>1674.5161739999996</v>
      </c>
      <c r="L166">
        <v>440214</v>
      </c>
    </row>
    <row r="167" spans="1:12" x14ac:dyDescent="0.35">
      <c r="A167" t="s">
        <v>8</v>
      </c>
      <c r="B167" t="s">
        <v>9</v>
      </c>
      <c r="C167" t="s">
        <v>40</v>
      </c>
      <c r="D167" t="str" cm="1">
        <f t="array" ref="D167">INDEX(_xlfn.TEXTSPLIT(C167,"_"),3)</f>
        <v>hydrasource</v>
      </c>
      <c r="E167" t="str">
        <f>VLOOKUP(D167,FranchiseMapping!$A$1:$B$15,2,FALSE)</f>
        <v>Hydrasource</v>
      </c>
      <c r="F167" s="1">
        <v>45292</v>
      </c>
      <c r="G167" t="s">
        <v>12</v>
      </c>
      <c r="H167" s="2">
        <v>45292</v>
      </c>
      <c r="I167" s="3">
        <v>45309</v>
      </c>
      <c r="J167" s="3">
        <f t="shared" si="2"/>
        <v>45311</v>
      </c>
      <c r="K167" s="4">
        <v>3124.9600070000015</v>
      </c>
      <c r="L167">
        <v>547320</v>
      </c>
    </row>
    <row r="168" spans="1:12" x14ac:dyDescent="0.35">
      <c r="A168" t="s">
        <v>8</v>
      </c>
      <c r="B168" t="s">
        <v>9</v>
      </c>
      <c r="C168" t="s">
        <v>66</v>
      </c>
      <c r="D168" t="str" cm="1">
        <f t="array" ref="D168">INDEX(_xlfn.TEXTSPLIT(C168,"_"),3)</f>
        <v>mult</v>
      </c>
      <c r="E168" t="str">
        <f>VLOOKUP(D168,FranchiseMapping!$A$1:$B$15,2,FALSE)</f>
        <v>Biolage</v>
      </c>
      <c r="F168" s="1">
        <v>45292</v>
      </c>
      <c r="G168" t="s">
        <v>11</v>
      </c>
      <c r="H168" s="2">
        <v>45597</v>
      </c>
      <c r="I168" s="3">
        <v>45617</v>
      </c>
      <c r="J168" s="3">
        <f t="shared" si="2"/>
        <v>45619</v>
      </c>
      <c r="K168" s="4">
        <v>9884.9700030000022</v>
      </c>
      <c r="L168">
        <v>949010</v>
      </c>
    </row>
    <row r="169" spans="1:12" x14ac:dyDescent="0.35">
      <c r="A169" t="s">
        <v>8</v>
      </c>
      <c r="B169" t="s">
        <v>14</v>
      </c>
      <c r="C169" t="s">
        <v>37</v>
      </c>
      <c r="D169" t="str" cm="1">
        <f t="array" ref="D169">INDEX(_xlfn.TEXTSPLIT(C169,"_"),3)</f>
        <v>mult</v>
      </c>
      <c r="E169" t="str">
        <f>VLOOKUP(D169,FranchiseMapping!$A$1:$B$15,2,FALSE)</f>
        <v>Biolage</v>
      </c>
      <c r="F169" s="1">
        <v>45658</v>
      </c>
      <c r="G169" t="s">
        <v>10</v>
      </c>
      <c r="H169" s="2">
        <v>45748</v>
      </c>
      <c r="I169" s="3">
        <v>45775</v>
      </c>
      <c r="J169" s="3">
        <f t="shared" si="2"/>
        <v>45780</v>
      </c>
      <c r="K169" s="4">
        <v>1449.61</v>
      </c>
      <c r="L169">
        <v>335277</v>
      </c>
    </row>
    <row r="170" spans="1:12" x14ac:dyDescent="0.35">
      <c r="A170" t="s">
        <v>8</v>
      </c>
      <c r="B170" t="s">
        <v>9</v>
      </c>
      <c r="C170" t="s">
        <v>30</v>
      </c>
      <c r="D170" t="str" cm="1">
        <f t="array" ref="D170">INDEX(_xlfn.TEXTSPLIT(C170,"_"),3)</f>
        <v>q3-haca-colorlast</v>
      </c>
      <c r="E170" t="str">
        <f>VLOOKUP(D170,FranchiseMapping!$A$1:$B$15,2,FALSE)</f>
        <v>Color Last</v>
      </c>
      <c r="F170" s="1">
        <v>44927</v>
      </c>
      <c r="G170" t="s">
        <v>10</v>
      </c>
      <c r="H170" s="2">
        <v>45108</v>
      </c>
      <c r="I170" s="3">
        <v>45120</v>
      </c>
      <c r="J170" s="3">
        <f t="shared" si="2"/>
        <v>45122</v>
      </c>
      <c r="K170" s="4">
        <v>2562.7999960000002</v>
      </c>
      <c r="L170">
        <v>308176</v>
      </c>
    </row>
    <row r="171" spans="1:12" x14ac:dyDescent="0.35">
      <c r="A171" t="s">
        <v>8</v>
      </c>
      <c r="B171" t="s">
        <v>9</v>
      </c>
      <c r="C171" t="s">
        <v>45</v>
      </c>
      <c r="D171" t="str" cm="1">
        <f t="array" ref="D171">INDEX(_xlfn.TEXTSPLIT(C171,"_"),3)</f>
        <v>hydrasource</v>
      </c>
      <c r="E171" t="str">
        <f>VLOOKUP(D171,FranchiseMapping!$A$1:$B$15,2,FALSE)</f>
        <v>Hydrasource</v>
      </c>
      <c r="F171" s="1">
        <v>45292</v>
      </c>
      <c r="G171" t="s">
        <v>12</v>
      </c>
      <c r="H171" s="2">
        <v>45566</v>
      </c>
      <c r="I171" s="3">
        <v>45596</v>
      </c>
      <c r="J171" s="3">
        <f t="shared" si="2"/>
        <v>45598</v>
      </c>
      <c r="K171" s="4">
        <v>2390.8000109999998</v>
      </c>
      <c r="L171">
        <v>256711</v>
      </c>
    </row>
    <row r="172" spans="1:12" x14ac:dyDescent="0.35">
      <c r="A172" t="s">
        <v>8</v>
      </c>
      <c r="B172" t="s">
        <v>9</v>
      </c>
      <c r="C172" t="s">
        <v>38</v>
      </c>
      <c r="D172" t="str" cm="1">
        <f t="array" ref="D172">INDEX(_xlfn.TEXTSPLIT(C172,"_"),3)</f>
        <v>hys</v>
      </c>
      <c r="E172" t="str">
        <f>VLOOKUP(D172,FranchiseMapping!$A$1:$B$15,2,FALSE)</f>
        <v>Hydrasource</v>
      </c>
      <c r="F172" s="1">
        <v>45658</v>
      </c>
      <c r="G172" t="s">
        <v>12</v>
      </c>
      <c r="H172" s="2">
        <v>45748</v>
      </c>
      <c r="I172" s="3">
        <v>45770</v>
      </c>
      <c r="J172" s="3">
        <f t="shared" si="2"/>
        <v>45773</v>
      </c>
      <c r="K172" s="4">
        <v>2043.0899999999997</v>
      </c>
      <c r="L172">
        <v>305740</v>
      </c>
    </row>
    <row r="173" spans="1:12" x14ac:dyDescent="0.35">
      <c r="A173" t="s">
        <v>8</v>
      </c>
      <c r="B173" t="s">
        <v>9</v>
      </c>
      <c r="C173" t="s">
        <v>46</v>
      </c>
      <c r="D173" t="str" cm="1">
        <f t="array" ref="D173">INDEX(_xlfn.TEXTSPLIT(C173,"_"),3)</f>
        <v>mult</v>
      </c>
      <c r="E173" t="str">
        <f>VLOOKUP(D173,FranchiseMapping!$A$1:$B$15,2,FALSE)</f>
        <v>Biolage</v>
      </c>
      <c r="F173" s="1">
        <v>45658</v>
      </c>
      <c r="G173" t="s">
        <v>12</v>
      </c>
      <c r="H173" s="2">
        <v>45778</v>
      </c>
      <c r="I173" s="3">
        <v>45802</v>
      </c>
      <c r="J173" s="3">
        <f t="shared" si="2"/>
        <v>45808</v>
      </c>
      <c r="K173" s="4">
        <v>137.24</v>
      </c>
      <c r="L173">
        <v>22929</v>
      </c>
    </row>
    <row r="174" spans="1:12" x14ac:dyDescent="0.35">
      <c r="A174" t="s">
        <v>8</v>
      </c>
      <c r="B174" t="s">
        <v>14</v>
      </c>
      <c r="C174" t="s">
        <v>57</v>
      </c>
      <c r="D174" t="str" cm="1">
        <f t="array" ref="D174">INDEX(_xlfn.TEXTSPLIT(C174,"_"),3)</f>
        <v>bfr</v>
      </c>
      <c r="E174" t="str">
        <f>VLOOKUP(D174,FranchiseMapping!$A$1:$B$15,2,FALSE)</f>
        <v>Full Rescue</v>
      </c>
      <c r="F174" s="1">
        <v>45658</v>
      </c>
      <c r="G174" t="s">
        <v>12</v>
      </c>
      <c r="H174" s="2">
        <v>45809</v>
      </c>
      <c r="I174" s="3">
        <v>45814</v>
      </c>
      <c r="J174" s="3">
        <f t="shared" si="2"/>
        <v>45815</v>
      </c>
      <c r="K174" s="4">
        <v>7180.96</v>
      </c>
      <c r="L174">
        <v>520340</v>
      </c>
    </row>
    <row r="175" spans="1:12" x14ac:dyDescent="0.35">
      <c r="A175" t="s">
        <v>8</v>
      </c>
      <c r="B175" t="s">
        <v>9</v>
      </c>
      <c r="C175" t="s">
        <v>33</v>
      </c>
      <c r="D175" t="str" cm="1">
        <f t="array" ref="D175">INDEX(_xlfn.TEXTSPLIT(C175,"_"),3)</f>
        <v>hydrasource</v>
      </c>
      <c r="E175" t="str">
        <f>VLOOKUP(D175,FranchiseMapping!$A$1:$B$15,2,FALSE)</f>
        <v>Hydrasource</v>
      </c>
      <c r="F175" s="1">
        <v>45292</v>
      </c>
      <c r="G175" t="s">
        <v>11</v>
      </c>
      <c r="H175" s="2">
        <v>45323</v>
      </c>
      <c r="I175" s="3">
        <v>45340</v>
      </c>
      <c r="J175" s="3">
        <f t="shared" si="2"/>
        <v>45346</v>
      </c>
      <c r="K175" s="4">
        <v>1253.070003</v>
      </c>
      <c r="L175">
        <v>200041</v>
      </c>
    </row>
    <row r="176" spans="1:12" x14ac:dyDescent="0.35">
      <c r="A176" t="s">
        <v>8</v>
      </c>
      <c r="B176" t="s">
        <v>9</v>
      </c>
      <c r="C176" t="s">
        <v>45</v>
      </c>
      <c r="D176" t="str" cm="1">
        <f t="array" ref="D176">INDEX(_xlfn.TEXTSPLIT(C176,"_"),3)</f>
        <v>hydrasource</v>
      </c>
      <c r="E176" t="str">
        <f>VLOOKUP(D176,FranchiseMapping!$A$1:$B$15,2,FALSE)</f>
        <v>Hydrasource</v>
      </c>
      <c r="F176" s="1">
        <v>45292</v>
      </c>
      <c r="G176" t="s">
        <v>12</v>
      </c>
      <c r="H176" s="2">
        <v>45536</v>
      </c>
      <c r="I176" s="3">
        <v>45558</v>
      </c>
      <c r="J176" s="3">
        <f t="shared" si="2"/>
        <v>45563</v>
      </c>
      <c r="K176" s="4">
        <v>1901.1600029999997</v>
      </c>
      <c r="L176">
        <v>202769</v>
      </c>
    </row>
    <row r="177" spans="1:12" x14ac:dyDescent="0.35">
      <c r="A177" t="s">
        <v>8</v>
      </c>
      <c r="B177" t="s">
        <v>9</v>
      </c>
      <c r="C177" t="s">
        <v>31</v>
      </c>
      <c r="D177" t="str" cm="1">
        <f t="array" ref="D177">INDEX(_xlfn.TEXTSPLIT(C177,"_"),3)</f>
        <v>scalp</v>
      </c>
      <c r="E177" t="str">
        <f>VLOOKUP(D177,FranchiseMapping!$A$1:$B$15,2,FALSE)</f>
        <v>Scalp Sync</v>
      </c>
      <c r="F177" s="1">
        <v>45292</v>
      </c>
      <c r="G177" t="s">
        <v>10</v>
      </c>
      <c r="H177" s="2">
        <v>45352</v>
      </c>
      <c r="I177" s="3">
        <v>45376</v>
      </c>
      <c r="J177" s="3">
        <f t="shared" si="2"/>
        <v>45381</v>
      </c>
      <c r="K177" s="4">
        <v>1531.4799950000001</v>
      </c>
      <c r="L177">
        <v>226370</v>
      </c>
    </row>
    <row r="178" spans="1:12" x14ac:dyDescent="0.35">
      <c r="A178" t="s">
        <v>8</v>
      </c>
      <c r="B178" t="s">
        <v>9</v>
      </c>
      <c r="C178" t="s">
        <v>48</v>
      </c>
      <c r="D178" t="str" cm="1">
        <f t="array" ref="D178">INDEX(_xlfn.TEXTSPLIT(C178,"_"),3)</f>
        <v>scalp</v>
      </c>
      <c r="E178" t="str">
        <f>VLOOKUP(D178,FranchiseMapping!$A$1:$B$15,2,FALSE)</f>
        <v>Scalp Sync</v>
      </c>
      <c r="F178" s="1">
        <v>45292</v>
      </c>
      <c r="G178" t="s">
        <v>10</v>
      </c>
      <c r="H178" s="2">
        <v>45383</v>
      </c>
      <c r="I178" s="3">
        <v>45395</v>
      </c>
      <c r="J178" s="3">
        <f t="shared" si="2"/>
        <v>45395</v>
      </c>
      <c r="K178" s="4">
        <v>192.73</v>
      </c>
      <c r="L178">
        <v>45081</v>
      </c>
    </row>
    <row r="179" spans="1:12" x14ac:dyDescent="0.35">
      <c r="A179" t="s">
        <v>8</v>
      </c>
      <c r="B179" t="s">
        <v>9</v>
      </c>
      <c r="C179" t="s">
        <v>30</v>
      </c>
      <c r="D179" t="str" cm="1">
        <f t="array" ref="D179">INDEX(_xlfn.TEXTSPLIT(C179,"_"),3)</f>
        <v>q3-haca-colorlast</v>
      </c>
      <c r="E179" t="str">
        <f>VLOOKUP(D179,FranchiseMapping!$A$1:$B$15,2,FALSE)</f>
        <v>Color Last</v>
      </c>
      <c r="F179" s="1">
        <v>44927</v>
      </c>
      <c r="G179" t="s">
        <v>10</v>
      </c>
      <c r="H179" s="2">
        <v>45139</v>
      </c>
      <c r="I179" s="3">
        <v>45156</v>
      </c>
      <c r="J179" s="3">
        <f t="shared" si="2"/>
        <v>45157</v>
      </c>
      <c r="K179" s="4">
        <v>3772.4600089999994</v>
      </c>
      <c r="L179">
        <v>536280</v>
      </c>
    </row>
    <row r="180" spans="1:12" x14ac:dyDescent="0.35">
      <c r="A180" t="s">
        <v>8</v>
      </c>
      <c r="B180" t="s">
        <v>9</v>
      </c>
      <c r="C180" t="s">
        <v>36</v>
      </c>
      <c r="D180" t="str" cm="1">
        <f t="array" ref="D180">INDEX(_xlfn.TEXTSPLIT(C180,"_"),3)</f>
        <v>bfr</v>
      </c>
      <c r="E180" t="str">
        <f>VLOOKUP(D180,FranchiseMapping!$A$1:$B$15,2,FALSE)</f>
        <v>Full Rescue</v>
      </c>
      <c r="F180" s="1">
        <v>45658</v>
      </c>
      <c r="G180" t="s">
        <v>10</v>
      </c>
      <c r="H180" s="2">
        <v>45778</v>
      </c>
      <c r="I180" s="3">
        <v>45797</v>
      </c>
      <c r="J180" s="3">
        <f t="shared" si="2"/>
        <v>45801</v>
      </c>
      <c r="K180" s="4">
        <v>12.520000000000001</v>
      </c>
      <c r="L180">
        <v>660</v>
      </c>
    </row>
    <row r="181" spans="1:12" x14ac:dyDescent="0.35">
      <c r="A181" t="s">
        <v>8</v>
      </c>
      <c r="B181" t="s">
        <v>14</v>
      </c>
      <c r="C181" t="s">
        <v>29</v>
      </c>
      <c r="D181" t="str" cm="1">
        <f t="array" ref="D181">INDEX(_xlfn.TEXTSPLIT(C181,"_"),3)</f>
        <v>bfr</v>
      </c>
      <c r="E181" t="str">
        <f>VLOOKUP(D181,FranchiseMapping!$A$1:$B$15,2,FALSE)</f>
        <v>Full Rescue</v>
      </c>
      <c r="F181" s="1">
        <v>45658</v>
      </c>
      <c r="G181" t="s">
        <v>12</v>
      </c>
      <c r="H181" s="2">
        <v>45809</v>
      </c>
      <c r="I181" s="3">
        <v>45828</v>
      </c>
      <c r="J181" s="3">
        <f t="shared" si="2"/>
        <v>45829</v>
      </c>
      <c r="K181" s="4">
        <v>57</v>
      </c>
      <c r="L181">
        <v>11006</v>
      </c>
    </row>
    <row r="182" spans="1:12" x14ac:dyDescent="0.35">
      <c r="A182" t="s">
        <v>8</v>
      </c>
      <c r="B182" t="s">
        <v>9</v>
      </c>
      <c r="C182" t="s">
        <v>46</v>
      </c>
      <c r="D182" t="str" cm="1">
        <f t="array" ref="D182">INDEX(_xlfn.TEXTSPLIT(C182,"_"),3)</f>
        <v>mult</v>
      </c>
      <c r="E182" t="str">
        <f>VLOOKUP(D182,FranchiseMapping!$A$1:$B$15,2,FALSE)</f>
        <v>Biolage</v>
      </c>
      <c r="F182" s="1">
        <v>45658</v>
      </c>
      <c r="G182" t="s">
        <v>10</v>
      </c>
      <c r="H182" s="2">
        <v>45809</v>
      </c>
      <c r="I182" s="3">
        <v>45822</v>
      </c>
      <c r="J182" s="3">
        <f t="shared" si="2"/>
        <v>45822</v>
      </c>
      <c r="K182" s="4">
        <v>1800.5200000000002</v>
      </c>
      <c r="L182">
        <v>214196</v>
      </c>
    </row>
    <row r="183" spans="1:12" x14ac:dyDescent="0.35">
      <c r="A183" t="s">
        <v>8</v>
      </c>
      <c r="B183" t="s">
        <v>9</v>
      </c>
      <c r="C183" t="s">
        <v>40</v>
      </c>
      <c r="D183" t="str" cm="1">
        <f t="array" ref="D183">INDEX(_xlfn.TEXTSPLIT(C183,"_"),3)</f>
        <v>hydrasource</v>
      </c>
      <c r="E183" t="str">
        <f>VLOOKUP(D183,FranchiseMapping!$A$1:$B$15,2,FALSE)</f>
        <v>Hydrasource</v>
      </c>
      <c r="F183" s="1">
        <v>45292</v>
      </c>
      <c r="G183" t="s">
        <v>12</v>
      </c>
      <c r="H183" s="2">
        <v>45323</v>
      </c>
      <c r="I183" s="3">
        <v>45345</v>
      </c>
      <c r="J183" s="3">
        <f t="shared" si="2"/>
        <v>45346</v>
      </c>
      <c r="K183" s="4">
        <v>3173.7200010000006</v>
      </c>
      <c r="L183">
        <v>475778</v>
      </c>
    </row>
    <row r="184" spans="1:12" x14ac:dyDescent="0.35">
      <c r="A184" t="s">
        <v>8</v>
      </c>
      <c r="B184" t="s">
        <v>9</v>
      </c>
      <c r="C184" t="s">
        <v>34</v>
      </c>
      <c r="D184" t="str" cm="1">
        <f t="array" ref="D184">INDEX(_xlfn.TEXTSPLIT(C184,"_"),3)</f>
        <v>hydrasource</v>
      </c>
      <c r="E184" t="str">
        <f>VLOOKUP(D184,FranchiseMapping!$A$1:$B$15,2,FALSE)</f>
        <v>Hydrasource</v>
      </c>
      <c r="F184" s="1">
        <v>45292</v>
      </c>
      <c r="G184" t="s">
        <v>12</v>
      </c>
      <c r="H184" s="2">
        <v>45323</v>
      </c>
      <c r="I184" s="3">
        <v>45345</v>
      </c>
      <c r="J184" s="3">
        <f t="shared" si="2"/>
        <v>45346</v>
      </c>
      <c r="K184" s="4">
        <v>935.84999700000003</v>
      </c>
      <c r="L184">
        <v>185492</v>
      </c>
    </row>
    <row r="185" spans="1:12" x14ac:dyDescent="0.35">
      <c r="A185" t="s">
        <v>8</v>
      </c>
      <c r="B185" t="s">
        <v>14</v>
      </c>
      <c r="C185" t="s">
        <v>49</v>
      </c>
      <c r="D185" t="str" cm="1">
        <f t="array" ref="D185">INDEX(_xlfn.TEXTSPLIT(C185,"_"),3)</f>
        <v>hys</v>
      </c>
      <c r="E185" t="str">
        <f>VLOOKUP(D185,FranchiseMapping!$A$1:$B$15,2,FALSE)</f>
        <v>Hydrasource</v>
      </c>
      <c r="F185" s="1">
        <v>45658</v>
      </c>
      <c r="G185" t="s">
        <v>10</v>
      </c>
      <c r="H185" s="2">
        <v>45748</v>
      </c>
      <c r="I185" s="3">
        <v>45766</v>
      </c>
      <c r="J185" s="3">
        <f t="shared" si="2"/>
        <v>45766</v>
      </c>
      <c r="K185" s="4">
        <v>195.29</v>
      </c>
      <c r="L185">
        <v>55257</v>
      </c>
    </row>
    <row r="186" spans="1:12" x14ac:dyDescent="0.35">
      <c r="A186" t="s">
        <v>8</v>
      </c>
      <c r="B186" t="s">
        <v>9</v>
      </c>
      <c r="C186" t="s">
        <v>41</v>
      </c>
      <c r="D186" t="str" cm="1">
        <f t="array" ref="D186">INDEX(_xlfn.TEXTSPLIT(C186,"_"),3)</f>
        <v>hys</v>
      </c>
      <c r="E186" t="str">
        <f>VLOOKUP(D186,FranchiseMapping!$A$1:$B$15,2,FALSE)</f>
        <v>Hydrasource</v>
      </c>
      <c r="F186" s="1">
        <v>45658</v>
      </c>
      <c r="G186" t="s">
        <v>12</v>
      </c>
      <c r="H186" s="2">
        <v>45748</v>
      </c>
      <c r="I186" s="3">
        <v>45763</v>
      </c>
      <c r="J186" s="3">
        <f t="shared" si="2"/>
        <v>45766</v>
      </c>
      <c r="K186" s="4">
        <v>3819.5899989999998</v>
      </c>
      <c r="L186">
        <v>270664</v>
      </c>
    </row>
    <row r="187" spans="1:12" x14ac:dyDescent="0.35">
      <c r="A187" t="s">
        <v>8</v>
      </c>
      <c r="B187" t="s">
        <v>9</v>
      </c>
      <c r="C187" t="s">
        <v>35</v>
      </c>
      <c r="D187" t="str" cm="1">
        <f t="array" ref="D187">INDEX(_xlfn.TEXTSPLIT(C187,"_"),3)</f>
        <v>bfr</v>
      </c>
      <c r="E187" t="str">
        <f>VLOOKUP(D187,FranchiseMapping!$A$1:$B$15,2,FALSE)</f>
        <v>Full Rescue</v>
      </c>
      <c r="F187" s="1">
        <v>45658</v>
      </c>
      <c r="G187" t="s">
        <v>10</v>
      </c>
      <c r="H187" s="2">
        <v>45809</v>
      </c>
      <c r="I187" s="3">
        <v>45818</v>
      </c>
      <c r="J187" s="3">
        <f t="shared" si="2"/>
        <v>45822</v>
      </c>
      <c r="K187" s="4">
        <v>71.38</v>
      </c>
      <c r="L187">
        <v>8624</v>
      </c>
    </row>
    <row r="188" spans="1:12" x14ac:dyDescent="0.35">
      <c r="A188" t="s">
        <v>8</v>
      </c>
      <c r="B188" t="s">
        <v>9</v>
      </c>
      <c r="C188" t="s">
        <v>46</v>
      </c>
      <c r="D188" t="str" cm="1">
        <f t="array" ref="D188">INDEX(_xlfn.TEXTSPLIT(C188,"_"),3)</f>
        <v>mult</v>
      </c>
      <c r="E188" t="str">
        <f>VLOOKUP(D188,FranchiseMapping!$A$1:$B$15,2,FALSE)</f>
        <v>Biolage</v>
      </c>
      <c r="F188" s="1">
        <v>45658</v>
      </c>
      <c r="G188" t="s">
        <v>10</v>
      </c>
      <c r="H188" s="2">
        <v>45748</v>
      </c>
      <c r="I188" s="3">
        <v>45761</v>
      </c>
      <c r="J188" s="3">
        <f t="shared" si="2"/>
        <v>45766</v>
      </c>
      <c r="K188" s="4">
        <v>975.27999999999975</v>
      </c>
      <c r="L188">
        <v>208990</v>
      </c>
    </row>
    <row r="189" spans="1:12" x14ac:dyDescent="0.35">
      <c r="A189" t="s">
        <v>8</v>
      </c>
      <c r="B189" t="s">
        <v>9</v>
      </c>
      <c r="C189" t="s">
        <v>56</v>
      </c>
      <c r="D189" t="str" cm="1">
        <f t="array" ref="D189">INDEX(_xlfn.TEXTSPLIT(C189,"_"),3)</f>
        <v>haca-colorlast-q3</v>
      </c>
      <c r="E189" t="str">
        <f>VLOOKUP(D189,FranchiseMapping!$A$1:$B$15,2,FALSE)</f>
        <v>Color Last</v>
      </c>
      <c r="F189" s="1">
        <v>44927</v>
      </c>
      <c r="G189" t="s">
        <v>10</v>
      </c>
      <c r="H189" s="2">
        <v>45139</v>
      </c>
      <c r="I189" s="3">
        <v>45153</v>
      </c>
      <c r="J189" s="3">
        <f t="shared" si="2"/>
        <v>45157</v>
      </c>
      <c r="K189" s="4">
        <v>722.46999999999991</v>
      </c>
      <c r="L189">
        <v>105686</v>
      </c>
    </row>
    <row r="190" spans="1:12" x14ac:dyDescent="0.35">
      <c r="A190" t="s">
        <v>8</v>
      </c>
      <c r="B190" t="s">
        <v>14</v>
      </c>
      <c r="C190" t="s">
        <v>57</v>
      </c>
      <c r="D190" t="str" cm="1">
        <f t="array" ref="D190">INDEX(_xlfn.TEXTSPLIT(C190,"_"),3)</f>
        <v>bfr</v>
      </c>
      <c r="E190" t="str">
        <f>VLOOKUP(D190,FranchiseMapping!$A$1:$B$15,2,FALSE)</f>
        <v>Full Rescue</v>
      </c>
      <c r="F190" s="1">
        <v>45658</v>
      </c>
      <c r="G190" t="s">
        <v>12</v>
      </c>
      <c r="H190" s="2">
        <v>45809</v>
      </c>
      <c r="I190" s="3">
        <v>45812</v>
      </c>
      <c r="J190" s="3">
        <f t="shared" si="2"/>
        <v>45815</v>
      </c>
      <c r="K190" s="4">
        <v>7257.93</v>
      </c>
      <c r="L190">
        <v>525904</v>
      </c>
    </row>
    <row r="191" spans="1:12" x14ac:dyDescent="0.35">
      <c r="A191" t="s">
        <v>8</v>
      </c>
      <c r="B191" t="s">
        <v>9</v>
      </c>
      <c r="C191" t="s">
        <v>31</v>
      </c>
      <c r="D191" t="str" cm="1">
        <f t="array" ref="D191">INDEX(_xlfn.TEXTSPLIT(C191,"_"),3)</f>
        <v>scalp</v>
      </c>
      <c r="E191" t="str">
        <f>VLOOKUP(D191,FranchiseMapping!$A$1:$B$15,2,FALSE)</f>
        <v>Scalp Sync</v>
      </c>
      <c r="F191" s="1">
        <v>45292</v>
      </c>
      <c r="G191" t="s">
        <v>10</v>
      </c>
      <c r="H191" s="2">
        <v>45383</v>
      </c>
      <c r="I191" s="3">
        <v>45402</v>
      </c>
      <c r="J191" s="3">
        <f t="shared" si="2"/>
        <v>45402</v>
      </c>
      <c r="K191" s="4">
        <v>81.799999999999983</v>
      </c>
      <c r="L191">
        <v>9967</v>
      </c>
    </row>
    <row r="192" spans="1:12" x14ac:dyDescent="0.35">
      <c r="A192" t="s">
        <v>8</v>
      </c>
      <c r="B192" t="s">
        <v>9</v>
      </c>
      <c r="C192" t="s">
        <v>67</v>
      </c>
      <c r="D192" t="str" cm="1">
        <f t="array" ref="D192">INDEX(_xlfn.TEXTSPLIT(C192,"_"),3)</f>
        <v>prime-day</v>
      </c>
      <c r="E192" t="str">
        <f>VLOOKUP(D192,FranchiseMapping!$A$1:$B$15,2,FALSE)</f>
        <v>Prime Day</v>
      </c>
      <c r="F192" s="1">
        <v>45292</v>
      </c>
      <c r="G192" t="s">
        <v>10</v>
      </c>
      <c r="H192" s="2">
        <v>45474</v>
      </c>
      <c r="I192" s="3">
        <v>45479</v>
      </c>
      <c r="J192" s="3">
        <f t="shared" si="2"/>
        <v>45479</v>
      </c>
      <c r="K192" s="4">
        <v>2646.7599929999997</v>
      </c>
      <c r="L192">
        <v>309915</v>
      </c>
    </row>
    <row r="193" spans="1:12" x14ac:dyDescent="0.35">
      <c r="A193" t="s">
        <v>8</v>
      </c>
      <c r="B193" t="s">
        <v>9</v>
      </c>
      <c r="C193" t="s">
        <v>38</v>
      </c>
      <c r="D193" t="str" cm="1">
        <f t="array" ref="D193">INDEX(_xlfn.TEXTSPLIT(C193,"_"),3)</f>
        <v>hys</v>
      </c>
      <c r="E193" t="str">
        <f>VLOOKUP(D193,FranchiseMapping!$A$1:$B$15,2,FALSE)</f>
        <v>Hydrasource</v>
      </c>
      <c r="F193" s="1">
        <v>45658</v>
      </c>
      <c r="G193" t="s">
        <v>10</v>
      </c>
      <c r="H193" s="2">
        <v>45748</v>
      </c>
      <c r="I193" s="3">
        <v>45748</v>
      </c>
      <c r="J193" s="3">
        <f t="shared" si="2"/>
        <v>45752</v>
      </c>
      <c r="K193" s="4">
        <v>441.21</v>
      </c>
      <c r="L193">
        <v>31530</v>
      </c>
    </row>
    <row r="194" spans="1:12" x14ac:dyDescent="0.35">
      <c r="A194" t="s">
        <v>8</v>
      </c>
      <c r="B194" t="s">
        <v>9</v>
      </c>
      <c r="C194" t="s">
        <v>36</v>
      </c>
      <c r="D194" t="str" cm="1">
        <f t="array" ref="D194">INDEX(_xlfn.TEXTSPLIT(C194,"_"),3)</f>
        <v>bfr</v>
      </c>
      <c r="E194" t="str">
        <f>VLOOKUP(D194,FranchiseMapping!$A$1:$B$15,2,FALSE)</f>
        <v>Full Rescue</v>
      </c>
      <c r="F194" s="1">
        <v>45658</v>
      </c>
      <c r="G194" t="s">
        <v>12</v>
      </c>
      <c r="H194" s="2">
        <v>45809</v>
      </c>
      <c r="I194" s="3">
        <v>45809</v>
      </c>
      <c r="J194" s="3">
        <f t="shared" si="2"/>
        <v>45815</v>
      </c>
      <c r="K194" s="4">
        <v>2586.8299970000003</v>
      </c>
      <c r="L194">
        <v>420512</v>
      </c>
    </row>
    <row r="195" spans="1:12" x14ac:dyDescent="0.35">
      <c r="A195" t="s">
        <v>8</v>
      </c>
      <c r="B195" t="s">
        <v>9</v>
      </c>
      <c r="C195" t="s">
        <v>46</v>
      </c>
      <c r="D195" t="str" cm="1">
        <f t="array" ref="D195">INDEX(_xlfn.TEXTSPLIT(C195,"_"),3)</f>
        <v>mult</v>
      </c>
      <c r="E195" t="str">
        <f>VLOOKUP(D195,FranchiseMapping!$A$1:$B$15,2,FALSE)</f>
        <v>Biolage</v>
      </c>
      <c r="F195" s="1">
        <v>45658</v>
      </c>
      <c r="G195" t="s">
        <v>10</v>
      </c>
      <c r="H195" s="2">
        <v>45778</v>
      </c>
      <c r="I195" s="3">
        <v>45805</v>
      </c>
      <c r="J195" s="3">
        <f t="shared" ref="J195:J258" si="3">I195 + (7 - WEEKDAY(I195, 1))</f>
        <v>45808</v>
      </c>
      <c r="K195" s="4">
        <v>1231.55</v>
      </c>
      <c r="L195">
        <v>200374</v>
      </c>
    </row>
    <row r="196" spans="1:12" x14ac:dyDescent="0.35">
      <c r="A196" t="s">
        <v>8</v>
      </c>
      <c r="B196" t="s">
        <v>9</v>
      </c>
      <c r="C196" t="s">
        <v>53</v>
      </c>
      <c r="D196" t="str" cm="1">
        <f t="array" ref="D196">INDEX(_xlfn.TEXTSPLIT(C196,"_"),3)</f>
        <v>bond-therapy</v>
      </c>
      <c r="E196" t="str">
        <f>VLOOKUP(D196,FranchiseMapping!$A$1:$B$15,2,FALSE)</f>
        <v>Bond Therapy</v>
      </c>
      <c r="F196" s="1">
        <v>44927</v>
      </c>
      <c r="G196" t="s">
        <v>11</v>
      </c>
      <c r="H196" s="2">
        <v>45261</v>
      </c>
      <c r="I196" s="3">
        <v>45283</v>
      </c>
      <c r="J196" s="3">
        <f t="shared" si="3"/>
        <v>45283</v>
      </c>
      <c r="K196" s="4">
        <v>1187.370001</v>
      </c>
      <c r="L196">
        <v>223496</v>
      </c>
    </row>
    <row r="197" spans="1:12" x14ac:dyDescent="0.35">
      <c r="A197" t="s">
        <v>8</v>
      </c>
      <c r="B197" t="s">
        <v>13</v>
      </c>
      <c r="C197" t="s">
        <v>62</v>
      </c>
      <c r="D197" t="str" cm="1">
        <f t="array" ref="D197">INDEX(_xlfn.TEXTSPLIT(C197,"_"),3)</f>
        <v>na</v>
      </c>
      <c r="E197" t="str">
        <f>VLOOKUP(D197,FranchiseMapping!$A$1:$B$15,2,FALSE)</f>
        <v>Biolage</v>
      </c>
      <c r="F197" s="1">
        <v>44927</v>
      </c>
      <c r="G197" t="s">
        <v>12</v>
      </c>
      <c r="H197" s="2">
        <v>45108</v>
      </c>
      <c r="I197" s="3">
        <v>45111</v>
      </c>
      <c r="J197" s="3">
        <f t="shared" si="3"/>
        <v>45115</v>
      </c>
      <c r="K197" s="4">
        <v>1360.7221030000001</v>
      </c>
      <c r="L197">
        <v>301993</v>
      </c>
    </row>
    <row r="198" spans="1:12" x14ac:dyDescent="0.35">
      <c r="A198" t="s">
        <v>8</v>
      </c>
      <c r="B198" t="s">
        <v>9</v>
      </c>
      <c r="C198" t="s">
        <v>56</v>
      </c>
      <c r="D198" t="str" cm="1">
        <f t="array" ref="D198">INDEX(_xlfn.TEXTSPLIT(C198,"_"),3)</f>
        <v>haca-colorlast-q3</v>
      </c>
      <c r="E198" t="str">
        <f>VLOOKUP(D198,FranchiseMapping!$A$1:$B$15,2,FALSE)</f>
        <v>Color Last</v>
      </c>
      <c r="F198" s="1">
        <v>44927</v>
      </c>
      <c r="G198" t="s">
        <v>10</v>
      </c>
      <c r="H198" s="2">
        <v>45139</v>
      </c>
      <c r="I198" s="3">
        <v>45144</v>
      </c>
      <c r="J198" s="3">
        <f t="shared" si="3"/>
        <v>45150</v>
      </c>
      <c r="K198" s="4">
        <v>2244.8299999999995</v>
      </c>
      <c r="L198">
        <v>406205</v>
      </c>
    </row>
    <row r="199" spans="1:12" x14ac:dyDescent="0.35">
      <c r="A199" t="s">
        <v>8</v>
      </c>
      <c r="B199" t="s">
        <v>9</v>
      </c>
      <c r="C199" t="s">
        <v>38</v>
      </c>
      <c r="D199" t="str" cm="1">
        <f t="array" ref="D199">INDEX(_xlfn.TEXTSPLIT(C199,"_"),3)</f>
        <v>hys</v>
      </c>
      <c r="E199" t="str">
        <f>VLOOKUP(D199,FranchiseMapping!$A$1:$B$15,2,FALSE)</f>
        <v>Hydrasource</v>
      </c>
      <c r="F199" s="1">
        <v>45658</v>
      </c>
      <c r="G199" t="s">
        <v>10</v>
      </c>
      <c r="H199" s="2">
        <v>45748</v>
      </c>
      <c r="I199" s="3">
        <v>45772</v>
      </c>
      <c r="J199" s="3">
        <f t="shared" si="3"/>
        <v>45773</v>
      </c>
      <c r="K199" s="4">
        <v>424.66999999999996</v>
      </c>
      <c r="L199">
        <v>19174</v>
      </c>
    </row>
    <row r="200" spans="1:12" x14ac:dyDescent="0.35">
      <c r="A200" t="s">
        <v>8</v>
      </c>
      <c r="B200" t="s">
        <v>9</v>
      </c>
      <c r="C200" t="s">
        <v>55</v>
      </c>
      <c r="D200" t="str" cm="1">
        <f t="array" ref="D200">INDEX(_xlfn.TEXTSPLIT(C200,"_"),3)</f>
        <v>hydrasource</v>
      </c>
      <c r="E200" t="str">
        <f>VLOOKUP(D200,FranchiseMapping!$A$1:$B$15,2,FALSE)</f>
        <v>Hydrasource</v>
      </c>
      <c r="F200" s="1">
        <v>45292</v>
      </c>
      <c r="G200" t="s">
        <v>12</v>
      </c>
      <c r="H200" s="2">
        <v>45566</v>
      </c>
      <c r="I200" s="3">
        <v>45584</v>
      </c>
      <c r="J200" s="3">
        <f t="shared" si="3"/>
        <v>45584</v>
      </c>
      <c r="K200" s="4">
        <v>3577.0799970000003</v>
      </c>
      <c r="L200">
        <v>775037</v>
      </c>
    </row>
    <row r="201" spans="1:12" x14ac:dyDescent="0.35">
      <c r="A201" t="s">
        <v>8</v>
      </c>
      <c r="B201" t="s">
        <v>9</v>
      </c>
      <c r="C201" t="s">
        <v>48</v>
      </c>
      <c r="D201" t="str" cm="1">
        <f t="array" ref="D201">INDEX(_xlfn.TEXTSPLIT(C201,"_"),3)</f>
        <v>scalp</v>
      </c>
      <c r="E201" t="str">
        <f>VLOOKUP(D201,FranchiseMapping!$A$1:$B$15,2,FALSE)</f>
        <v>Scalp Sync</v>
      </c>
      <c r="F201" s="1">
        <v>45292</v>
      </c>
      <c r="G201" t="s">
        <v>10</v>
      </c>
      <c r="H201" s="2">
        <v>45383</v>
      </c>
      <c r="I201" s="3">
        <v>45384</v>
      </c>
      <c r="J201" s="3">
        <f t="shared" si="3"/>
        <v>45388</v>
      </c>
      <c r="K201" s="4">
        <v>190.32999900000002</v>
      </c>
      <c r="L201">
        <v>54125</v>
      </c>
    </row>
    <row r="202" spans="1:12" x14ac:dyDescent="0.35">
      <c r="A202" t="s">
        <v>8</v>
      </c>
      <c r="B202" t="s">
        <v>14</v>
      </c>
      <c r="C202" t="s">
        <v>43</v>
      </c>
      <c r="D202" t="str" cm="1">
        <f t="array" ref="D202">INDEX(_xlfn.TEXTSPLIT(C202,"_"),3)</f>
        <v>bfr</v>
      </c>
      <c r="E202" t="str">
        <f>VLOOKUP(D202,FranchiseMapping!$A$1:$B$15,2,FALSE)</f>
        <v>Full Rescue</v>
      </c>
      <c r="F202" s="1">
        <v>45658</v>
      </c>
      <c r="G202" t="s">
        <v>12</v>
      </c>
      <c r="H202" s="2">
        <v>45809</v>
      </c>
      <c r="I202" s="3">
        <v>45837</v>
      </c>
      <c r="J202" s="3">
        <f t="shared" si="3"/>
        <v>45843</v>
      </c>
      <c r="K202" s="4">
        <v>403.97999999999996</v>
      </c>
      <c r="L202">
        <v>76103</v>
      </c>
    </row>
    <row r="203" spans="1:12" x14ac:dyDescent="0.35">
      <c r="A203" t="s">
        <v>8</v>
      </c>
      <c r="B203" t="s">
        <v>9</v>
      </c>
      <c r="C203" t="s">
        <v>50</v>
      </c>
      <c r="D203" t="str" cm="1">
        <f t="array" ref="D203">INDEX(_xlfn.TEXTSPLIT(C203,"_"),3)</f>
        <v>bond-therapy</v>
      </c>
      <c r="E203" t="str">
        <f>VLOOKUP(D203,FranchiseMapping!$A$1:$B$15,2,FALSE)</f>
        <v>Bond Therapy</v>
      </c>
      <c r="F203" s="1">
        <v>44927</v>
      </c>
      <c r="G203" t="s">
        <v>12</v>
      </c>
      <c r="H203" s="2">
        <v>45261</v>
      </c>
      <c r="I203" s="3">
        <v>45271</v>
      </c>
      <c r="J203" s="3">
        <f t="shared" si="3"/>
        <v>45276</v>
      </c>
      <c r="K203" s="4">
        <v>3096.8099960000004</v>
      </c>
      <c r="L203">
        <v>324140</v>
      </c>
    </row>
    <row r="204" spans="1:12" x14ac:dyDescent="0.35">
      <c r="A204" t="s">
        <v>8</v>
      </c>
      <c r="B204" t="s">
        <v>9</v>
      </c>
      <c r="C204" t="s">
        <v>36</v>
      </c>
      <c r="D204" t="str" cm="1">
        <f t="array" ref="D204">INDEX(_xlfn.TEXTSPLIT(C204,"_"),3)</f>
        <v>bfr</v>
      </c>
      <c r="E204" t="str">
        <f>VLOOKUP(D204,FranchiseMapping!$A$1:$B$15,2,FALSE)</f>
        <v>Full Rescue</v>
      </c>
      <c r="F204" s="1">
        <v>45658</v>
      </c>
      <c r="G204" t="s">
        <v>12</v>
      </c>
      <c r="H204" s="2">
        <v>45778</v>
      </c>
      <c r="I204" s="3">
        <v>45796</v>
      </c>
      <c r="J204" s="3">
        <f t="shared" si="3"/>
        <v>45801</v>
      </c>
      <c r="K204" s="4">
        <v>2537.049998</v>
      </c>
      <c r="L204">
        <v>422324</v>
      </c>
    </row>
    <row r="205" spans="1:12" x14ac:dyDescent="0.35">
      <c r="A205" t="s">
        <v>8</v>
      </c>
      <c r="B205" t="s">
        <v>13</v>
      </c>
      <c r="C205" t="s">
        <v>28</v>
      </c>
      <c r="D205" t="str" cm="1">
        <f t="array" ref="D205">INDEX(_xlfn.TEXTSPLIT(C205,"_"),3)</f>
        <v>na</v>
      </c>
      <c r="E205" t="str">
        <f>VLOOKUP(D205,FranchiseMapping!$A$1:$B$15,2,FALSE)</f>
        <v>Biolage</v>
      </c>
      <c r="F205" s="1">
        <v>44927</v>
      </c>
      <c r="G205" t="s">
        <v>10</v>
      </c>
      <c r="H205" s="2">
        <v>45108</v>
      </c>
      <c r="I205" s="3">
        <v>45129</v>
      </c>
      <c r="J205" s="3">
        <f t="shared" si="3"/>
        <v>45129</v>
      </c>
      <c r="K205" s="4">
        <v>1284.929803</v>
      </c>
      <c r="L205">
        <v>135275</v>
      </c>
    </row>
    <row r="206" spans="1:12" x14ac:dyDescent="0.35">
      <c r="A206" t="s">
        <v>8</v>
      </c>
      <c r="B206" t="s">
        <v>9</v>
      </c>
      <c r="C206" t="s">
        <v>35</v>
      </c>
      <c r="D206" t="str" cm="1">
        <f t="array" ref="D206">INDEX(_xlfn.TEXTSPLIT(C206,"_"),3)</f>
        <v>bfr</v>
      </c>
      <c r="E206" t="str">
        <f>VLOOKUP(D206,FranchiseMapping!$A$1:$B$15,2,FALSE)</f>
        <v>Full Rescue</v>
      </c>
      <c r="F206" s="1">
        <v>45658</v>
      </c>
      <c r="G206" t="s">
        <v>10</v>
      </c>
      <c r="H206" s="2">
        <v>45778</v>
      </c>
      <c r="I206" s="3">
        <v>45798</v>
      </c>
      <c r="J206" s="3">
        <f t="shared" si="3"/>
        <v>45801</v>
      </c>
      <c r="K206" s="4">
        <v>10.309999999999997</v>
      </c>
      <c r="L206">
        <v>990</v>
      </c>
    </row>
    <row r="207" spans="1:12" x14ac:dyDescent="0.35">
      <c r="A207" t="s">
        <v>8</v>
      </c>
      <c r="B207" t="s">
        <v>9</v>
      </c>
      <c r="C207" t="s">
        <v>36</v>
      </c>
      <c r="D207" t="str" cm="1">
        <f t="array" ref="D207">INDEX(_xlfn.TEXTSPLIT(C207,"_"),3)</f>
        <v>bfr</v>
      </c>
      <c r="E207" t="str">
        <f>VLOOKUP(D207,FranchiseMapping!$A$1:$B$15,2,FALSE)</f>
        <v>Full Rescue</v>
      </c>
      <c r="F207" s="1">
        <v>45658</v>
      </c>
      <c r="G207" t="s">
        <v>10</v>
      </c>
      <c r="H207" s="2">
        <v>45778</v>
      </c>
      <c r="I207" s="3">
        <v>45781</v>
      </c>
      <c r="J207" s="3">
        <f t="shared" si="3"/>
        <v>45787</v>
      </c>
      <c r="K207" s="4">
        <v>1160.93</v>
      </c>
      <c r="L207">
        <v>334949</v>
      </c>
    </row>
    <row r="208" spans="1:12" x14ac:dyDescent="0.35">
      <c r="A208" t="s">
        <v>8</v>
      </c>
      <c r="B208" t="s">
        <v>9</v>
      </c>
      <c r="C208" t="s">
        <v>56</v>
      </c>
      <c r="D208" t="str" cm="1">
        <f t="array" ref="D208">INDEX(_xlfn.TEXTSPLIT(C208,"_"),3)</f>
        <v>haca-colorlast-q3</v>
      </c>
      <c r="E208" t="str">
        <f>VLOOKUP(D208,FranchiseMapping!$A$1:$B$15,2,FALSE)</f>
        <v>Color Last</v>
      </c>
      <c r="F208" s="1">
        <v>44927</v>
      </c>
      <c r="G208" t="s">
        <v>10</v>
      </c>
      <c r="H208" s="2">
        <v>45139</v>
      </c>
      <c r="I208" s="3">
        <v>45140</v>
      </c>
      <c r="J208" s="3">
        <f t="shared" si="3"/>
        <v>45143</v>
      </c>
      <c r="K208" s="4">
        <v>2065.2399999999998</v>
      </c>
      <c r="L208">
        <v>342166</v>
      </c>
    </row>
    <row r="209" spans="1:12" x14ac:dyDescent="0.35">
      <c r="A209" t="s">
        <v>8</v>
      </c>
      <c r="B209" t="s">
        <v>9</v>
      </c>
      <c r="C209" t="s">
        <v>35</v>
      </c>
      <c r="D209" t="str" cm="1">
        <f t="array" ref="D209">INDEX(_xlfn.TEXTSPLIT(C209,"_"),3)</f>
        <v>bfr</v>
      </c>
      <c r="E209" t="str">
        <f>VLOOKUP(D209,FranchiseMapping!$A$1:$B$15,2,FALSE)</f>
        <v>Full Rescue</v>
      </c>
      <c r="F209" s="1">
        <v>45658</v>
      </c>
      <c r="G209" t="s">
        <v>10</v>
      </c>
      <c r="H209" s="2">
        <v>45778</v>
      </c>
      <c r="I209" s="3">
        <v>45797</v>
      </c>
      <c r="J209" s="3">
        <f t="shared" si="3"/>
        <v>45801</v>
      </c>
      <c r="K209" s="4">
        <v>5.9799999999999995</v>
      </c>
      <c r="L209">
        <v>670</v>
      </c>
    </row>
    <row r="210" spans="1:12" x14ac:dyDescent="0.35">
      <c r="A210" t="s">
        <v>8</v>
      </c>
      <c r="B210" t="s">
        <v>13</v>
      </c>
      <c r="C210" t="s">
        <v>42</v>
      </c>
      <c r="D210" t="str" cm="1">
        <f t="array" ref="D210">INDEX(_xlfn.TEXTSPLIT(C210,"_"),3)</f>
        <v>bfr</v>
      </c>
      <c r="E210" t="str">
        <f>VLOOKUP(D210,FranchiseMapping!$A$1:$B$15,2,FALSE)</f>
        <v>Full Rescue</v>
      </c>
      <c r="F210" s="1">
        <v>45658</v>
      </c>
      <c r="G210" t="s">
        <v>12</v>
      </c>
      <c r="H210" s="2">
        <v>45809</v>
      </c>
      <c r="I210" s="3">
        <v>45826</v>
      </c>
      <c r="J210" s="3">
        <f t="shared" si="3"/>
        <v>45829</v>
      </c>
      <c r="K210" s="4">
        <v>1430.0406299999995</v>
      </c>
      <c r="L210">
        <v>678090</v>
      </c>
    </row>
    <row r="211" spans="1:12" x14ac:dyDescent="0.35">
      <c r="A211" t="s">
        <v>8</v>
      </c>
      <c r="B211" t="s">
        <v>13</v>
      </c>
      <c r="C211" t="s">
        <v>42</v>
      </c>
      <c r="D211" t="str" cm="1">
        <f t="array" ref="D211">INDEX(_xlfn.TEXTSPLIT(C211,"_"),3)</f>
        <v>bfr</v>
      </c>
      <c r="E211" t="str">
        <f>VLOOKUP(D211,FranchiseMapping!$A$1:$B$15,2,FALSE)</f>
        <v>Full Rescue</v>
      </c>
      <c r="F211" s="1">
        <v>45658</v>
      </c>
      <c r="G211" t="s">
        <v>10</v>
      </c>
      <c r="H211" s="2">
        <v>45809</v>
      </c>
      <c r="I211" s="3">
        <v>45826</v>
      </c>
      <c r="J211" s="3">
        <f t="shared" si="3"/>
        <v>45829</v>
      </c>
      <c r="K211" s="4">
        <v>300.886323</v>
      </c>
      <c r="L211">
        <v>144065</v>
      </c>
    </row>
    <row r="212" spans="1:12" x14ac:dyDescent="0.35">
      <c r="A212" t="s">
        <v>8</v>
      </c>
      <c r="B212" t="s">
        <v>9</v>
      </c>
      <c r="C212" t="s">
        <v>50</v>
      </c>
      <c r="D212" t="str" cm="1">
        <f t="array" ref="D212">INDEX(_xlfn.TEXTSPLIT(C212,"_"),3)</f>
        <v>bond-therapy</v>
      </c>
      <c r="E212" t="str">
        <f>VLOOKUP(D212,FranchiseMapping!$A$1:$B$15,2,FALSE)</f>
        <v>Bond Therapy</v>
      </c>
      <c r="F212" s="1">
        <v>44927</v>
      </c>
      <c r="G212" t="s">
        <v>12</v>
      </c>
      <c r="H212" s="2">
        <v>45261</v>
      </c>
      <c r="I212" s="3">
        <v>45282</v>
      </c>
      <c r="J212" s="3">
        <f t="shared" si="3"/>
        <v>45283</v>
      </c>
      <c r="K212" s="4">
        <v>2925.7599919999993</v>
      </c>
      <c r="L212">
        <v>253054</v>
      </c>
    </row>
    <row r="213" spans="1:12" x14ac:dyDescent="0.35">
      <c r="A213" t="s">
        <v>8</v>
      </c>
      <c r="B213" t="s">
        <v>9</v>
      </c>
      <c r="C213" t="s">
        <v>53</v>
      </c>
      <c r="D213" t="str" cm="1">
        <f t="array" ref="D213">INDEX(_xlfn.TEXTSPLIT(C213,"_"),3)</f>
        <v>bond-therapy</v>
      </c>
      <c r="E213" t="str">
        <f>VLOOKUP(D213,FranchiseMapping!$A$1:$B$15,2,FALSE)</f>
        <v>Bond Therapy</v>
      </c>
      <c r="F213" s="1">
        <v>44927</v>
      </c>
      <c r="G213" t="s">
        <v>11</v>
      </c>
      <c r="H213" s="2">
        <v>45261</v>
      </c>
      <c r="I213" s="3">
        <v>45282</v>
      </c>
      <c r="J213" s="3">
        <f t="shared" si="3"/>
        <v>45283</v>
      </c>
      <c r="K213" s="4">
        <v>1132.23</v>
      </c>
      <c r="L213">
        <v>205116</v>
      </c>
    </row>
    <row r="214" spans="1:12" x14ac:dyDescent="0.35">
      <c r="A214" t="s">
        <v>8</v>
      </c>
      <c r="B214" t="s">
        <v>13</v>
      </c>
      <c r="C214" t="s">
        <v>28</v>
      </c>
      <c r="D214" t="str" cm="1">
        <f t="array" ref="D214">INDEX(_xlfn.TEXTSPLIT(C214,"_"),3)</f>
        <v>na</v>
      </c>
      <c r="E214" t="str">
        <f>VLOOKUP(D214,FranchiseMapping!$A$1:$B$15,2,FALSE)</f>
        <v>Biolage</v>
      </c>
      <c r="F214" s="1">
        <v>44927</v>
      </c>
      <c r="G214" t="s">
        <v>10</v>
      </c>
      <c r="H214" s="2">
        <v>45108</v>
      </c>
      <c r="I214" s="3">
        <v>45130</v>
      </c>
      <c r="J214" s="3">
        <f t="shared" si="3"/>
        <v>45136</v>
      </c>
      <c r="K214" s="4">
        <v>1225.151989</v>
      </c>
      <c r="L214">
        <v>126461</v>
      </c>
    </row>
    <row r="215" spans="1:12" x14ac:dyDescent="0.35">
      <c r="A215" t="s">
        <v>8</v>
      </c>
      <c r="B215" t="s">
        <v>9</v>
      </c>
      <c r="C215" t="s">
        <v>36</v>
      </c>
      <c r="D215" t="str" cm="1">
        <f t="array" ref="D215">INDEX(_xlfn.TEXTSPLIT(C215,"_"),3)</f>
        <v>bfr</v>
      </c>
      <c r="E215" t="str">
        <f>VLOOKUP(D215,FranchiseMapping!$A$1:$B$15,2,FALSE)</f>
        <v>Full Rescue</v>
      </c>
      <c r="F215" s="1">
        <v>45658</v>
      </c>
      <c r="G215" t="s">
        <v>12</v>
      </c>
      <c r="H215" s="2">
        <v>45778</v>
      </c>
      <c r="I215" s="3">
        <v>45800</v>
      </c>
      <c r="J215" s="3">
        <f t="shared" si="3"/>
        <v>45801</v>
      </c>
      <c r="K215" s="4">
        <v>2658.269996</v>
      </c>
      <c r="L215">
        <v>408378</v>
      </c>
    </row>
    <row r="216" spans="1:12" x14ac:dyDescent="0.35">
      <c r="A216" t="s">
        <v>8</v>
      </c>
      <c r="B216" t="s">
        <v>9</v>
      </c>
      <c r="C216" t="s">
        <v>60</v>
      </c>
      <c r="D216" t="str" cm="1">
        <f t="array" ref="D216">INDEX(_xlfn.TEXTSPLIT(C216,"_"),3)</f>
        <v>blowdrycream</v>
      </c>
      <c r="E216" t="str">
        <f>VLOOKUP(D216,FranchiseMapping!$A$1:$B$15,2,FALSE)</f>
        <v>Blowdry Cream</v>
      </c>
      <c r="F216" s="1">
        <v>44927</v>
      </c>
      <c r="G216" t="s">
        <v>11</v>
      </c>
      <c r="H216" s="2">
        <v>45170</v>
      </c>
      <c r="I216" s="3">
        <v>45184</v>
      </c>
      <c r="J216" s="3">
        <f t="shared" si="3"/>
        <v>45185</v>
      </c>
      <c r="K216" s="4">
        <v>1324.2899970000001</v>
      </c>
      <c r="L216">
        <v>84225</v>
      </c>
    </row>
    <row r="217" spans="1:12" x14ac:dyDescent="0.35">
      <c r="A217" t="s">
        <v>8</v>
      </c>
      <c r="B217" t="s">
        <v>14</v>
      </c>
      <c r="C217" t="s">
        <v>29</v>
      </c>
      <c r="D217" t="str" cm="1">
        <f t="array" ref="D217">INDEX(_xlfn.TEXTSPLIT(C217,"_"),3)</f>
        <v>bfr</v>
      </c>
      <c r="E217" t="str">
        <f>VLOOKUP(D217,FranchiseMapping!$A$1:$B$15,2,FALSE)</f>
        <v>Full Rescue</v>
      </c>
      <c r="F217" s="1">
        <v>45658</v>
      </c>
      <c r="G217" t="s">
        <v>12</v>
      </c>
      <c r="H217" s="2">
        <v>45809</v>
      </c>
      <c r="I217" s="3">
        <v>45825</v>
      </c>
      <c r="J217" s="3">
        <f t="shared" si="3"/>
        <v>45829</v>
      </c>
      <c r="K217" s="4">
        <v>13.309999999999999</v>
      </c>
      <c r="L217">
        <v>2938</v>
      </c>
    </row>
    <row r="218" spans="1:12" x14ac:dyDescent="0.35">
      <c r="A218" t="s">
        <v>8</v>
      </c>
      <c r="B218" t="s">
        <v>13</v>
      </c>
      <c r="C218" t="s">
        <v>28</v>
      </c>
      <c r="D218" t="str" cm="1">
        <f t="array" ref="D218">INDEX(_xlfn.TEXTSPLIT(C218,"_"),3)</f>
        <v>na</v>
      </c>
      <c r="E218" t="str">
        <f>VLOOKUP(D218,FranchiseMapping!$A$1:$B$15,2,FALSE)</f>
        <v>Biolage</v>
      </c>
      <c r="F218" s="1">
        <v>44927</v>
      </c>
      <c r="G218" t="s">
        <v>10</v>
      </c>
      <c r="H218" s="2">
        <v>45139</v>
      </c>
      <c r="I218" s="3">
        <v>45153</v>
      </c>
      <c r="J218" s="3">
        <f t="shared" si="3"/>
        <v>45157</v>
      </c>
      <c r="K218" s="4">
        <v>1165.5439489999999</v>
      </c>
      <c r="L218">
        <v>146141</v>
      </c>
    </row>
    <row r="219" spans="1:12" x14ac:dyDescent="0.35">
      <c r="A219" t="s">
        <v>8</v>
      </c>
      <c r="B219" t="s">
        <v>14</v>
      </c>
      <c r="C219" t="s">
        <v>43</v>
      </c>
      <c r="D219" t="str" cm="1">
        <f t="array" ref="D219">INDEX(_xlfn.TEXTSPLIT(C219,"_"),3)</f>
        <v>bfr</v>
      </c>
      <c r="E219" t="str">
        <f>VLOOKUP(D219,FranchiseMapping!$A$1:$B$15,2,FALSE)</f>
        <v>Full Rescue</v>
      </c>
      <c r="F219" s="1">
        <v>45658</v>
      </c>
      <c r="G219" t="s">
        <v>10</v>
      </c>
      <c r="H219" s="2">
        <v>45809</v>
      </c>
      <c r="I219" s="3">
        <v>45812</v>
      </c>
      <c r="J219" s="3">
        <f t="shared" si="3"/>
        <v>45815</v>
      </c>
      <c r="K219" s="4">
        <v>276.08000000000004</v>
      </c>
      <c r="L219">
        <v>66143</v>
      </c>
    </row>
    <row r="220" spans="1:12" x14ac:dyDescent="0.35">
      <c r="A220" t="s">
        <v>8</v>
      </c>
      <c r="B220" t="s">
        <v>9</v>
      </c>
      <c r="C220" t="s">
        <v>68</v>
      </c>
      <c r="D220" t="str" cm="1">
        <f t="array" ref="D220">INDEX(_xlfn.TEXTSPLIT(C220,"_"),3)</f>
        <v>na</v>
      </c>
      <c r="E220" t="str">
        <f>VLOOKUP(D220,FranchiseMapping!$A$1:$B$15,2,FALSE)</f>
        <v>Biolage</v>
      </c>
      <c r="F220" s="1">
        <v>44927</v>
      </c>
      <c r="G220" t="s">
        <v>11</v>
      </c>
      <c r="H220" s="2">
        <v>45231</v>
      </c>
      <c r="I220" s="3">
        <v>45236</v>
      </c>
      <c r="J220" s="3">
        <f t="shared" si="3"/>
        <v>45241</v>
      </c>
      <c r="K220" s="4">
        <v>337.00999899999988</v>
      </c>
      <c r="L220">
        <v>39966</v>
      </c>
    </row>
    <row r="221" spans="1:12" x14ac:dyDescent="0.35">
      <c r="A221" t="s">
        <v>8</v>
      </c>
      <c r="B221" t="s">
        <v>9</v>
      </c>
      <c r="C221" t="s">
        <v>38</v>
      </c>
      <c r="D221" t="str" cm="1">
        <f t="array" ref="D221">INDEX(_xlfn.TEXTSPLIT(C221,"_"),3)</f>
        <v>hys</v>
      </c>
      <c r="E221" t="str">
        <f>VLOOKUP(D221,FranchiseMapping!$A$1:$B$15,2,FALSE)</f>
        <v>Hydrasource</v>
      </c>
      <c r="F221" s="1">
        <v>45658</v>
      </c>
      <c r="G221" t="s">
        <v>12</v>
      </c>
      <c r="H221" s="2">
        <v>45748</v>
      </c>
      <c r="I221" s="3">
        <v>45758</v>
      </c>
      <c r="J221" s="3">
        <f t="shared" si="3"/>
        <v>45759</v>
      </c>
      <c r="K221" s="4">
        <v>2172.7899980000002</v>
      </c>
      <c r="L221">
        <v>276141</v>
      </c>
    </row>
    <row r="222" spans="1:12" x14ac:dyDescent="0.35">
      <c r="A222" t="s">
        <v>8</v>
      </c>
      <c r="B222" t="s">
        <v>14</v>
      </c>
      <c r="C222" t="s">
        <v>49</v>
      </c>
      <c r="D222" t="str" cm="1">
        <f t="array" ref="D222">INDEX(_xlfn.TEXTSPLIT(C222,"_"),3)</f>
        <v>hys</v>
      </c>
      <c r="E222" t="str">
        <f>VLOOKUP(D222,FranchiseMapping!$A$1:$B$15,2,FALSE)</f>
        <v>Hydrasource</v>
      </c>
      <c r="F222" s="1">
        <v>45658</v>
      </c>
      <c r="G222" t="s">
        <v>10</v>
      </c>
      <c r="H222" s="2">
        <v>45748</v>
      </c>
      <c r="I222" s="3">
        <v>45758</v>
      </c>
      <c r="J222" s="3">
        <f t="shared" si="3"/>
        <v>45759</v>
      </c>
      <c r="K222" s="4">
        <v>100.17</v>
      </c>
      <c r="L222">
        <v>33135</v>
      </c>
    </row>
    <row r="223" spans="1:12" x14ac:dyDescent="0.35">
      <c r="A223" t="s">
        <v>8</v>
      </c>
      <c r="B223" t="s">
        <v>13</v>
      </c>
      <c r="C223" t="s">
        <v>59</v>
      </c>
      <c r="D223" t="str" cm="1">
        <f t="array" ref="D223">INDEX(_xlfn.TEXTSPLIT(C223,"_"),3)</f>
        <v>scalp-sync</v>
      </c>
      <c r="E223" t="str">
        <f>VLOOKUP(D223,FranchiseMapping!$A$1:$B$15,2,FALSE)</f>
        <v>Scalp Sync</v>
      </c>
      <c r="F223" s="1">
        <v>45292</v>
      </c>
      <c r="G223" t="s">
        <v>11</v>
      </c>
      <c r="H223" s="2">
        <v>45383</v>
      </c>
      <c r="I223" s="3">
        <v>45402</v>
      </c>
      <c r="J223" s="3">
        <f t="shared" si="3"/>
        <v>45402</v>
      </c>
      <c r="K223" s="4">
        <v>3362.3303779999997</v>
      </c>
      <c r="L223">
        <v>1568055</v>
      </c>
    </row>
    <row r="224" spans="1:12" x14ac:dyDescent="0.35">
      <c r="A224" t="s">
        <v>8</v>
      </c>
      <c r="B224" t="s">
        <v>9</v>
      </c>
      <c r="C224" t="s">
        <v>54</v>
      </c>
      <c r="D224" t="str" cm="1">
        <f t="array" ref="D224">INDEX(_xlfn.TEXTSPLIT(C224,"_"),3)</f>
        <v>scalp</v>
      </c>
      <c r="E224" t="str">
        <f>VLOOKUP(D224,FranchiseMapping!$A$1:$B$15,2,FALSE)</f>
        <v>Scalp Sync</v>
      </c>
      <c r="F224" s="1">
        <v>45292</v>
      </c>
      <c r="G224" t="s">
        <v>10</v>
      </c>
      <c r="H224" s="2">
        <v>45383</v>
      </c>
      <c r="I224" s="3">
        <v>45387</v>
      </c>
      <c r="J224" s="3">
        <f t="shared" si="3"/>
        <v>45388</v>
      </c>
      <c r="K224" s="4">
        <v>2177.329999</v>
      </c>
      <c r="L224">
        <v>497655</v>
      </c>
    </row>
    <row r="225" spans="1:12" x14ac:dyDescent="0.35">
      <c r="A225" t="s">
        <v>8</v>
      </c>
      <c r="B225" t="s">
        <v>9</v>
      </c>
      <c r="C225" t="s">
        <v>48</v>
      </c>
      <c r="D225" t="str" cm="1">
        <f t="array" ref="D225">INDEX(_xlfn.TEXTSPLIT(C225,"_"),3)</f>
        <v>scalp</v>
      </c>
      <c r="E225" t="str">
        <f>VLOOKUP(D225,FranchiseMapping!$A$1:$B$15,2,FALSE)</f>
        <v>Scalp Sync</v>
      </c>
      <c r="F225" s="1">
        <v>45292</v>
      </c>
      <c r="G225" t="s">
        <v>10</v>
      </c>
      <c r="H225" s="2">
        <v>45383</v>
      </c>
      <c r="I225" s="3">
        <v>45391</v>
      </c>
      <c r="J225" s="3">
        <f t="shared" si="3"/>
        <v>45395</v>
      </c>
      <c r="K225" s="4">
        <v>197.06999999999996</v>
      </c>
      <c r="L225">
        <v>50967</v>
      </c>
    </row>
    <row r="226" spans="1:12" x14ac:dyDescent="0.35">
      <c r="A226" t="s">
        <v>8</v>
      </c>
      <c r="B226" t="s">
        <v>14</v>
      </c>
      <c r="C226" t="s">
        <v>43</v>
      </c>
      <c r="D226" t="str" cm="1">
        <f t="array" ref="D226">INDEX(_xlfn.TEXTSPLIT(C226,"_"),3)</f>
        <v>bfr</v>
      </c>
      <c r="E226" t="str">
        <f>VLOOKUP(D226,FranchiseMapping!$A$1:$B$15,2,FALSE)</f>
        <v>Full Rescue</v>
      </c>
      <c r="F226" s="1">
        <v>45658</v>
      </c>
      <c r="G226" t="s">
        <v>12</v>
      </c>
      <c r="H226" s="2">
        <v>45809</v>
      </c>
      <c r="I226" s="3">
        <v>45821</v>
      </c>
      <c r="J226" s="3">
        <f t="shared" si="3"/>
        <v>45822</v>
      </c>
      <c r="K226" s="4">
        <v>5371.41</v>
      </c>
      <c r="L226">
        <v>1059472</v>
      </c>
    </row>
    <row r="227" spans="1:12" x14ac:dyDescent="0.35">
      <c r="A227" t="s">
        <v>8</v>
      </c>
      <c r="B227" t="s">
        <v>13</v>
      </c>
      <c r="C227" t="s">
        <v>32</v>
      </c>
      <c r="D227" t="str" cm="1">
        <f t="array" ref="D227">INDEX(_xlfn.TEXTSPLIT(C227,"_"),3)</f>
        <v>na</v>
      </c>
      <c r="E227" t="str">
        <f>VLOOKUP(D227,FranchiseMapping!$A$1:$B$15,2,FALSE)</f>
        <v>Biolage</v>
      </c>
      <c r="F227" s="1">
        <v>44927</v>
      </c>
      <c r="G227" t="s">
        <v>11</v>
      </c>
      <c r="H227" s="2">
        <v>45139</v>
      </c>
      <c r="I227" s="3">
        <v>45159</v>
      </c>
      <c r="J227" s="3">
        <f t="shared" si="3"/>
        <v>45164</v>
      </c>
      <c r="K227" s="4">
        <v>1477.4153669999998</v>
      </c>
      <c r="L227">
        <v>496862</v>
      </c>
    </row>
    <row r="228" spans="1:12" x14ac:dyDescent="0.35">
      <c r="A228" t="s">
        <v>8</v>
      </c>
      <c r="B228" t="s">
        <v>9</v>
      </c>
      <c r="C228" t="s">
        <v>50</v>
      </c>
      <c r="D228" t="str" cm="1">
        <f t="array" ref="D228">INDEX(_xlfn.TEXTSPLIT(C228,"_"),3)</f>
        <v>bond-therapy</v>
      </c>
      <c r="E228" t="str">
        <f>VLOOKUP(D228,FranchiseMapping!$A$1:$B$15,2,FALSE)</f>
        <v>Bond Therapy</v>
      </c>
      <c r="F228" s="1">
        <v>44927</v>
      </c>
      <c r="G228" t="s">
        <v>12</v>
      </c>
      <c r="H228" s="2">
        <v>45261</v>
      </c>
      <c r="I228" s="3">
        <v>45270</v>
      </c>
      <c r="J228" s="3">
        <f t="shared" si="3"/>
        <v>45276</v>
      </c>
      <c r="K228" s="4">
        <v>3217.8300090000007</v>
      </c>
      <c r="L228">
        <v>351114</v>
      </c>
    </row>
    <row r="229" spans="1:12" x14ac:dyDescent="0.35">
      <c r="A229" t="s">
        <v>8</v>
      </c>
      <c r="B229" t="s">
        <v>9</v>
      </c>
      <c r="C229" t="s">
        <v>52</v>
      </c>
      <c r="D229" t="str" cm="1">
        <f t="array" ref="D229">INDEX(_xlfn.TEXTSPLIT(C229,"_"),3)</f>
        <v>bond-therapy</v>
      </c>
      <c r="E229" t="str">
        <f>VLOOKUP(D229,FranchiseMapping!$A$1:$B$15,2,FALSE)</f>
        <v>Bond Therapy</v>
      </c>
      <c r="F229" s="1">
        <v>44927</v>
      </c>
      <c r="G229" t="s">
        <v>11</v>
      </c>
      <c r="H229" s="2">
        <v>45231</v>
      </c>
      <c r="I229" s="3">
        <v>45259</v>
      </c>
      <c r="J229" s="3">
        <f t="shared" si="3"/>
        <v>45262</v>
      </c>
      <c r="K229" s="4">
        <v>2939.0700020000004</v>
      </c>
      <c r="L229">
        <v>444419</v>
      </c>
    </row>
    <row r="230" spans="1:12" x14ac:dyDescent="0.35">
      <c r="A230" t="s">
        <v>8</v>
      </c>
      <c r="B230" t="s">
        <v>14</v>
      </c>
      <c r="C230" t="s">
        <v>43</v>
      </c>
      <c r="D230" t="str" cm="1">
        <f t="array" ref="D230">INDEX(_xlfn.TEXTSPLIT(C230,"_"),3)</f>
        <v>bfr</v>
      </c>
      <c r="E230" t="str">
        <f>VLOOKUP(D230,FranchiseMapping!$A$1:$B$15,2,FALSE)</f>
        <v>Full Rescue</v>
      </c>
      <c r="F230" s="1">
        <v>45658</v>
      </c>
      <c r="G230" t="s">
        <v>10</v>
      </c>
      <c r="H230" s="2">
        <v>45809</v>
      </c>
      <c r="I230" s="3">
        <v>45837</v>
      </c>
      <c r="J230" s="3">
        <f t="shared" si="3"/>
        <v>45843</v>
      </c>
      <c r="K230" s="4">
        <v>5703.2599999999993</v>
      </c>
      <c r="L230">
        <v>851641</v>
      </c>
    </row>
    <row r="231" spans="1:12" x14ac:dyDescent="0.35">
      <c r="A231" t="s">
        <v>8</v>
      </c>
      <c r="B231" t="s">
        <v>9</v>
      </c>
      <c r="C231" t="s">
        <v>38</v>
      </c>
      <c r="D231" t="str" cm="1">
        <f t="array" ref="D231">INDEX(_xlfn.TEXTSPLIT(C231,"_"),3)</f>
        <v>hys</v>
      </c>
      <c r="E231" t="str">
        <f>VLOOKUP(D231,FranchiseMapping!$A$1:$B$15,2,FALSE)</f>
        <v>Hydrasource</v>
      </c>
      <c r="F231" s="1">
        <v>45658</v>
      </c>
      <c r="G231" t="s">
        <v>10</v>
      </c>
      <c r="H231" s="2">
        <v>45748</v>
      </c>
      <c r="I231" s="3">
        <v>45759</v>
      </c>
      <c r="J231" s="3">
        <f t="shared" si="3"/>
        <v>45759</v>
      </c>
      <c r="K231" s="4">
        <v>357.91999999999996</v>
      </c>
      <c r="L231">
        <v>16579</v>
      </c>
    </row>
    <row r="232" spans="1:12" x14ac:dyDescent="0.35">
      <c r="A232" t="s">
        <v>8</v>
      </c>
      <c r="B232" t="s">
        <v>9</v>
      </c>
      <c r="C232" t="s">
        <v>48</v>
      </c>
      <c r="D232" t="str" cm="1">
        <f t="array" ref="D232">INDEX(_xlfn.TEXTSPLIT(C232,"_"),3)</f>
        <v>scalp</v>
      </c>
      <c r="E232" t="str">
        <f>VLOOKUP(D232,FranchiseMapping!$A$1:$B$15,2,FALSE)</f>
        <v>Scalp Sync</v>
      </c>
      <c r="F232" s="1">
        <v>45292</v>
      </c>
      <c r="G232" t="s">
        <v>10</v>
      </c>
      <c r="H232" s="2">
        <v>45352</v>
      </c>
      <c r="I232" s="3">
        <v>45376</v>
      </c>
      <c r="J232" s="3">
        <f t="shared" si="3"/>
        <v>45381</v>
      </c>
      <c r="K232" s="4">
        <v>876.38999899999999</v>
      </c>
      <c r="L232">
        <v>205022</v>
      </c>
    </row>
    <row r="233" spans="1:12" x14ac:dyDescent="0.35">
      <c r="A233" t="s">
        <v>8</v>
      </c>
      <c r="B233" t="s">
        <v>9</v>
      </c>
      <c r="C233" t="s">
        <v>35</v>
      </c>
      <c r="D233" t="str" cm="1">
        <f t="array" ref="D233">INDEX(_xlfn.TEXTSPLIT(C233,"_"),3)</f>
        <v>bfr</v>
      </c>
      <c r="E233" t="str">
        <f>VLOOKUP(D233,FranchiseMapping!$A$1:$B$15,2,FALSE)</f>
        <v>Full Rescue</v>
      </c>
      <c r="F233" s="1">
        <v>45658</v>
      </c>
      <c r="G233" t="s">
        <v>10</v>
      </c>
      <c r="H233" s="2">
        <v>45809</v>
      </c>
      <c r="I233" s="3">
        <v>45815</v>
      </c>
      <c r="J233" s="3">
        <f t="shared" si="3"/>
        <v>45815</v>
      </c>
      <c r="K233" s="4">
        <v>77.2</v>
      </c>
      <c r="L233">
        <v>8748</v>
      </c>
    </row>
    <row r="234" spans="1:12" x14ac:dyDescent="0.35">
      <c r="A234" t="s">
        <v>8</v>
      </c>
      <c r="B234" t="s">
        <v>9</v>
      </c>
      <c r="C234" t="s">
        <v>31</v>
      </c>
      <c r="D234" t="str" cm="1">
        <f t="array" ref="D234">INDEX(_xlfn.TEXTSPLIT(C234,"_"),3)</f>
        <v>scalp</v>
      </c>
      <c r="E234" t="str">
        <f>VLOOKUP(D234,FranchiseMapping!$A$1:$B$15,2,FALSE)</f>
        <v>Scalp Sync</v>
      </c>
      <c r="F234" s="1">
        <v>45292</v>
      </c>
      <c r="G234" t="s">
        <v>10</v>
      </c>
      <c r="H234" s="2">
        <v>45352</v>
      </c>
      <c r="I234" s="3">
        <v>45373</v>
      </c>
      <c r="J234" s="3">
        <f t="shared" si="3"/>
        <v>45374</v>
      </c>
      <c r="K234" s="4">
        <v>1484.5199999999998</v>
      </c>
      <c r="L234">
        <v>228187</v>
      </c>
    </row>
    <row r="235" spans="1:12" x14ac:dyDescent="0.35">
      <c r="A235" t="s">
        <v>8</v>
      </c>
      <c r="B235" t="s">
        <v>9</v>
      </c>
      <c r="C235" t="s">
        <v>67</v>
      </c>
      <c r="D235" t="str" cm="1">
        <f t="array" ref="D235">INDEX(_xlfn.TEXTSPLIT(C235,"_"),3)</f>
        <v>prime-day</v>
      </c>
      <c r="E235" t="str">
        <f>VLOOKUP(D235,FranchiseMapping!$A$1:$B$15,2,FALSE)</f>
        <v>Prime Day</v>
      </c>
      <c r="F235" s="1">
        <v>45292</v>
      </c>
      <c r="G235" t="s">
        <v>10</v>
      </c>
      <c r="H235" s="2">
        <v>45474</v>
      </c>
      <c r="I235" s="3">
        <v>45484</v>
      </c>
      <c r="J235" s="3">
        <f t="shared" si="3"/>
        <v>45486</v>
      </c>
      <c r="K235" s="4">
        <v>2350.8099960000004</v>
      </c>
      <c r="L235">
        <v>196301</v>
      </c>
    </row>
    <row r="236" spans="1:12" x14ac:dyDescent="0.35">
      <c r="A236" t="s">
        <v>8</v>
      </c>
      <c r="B236" t="s">
        <v>13</v>
      </c>
      <c r="C236" t="s">
        <v>59</v>
      </c>
      <c r="D236" t="str" cm="1">
        <f t="array" ref="D236">INDEX(_xlfn.TEXTSPLIT(C236,"_"),3)</f>
        <v>scalp-sync</v>
      </c>
      <c r="E236" t="str">
        <f>VLOOKUP(D236,FranchiseMapping!$A$1:$B$15,2,FALSE)</f>
        <v>Scalp Sync</v>
      </c>
      <c r="F236" s="1">
        <v>45292</v>
      </c>
      <c r="G236" t="s">
        <v>11</v>
      </c>
      <c r="H236" s="2">
        <v>45383</v>
      </c>
      <c r="I236" s="3">
        <v>45408</v>
      </c>
      <c r="J236" s="3">
        <f t="shared" si="3"/>
        <v>45409</v>
      </c>
      <c r="K236" s="4">
        <v>3360.0641800000003</v>
      </c>
      <c r="L236">
        <v>1563743</v>
      </c>
    </row>
    <row r="237" spans="1:12" x14ac:dyDescent="0.35">
      <c r="A237" t="s">
        <v>8</v>
      </c>
      <c r="B237" t="s">
        <v>9</v>
      </c>
      <c r="C237" t="s">
        <v>69</v>
      </c>
      <c r="D237" t="str" cm="1">
        <f t="array" ref="D237">INDEX(_xlfn.TEXTSPLIT(C237,"_"),3)</f>
        <v>prime-day</v>
      </c>
      <c r="E237" t="str">
        <f>VLOOKUP(D237,FranchiseMapping!$A$1:$B$15,2,FALSE)</f>
        <v>Prime Day</v>
      </c>
      <c r="F237" s="1">
        <v>45292</v>
      </c>
      <c r="G237" t="s">
        <v>10</v>
      </c>
      <c r="H237" s="2">
        <v>45474</v>
      </c>
      <c r="I237" s="3">
        <v>45486</v>
      </c>
      <c r="J237" s="3">
        <f t="shared" si="3"/>
        <v>45486</v>
      </c>
      <c r="K237" s="4">
        <v>3586.6899990000002</v>
      </c>
      <c r="L237">
        <v>576769</v>
      </c>
    </row>
    <row r="238" spans="1:12" x14ac:dyDescent="0.35">
      <c r="A238" t="s">
        <v>8</v>
      </c>
      <c r="B238" t="s">
        <v>13</v>
      </c>
      <c r="C238" t="s">
        <v>59</v>
      </c>
      <c r="D238" t="str" cm="1">
        <f t="array" ref="D238">INDEX(_xlfn.TEXTSPLIT(C238,"_"),3)</f>
        <v>scalp-sync</v>
      </c>
      <c r="E238" t="str">
        <f>VLOOKUP(D238,FranchiseMapping!$A$1:$B$15,2,FALSE)</f>
        <v>Scalp Sync</v>
      </c>
      <c r="F238" s="1">
        <v>45292</v>
      </c>
      <c r="G238" t="s">
        <v>11</v>
      </c>
      <c r="H238" s="2">
        <v>45383</v>
      </c>
      <c r="I238" s="3">
        <v>45410</v>
      </c>
      <c r="J238" s="3">
        <f t="shared" si="3"/>
        <v>45416</v>
      </c>
      <c r="K238" s="4">
        <v>3357.526303000001</v>
      </c>
      <c r="L238">
        <v>1574159</v>
      </c>
    </row>
    <row r="239" spans="1:12" x14ac:dyDescent="0.35">
      <c r="A239" t="s">
        <v>8</v>
      </c>
      <c r="B239" t="s">
        <v>14</v>
      </c>
      <c r="C239" t="s">
        <v>29</v>
      </c>
      <c r="D239" t="str" cm="1">
        <f t="array" ref="D239">INDEX(_xlfn.TEXTSPLIT(C239,"_"),3)</f>
        <v>bfr</v>
      </c>
      <c r="E239" t="str">
        <f>VLOOKUP(D239,FranchiseMapping!$A$1:$B$15,2,FALSE)</f>
        <v>Full Rescue</v>
      </c>
      <c r="F239" s="1">
        <v>45658</v>
      </c>
      <c r="G239" t="s">
        <v>12</v>
      </c>
      <c r="H239" s="2">
        <v>45809</v>
      </c>
      <c r="I239" s="3">
        <v>45822</v>
      </c>
      <c r="J239" s="3">
        <f t="shared" si="3"/>
        <v>45822</v>
      </c>
      <c r="K239" s="4">
        <v>64.789999999999992</v>
      </c>
      <c r="L239">
        <v>12073</v>
      </c>
    </row>
    <row r="240" spans="1:12" x14ac:dyDescent="0.35">
      <c r="A240" t="s">
        <v>8</v>
      </c>
      <c r="B240" t="s">
        <v>9</v>
      </c>
      <c r="C240" t="s">
        <v>56</v>
      </c>
      <c r="D240" t="str" cm="1">
        <f t="array" ref="D240">INDEX(_xlfn.TEXTSPLIT(C240,"_"),3)</f>
        <v>haca-colorlast-q3</v>
      </c>
      <c r="E240" t="str">
        <f>VLOOKUP(D240,FranchiseMapping!$A$1:$B$15,2,FALSE)</f>
        <v>Color Last</v>
      </c>
      <c r="F240" s="1">
        <v>44927</v>
      </c>
      <c r="G240" t="s">
        <v>10</v>
      </c>
      <c r="H240" s="2">
        <v>45108</v>
      </c>
      <c r="I240" s="3">
        <v>45122</v>
      </c>
      <c r="J240" s="3">
        <f t="shared" si="3"/>
        <v>45122</v>
      </c>
      <c r="K240" s="4">
        <v>2236.17</v>
      </c>
      <c r="L240">
        <v>373209</v>
      </c>
    </row>
    <row r="241" spans="1:12" x14ac:dyDescent="0.35">
      <c r="A241" t="s">
        <v>8</v>
      </c>
      <c r="B241" t="s">
        <v>9</v>
      </c>
      <c r="C241" t="s">
        <v>48</v>
      </c>
      <c r="D241" t="str" cm="1">
        <f t="array" ref="D241">INDEX(_xlfn.TEXTSPLIT(C241,"_"),3)</f>
        <v>scalp</v>
      </c>
      <c r="E241" t="str">
        <f>VLOOKUP(D241,FranchiseMapping!$A$1:$B$15,2,FALSE)</f>
        <v>Scalp Sync</v>
      </c>
      <c r="F241" s="1">
        <v>45292</v>
      </c>
      <c r="G241" t="s">
        <v>10</v>
      </c>
      <c r="H241" s="2">
        <v>45352</v>
      </c>
      <c r="I241" s="3">
        <v>45361</v>
      </c>
      <c r="J241" s="3">
        <f t="shared" si="3"/>
        <v>45367</v>
      </c>
      <c r="K241" s="4">
        <v>959.64999900000009</v>
      </c>
      <c r="L241">
        <v>226683</v>
      </c>
    </row>
    <row r="242" spans="1:12" x14ac:dyDescent="0.35">
      <c r="A242" t="s">
        <v>8</v>
      </c>
      <c r="B242" t="s">
        <v>13</v>
      </c>
      <c r="C242" t="s">
        <v>39</v>
      </c>
      <c r="D242" t="str" cm="1">
        <f t="array" ref="D242">INDEX(_xlfn.TEXTSPLIT(C242,"_"),3)</f>
        <v>scalp-sync</v>
      </c>
      <c r="E242" t="str">
        <f>VLOOKUP(D242,FranchiseMapping!$A$1:$B$15,2,FALSE)</f>
        <v>Scalp Sync</v>
      </c>
      <c r="F242" s="1">
        <v>45292</v>
      </c>
      <c r="G242" t="s">
        <v>12</v>
      </c>
      <c r="H242" s="2">
        <v>45413</v>
      </c>
      <c r="I242" s="3">
        <v>45422</v>
      </c>
      <c r="J242" s="3">
        <f t="shared" si="3"/>
        <v>45423</v>
      </c>
      <c r="K242" s="4">
        <v>1667.4022499999999</v>
      </c>
      <c r="L242">
        <v>463446</v>
      </c>
    </row>
    <row r="243" spans="1:12" x14ac:dyDescent="0.35">
      <c r="A243" t="s">
        <v>8</v>
      </c>
      <c r="B243" t="s">
        <v>9</v>
      </c>
      <c r="C243" t="s">
        <v>50</v>
      </c>
      <c r="D243" t="str" cm="1">
        <f t="array" ref="D243">INDEX(_xlfn.TEXTSPLIT(C243,"_"),3)</f>
        <v>bond-therapy</v>
      </c>
      <c r="E243" t="str">
        <f>VLOOKUP(D243,FranchiseMapping!$A$1:$B$15,2,FALSE)</f>
        <v>Bond Therapy</v>
      </c>
      <c r="F243" s="1">
        <v>44927</v>
      </c>
      <c r="G243" t="s">
        <v>12</v>
      </c>
      <c r="H243" s="2">
        <v>45231</v>
      </c>
      <c r="I243" s="3">
        <v>45251</v>
      </c>
      <c r="J243" s="3">
        <f t="shared" si="3"/>
        <v>45255</v>
      </c>
      <c r="K243" s="4">
        <v>3034.400004000001</v>
      </c>
      <c r="L243">
        <v>301964</v>
      </c>
    </row>
    <row r="244" spans="1:12" x14ac:dyDescent="0.35">
      <c r="A244" t="s">
        <v>8</v>
      </c>
      <c r="B244" t="s">
        <v>13</v>
      </c>
      <c r="C244" t="s">
        <v>28</v>
      </c>
      <c r="D244" t="str" cm="1">
        <f t="array" ref="D244">INDEX(_xlfn.TEXTSPLIT(C244,"_"),3)</f>
        <v>na</v>
      </c>
      <c r="E244" t="str">
        <f>VLOOKUP(D244,FranchiseMapping!$A$1:$B$15,2,FALSE)</f>
        <v>Biolage</v>
      </c>
      <c r="F244" s="1">
        <v>44927</v>
      </c>
      <c r="G244" t="s">
        <v>12</v>
      </c>
      <c r="H244" s="2">
        <v>45139</v>
      </c>
      <c r="I244" s="3">
        <v>45153</v>
      </c>
      <c r="J244" s="3">
        <f t="shared" si="3"/>
        <v>45157</v>
      </c>
      <c r="K244" s="4">
        <v>318.62152099999997</v>
      </c>
      <c r="L244">
        <v>89866</v>
      </c>
    </row>
    <row r="245" spans="1:12" x14ac:dyDescent="0.35">
      <c r="A245" t="s">
        <v>8</v>
      </c>
      <c r="B245" t="s">
        <v>9</v>
      </c>
      <c r="C245" t="s">
        <v>31</v>
      </c>
      <c r="D245" t="str" cm="1">
        <f t="array" ref="D245">INDEX(_xlfn.TEXTSPLIT(C245,"_"),3)</f>
        <v>scalp</v>
      </c>
      <c r="E245" t="str">
        <f>VLOOKUP(D245,FranchiseMapping!$A$1:$B$15,2,FALSE)</f>
        <v>Scalp Sync</v>
      </c>
      <c r="F245" s="1">
        <v>45292</v>
      </c>
      <c r="G245" t="s">
        <v>10</v>
      </c>
      <c r="H245" s="2">
        <v>45352</v>
      </c>
      <c r="I245" s="3">
        <v>45378</v>
      </c>
      <c r="J245" s="3">
        <f t="shared" si="3"/>
        <v>45381</v>
      </c>
      <c r="K245" s="4">
        <v>477.12000400000005</v>
      </c>
      <c r="L245">
        <v>72713</v>
      </c>
    </row>
    <row r="246" spans="1:12" x14ac:dyDescent="0.35">
      <c r="A246" t="s">
        <v>8</v>
      </c>
      <c r="B246" t="s">
        <v>14</v>
      </c>
      <c r="C246" t="s">
        <v>47</v>
      </c>
      <c r="D246" t="str" cm="1">
        <f t="array" ref="D246">INDEX(_xlfn.TEXTSPLIT(C246,"_"),3)</f>
        <v>hys</v>
      </c>
      <c r="E246" t="str">
        <f>VLOOKUP(D246,FranchiseMapping!$A$1:$B$15,2,FALSE)</f>
        <v>Hydrasource</v>
      </c>
      <c r="F246" s="1">
        <v>45658</v>
      </c>
      <c r="G246" t="s">
        <v>10</v>
      </c>
      <c r="H246" s="2">
        <v>45748</v>
      </c>
      <c r="I246" s="3">
        <v>45760</v>
      </c>
      <c r="J246" s="3">
        <f t="shared" si="3"/>
        <v>45766</v>
      </c>
      <c r="K246" s="4">
        <v>1565.31</v>
      </c>
      <c r="L246">
        <v>414061</v>
      </c>
    </row>
    <row r="247" spans="1:12" x14ac:dyDescent="0.35">
      <c r="A247" t="s">
        <v>8</v>
      </c>
      <c r="B247" t="s">
        <v>14</v>
      </c>
      <c r="C247" t="s">
        <v>49</v>
      </c>
      <c r="D247" t="str" cm="1">
        <f t="array" ref="D247">INDEX(_xlfn.TEXTSPLIT(C247,"_"),3)</f>
        <v>hys</v>
      </c>
      <c r="E247" t="str">
        <f>VLOOKUP(D247,FranchiseMapping!$A$1:$B$15,2,FALSE)</f>
        <v>Hydrasource</v>
      </c>
      <c r="F247" s="1">
        <v>45658</v>
      </c>
      <c r="G247" t="s">
        <v>12</v>
      </c>
      <c r="H247" s="2">
        <v>45748</v>
      </c>
      <c r="I247" s="3">
        <v>45755</v>
      </c>
      <c r="J247" s="3">
        <f t="shared" si="3"/>
        <v>45759</v>
      </c>
      <c r="K247" s="4">
        <v>5372.32</v>
      </c>
      <c r="L247">
        <v>1197583</v>
      </c>
    </row>
    <row r="248" spans="1:12" x14ac:dyDescent="0.35">
      <c r="A248" t="s">
        <v>8</v>
      </c>
      <c r="B248" t="s">
        <v>9</v>
      </c>
      <c r="C248" t="s">
        <v>33</v>
      </c>
      <c r="D248" t="str" cm="1">
        <f t="array" ref="D248">INDEX(_xlfn.TEXTSPLIT(C248,"_"),3)</f>
        <v>hydrasource</v>
      </c>
      <c r="E248" t="str">
        <f>VLOOKUP(D248,FranchiseMapping!$A$1:$B$15,2,FALSE)</f>
        <v>Hydrasource</v>
      </c>
      <c r="F248" s="1">
        <v>45292</v>
      </c>
      <c r="G248" t="s">
        <v>11</v>
      </c>
      <c r="H248" s="2">
        <v>45323</v>
      </c>
      <c r="I248" s="3">
        <v>45331</v>
      </c>
      <c r="J248" s="3">
        <f t="shared" si="3"/>
        <v>45332</v>
      </c>
      <c r="K248" s="4">
        <v>1185.389999</v>
      </c>
      <c r="L248">
        <v>197890</v>
      </c>
    </row>
    <row r="249" spans="1:12" x14ac:dyDescent="0.35">
      <c r="A249" t="s">
        <v>8</v>
      </c>
      <c r="B249" t="s">
        <v>13</v>
      </c>
      <c r="C249" t="s">
        <v>32</v>
      </c>
      <c r="D249" t="str" cm="1">
        <f t="array" ref="D249">INDEX(_xlfn.TEXTSPLIT(C249,"_"),3)</f>
        <v>na</v>
      </c>
      <c r="E249" t="str">
        <f>VLOOKUP(D249,FranchiseMapping!$A$1:$B$15,2,FALSE)</f>
        <v>Biolage</v>
      </c>
      <c r="F249" s="1">
        <v>44927</v>
      </c>
      <c r="G249" t="s">
        <v>11</v>
      </c>
      <c r="H249" s="2">
        <v>45139</v>
      </c>
      <c r="I249" s="3">
        <v>45160</v>
      </c>
      <c r="J249" s="3">
        <f t="shared" si="3"/>
        <v>45164</v>
      </c>
      <c r="K249" s="4">
        <v>1779.0210350000002</v>
      </c>
      <c r="L249">
        <v>530052</v>
      </c>
    </row>
    <row r="250" spans="1:12" x14ac:dyDescent="0.35">
      <c r="A250" t="s">
        <v>8</v>
      </c>
      <c r="B250" t="s">
        <v>9</v>
      </c>
      <c r="C250" t="s">
        <v>36</v>
      </c>
      <c r="D250" t="str" cm="1">
        <f t="array" ref="D250">INDEX(_xlfn.TEXTSPLIT(C250,"_"),3)</f>
        <v>bfr</v>
      </c>
      <c r="E250" t="str">
        <f>VLOOKUP(D250,FranchiseMapping!$A$1:$B$15,2,FALSE)</f>
        <v>Full Rescue</v>
      </c>
      <c r="F250" s="1">
        <v>45658</v>
      </c>
      <c r="G250" t="s">
        <v>10</v>
      </c>
      <c r="H250" s="2">
        <v>45809</v>
      </c>
      <c r="I250" s="3">
        <v>45824</v>
      </c>
      <c r="J250" s="3">
        <f t="shared" si="3"/>
        <v>45829</v>
      </c>
      <c r="K250" s="4">
        <v>986.99000100000001</v>
      </c>
      <c r="L250">
        <v>153044</v>
      </c>
    </row>
    <row r="251" spans="1:12" x14ac:dyDescent="0.35">
      <c r="A251" t="s">
        <v>8</v>
      </c>
      <c r="B251" t="s">
        <v>9</v>
      </c>
      <c r="C251" t="s">
        <v>36</v>
      </c>
      <c r="D251" t="str" cm="1">
        <f t="array" ref="D251">INDEX(_xlfn.TEXTSPLIT(C251,"_"),3)</f>
        <v>bfr</v>
      </c>
      <c r="E251" t="str">
        <f>VLOOKUP(D251,FranchiseMapping!$A$1:$B$15,2,FALSE)</f>
        <v>Full Rescue</v>
      </c>
      <c r="F251" s="1">
        <v>45658</v>
      </c>
      <c r="G251" t="s">
        <v>12</v>
      </c>
      <c r="H251" s="2">
        <v>45778</v>
      </c>
      <c r="I251" s="3">
        <v>45806</v>
      </c>
      <c r="J251" s="3">
        <f t="shared" si="3"/>
        <v>45808</v>
      </c>
      <c r="K251" s="4">
        <v>2388.899997</v>
      </c>
      <c r="L251">
        <v>389598</v>
      </c>
    </row>
    <row r="252" spans="1:12" x14ac:dyDescent="0.35">
      <c r="A252" t="s">
        <v>8</v>
      </c>
      <c r="B252" t="s">
        <v>9</v>
      </c>
      <c r="C252" t="s">
        <v>36</v>
      </c>
      <c r="D252" t="str" cm="1">
        <f t="array" ref="D252">INDEX(_xlfn.TEXTSPLIT(C252,"_"),3)</f>
        <v>bfr</v>
      </c>
      <c r="E252" t="str">
        <f>VLOOKUP(D252,FranchiseMapping!$A$1:$B$15,2,FALSE)</f>
        <v>Full Rescue</v>
      </c>
      <c r="F252" s="1">
        <v>45658</v>
      </c>
      <c r="G252" t="s">
        <v>10</v>
      </c>
      <c r="H252" s="2">
        <v>45778</v>
      </c>
      <c r="I252" s="3">
        <v>45804</v>
      </c>
      <c r="J252" s="3">
        <f t="shared" si="3"/>
        <v>45808</v>
      </c>
      <c r="K252" s="4">
        <v>27.319999999999997</v>
      </c>
      <c r="L252">
        <v>1169</v>
      </c>
    </row>
    <row r="253" spans="1:12" x14ac:dyDescent="0.35">
      <c r="A253" t="s">
        <v>8</v>
      </c>
      <c r="B253" t="s">
        <v>9</v>
      </c>
      <c r="C253" t="s">
        <v>36</v>
      </c>
      <c r="D253" t="str" cm="1">
        <f t="array" ref="D253">INDEX(_xlfn.TEXTSPLIT(C253,"_"),3)</f>
        <v>bfr</v>
      </c>
      <c r="E253" t="str">
        <f>VLOOKUP(D253,FranchiseMapping!$A$1:$B$15,2,FALSE)</f>
        <v>Full Rescue</v>
      </c>
      <c r="F253" s="1">
        <v>45658</v>
      </c>
      <c r="G253" t="s">
        <v>10</v>
      </c>
      <c r="H253" s="2">
        <v>45809</v>
      </c>
      <c r="I253" s="3">
        <v>45836</v>
      </c>
      <c r="J253" s="3">
        <f t="shared" si="3"/>
        <v>45836</v>
      </c>
      <c r="K253" s="4">
        <v>1121.490004</v>
      </c>
      <c r="L253">
        <v>169897</v>
      </c>
    </row>
    <row r="254" spans="1:12" x14ac:dyDescent="0.35">
      <c r="A254" t="s">
        <v>8</v>
      </c>
      <c r="B254" t="s">
        <v>9</v>
      </c>
      <c r="C254" t="s">
        <v>50</v>
      </c>
      <c r="D254" t="str" cm="1">
        <f t="array" ref="D254">INDEX(_xlfn.TEXTSPLIT(C254,"_"),3)</f>
        <v>bond-therapy</v>
      </c>
      <c r="E254" t="str">
        <f>VLOOKUP(D254,FranchiseMapping!$A$1:$B$15,2,FALSE)</f>
        <v>Bond Therapy</v>
      </c>
      <c r="F254" s="1">
        <v>44927</v>
      </c>
      <c r="G254" t="s">
        <v>12</v>
      </c>
      <c r="H254" s="2">
        <v>45231</v>
      </c>
      <c r="I254" s="3">
        <v>45257</v>
      </c>
      <c r="J254" s="3">
        <f t="shared" si="3"/>
        <v>45262</v>
      </c>
      <c r="K254" s="4">
        <v>3256.9900010000001</v>
      </c>
      <c r="L254">
        <v>240398</v>
      </c>
    </row>
    <row r="255" spans="1:12" x14ac:dyDescent="0.35">
      <c r="A255" t="s">
        <v>8</v>
      </c>
      <c r="B255" t="s">
        <v>9</v>
      </c>
      <c r="C255" t="s">
        <v>36</v>
      </c>
      <c r="D255" t="str" cm="1">
        <f t="array" ref="D255">INDEX(_xlfn.TEXTSPLIT(C255,"_"),3)</f>
        <v>bfr</v>
      </c>
      <c r="E255" t="str">
        <f>VLOOKUP(D255,FranchiseMapping!$A$1:$B$15,2,FALSE)</f>
        <v>Full Rescue</v>
      </c>
      <c r="F255" s="1">
        <v>45658</v>
      </c>
      <c r="G255" t="s">
        <v>12</v>
      </c>
      <c r="H255" s="2">
        <v>45778</v>
      </c>
      <c r="I255" s="3">
        <v>45798</v>
      </c>
      <c r="J255" s="3">
        <f t="shared" si="3"/>
        <v>45801</v>
      </c>
      <c r="K255" s="4">
        <v>2491.6399979999997</v>
      </c>
      <c r="L255">
        <v>407235</v>
      </c>
    </row>
    <row r="256" spans="1:12" x14ac:dyDescent="0.35">
      <c r="A256" t="s">
        <v>8</v>
      </c>
      <c r="B256" t="s">
        <v>9</v>
      </c>
      <c r="C256" t="s">
        <v>46</v>
      </c>
      <c r="D256" t="str" cm="1">
        <f t="array" ref="D256">INDEX(_xlfn.TEXTSPLIT(C256,"_"),3)</f>
        <v>mult</v>
      </c>
      <c r="E256" t="str">
        <f>VLOOKUP(D256,FranchiseMapping!$A$1:$B$15,2,FALSE)</f>
        <v>Biolage</v>
      </c>
      <c r="F256" s="1">
        <v>45658</v>
      </c>
      <c r="G256" t="s">
        <v>10</v>
      </c>
      <c r="H256" s="2">
        <v>45778</v>
      </c>
      <c r="I256" s="3">
        <v>45798</v>
      </c>
      <c r="J256" s="3">
        <f t="shared" si="3"/>
        <v>45801</v>
      </c>
      <c r="K256" s="4">
        <v>1321.7799999999997</v>
      </c>
      <c r="L256">
        <v>209117</v>
      </c>
    </row>
    <row r="257" spans="1:12" x14ac:dyDescent="0.35">
      <c r="A257" t="s">
        <v>8</v>
      </c>
      <c r="B257" t="s">
        <v>9</v>
      </c>
      <c r="C257" t="s">
        <v>36</v>
      </c>
      <c r="D257" t="str" cm="1">
        <f t="array" ref="D257">INDEX(_xlfn.TEXTSPLIT(C257,"_"),3)</f>
        <v>bfr</v>
      </c>
      <c r="E257" t="str">
        <f>VLOOKUP(D257,FranchiseMapping!$A$1:$B$15,2,FALSE)</f>
        <v>Full Rescue</v>
      </c>
      <c r="F257" s="1">
        <v>45658</v>
      </c>
      <c r="G257" t="s">
        <v>12</v>
      </c>
      <c r="H257" s="2">
        <v>45809</v>
      </c>
      <c r="I257" s="3">
        <v>45814</v>
      </c>
      <c r="J257" s="3">
        <f t="shared" si="3"/>
        <v>45815</v>
      </c>
      <c r="K257" s="4">
        <v>424.12</v>
      </c>
      <c r="L257">
        <v>71233</v>
      </c>
    </row>
    <row r="258" spans="1:12" x14ac:dyDescent="0.35">
      <c r="A258" t="s">
        <v>8</v>
      </c>
      <c r="B258" t="s">
        <v>9</v>
      </c>
      <c r="C258" t="s">
        <v>36</v>
      </c>
      <c r="D258" t="str" cm="1">
        <f t="array" ref="D258">INDEX(_xlfn.TEXTSPLIT(C258,"_"),3)</f>
        <v>bfr</v>
      </c>
      <c r="E258" t="str">
        <f>VLOOKUP(D258,FranchiseMapping!$A$1:$B$15,2,FALSE)</f>
        <v>Full Rescue</v>
      </c>
      <c r="F258" s="1">
        <v>45658</v>
      </c>
      <c r="G258" t="s">
        <v>10</v>
      </c>
      <c r="H258" s="2">
        <v>45809</v>
      </c>
      <c r="I258" s="3">
        <v>45814</v>
      </c>
      <c r="J258" s="3">
        <f t="shared" si="3"/>
        <v>45815</v>
      </c>
      <c r="K258" s="4">
        <v>1983.5299969999996</v>
      </c>
      <c r="L258">
        <v>282182</v>
      </c>
    </row>
    <row r="259" spans="1:12" x14ac:dyDescent="0.35">
      <c r="A259" t="s">
        <v>8</v>
      </c>
      <c r="B259" t="s">
        <v>14</v>
      </c>
      <c r="C259" t="s">
        <v>43</v>
      </c>
      <c r="D259" t="str" cm="1">
        <f t="array" ref="D259">INDEX(_xlfn.TEXTSPLIT(C259,"_"),3)</f>
        <v>bfr</v>
      </c>
      <c r="E259" t="str">
        <f>VLOOKUP(D259,FranchiseMapping!$A$1:$B$15,2,FALSE)</f>
        <v>Full Rescue</v>
      </c>
      <c r="F259" s="1">
        <v>45658</v>
      </c>
      <c r="G259" t="s">
        <v>12</v>
      </c>
      <c r="H259" s="2">
        <v>45809</v>
      </c>
      <c r="I259" s="3">
        <v>45814</v>
      </c>
      <c r="J259" s="3">
        <f t="shared" ref="J259:J322" si="4">I259 + (7 - WEEKDAY(I259, 1))</f>
        <v>45815</v>
      </c>
      <c r="K259" s="4">
        <v>5394.9600000000009</v>
      </c>
      <c r="L259">
        <v>1116626</v>
      </c>
    </row>
    <row r="260" spans="1:12" x14ac:dyDescent="0.35">
      <c r="A260" t="s">
        <v>8</v>
      </c>
      <c r="B260" t="s">
        <v>9</v>
      </c>
      <c r="C260" t="s">
        <v>56</v>
      </c>
      <c r="D260" t="str" cm="1">
        <f t="array" ref="D260">INDEX(_xlfn.TEXTSPLIT(C260,"_"),3)</f>
        <v>haca-colorlast-q3</v>
      </c>
      <c r="E260" t="str">
        <f>VLOOKUP(D260,FranchiseMapping!$A$1:$B$15,2,FALSE)</f>
        <v>Color Last</v>
      </c>
      <c r="F260" s="1">
        <v>44927</v>
      </c>
      <c r="G260" t="s">
        <v>10</v>
      </c>
      <c r="H260" s="2">
        <v>45139</v>
      </c>
      <c r="I260" s="3">
        <v>45152</v>
      </c>
      <c r="J260" s="3">
        <f t="shared" si="4"/>
        <v>45157</v>
      </c>
      <c r="K260" s="4">
        <v>665.09000099999992</v>
      </c>
      <c r="L260">
        <v>107227</v>
      </c>
    </row>
    <row r="261" spans="1:12" x14ac:dyDescent="0.35">
      <c r="A261" t="s">
        <v>8</v>
      </c>
      <c r="B261" t="s">
        <v>9</v>
      </c>
      <c r="C261" t="s">
        <v>31</v>
      </c>
      <c r="D261" t="str" cm="1">
        <f t="array" ref="D261">INDEX(_xlfn.TEXTSPLIT(C261,"_"),3)</f>
        <v>scalp</v>
      </c>
      <c r="E261" t="str">
        <f>VLOOKUP(D261,FranchiseMapping!$A$1:$B$15,2,FALSE)</f>
        <v>Scalp Sync</v>
      </c>
      <c r="F261" s="1">
        <v>45292</v>
      </c>
      <c r="G261" t="s">
        <v>12</v>
      </c>
      <c r="H261" s="2">
        <v>45383</v>
      </c>
      <c r="I261" s="3">
        <v>45395</v>
      </c>
      <c r="J261" s="3">
        <f t="shared" si="4"/>
        <v>45395</v>
      </c>
      <c r="K261" s="4">
        <v>1473.349999</v>
      </c>
      <c r="L261">
        <v>235824</v>
      </c>
    </row>
    <row r="262" spans="1:12" x14ac:dyDescent="0.35">
      <c r="A262" t="s">
        <v>8</v>
      </c>
      <c r="B262" t="s">
        <v>9</v>
      </c>
      <c r="C262" t="s">
        <v>48</v>
      </c>
      <c r="D262" t="str" cm="1">
        <f t="array" ref="D262">INDEX(_xlfn.TEXTSPLIT(C262,"_"),3)</f>
        <v>scalp</v>
      </c>
      <c r="E262" t="str">
        <f>VLOOKUP(D262,FranchiseMapping!$A$1:$B$15,2,FALSE)</f>
        <v>Scalp Sync</v>
      </c>
      <c r="F262" s="1">
        <v>45292</v>
      </c>
      <c r="G262" t="s">
        <v>10</v>
      </c>
      <c r="H262" s="2">
        <v>45352</v>
      </c>
      <c r="I262" s="3">
        <v>45379</v>
      </c>
      <c r="J262" s="3">
        <f t="shared" si="4"/>
        <v>45381</v>
      </c>
      <c r="K262" s="4">
        <v>57.260000000000005</v>
      </c>
      <c r="L262">
        <v>13986</v>
      </c>
    </row>
    <row r="263" spans="1:12" x14ac:dyDescent="0.35">
      <c r="A263" t="s">
        <v>8</v>
      </c>
      <c r="B263" t="s">
        <v>14</v>
      </c>
      <c r="C263" t="s">
        <v>57</v>
      </c>
      <c r="D263" t="str" cm="1">
        <f t="array" ref="D263">INDEX(_xlfn.TEXTSPLIT(C263,"_"),3)</f>
        <v>bfr</v>
      </c>
      <c r="E263" t="str">
        <f>VLOOKUP(D263,FranchiseMapping!$A$1:$B$15,2,FALSE)</f>
        <v>Full Rescue</v>
      </c>
      <c r="F263" s="1">
        <v>45658</v>
      </c>
      <c r="G263" t="s">
        <v>12</v>
      </c>
      <c r="H263" s="2">
        <v>45809</v>
      </c>
      <c r="I263" s="3">
        <v>45815</v>
      </c>
      <c r="J263" s="3">
        <f t="shared" si="4"/>
        <v>45815</v>
      </c>
      <c r="K263" s="4">
        <v>7215.8</v>
      </c>
      <c r="L263">
        <v>522890</v>
      </c>
    </row>
    <row r="264" spans="1:12" x14ac:dyDescent="0.35">
      <c r="A264" t="s">
        <v>8</v>
      </c>
      <c r="B264" t="s">
        <v>13</v>
      </c>
      <c r="C264" t="s">
        <v>28</v>
      </c>
      <c r="D264" t="str" cm="1">
        <f t="array" ref="D264">INDEX(_xlfn.TEXTSPLIT(C264,"_"),3)</f>
        <v>na</v>
      </c>
      <c r="E264" t="str">
        <f>VLOOKUP(D264,FranchiseMapping!$A$1:$B$15,2,FALSE)</f>
        <v>Biolage</v>
      </c>
      <c r="F264" s="1">
        <v>44927</v>
      </c>
      <c r="G264" t="s">
        <v>12</v>
      </c>
      <c r="H264" s="2">
        <v>45139</v>
      </c>
      <c r="I264" s="3">
        <v>45145</v>
      </c>
      <c r="J264" s="3">
        <f t="shared" si="4"/>
        <v>45150</v>
      </c>
      <c r="K264" s="4">
        <v>2.2749319999999997</v>
      </c>
      <c r="L264">
        <v>372</v>
      </c>
    </row>
    <row r="265" spans="1:12" x14ac:dyDescent="0.35">
      <c r="A265" t="s">
        <v>8</v>
      </c>
      <c r="B265" t="s">
        <v>13</v>
      </c>
      <c r="C265" t="s">
        <v>39</v>
      </c>
      <c r="D265" t="str" cm="1">
        <f t="array" ref="D265">INDEX(_xlfn.TEXTSPLIT(C265,"_"),3)</f>
        <v>scalp-sync</v>
      </c>
      <c r="E265" t="str">
        <f>VLOOKUP(D265,FranchiseMapping!$A$1:$B$15,2,FALSE)</f>
        <v>Scalp Sync</v>
      </c>
      <c r="F265" s="1">
        <v>45292</v>
      </c>
      <c r="G265" t="s">
        <v>12</v>
      </c>
      <c r="H265" s="2">
        <v>45413</v>
      </c>
      <c r="I265" s="3">
        <v>45425</v>
      </c>
      <c r="J265" s="3">
        <f t="shared" si="4"/>
        <v>45430</v>
      </c>
      <c r="K265" s="4">
        <v>1679.8631829999997</v>
      </c>
      <c r="L265">
        <v>455309</v>
      </c>
    </row>
    <row r="266" spans="1:12" x14ac:dyDescent="0.35">
      <c r="A266" t="s">
        <v>8</v>
      </c>
      <c r="B266" t="s">
        <v>14</v>
      </c>
      <c r="C266" t="s">
        <v>37</v>
      </c>
      <c r="D266" t="str" cm="1">
        <f t="array" ref="D266">INDEX(_xlfn.TEXTSPLIT(C266,"_"),3)</f>
        <v>mult</v>
      </c>
      <c r="E266" t="str">
        <f>VLOOKUP(D266,FranchiseMapping!$A$1:$B$15,2,FALSE)</f>
        <v>Biolage</v>
      </c>
      <c r="F266" s="1">
        <v>45658</v>
      </c>
      <c r="G266" t="s">
        <v>12</v>
      </c>
      <c r="H266" s="2">
        <v>45748</v>
      </c>
      <c r="I266" s="3">
        <v>45763</v>
      </c>
      <c r="J266" s="3">
        <f t="shared" si="4"/>
        <v>45766</v>
      </c>
      <c r="K266" s="4">
        <v>0.11</v>
      </c>
      <c r="L266">
        <v>62</v>
      </c>
    </row>
    <row r="267" spans="1:12" x14ac:dyDescent="0.35">
      <c r="A267" t="s">
        <v>8</v>
      </c>
      <c r="B267" t="s">
        <v>9</v>
      </c>
      <c r="C267" t="s">
        <v>68</v>
      </c>
      <c r="D267" t="str" cm="1">
        <f t="array" ref="D267">INDEX(_xlfn.TEXTSPLIT(C267,"_"),3)</f>
        <v>na</v>
      </c>
      <c r="E267" t="str">
        <f>VLOOKUP(D267,FranchiseMapping!$A$1:$B$15,2,FALSE)</f>
        <v>Biolage</v>
      </c>
      <c r="F267" s="1">
        <v>44927</v>
      </c>
      <c r="G267" t="s">
        <v>11</v>
      </c>
      <c r="H267" s="2">
        <v>45231</v>
      </c>
      <c r="I267" s="3">
        <v>45238</v>
      </c>
      <c r="J267" s="3">
        <f t="shared" si="4"/>
        <v>45241</v>
      </c>
      <c r="K267" s="4">
        <v>315.40000199999997</v>
      </c>
      <c r="L267">
        <v>36551</v>
      </c>
    </row>
    <row r="268" spans="1:12" x14ac:dyDescent="0.35">
      <c r="A268" t="s">
        <v>8</v>
      </c>
      <c r="B268" t="s">
        <v>9</v>
      </c>
      <c r="C268" t="s">
        <v>46</v>
      </c>
      <c r="D268" t="str" cm="1">
        <f t="array" ref="D268">INDEX(_xlfn.TEXTSPLIT(C268,"_"),3)</f>
        <v>mult</v>
      </c>
      <c r="E268" t="str">
        <f>VLOOKUP(D268,FranchiseMapping!$A$1:$B$15,2,FALSE)</f>
        <v>Biolage</v>
      </c>
      <c r="F268" s="1">
        <v>45658</v>
      </c>
      <c r="G268" t="s">
        <v>10</v>
      </c>
      <c r="H268" s="2">
        <v>45778</v>
      </c>
      <c r="I268" s="3">
        <v>45788</v>
      </c>
      <c r="J268" s="3">
        <f t="shared" si="4"/>
        <v>45794</v>
      </c>
      <c r="K268" s="4">
        <v>1460.7899999999995</v>
      </c>
      <c r="L268">
        <v>278329</v>
      </c>
    </row>
    <row r="269" spans="1:12" x14ac:dyDescent="0.35">
      <c r="A269" t="s">
        <v>8</v>
      </c>
      <c r="B269" t="s">
        <v>9</v>
      </c>
      <c r="C269" t="s">
        <v>33</v>
      </c>
      <c r="D269" t="str" cm="1">
        <f t="array" ref="D269">INDEX(_xlfn.TEXTSPLIT(C269,"_"),3)</f>
        <v>hydrasource</v>
      </c>
      <c r="E269" t="str">
        <f>VLOOKUP(D269,FranchiseMapping!$A$1:$B$15,2,FALSE)</f>
        <v>Hydrasource</v>
      </c>
      <c r="F269" s="1">
        <v>45292</v>
      </c>
      <c r="G269" t="s">
        <v>11</v>
      </c>
      <c r="H269" s="2">
        <v>45323</v>
      </c>
      <c r="I269" s="3">
        <v>45339</v>
      </c>
      <c r="J269" s="3">
        <f t="shared" si="4"/>
        <v>45339</v>
      </c>
      <c r="K269" s="4">
        <v>1197.9899989999999</v>
      </c>
      <c r="L269">
        <v>185623</v>
      </c>
    </row>
    <row r="270" spans="1:12" x14ac:dyDescent="0.35">
      <c r="A270" t="s">
        <v>8</v>
      </c>
      <c r="B270" t="s">
        <v>9</v>
      </c>
      <c r="C270" t="s">
        <v>46</v>
      </c>
      <c r="D270" t="str" cm="1">
        <f t="array" ref="D270">INDEX(_xlfn.TEXTSPLIT(C270,"_"),3)</f>
        <v>mult</v>
      </c>
      <c r="E270" t="str">
        <f>VLOOKUP(D270,FranchiseMapping!$A$1:$B$15,2,FALSE)</f>
        <v>Biolage</v>
      </c>
      <c r="F270" s="1">
        <v>45658</v>
      </c>
      <c r="G270" t="s">
        <v>10</v>
      </c>
      <c r="H270" s="2">
        <v>45778</v>
      </c>
      <c r="I270" s="3">
        <v>45808</v>
      </c>
      <c r="J270" s="3">
        <f t="shared" si="4"/>
        <v>45808</v>
      </c>
      <c r="K270" s="4">
        <v>1011.7800009999999</v>
      </c>
      <c r="L270">
        <v>189763</v>
      </c>
    </row>
    <row r="271" spans="1:12" x14ac:dyDescent="0.35">
      <c r="A271" t="s">
        <v>8</v>
      </c>
      <c r="B271" t="s">
        <v>9</v>
      </c>
      <c r="C271" t="s">
        <v>30</v>
      </c>
      <c r="D271" t="str" cm="1">
        <f t="array" ref="D271">INDEX(_xlfn.TEXTSPLIT(C271,"_"),3)</f>
        <v>q3-haca-colorlast</v>
      </c>
      <c r="E271" t="str">
        <f>VLOOKUP(D271,FranchiseMapping!$A$1:$B$15,2,FALSE)</f>
        <v>Color Last</v>
      </c>
      <c r="F271" s="1">
        <v>44927</v>
      </c>
      <c r="G271" t="s">
        <v>10</v>
      </c>
      <c r="H271" s="2">
        <v>45108</v>
      </c>
      <c r="I271" s="3">
        <v>45136</v>
      </c>
      <c r="J271" s="3">
        <f t="shared" si="4"/>
        <v>45136</v>
      </c>
      <c r="K271" s="4">
        <v>2527.1</v>
      </c>
      <c r="L271">
        <v>397033</v>
      </c>
    </row>
    <row r="272" spans="1:12" x14ac:dyDescent="0.35">
      <c r="A272" t="s">
        <v>8</v>
      </c>
      <c r="B272" t="s">
        <v>9</v>
      </c>
      <c r="C272" t="s">
        <v>56</v>
      </c>
      <c r="D272" t="str" cm="1">
        <f t="array" ref="D272">INDEX(_xlfn.TEXTSPLIT(C272,"_"),3)</f>
        <v>haca-colorlast-q3</v>
      </c>
      <c r="E272" t="str">
        <f>VLOOKUP(D272,FranchiseMapping!$A$1:$B$15,2,FALSE)</f>
        <v>Color Last</v>
      </c>
      <c r="F272" s="1">
        <v>44927</v>
      </c>
      <c r="G272" t="s">
        <v>10</v>
      </c>
      <c r="H272" s="2">
        <v>45108</v>
      </c>
      <c r="I272" s="3">
        <v>45136</v>
      </c>
      <c r="J272" s="3">
        <f t="shared" si="4"/>
        <v>45136</v>
      </c>
      <c r="K272" s="4">
        <v>2186.08</v>
      </c>
      <c r="L272">
        <v>287898</v>
      </c>
    </row>
    <row r="273" spans="1:12" x14ac:dyDescent="0.35">
      <c r="A273" t="s">
        <v>8</v>
      </c>
      <c r="B273" t="s">
        <v>9</v>
      </c>
      <c r="C273" t="s">
        <v>52</v>
      </c>
      <c r="D273" t="str" cm="1">
        <f t="array" ref="D273">INDEX(_xlfn.TEXTSPLIT(C273,"_"),3)</f>
        <v>bond-therapy</v>
      </c>
      <c r="E273" t="str">
        <f>VLOOKUP(D273,FranchiseMapping!$A$1:$B$15,2,FALSE)</f>
        <v>Bond Therapy</v>
      </c>
      <c r="F273" s="1">
        <v>44927</v>
      </c>
      <c r="G273" t="s">
        <v>11</v>
      </c>
      <c r="H273" s="2">
        <v>45261</v>
      </c>
      <c r="I273" s="3">
        <v>45263</v>
      </c>
      <c r="J273" s="3">
        <f t="shared" si="4"/>
        <v>45269</v>
      </c>
      <c r="K273" s="4">
        <v>2968.3300030000005</v>
      </c>
      <c r="L273">
        <v>578082</v>
      </c>
    </row>
    <row r="274" spans="1:12" x14ac:dyDescent="0.35">
      <c r="A274" t="s">
        <v>8</v>
      </c>
      <c r="B274" t="s">
        <v>9</v>
      </c>
      <c r="C274" t="s">
        <v>70</v>
      </c>
      <c r="D274" t="str" cm="1">
        <f t="array" ref="D274">INDEX(_xlfn.TEXTSPLIT(C274,"_"),3)</f>
        <v>mult</v>
      </c>
      <c r="E274" t="str">
        <f>VLOOKUP(D274,FranchiseMapping!$A$1:$B$15,2,FALSE)</f>
        <v>Biolage</v>
      </c>
      <c r="F274" s="1">
        <v>45292</v>
      </c>
      <c r="G274" t="s">
        <v>12</v>
      </c>
      <c r="H274" s="2">
        <v>45597</v>
      </c>
      <c r="I274" s="3">
        <v>45622</v>
      </c>
      <c r="J274" s="3">
        <f t="shared" si="4"/>
        <v>45626</v>
      </c>
      <c r="K274" s="4">
        <v>14422.589995</v>
      </c>
      <c r="L274">
        <v>1275689</v>
      </c>
    </row>
    <row r="275" spans="1:12" x14ac:dyDescent="0.35">
      <c r="A275" t="s">
        <v>8</v>
      </c>
      <c r="B275" t="s">
        <v>14</v>
      </c>
      <c r="C275" t="s">
        <v>37</v>
      </c>
      <c r="D275" t="str" cm="1">
        <f t="array" ref="D275">INDEX(_xlfn.TEXTSPLIT(C275,"_"),3)</f>
        <v>mult</v>
      </c>
      <c r="E275" t="str">
        <f>VLOOKUP(D275,FranchiseMapping!$A$1:$B$15,2,FALSE)</f>
        <v>Biolage</v>
      </c>
      <c r="F275" s="1">
        <v>45658</v>
      </c>
      <c r="G275" t="s">
        <v>10</v>
      </c>
      <c r="H275" s="2">
        <v>45748</v>
      </c>
      <c r="I275" s="3">
        <v>45755</v>
      </c>
      <c r="J275" s="3">
        <f t="shared" si="4"/>
        <v>45759</v>
      </c>
      <c r="K275" s="4">
        <v>1326.12</v>
      </c>
      <c r="L275">
        <v>356316</v>
      </c>
    </row>
    <row r="276" spans="1:12" x14ac:dyDescent="0.35">
      <c r="A276" t="s">
        <v>8</v>
      </c>
      <c r="B276" t="s">
        <v>13</v>
      </c>
      <c r="C276" t="s">
        <v>51</v>
      </c>
      <c r="D276" t="str" cm="1">
        <f t="array" ref="D276">INDEX(_xlfn.TEXTSPLIT(C276,"_"),3)</f>
        <v>na</v>
      </c>
      <c r="E276" t="str">
        <f>VLOOKUP(D276,FranchiseMapping!$A$1:$B$15,2,FALSE)</f>
        <v>Biolage</v>
      </c>
      <c r="F276" s="1">
        <v>44927</v>
      </c>
      <c r="G276" t="s">
        <v>11</v>
      </c>
      <c r="H276" s="2">
        <v>45139</v>
      </c>
      <c r="I276" s="3">
        <v>45148</v>
      </c>
      <c r="J276" s="3">
        <f t="shared" si="4"/>
        <v>45150</v>
      </c>
      <c r="K276" s="4">
        <v>767.60077999999999</v>
      </c>
      <c r="L276">
        <v>377313</v>
      </c>
    </row>
    <row r="277" spans="1:12" x14ac:dyDescent="0.35">
      <c r="A277" t="s">
        <v>8</v>
      </c>
      <c r="B277" t="s">
        <v>9</v>
      </c>
      <c r="C277" t="s">
        <v>31</v>
      </c>
      <c r="D277" t="str" cm="1">
        <f t="array" ref="D277">INDEX(_xlfn.TEXTSPLIT(C277,"_"),3)</f>
        <v>scalp</v>
      </c>
      <c r="E277" t="str">
        <f>VLOOKUP(D277,FranchiseMapping!$A$1:$B$15,2,FALSE)</f>
        <v>Scalp Sync</v>
      </c>
      <c r="F277" s="1">
        <v>45292</v>
      </c>
      <c r="G277" t="s">
        <v>10</v>
      </c>
      <c r="H277" s="2">
        <v>45383</v>
      </c>
      <c r="I277" s="3">
        <v>45391</v>
      </c>
      <c r="J277" s="3">
        <f t="shared" si="4"/>
        <v>45395</v>
      </c>
      <c r="K277" s="4">
        <v>248.58000399999995</v>
      </c>
      <c r="L277">
        <v>38795</v>
      </c>
    </row>
    <row r="278" spans="1:12" x14ac:dyDescent="0.35">
      <c r="A278" t="s">
        <v>8</v>
      </c>
      <c r="B278" t="s">
        <v>9</v>
      </c>
      <c r="C278" t="s">
        <v>36</v>
      </c>
      <c r="D278" t="str" cm="1">
        <f t="array" ref="D278">INDEX(_xlfn.TEXTSPLIT(C278,"_"),3)</f>
        <v>bfr</v>
      </c>
      <c r="E278" t="str">
        <f>VLOOKUP(D278,FranchiseMapping!$A$1:$B$15,2,FALSE)</f>
        <v>Full Rescue</v>
      </c>
      <c r="F278" s="1">
        <v>45658</v>
      </c>
      <c r="G278" t="s">
        <v>12</v>
      </c>
      <c r="H278" s="2">
        <v>45809</v>
      </c>
      <c r="I278" s="3">
        <v>45821</v>
      </c>
      <c r="J278" s="3">
        <f t="shared" si="4"/>
        <v>45822</v>
      </c>
      <c r="K278" s="4">
        <v>1108.7799999999997</v>
      </c>
      <c r="L278">
        <v>184493</v>
      </c>
    </row>
    <row r="279" spans="1:12" x14ac:dyDescent="0.35">
      <c r="A279" t="s">
        <v>8</v>
      </c>
      <c r="B279" t="s">
        <v>9</v>
      </c>
      <c r="C279" t="s">
        <v>46</v>
      </c>
      <c r="D279" t="str" cm="1">
        <f t="array" ref="D279">INDEX(_xlfn.TEXTSPLIT(C279,"_"),3)</f>
        <v>mult</v>
      </c>
      <c r="E279" t="str">
        <f>VLOOKUP(D279,FranchiseMapping!$A$1:$B$15,2,FALSE)</f>
        <v>Biolage</v>
      </c>
      <c r="F279" s="1">
        <v>45658</v>
      </c>
      <c r="G279" t="s">
        <v>12</v>
      </c>
      <c r="H279" s="2">
        <v>45778</v>
      </c>
      <c r="I279" s="3">
        <v>45782</v>
      </c>
      <c r="J279" s="3">
        <f t="shared" si="4"/>
        <v>45787</v>
      </c>
      <c r="K279" s="4">
        <v>61.18</v>
      </c>
      <c r="L279">
        <v>12476</v>
      </c>
    </row>
    <row r="280" spans="1:12" x14ac:dyDescent="0.35">
      <c r="A280" t="s">
        <v>8</v>
      </c>
      <c r="B280" t="s">
        <v>9</v>
      </c>
      <c r="C280" t="s">
        <v>52</v>
      </c>
      <c r="D280" t="str" cm="1">
        <f t="array" ref="D280">INDEX(_xlfn.TEXTSPLIT(C280,"_"),3)</f>
        <v>bond-therapy</v>
      </c>
      <c r="E280" t="str">
        <f>VLOOKUP(D280,FranchiseMapping!$A$1:$B$15,2,FALSE)</f>
        <v>Bond Therapy</v>
      </c>
      <c r="F280" s="1">
        <v>44927</v>
      </c>
      <c r="G280" t="s">
        <v>11</v>
      </c>
      <c r="H280" s="2">
        <v>45231</v>
      </c>
      <c r="I280" s="3">
        <v>45257</v>
      </c>
      <c r="J280" s="3">
        <f t="shared" si="4"/>
        <v>45262</v>
      </c>
      <c r="K280" s="4">
        <v>2890.09</v>
      </c>
      <c r="L280">
        <v>404593</v>
      </c>
    </row>
    <row r="281" spans="1:12" x14ac:dyDescent="0.35">
      <c r="A281" t="s">
        <v>8</v>
      </c>
      <c r="B281" t="s">
        <v>9</v>
      </c>
      <c r="C281" t="s">
        <v>36</v>
      </c>
      <c r="D281" t="str" cm="1">
        <f t="array" ref="D281">INDEX(_xlfn.TEXTSPLIT(C281,"_"),3)</f>
        <v>bfr</v>
      </c>
      <c r="E281" t="str">
        <f>VLOOKUP(D281,FranchiseMapping!$A$1:$B$15,2,FALSE)</f>
        <v>Full Rescue</v>
      </c>
      <c r="F281" s="1">
        <v>45658</v>
      </c>
      <c r="G281" t="s">
        <v>10</v>
      </c>
      <c r="H281" s="2">
        <v>45778</v>
      </c>
      <c r="I281" s="3">
        <v>45787</v>
      </c>
      <c r="J281" s="3">
        <f t="shared" si="4"/>
        <v>45787</v>
      </c>
      <c r="K281" s="4">
        <v>1597.2299999999996</v>
      </c>
      <c r="L281">
        <v>383668</v>
      </c>
    </row>
    <row r="282" spans="1:12" x14ac:dyDescent="0.35">
      <c r="A282" t="s">
        <v>8</v>
      </c>
      <c r="B282" t="s">
        <v>13</v>
      </c>
      <c r="C282" t="s">
        <v>28</v>
      </c>
      <c r="D282" t="str" cm="1">
        <f t="array" ref="D282">INDEX(_xlfn.TEXTSPLIT(C282,"_"),3)</f>
        <v>na</v>
      </c>
      <c r="E282" t="str">
        <f>VLOOKUP(D282,FranchiseMapping!$A$1:$B$15,2,FALSE)</f>
        <v>Biolage</v>
      </c>
      <c r="F282" s="1">
        <v>44927</v>
      </c>
      <c r="G282" t="s">
        <v>12</v>
      </c>
      <c r="H282" s="2">
        <v>45139</v>
      </c>
      <c r="I282" s="3">
        <v>45152</v>
      </c>
      <c r="J282" s="3">
        <f t="shared" si="4"/>
        <v>45157</v>
      </c>
      <c r="K282" s="4">
        <v>394.59193199999999</v>
      </c>
      <c r="L282">
        <v>122153</v>
      </c>
    </row>
    <row r="283" spans="1:12" x14ac:dyDescent="0.35">
      <c r="A283" t="s">
        <v>8</v>
      </c>
      <c r="B283" t="s">
        <v>13</v>
      </c>
      <c r="C283" t="s">
        <v>39</v>
      </c>
      <c r="D283" t="str" cm="1">
        <f t="array" ref="D283">INDEX(_xlfn.TEXTSPLIT(C283,"_"),3)</f>
        <v>scalp-sync</v>
      </c>
      <c r="E283" t="str">
        <f>VLOOKUP(D283,FranchiseMapping!$A$1:$B$15,2,FALSE)</f>
        <v>Scalp Sync</v>
      </c>
      <c r="F283" s="1">
        <v>45292</v>
      </c>
      <c r="G283" t="s">
        <v>12</v>
      </c>
      <c r="H283" s="2">
        <v>45413</v>
      </c>
      <c r="I283" s="3">
        <v>45438</v>
      </c>
      <c r="J283" s="3">
        <f t="shared" si="4"/>
        <v>45444</v>
      </c>
      <c r="K283" s="4">
        <v>1584.6803159999999</v>
      </c>
      <c r="L283">
        <v>352363</v>
      </c>
    </row>
    <row r="284" spans="1:12" x14ac:dyDescent="0.35">
      <c r="A284" t="s">
        <v>8</v>
      </c>
      <c r="B284" t="s">
        <v>9</v>
      </c>
      <c r="C284" t="s">
        <v>35</v>
      </c>
      <c r="D284" t="str" cm="1">
        <f t="array" ref="D284">INDEX(_xlfn.TEXTSPLIT(C284,"_"),3)</f>
        <v>bfr</v>
      </c>
      <c r="E284" t="str">
        <f>VLOOKUP(D284,FranchiseMapping!$A$1:$B$15,2,FALSE)</f>
        <v>Full Rescue</v>
      </c>
      <c r="F284" s="1">
        <v>45658</v>
      </c>
      <c r="G284" t="s">
        <v>12</v>
      </c>
      <c r="H284" s="2">
        <v>45809</v>
      </c>
      <c r="I284" s="3">
        <v>45815</v>
      </c>
      <c r="J284" s="3">
        <f t="shared" si="4"/>
        <v>45815</v>
      </c>
      <c r="K284" s="4">
        <v>1752.1800020000001</v>
      </c>
      <c r="L284">
        <v>126975</v>
      </c>
    </row>
    <row r="285" spans="1:12" x14ac:dyDescent="0.35">
      <c r="A285" t="s">
        <v>8</v>
      </c>
      <c r="B285" t="s">
        <v>9</v>
      </c>
      <c r="C285" t="s">
        <v>30</v>
      </c>
      <c r="D285" t="str" cm="1">
        <f t="array" ref="D285">INDEX(_xlfn.TEXTSPLIT(C285,"_"),3)</f>
        <v>q3-haca-colorlast</v>
      </c>
      <c r="E285" t="str">
        <f>VLOOKUP(D285,FranchiseMapping!$A$1:$B$15,2,FALSE)</f>
        <v>Color Last</v>
      </c>
      <c r="F285" s="1">
        <v>44927</v>
      </c>
      <c r="G285" t="s">
        <v>10</v>
      </c>
      <c r="H285" s="2">
        <v>45108</v>
      </c>
      <c r="I285" s="3">
        <v>45128</v>
      </c>
      <c r="J285" s="3">
        <f t="shared" si="4"/>
        <v>45129</v>
      </c>
      <c r="K285" s="4">
        <v>2532.3300000000004</v>
      </c>
      <c r="L285">
        <v>324071</v>
      </c>
    </row>
    <row r="286" spans="1:12" x14ac:dyDescent="0.35">
      <c r="A286" t="s">
        <v>8</v>
      </c>
      <c r="B286" t="s">
        <v>9</v>
      </c>
      <c r="C286" t="s">
        <v>56</v>
      </c>
      <c r="D286" t="str" cm="1">
        <f t="array" ref="D286">INDEX(_xlfn.TEXTSPLIT(C286,"_"),3)</f>
        <v>haca-colorlast-q3</v>
      </c>
      <c r="E286" t="str">
        <f>VLOOKUP(D286,FranchiseMapping!$A$1:$B$15,2,FALSE)</f>
        <v>Color Last</v>
      </c>
      <c r="F286" s="1">
        <v>44927</v>
      </c>
      <c r="G286" t="s">
        <v>10</v>
      </c>
      <c r="H286" s="2">
        <v>45108</v>
      </c>
      <c r="I286" s="3">
        <v>45127</v>
      </c>
      <c r="J286" s="3">
        <f t="shared" si="4"/>
        <v>45129</v>
      </c>
      <c r="K286" s="4">
        <v>2128.08</v>
      </c>
      <c r="L286">
        <v>328113</v>
      </c>
    </row>
    <row r="287" spans="1:12" x14ac:dyDescent="0.35">
      <c r="A287" t="s">
        <v>8</v>
      </c>
      <c r="B287" t="s">
        <v>13</v>
      </c>
      <c r="C287" t="s">
        <v>39</v>
      </c>
      <c r="D287" t="str" cm="1">
        <f t="array" ref="D287">INDEX(_xlfn.TEXTSPLIT(C287,"_"),3)</f>
        <v>scalp-sync</v>
      </c>
      <c r="E287" t="str">
        <f>VLOOKUP(D287,FranchiseMapping!$A$1:$B$15,2,FALSE)</f>
        <v>Scalp Sync</v>
      </c>
      <c r="F287" s="1">
        <v>45292</v>
      </c>
      <c r="G287" t="s">
        <v>12</v>
      </c>
      <c r="H287" s="2">
        <v>45413</v>
      </c>
      <c r="I287" s="3">
        <v>45431</v>
      </c>
      <c r="J287" s="3">
        <f t="shared" si="4"/>
        <v>45437</v>
      </c>
      <c r="K287" s="4">
        <v>1644.3446210000006</v>
      </c>
      <c r="L287">
        <v>388556</v>
      </c>
    </row>
    <row r="288" spans="1:12" x14ac:dyDescent="0.35">
      <c r="A288" t="s">
        <v>8</v>
      </c>
      <c r="B288" t="s">
        <v>9</v>
      </c>
      <c r="C288" t="s">
        <v>55</v>
      </c>
      <c r="D288" t="str" cm="1">
        <f t="array" ref="D288">INDEX(_xlfn.TEXTSPLIT(C288,"_"),3)</f>
        <v>hydrasource</v>
      </c>
      <c r="E288" t="str">
        <f>VLOOKUP(D288,FranchiseMapping!$A$1:$B$15,2,FALSE)</f>
        <v>Hydrasource</v>
      </c>
      <c r="F288" s="1">
        <v>45292</v>
      </c>
      <c r="G288" t="s">
        <v>12</v>
      </c>
      <c r="H288" s="2">
        <v>45566</v>
      </c>
      <c r="I288" s="3">
        <v>45569</v>
      </c>
      <c r="J288" s="3">
        <f t="shared" si="4"/>
        <v>45570</v>
      </c>
      <c r="K288" s="4">
        <v>3402.1500030000002</v>
      </c>
      <c r="L288">
        <v>657928</v>
      </c>
    </row>
    <row r="289" spans="1:12" x14ac:dyDescent="0.35">
      <c r="A289" t="s">
        <v>8</v>
      </c>
      <c r="B289" t="s">
        <v>9</v>
      </c>
      <c r="C289" t="s">
        <v>36</v>
      </c>
      <c r="D289" t="str" cm="1">
        <f t="array" ref="D289">INDEX(_xlfn.TEXTSPLIT(C289,"_"),3)</f>
        <v>bfr</v>
      </c>
      <c r="E289" t="str">
        <f>VLOOKUP(D289,FranchiseMapping!$A$1:$B$15,2,FALSE)</f>
        <v>Full Rescue</v>
      </c>
      <c r="F289" s="1">
        <v>45658</v>
      </c>
      <c r="G289" t="s">
        <v>12</v>
      </c>
      <c r="H289" s="2">
        <v>45809</v>
      </c>
      <c r="I289" s="3">
        <v>45825</v>
      </c>
      <c r="J289" s="3">
        <f t="shared" si="4"/>
        <v>45829</v>
      </c>
      <c r="K289" s="4">
        <v>1699.8499929999998</v>
      </c>
      <c r="L289">
        <v>264231</v>
      </c>
    </row>
    <row r="290" spans="1:12" x14ac:dyDescent="0.35">
      <c r="A290" t="s">
        <v>8</v>
      </c>
      <c r="B290" t="s">
        <v>14</v>
      </c>
      <c r="C290" t="s">
        <v>43</v>
      </c>
      <c r="D290" t="str" cm="1">
        <f t="array" ref="D290">INDEX(_xlfn.TEXTSPLIT(C290,"_"),3)</f>
        <v>bfr</v>
      </c>
      <c r="E290" t="str">
        <f>VLOOKUP(D290,FranchiseMapping!$A$1:$B$15,2,FALSE)</f>
        <v>Full Rescue</v>
      </c>
      <c r="F290" s="1">
        <v>45658</v>
      </c>
      <c r="G290" t="s">
        <v>12</v>
      </c>
      <c r="H290" s="2">
        <v>45809</v>
      </c>
      <c r="I290" s="3">
        <v>45812</v>
      </c>
      <c r="J290" s="3">
        <f t="shared" si="4"/>
        <v>45815</v>
      </c>
      <c r="K290" s="4">
        <v>5812.6100000000006</v>
      </c>
      <c r="L290">
        <v>1304368</v>
      </c>
    </row>
    <row r="291" spans="1:12" x14ac:dyDescent="0.35">
      <c r="A291" t="s">
        <v>8</v>
      </c>
      <c r="B291" t="s">
        <v>9</v>
      </c>
      <c r="C291" t="s">
        <v>30</v>
      </c>
      <c r="D291" t="str" cm="1">
        <f t="array" ref="D291">INDEX(_xlfn.TEXTSPLIT(C291,"_"),3)</f>
        <v>q3-haca-colorlast</v>
      </c>
      <c r="E291" t="str">
        <f>VLOOKUP(D291,FranchiseMapping!$A$1:$B$15,2,FALSE)</f>
        <v>Color Last</v>
      </c>
      <c r="F291" s="1">
        <v>44927</v>
      </c>
      <c r="G291" t="s">
        <v>10</v>
      </c>
      <c r="H291" s="2">
        <v>45108</v>
      </c>
      <c r="I291" s="3">
        <v>45123</v>
      </c>
      <c r="J291" s="3">
        <f t="shared" si="4"/>
        <v>45129</v>
      </c>
      <c r="K291" s="4">
        <v>2720.430002000001</v>
      </c>
      <c r="L291">
        <v>371545</v>
      </c>
    </row>
    <row r="292" spans="1:12" x14ac:dyDescent="0.35">
      <c r="A292" t="s">
        <v>8</v>
      </c>
      <c r="B292" t="s">
        <v>9</v>
      </c>
      <c r="C292" t="s">
        <v>35</v>
      </c>
      <c r="D292" t="str" cm="1">
        <f t="array" ref="D292">INDEX(_xlfn.TEXTSPLIT(C292,"_"),3)</f>
        <v>bfr</v>
      </c>
      <c r="E292" t="str">
        <f>VLOOKUP(D292,FranchiseMapping!$A$1:$B$15,2,FALSE)</f>
        <v>Full Rescue</v>
      </c>
      <c r="F292" s="1">
        <v>45658</v>
      </c>
      <c r="G292" t="s">
        <v>10</v>
      </c>
      <c r="H292" s="2">
        <v>45809</v>
      </c>
      <c r="I292" s="3">
        <v>45817</v>
      </c>
      <c r="J292" s="3">
        <f t="shared" si="4"/>
        <v>45822</v>
      </c>
      <c r="K292" s="4">
        <v>85.35</v>
      </c>
      <c r="L292">
        <v>10147</v>
      </c>
    </row>
    <row r="293" spans="1:12" x14ac:dyDescent="0.35">
      <c r="A293" t="s">
        <v>8</v>
      </c>
      <c r="B293" t="s">
        <v>9</v>
      </c>
      <c r="C293" t="s">
        <v>35</v>
      </c>
      <c r="D293" t="str" cm="1">
        <f t="array" ref="D293">INDEX(_xlfn.TEXTSPLIT(C293,"_"),3)</f>
        <v>bfr</v>
      </c>
      <c r="E293" t="str">
        <f>VLOOKUP(D293,FranchiseMapping!$A$1:$B$15,2,FALSE)</f>
        <v>Full Rescue</v>
      </c>
      <c r="F293" s="1">
        <v>45658</v>
      </c>
      <c r="G293" t="s">
        <v>12</v>
      </c>
      <c r="H293" s="2">
        <v>45778</v>
      </c>
      <c r="I293" s="3">
        <v>45784</v>
      </c>
      <c r="J293" s="3">
        <f t="shared" si="4"/>
        <v>45787</v>
      </c>
      <c r="K293" s="4">
        <v>1708.2300069999997</v>
      </c>
      <c r="L293">
        <v>115454</v>
      </c>
    </row>
    <row r="294" spans="1:12" x14ac:dyDescent="0.35">
      <c r="A294" t="s">
        <v>8</v>
      </c>
      <c r="B294" t="s">
        <v>13</v>
      </c>
      <c r="C294" t="s">
        <v>42</v>
      </c>
      <c r="D294" t="str" cm="1">
        <f t="array" ref="D294">INDEX(_xlfn.TEXTSPLIT(C294,"_"),3)</f>
        <v>bfr</v>
      </c>
      <c r="E294" t="str">
        <f>VLOOKUP(D294,FranchiseMapping!$A$1:$B$15,2,FALSE)</f>
        <v>Full Rescue</v>
      </c>
      <c r="F294" s="1">
        <v>45658</v>
      </c>
      <c r="G294" t="s">
        <v>10</v>
      </c>
      <c r="H294" s="2">
        <v>45809</v>
      </c>
      <c r="I294" s="3">
        <v>45832</v>
      </c>
      <c r="J294" s="3">
        <f t="shared" si="4"/>
        <v>45836</v>
      </c>
      <c r="K294" s="4">
        <v>326.139363</v>
      </c>
      <c r="L294">
        <v>152694</v>
      </c>
    </row>
    <row r="295" spans="1:12" x14ac:dyDescent="0.35">
      <c r="A295" t="s">
        <v>8</v>
      </c>
      <c r="B295" t="s">
        <v>9</v>
      </c>
      <c r="C295" t="s">
        <v>36</v>
      </c>
      <c r="D295" t="str" cm="1">
        <f t="array" ref="D295">INDEX(_xlfn.TEXTSPLIT(C295,"_"),3)</f>
        <v>bfr</v>
      </c>
      <c r="E295" t="str">
        <f>VLOOKUP(D295,FranchiseMapping!$A$1:$B$15,2,FALSE)</f>
        <v>Full Rescue</v>
      </c>
      <c r="F295" s="1">
        <v>45658</v>
      </c>
      <c r="G295" t="s">
        <v>10</v>
      </c>
      <c r="H295" s="2">
        <v>45809</v>
      </c>
      <c r="I295" s="3">
        <v>45832</v>
      </c>
      <c r="J295" s="3">
        <f t="shared" si="4"/>
        <v>45836</v>
      </c>
      <c r="K295" s="4">
        <v>1287.0999939999999</v>
      </c>
      <c r="L295">
        <v>226708</v>
      </c>
    </row>
    <row r="296" spans="1:12" x14ac:dyDescent="0.35">
      <c r="A296" t="s">
        <v>8</v>
      </c>
      <c r="B296" t="s">
        <v>9</v>
      </c>
      <c r="C296" t="s">
        <v>46</v>
      </c>
      <c r="D296" t="str" cm="1">
        <f t="array" ref="D296">INDEX(_xlfn.TEXTSPLIT(C296,"_"),3)</f>
        <v>mult</v>
      </c>
      <c r="E296" t="str">
        <f>VLOOKUP(D296,FranchiseMapping!$A$1:$B$15,2,FALSE)</f>
        <v>Biolage</v>
      </c>
      <c r="F296" s="1">
        <v>45658</v>
      </c>
      <c r="G296" t="s">
        <v>10</v>
      </c>
      <c r="H296" s="2">
        <v>45748</v>
      </c>
      <c r="I296" s="3">
        <v>45760</v>
      </c>
      <c r="J296" s="3">
        <f t="shared" si="4"/>
        <v>45766</v>
      </c>
      <c r="K296" s="4">
        <v>951.25000099999988</v>
      </c>
      <c r="L296">
        <v>202087</v>
      </c>
    </row>
    <row r="297" spans="1:12" x14ac:dyDescent="0.35">
      <c r="A297" t="s">
        <v>8</v>
      </c>
      <c r="B297" t="s">
        <v>14</v>
      </c>
      <c r="C297" t="s">
        <v>49</v>
      </c>
      <c r="D297" t="str" cm="1">
        <f t="array" ref="D297">INDEX(_xlfn.TEXTSPLIT(C297,"_"),3)</f>
        <v>hys</v>
      </c>
      <c r="E297" t="str">
        <f>VLOOKUP(D297,FranchiseMapping!$A$1:$B$15,2,FALSE)</f>
        <v>Hydrasource</v>
      </c>
      <c r="F297" s="1">
        <v>45658</v>
      </c>
      <c r="G297" t="s">
        <v>10</v>
      </c>
      <c r="H297" s="2">
        <v>45748</v>
      </c>
      <c r="I297" s="3">
        <v>45760</v>
      </c>
      <c r="J297" s="3">
        <f t="shared" si="4"/>
        <v>45766</v>
      </c>
      <c r="K297" s="4">
        <v>96.09</v>
      </c>
      <c r="L297">
        <v>33970</v>
      </c>
    </row>
    <row r="298" spans="1:12" x14ac:dyDescent="0.35">
      <c r="A298" t="s">
        <v>8</v>
      </c>
      <c r="B298" t="s">
        <v>9</v>
      </c>
      <c r="C298" t="s">
        <v>36</v>
      </c>
      <c r="D298" t="str" cm="1">
        <f t="array" ref="D298">INDEX(_xlfn.TEXTSPLIT(C298,"_"),3)</f>
        <v>bfr</v>
      </c>
      <c r="E298" t="str">
        <f>VLOOKUP(D298,FranchiseMapping!$A$1:$B$15,2,FALSE)</f>
        <v>Full Rescue</v>
      </c>
      <c r="F298" s="1">
        <v>45658</v>
      </c>
      <c r="G298" t="s">
        <v>12</v>
      </c>
      <c r="H298" s="2">
        <v>45778</v>
      </c>
      <c r="I298" s="3">
        <v>45783</v>
      </c>
      <c r="J298" s="3">
        <f t="shared" si="4"/>
        <v>45787</v>
      </c>
      <c r="K298" s="4">
        <v>1375.7700000000002</v>
      </c>
      <c r="L298">
        <v>265826</v>
      </c>
    </row>
    <row r="299" spans="1:12" x14ac:dyDescent="0.35">
      <c r="A299" t="s">
        <v>8</v>
      </c>
      <c r="B299" t="s">
        <v>14</v>
      </c>
      <c r="C299" t="s">
        <v>37</v>
      </c>
      <c r="D299" t="str" cm="1">
        <f t="array" ref="D299">INDEX(_xlfn.TEXTSPLIT(C299,"_"),3)</f>
        <v>mult</v>
      </c>
      <c r="E299" t="str">
        <f>VLOOKUP(D299,FranchiseMapping!$A$1:$B$15,2,FALSE)</f>
        <v>Biolage</v>
      </c>
      <c r="F299" s="1">
        <v>45658</v>
      </c>
      <c r="G299" t="s">
        <v>12</v>
      </c>
      <c r="H299" s="2">
        <v>45778</v>
      </c>
      <c r="I299" s="3">
        <v>45783</v>
      </c>
      <c r="J299" s="3">
        <f t="shared" si="4"/>
        <v>45787</v>
      </c>
      <c r="K299" s="4">
        <v>767.38</v>
      </c>
      <c r="L299">
        <v>276246</v>
      </c>
    </row>
    <row r="300" spans="1:12" x14ac:dyDescent="0.35">
      <c r="A300" t="s">
        <v>8</v>
      </c>
      <c r="B300" t="s">
        <v>9</v>
      </c>
      <c r="C300" t="s">
        <v>31</v>
      </c>
      <c r="D300" t="str" cm="1">
        <f t="array" ref="D300">INDEX(_xlfn.TEXTSPLIT(C300,"_"),3)</f>
        <v>scalp</v>
      </c>
      <c r="E300" t="str">
        <f>VLOOKUP(D300,FranchiseMapping!$A$1:$B$15,2,FALSE)</f>
        <v>Scalp Sync</v>
      </c>
      <c r="F300" s="1">
        <v>45292</v>
      </c>
      <c r="G300" t="s">
        <v>10</v>
      </c>
      <c r="H300" s="2">
        <v>45352</v>
      </c>
      <c r="I300" s="3">
        <v>45381</v>
      </c>
      <c r="J300" s="3">
        <f t="shared" si="4"/>
        <v>45381</v>
      </c>
      <c r="K300" s="4">
        <v>56.51</v>
      </c>
      <c r="L300">
        <v>9125</v>
      </c>
    </row>
    <row r="301" spans="1:12" x14ac:dyDescent="0.35">
      <c r="A301" t="s">
        <v>8</v>
      </c>
      <c r="B301" t="s">
        <v>9</v>
      </c>
      <c r="C301" t="s">
        <v>53</v>
      </c>
      <c r="D301" t="str" cm="1">
        <f t="array" ref="D301">INDEX(_xlfn.TEXTSPLIT(C301,"_"),3)</f>
        <v>bond-therapy</v>
      </c>
      <c r="E301" t="str">
        <f>VLOOKUP(D301,FranchiseMapping!$A$1:$B$15,2,FALSE)</f>
        <v>Bond Therapy</v>
      </c>
      <c r="F301" s="1">
        <v>44927</v>
      </c>
      <c r="G301" t="s">
        <v>11</v>
      </c>
      <c r="H301" s="2">
        <v>45261</v>
      </c>
      <c r="I301" s="3">
        <v>45264</v>
      </c>
      <c r="J301" s="3">
        <f t="shared" si="4"/>
        <v>45269</v>
      </c>
      <c r="K301" s="4">
        <v>1250.4999989999999</v>
      </c>
      <c r="L301">
        <v>212259</v>
      </c>
    </row>
    <row r="302" spans="1:12" x14ac:dyDescent="0.35">
      <c r="A302" t="s">
        <v>8</v>
      </c>
      <c r="B302" t="s">
        <v>14</v>
      </c>
      <c r="C302" t="s">
        <v>43</v>
      </c>
      <c r="D302" t="str" cm="1">
        <f t="array" ref="D302">INDEX(_xlfn.TEXTSPLIT(C302,"_"),3)</f>
        <v>bfr</v>
      </c>
      <c r="E302" t="str">
        <f>VLOOKUP(D302,FranchiseMapping!$A$1:$B$15,2,FALSE)</f>
        <v>Full Rescue</v>
      </c>
      <c r="F302" s="1">
        <v>45658</v>
      </c>
      <c r="G302" t="s">
        <v>12</v>
      </c>
      <c r="H302" s="2">
        <v>45809</v>
      </c>
      <c r="I302" s="3">
        <v>45819</v>
      </c>
      <c r="J302" s="3">
        <f t="shared" si="4"/>
        <v>45822</v>
      </c>
      <c r="K302" s="4">
        <v>5549.7199999999984</v>
      </c>
      <c r="L302">
        <v>1186979</v>
      </c>
    </row>
    <row r="303" spans="1:12" x14ac:dyDescent="0.35">
      <c r="A303" t="s">
        <v>8</v>
      </c>
      <c r="B303" t="s">
        <v>9</v>
      </c>
      <c r="C303" t="s">
        <v>36</v>
      </c>
      <c r="D303" t="str" cm="1">
        <f t="array" ref="D303">INDEX(_xlfn.TEXTSPLIT(C303,"_"),3)</f>
        <v>bfr</v>
      </c>
      <c r="E303" t="str">
        <f>VLOOKUP(D303,FranchiseMapping!$A$1:$B$15,2,FALSE)</f>
        <v>Full Rescue</v>
      </c>
      <c r="F303" s="1">
        <v>45658</v>
      </c>
      <c r="G303" t="s">
        <v>12</v>
      </c>
      <c r="H303" s="2">
        <v>45778</v>
      </c>
      <c r="I303" s="3">
        <v>45805</v>
      </c>
      <c r="J303" s="3">
        <f t="shared" si="4"/>
        <v>45808</v>
      </c>
      <c r="K303" s="4">
        <v>2542.9899999999993</v>
      </c>
      <c r="L303">
        <v>446261</v>
      </c>
    </row>
    <row r="304" spans="1:12" x14ac:dyDescent="0.35">
      <c r="A304" t="s">
        <v>8</v>
      </c>
      <c r="B304" t="s">
        <v>9</v>
      </c>
      <c r="C304" t="s">
        <v>35</v>
      </c>
      <c r="D304" t="str" cm="1">
        <f t="array" ref="D304">INDEX(_xlfn.TEXTSPLIT(C304,"_"),3)</f>
        <v>bfr</v>
      </c>
      <c r="E304" t="str">
        <f>VLOOKUP(D304,FranchiseMapping!$A$1:$B$15,2,FALSE)</f>
        <v>Full Rescue</v>
      </c>
      <c r="F304" s="1">
        <v>45658</v>
      </c>
      <c r="G304" t="s">
        <v>10</v>
      </c>
      <c r="H304" s="2">
        <v>45778</v>
      </c>
      <c r="I304" s="3">
        <v>45803</v>
      </c>
      <c r="J304" s="3">
        <f t="shared" si="4"/>
        <v>45808</v>
      </c>
      <c r="K304" s="4">
        <v>10.409999999999998</v>
      </c>
      <c r="L304">
        <v>1252</v>
      </c>
    </row>
    <row r="305" spans="1:12" x14ac:dyDescent="0.35">
      <c r="A305" t="s">
        <v>8</v>
      </c>
      <c r="B305" t="s">
        <v>9</v>
      </c>
      <c r="C305" t="s">
        <v>40</v>
      </c>
      <c r="D305" t="str" cm="1">
        <f t="array" ref="D305">INDEX(_xlfn.TEXTSPLIT(C305,"_"),3)</f>
        <v>hydrasource</v>
      </c>
      <c r="E305" t="str">
        <f>VLOOKUP(D305,FranchiseMapping!$A$1:$B$15,2,FALSE)</f>
        <v>Hydrasource</v>
      </c>
      <c r="F305" s="1">
        <v>45292</v>
      </c>
      <c r="G305" t="s">
        <v>12</v>
      </c>
      <c r="H305" s="2">
        <v>45352</v>
      </c>
      <c r="I305" s="3">
        <v>45354</v>
      </c>
      <c r="J305" s="3">
        <f t="shared" si="4"/>
        <v>45360</v>
      </c>
      <c r="K305" s="4">
        <v>3401.200002</v>
      </c>
      <c r="L305">
        <v>558960</v>
      </c>
    </row>
    <row r="306" spans="1:12" x14ac:dyDescent="0.35">
      <c r="A306" t="s">
        <v>8</v>
      </c>
      <c r="B306" t="s">
        <v>9</v>
      </c>
      <c r="C306" t="s">
        <v>56</v>
      </c>
      <c r="D306" t="str" cm="1">
        <f t="array" ref="D306">INDEX(_xlfn.TEXTSPLIT(C306,"_"),3)</f>
        <v>haca-colorlast-q3</v>
      </c>
      <c r="E306" t="str">
        <f>VLOOKUP(D306,FranchiseMapping!$A$1:$B$15,2,FALSE)</f>
        <v>Color Last</v>
      </c>
      <c r="F306" s="1">
        <v>44927</v>
      </c>
      <c r="G306" t="s">
        <v>10</v>
      </c>
      <c r="H306" s="2">
        <v>45108</v>
      </c>
      <c r="I306" s="3">
        <v>45131</v>
      </c>
      <c r="J306" s="3">
        <f t="shared" si="4"/>
        <v>45136</v>
      </c>
      <c r="K306" s="4">
        <v>2156.5899999999997</v>
      </c>
      <c r="L306">
        <v>327191</v>
      </c>
    </row>
    <row r="307" spans="1:12" x14ac:dyDescent="0.35">
      <c r="A307" t="s">
        <v>8</v>
      </c>
      <c r="B307" t="s">
        <v>13</v>
      </c>
      <c r="C307" t="s">
        <v>44</v>
      </c>
      <c r="D307" t="str" cm="1">
        <f t="array" ref="D307">INDEX(_xlfn.TEXTSPLIT(C307,"_"),3)</f>
        <v>na</v>
      </c>
      <c r="E307" t="str">
        <f>VLOOKUP(D307,FranchiseMapping!$A$1:$B$15,2,FALSE)</f>
        <v>Biolage</v>
      </c>
      <c r="F307" s="1">
        <v>44927</v>
      </c>
      <c r="G307" t="s">
        <v>11</v>
      </c>
      <c r="H307" s="2">
        <v>45108</v>
      </c>
      <c r="I307" s="3">
        <v>45119</v>
      </c>
      <c r="J307" s="3">
        <f t="shared" si="4"/>
        <v>45122</v>
      </c>
      <c r="K307" s="4">
        <v>677.56662900000003</v>
      </c>
      <c r="L307">
        <v>357077</v>
      </c>
    </row>
    <row r="308" spans="1:12" x14ac:dyDescent="0.35">
      <c r="A308" t="s">
        <v>8</v>
      </c>
      <c r="B308" t="s">
        <v>13</v>
      </c>
      <c r="C308" t="s">
        <v>42</v>
      </c>
      <c r="D308" t="str" cm="1">
        <f t="array" ref="D308">INDEX(_xlfn.TEXTSPLIT(C308,"_"),3)</f>
        <v>bfr</v>
      </c>
      <c r="E308" t="str">
        <f>VLOOKUP(D308,FranchiseMapping!$A$1:$B$15,2,FALSE)</f>
        <v>Full Rescue</v>
      </c>
      <c r="F308" s="1">
        <v>45658</v>
      </c>
      <c r="G308" t="s">
        <v>10</v>
      </c>
      <c r="H308" s="2">
        <v>45809</v>
      </c>
      <c r="I308" s="3">
        <v>45814</v>
      </c>
      <c r="J308" s="3">
        <f t="shared" si="4"/>
        <v>45815</v>
      </c>
      <c r="K308" s="4">
        <v>437.891255</v>
      </c>
      <c r="L308">
        <v>206318</v>
      </c>
    </row>
    <row r="309" spans="1:12" x14ac:dyDescent="0.35">
      <c r="A309" t="s">
        <v>8</v>
      </c>
      <c r="B309" t="s">
        <v>13</v>
      </c>
      <c r="C309" t="s">
        <v>59</v>
      </c>
      <c r="D309" t="str" cm="1">
        <f t="array" ref="D309">INDEX(_xlfn.TEXTSPLIT(C309,"_"),3)</f>
        <v>scalp-sync</v>
      </c>
      <c r="E309" t="str">
        <f>VLOOKUP(D309,FranchiseMapping!$A$1:$B$15,2,FALSE)</f>
        <v>Scalp Sync</v>
      </c>
      <c r="F309" s="1">
        <v>45292</v>
      </c>
      <c r="G309" t="s">
        <v>11</v>
      </c>
      <c r="H309" s="2">
        <v>45383</v>
      </c>
      <c r="I309" s="3">
        <v>45397</v>
      </c>
      <c r="J309" s="3">
        <f t="shared" si="4"/>
        <v>45402</v>
      </c>
      <c r="K309" s="4">
        <v>2653.6721709999997</v>
      </c>
      <c r="L309">
        <v>991612</v>
      </c>
    </row>
    <row r="310" spans="1:12" x14ac:dyDescent="0.35">
      <c r="A310" t="s">
        <v>8</v>
      </c>
      <c r="B310" t="s">
        <v>9</v>
      </c>
      <c r="C310" t="s">
        <v>56</v>
      </c>
      <c r="D310" t="str" cm="1">
        <f t="array" ref="D310">INDEX(_xlfn.TEXTSPLIT(C310,"_"),3)</f>
        <v>haca-colorlast-q3</v>
      </c>
      <c r="E310" t="str">
        <f>VLOOKUP(D310,FranchiseMapping!$A$1:$B$15,2,FALSE)</f>
        <v>Color Last</v>
      </c>
      <c r="F310" s="1">
        <v>44927</v>
      </c>
      <c r="G310" t="s">
        <v>10</v>
      </c>
      <c r="H310" s="2">
        <v>45108</v>
      </c>
      <c r="I310" s="3">
        <v>45137</v>
      </c>
      <c r="J310" s="3">
        <f t="shared" si="4"/>
        <v>45143</v>
      </c>
      <c r="K310" s="4">
        <v>2294.2399999999998</v>
      </c>
      <c r="L310">
        <v>299763</v>
      </c>
    </row>
    <row r="311" spans="1:12" x14ac:dyDescent="0.35">
      <c r="A311" t="s">
        <v>8</v>
      </c>
      <c r="B311" t="s">
        <v>13</v>
      </c>
      <c r="C311" t="s">
        <v>39</v>
      </c>
      <c r="D311" t="str" cm="1">
        <f t="array" ref="D311">INDEX(_xlfn.TEXTSPLIT(C311,"_"),3)</f>
        <v>scalp-sync</v>
      </c>
      <c r="E311" t="str">
        <f>VLOOKUP(D311,FranchiseMapping!$A$1:$B$15,2,FALSE)</f>
        <v>Scalp Sync</v>
      </c>
      <c r="F311" s="1">
        <v>45292</v>
      </c>
      <c r="G311" t="s">
        <v>12</v>
      </c>
      <c r="H311" s="2">
        <v>45413</v>
      </c>
      <c r="I311" s="3">
        <v>45416</v>
      </c>
      <c r="J311" s="3">
        <f t="shared" si="4"/>
        <v>45416</v>
      </c>
      <c r="K311" s="4">
        <v>1744.7380639999999</v>
      </c>
      <c r="L311">
        <v>491524</v>
      </c>
    </row>
    <row r="312" spans="1:12" x14ac:dyDescent="0.35">
      <c r="A312" t="s">
        <v>8</v>
      </c>
      <c r="B312" t="s">
        <v>14</v>
      </c>
      <c r="C312" t="s">
        <v>29</v>
      </c>
      <c r="D312" t="str" cm="1">
        <f t="array" ref="D312">INDEX(_xlfn.TEXTSPLIT(C312,"_"),3)</f>
        <v>bfr</v>
      </c>
      <c r="E312" t="str">
        <f>VLOOKUP(D312,FranchiseMapping!$A$1:$B$15,2,FALSE)</f>
        <v>Full Rescue</v>
      </c>
      <c r="F312" s="1">
        <v>45658</v>
      </c>
      <c r="G312" t="s">
        <v>12</v>
      </c>
      <c r="H312" s="2">
        <v>45809</v>
      </c>
      <c r="I312" s="3">
        <v>45823</v>
      </c>
      <c r="J312" s="3">
        <f t="shared" si="4"/>
        <v>45829</v>
      </c>
      <c r="K312" s="4">
        <v>28.380000000000003</v>
      </c>
      <c r="L312">
        <v>5959</v>
      </c>
    </row>
    <row r="313" spans="1:12" x14ac:dyDescent="0.35">
      <c r="A313" t="s">
        <v>8</v>
      </c>
      <c r="B313" t="s">
        <v>9</v>
      </c>
      <c r="C313" t="s">
        <v>54</v>
      </c>
      <c r="D313" t="str" cm="1">
        <f t="array" ref="D313">INDEX(_xlfn.TEXTSPLIT(C313,"_"),3)</f>
        <v>scalp</v>
      </c>
      <c r="E313" t="str">
        <f>VLOOKUP(D313,FranchiseMapping!$A$1:$B$15,2,FALSE)</f>
        <v>Scalp Sync</v>
      </c>
      <c r="F313" s="1">
        <v>45292</v>
      </c>
      <c r="G313" t="s">
        <v>10</v>
      </c>
      <c r="H313" s="2">
        <v>45352</v>
      </c>
      <c r="I313" s="3">
        <v>45366</v>
      </c>
      <c r="J313" s="3">
        <f t="shared" si="4"/>
        <v>45367</v>
      </c>
      <c r="K313" s="4">
        <v>2298.7200000000003</v>
      </c>
      <c r="L313">
        <v>487645</v>
      </c>
    </row>
    <row r="314" spans="1:12" x14ac:dyDescent="0.35">
      <c r="A314" t="s">
        <v>8</v>
      </c>
      <c r="B314" t="s">
        <v>9</v>
      </c>
      <c r="C314" t="s">
        <v>71</v>
      </c>
      <c r="D314" t="str" cm="1">
        <f t="array" ref="D314">INDEX(_xlfn.TEXTSPLIT(C314,"_"),3)</f>
        <v>bondtherapy</v>
      </c>
      <c r="E314" t="str">
        <f>VLOOKUP(D314,FranchiseMapping!$A$1:$B$15,2,FALSE)</f>
        <v>Bond Therapy</v>
      </c>
      <c r="F314" s="1">
        <v>44927</v>
      </c>
      <c r="G314" t="s">
        <v>11</v>
      </c>
      <c r="H314" s="2">
        <v>45261</v>
      </c>
      <c r="I314" s="3">
        <v>45281</v>
      </c>
      <c r="J314" s="3">
        <f t="shared" si="4"/>
        <v>45283</v>
      </c>
      <c r="K314" s="4">
        <v>1860.450006</v>
      </c>
      <c r="L314">
        <v>162301</v>
      </c>
    </row>
    <row r="315" spans="1:12" x14ac:dyDescent="0.35">
      <c r="A315" t="s">
        <v>8</v>
      </c>
      <c r="B315" t="s">
        <v>9</v>
      </c>
      <c r="C315" t="s">
        <v>38</v>
      </c>
      <c r="D315" t="str" cm="1">
        <f t="array" ref="D315">INDEX(_xlfn.TEXTSPLIT(C315,"_"),3)</f>
        <v>hys</v>
      </c>
      <c r="E315" t="str">
        <f>VLOOKUP(D315,FranchiseMapping!$A$1:$B$15,2,FALSE)</f>
        <v>Hydrasource</v>
      </c>
      <c r="F315" s="1">
        <v>45658</v>
      </c>
      <c r="G315" t="s">
        <v>10</v>
      </c>
      <c r="H315" s="2">
        <v>45748</v>
      </c>
      <c r="I315" s="3">
        <v>45777</v>
      </c>
      <c r="J315" s="3">
        <f t="shared" si="4"/>
        <v>45780</v>
      </c>
      <c r="K315" s="4">
        <v>404.40999699999986</v>
      </c>
      <c r="L315">
        <v>18865</v>
      </c>
    </row>
    <row r="316" spans="1:12" x14ac:dyDescent="0.35">
      <c r="A316" t="s">
        <v>8</v>
      </c>
      <c r="B316" t="s">
        <v>9</v>
      </c>
      <c r="C316" t="s">
        <v>46</v>
      </c>
      <c r="D316" t="str" cm="1">
        <f t="array" ref="D316">INDEX(_xlfn.TEXTSPLIT(C316,"_"),3)</f>
        <v>mult</v>
      </c>
      <c r="E316" t="str">
        <f>VLOOKUP(D316,FranchiseMapping!$A$1:$B$15,2,FALSE)</f>
        <v>Biolage</v>
      </c>
      <c r="F316" s="1">
        <v>45658</v>
      </c>
      <c r="G316" t="s">
        <v>12</v>
      </c>
      <c r="H316" s="2">
        <v>45717</v>
      </c>
      <c r="I316" s="3">
        <v>45733</v>
      </c>
      <c r="J316" s="3">
        <f t="shared" si="4"/>
        <v>45738</v>
      </c>
      <c r="K316" s="4">
        <v>2769.34</v>
      </c>
      <c r="L316">
        <v>535818</v>
      </c>
    </row>
    <row r="317" spans="1:12" x14ac:dyDescent="0.35">
      <c r="A317" t="s">
        <v>8</v>
      </c>
      <c r="B317" t="s">
        <v>14</v>
      </c>
      <c r="C317" t="s">
        <v>29</v>
      </c>
      <c r="D317" t="str" cm="1">
        <f t="array" ref="D317">INDEX(_xlfn.TEXTSPLIT(C317,"_"),3)</f>
        <v>bfr</v>
      </c>
      <c r="E317" t="str">
        <f>VLOOKUP(D317,FranchiseMapping!$A$1:$B$15,2,FALSE)</f>
        <v>Full Rescue</v>
      </c>
      <c r="F317" s="1">
        <v>45658</v>
      </c>
      <c r="G317" t="s">
        <v>12</v>
      </c>
      <c r="H317" s="2">
        <v>45809</v>
      </c>
      <c r="I317" s="3">
        <v>45826</v>
      </c>
      <c r="J317" s="3">
        <f t="shared" si="4"/>
        <v>45829</v>
      </c>
      <c r="K317" s="4">
        <v>23.4</v>
      </c>
      <c r="L317">
        <v>4731</v>
      </c>
    </row>
    <row r="318" spans="1:12" x14ac:dyDescent="0.35">
      <c r="A318" t="s">
        <v>8</v>
      </c>
      <c r="B318" t="s">
        <v>9</v>
      </c>
      <c r="C318" t="s">
        <v>70</v>
      </c>
      <c r="D318" t="str" cm="1">
        <f t="array" ref="D318">INDEX(_xlfn.TEXTSPLIT(C318,"_"),3)</f>
        <v>mult</v>
      </c>
      <c r="E318" t="str">
        <f>VLOOKUP(D318,FranchiseMapping!$A$1:$B$15,2,FALSE)</f>
        <v>Biolage</v>
      </c>
      <c r="F318" s="1">
        <v>45292</v>
      </c>
      <c r="G318" t="s">
        <v>12</v>
      </c>
      <c r="H318" s="2">
        <v>45597</v>
      </c>
      <c r="I318" s="3">
        <v>45620</v>
      </c>
      <c r="J318" s="3">
        <f t="shared" si="4"/>
        <v>45626</v>
      </c>
      <c r="K318" s="4">
        <v>15629.050001000001</v>
      </c>
      <c r="L318">
        <v>1845823</v>
      </c>
    </row>
    <row r="319" spans="1:12" x14ac:dyDescent="0.35">
      <c r="A319" t="s">
        <v>8</v>
      </c>
      <c r="B319" t="s">
        <v>14</v>
      </c>
      <c r="C319" t="s">
        <v>43</v>
      </c>
      <c r="D319" t="str" cm="1">
        <f t="array" ref="D319">INDEX(_xlfn.TEXTSPLIT(C319,"_"),3)</f>
        <v>bfr</v>
      </c>
      <c r="E319" t="str">
        <f>VLOOKUP(D319,FranchiseMapping!$A$1:$B$15,2,FALSE)</f>
        <v>Full Rescue</v>
      </c>
      <c r="F319" s="1">
        <v>45658</v>
      </c>
      <c r="G319" t="s">
        <v>10</v>
      </c>
      <c r="H319" s="2">
        <v>45809</v>
      </c>
      <c r="I319" s="3">
        <v>45822</v>
      </c>
      <c r="J319" s="3">
        <f t="shared" si="4"/>
        <v>45822</v>
      </c>
      <c r="K319" s="4">
        <v>762.41</v>
      </c>
      <c r="L319">
        <v>160433</v>
      </c>
    </row>
    <row r="320" spans="1:12" x14ac:dyDescent="0.35">
      <c r="A320" t="s">
        <v>8</v>
      </c>
      <c r="B320" t="s">
        <v>9</v>
      </c>
      <c r="C320" t="s">
        <v>33</v>
      </c>
      <c r="D320" t="str" cm="1">
        <f t="array" ref="D320">INDEX(_xlfn.TEXTSPLIT(C320,"_"),3)</f>
        <v>hydrasource</v>
      </c>
      <c r="E320" t="str">
        <f>VLOOKUP(D320,FranchiseMapping!$A$1:$B$15,2,FALSE)</f>
        <v>Hydrasource</v>
      </c>
      <c r="F320" s="1">
        <v>45292</v>
      </c>
      <c r="G320" t="s">
        <v>11</v>
      </c>
      <c r="H320" s="2">
        <v>45323</v>
      </c>
      <c r="I320" s="3">
        <v>45334</v>
      </c>
      <c r="J320" s="3">
        <f t="shared" si="4"/>
        <v>45339</v>
      </c>
      <c r="K320" s="4">
        <v>1163.259998</v>
      </c>
      <c r="L320">
        <v>199579</v>
      </c>
    </row>
    <row r="321" spans="1:12" x14ac:dyDescent="0.35">
      <c r="A321" t="s">
        <v>8</v>
      </c>
      <c r="B321" t="s">
        <v>13</v>
      </c>
      <c r="C321" t="s">
        <v>28</v>
      </c>
      <c r="D321" t="str" cm="1">
        <f t="array" ref="D321">INDEX(_xlfn.TEXTSPLIT(C321,"_"),3)</f>
        <v>na</v>
      </c>
      <c r="E321" t="str">
        <f>VLOOKUP(D321,FranchiseMapping!$A$1:$B$15,2,FALSE)</f>
        <v>Biolage</v>
      </c>
      <c r="F321" s="1">
        <v>44927</v>
      </c>
      <c r="G321" t="s">
        <v>12</v>
      </c>
      <c r="H321" s="2">
        <v>45139</v>
      </c>
      <c r="I321" s="3">
        <v>45143</v>
      </c>
      <c r="J321" s="3">
        <f t="shared" si="4"/>
        <v>45143</v>
      </c>
      <c r="K321" s="4">
        <v>308.68333100000001</v>
      </c>
      <c r="L321">
        <v>129302</v>
      </c>
    </row>
    <row r="322" spans="1:12" x14ac:dyDescent="0.35">
      <c r="A322" t="s">
        <v>8</v>
      </c>
      <c r="B322" t="s">
        <v>9</v>
      </c>
      <c r="C322" t="s">
        <v>36</v>
      </c>
      <c r="D322" t="str" cm="1">
        <f t="array" ref="D322">INDEX(_xlfn.TEXTSPLIT(C322,"_"),3)</f>
        <v>bfr</v>
      </c>
      <c r="E322" t="str">
        <f>VLOOKUP(D322,FranchiseMapping!$A$1:$B$15,2,FALSE)</f>
        <v>Full Rescue</v>
      </c>
      <c r="F322" s="1">
        <v>45658</v>
      </c>
      <c r="G322" t="s">
        <v>12</v>
      </c>
      <c r="H322" s="2">
        <v>45809</v>
      </c>
      <c r="I322" s="3">
        <v>45835</v>
      </c>
      <c r="J322" s="3">
        <f t="shared" si="4"/>
        <v>45836</v>
      </c>
      <c r="K322" s="4">
        <v>1424.0800040000004</v>
      </c>
      <c r="L322">
        <v>199386</v>
      </c>
    </row>
    <row r="323" spans="1:12" x14ac:dyDescent="0.35">
      <c r="A323" t="s">
        <v>8</v>
      </c>
      <c r="B323" t="s">
        <v>9</v>
      </c>
      <c r="C323" t="s">
        <v>31</v>
      </c>
      <c r="D323" t="str" cm="1">
        <f t="array" ref="D323">INDEX(_xlfn.TEXTSPLIT(C323,"_"),3)</f>
        <v>scalp</v>
      </c>
      <c r="E323" t="str">
        <f>VLOOKUP(D323,FranchiseMapping!$A$1:$B$15,2,FALSE)</f>
        <v>Scalp Sync</v>
      </c>
      <c r="F323" s="1">
        <v>45292</v>
      </c>
      <c r="G323" t="s">
        <v>10</v>
      </c>
      <c r="H323" s="2">
        <v>45352</v>
      </c>
      <c r="I323" s="3">
        <v>45368</v>
      </c>
      <c r="J323" s="3">
        <f t="shared" ref="J323:J386" si="5">I323 + (7 - WEEKDAY(I323, 1))</f>
        <v>45374</v>
      </c>
      <c r="K323" s="4">
        <v>1654.2500010000001</v>
      </c>
      <c r="L323">
        <v>256878</v>
      </c>
    </row>
    <row r="324" spans="1:12" x14ac:dyDescent="0.35">
      <c r="A324" t="s">
        <v>8</v>
      </c>
      <c r="B324" t="s">
        <v>9</v>
      </c>
      <c r="C324" t="s">
        <v>46</v>
      </c>
      <c r="D324" t="str" cm="1">
        <f t="array" ref="D324">INDEX(_xlfn.TEXTSPLIT(C324,"_"),3)</f>
        <v>mult</v>
      </c>
      <c r="E324" t="str">
        <f>VLOOKUP(D324,FranchiseMapping!$A$1:$B$15,2,FALSE)</f>
        <v>Biolage</v>
      </c>
      <c r="F324" s="1">
        <v>45658</v>
      </c>
      <c r="G324" t="s">
        <v>12</v>
      </c>
      <c r="H324" s="2">
        <v>45778</v>
      </c>
      <c r="I324" s="3">
        <v>45788</v>
      </c>
      <c r="J324" s="3">
        <f t="shared" si="5"/>
        <v>45794</v>
      </c>
      <c r="K324" s="4">
        <v>306.74</v>
      </c>
      <c r="L324">
        <v>60718</v>
      </c>
    </row>
    <row r="325" spans="1:12" x14ac:dyDescent="0.35">
      <c r="A325" t="s">
        <v>8</v>
      </c>
      <c r="B325" t="s">
        <v>9</v>
      </c>
      <c r="C325" t="s">
        <v>54</v>
      </c>
      <c r="D325" t="str" cm="1">
        <f t="array" ref="D325">INDEX(_xlfn.TEXTSPLIT(C325,"_"),3)</f>
        <v>scalp</v>
      </c>
      <c r="E325" t="str">
        <f>VLOOKUP(D325,FranchiseMapping!$A$1:$B$15,2,FALSE)</f>
        <v>Scalp Sync</v>
      </c>
      <c r="F325" s="1">
        <v>45292</v>
      </c>
      <c r="G325" t="s">
        <v>10</v>
      </c>
      <c r="H325" s="2">
        <v>45352</v>
      </c>
      <c r="I325" s="3">
        <v>45358</v>
      </c>
      <c r="J325" s="3">
        <f t="shared" si="5"/>
        <v>45360</v>
      </c>
      <c r="K325" s="4">
        <v>2293.7500060000002</v>
      </c>
      <c r="L325">
        <v>546463</v>
      </c>
    </row>
    <row r="326" spans="1:12" x14ac:dyDescent="0.35">
      <c r="A326" t="s">
        <v>8</v>
      </c>
      <c r="B326" t="s">
        <v>9</v>
      </c>
      <c r="C326" t="s">
        <v>61</v>
      </c>
      <c r="D326" t="str" cm="1">
        <f t="array" ref="D326">INDEX(_xlfn.TEXTSPLIT(C326,"_"),3)</f>
        <v>prime-day</v>
      </c>
      <c r="E326" t="str">
        <f>VLOOKUP(D326,FranchiseMapping!$A$1:$B$15,2,FALSE)</f>
        <v>Prime Day</v>
      </c>
      <c r="F326" s="1">
        <v>45292</v>
      </c>
      <c r="G326" t="s">
        <v>10</v>
      </c>
      <c r="H326" s="2">
        <v>45474</v>
      </c>
      <c r="I326" s="3">
        <v>45488</v>
      </c>
      <c r="J326" s="3">
        <f t="shared" si="5"/>
        <v>45493</v>
      </c>
      <c r="K326" s="4">
        <v>3157.5599959999995</v>
      </c>
      <c r="L326">
        <v>551950</v>
      </c>
    </row>
    <row r="327" spans="1:12" x14ac:dyDescent="0.35">
      <c r="A327" t="s">
        <v>8</v>
      </c>
      <c r="B327" t="s">
        <v>9</v>
      </c>
      <c r="C327" t="s">
        <v>46</v>
      </c>
      <c r="D327" t="str" cm="1">
        <f t="array" ref="D327">INDEX(_xlfn.TEXTSPLIT(C327,"_"),3)</f>
        <v>mult</v>
      </c>
      <c r="E327" t="str">
        <f>VLOOKUP(D327,FranchiseMapping!$A$1:$B$15,2,FALSE)</f>
        <v>Biolage</v>
      </c>
      <c r="F327" s="1">
        <v>45658</v>
      </c>
      <c r="G327" t="s">
        <v>10</v>
      </c>
      <c r="H327" s="2">
        <v>45778</v>
      </c>
      <c r="I327" s="3">
        <v>45794</v>
      </c>
      <c r="J327" s="3">
        <f t="shared" si="5"/>
        <v>45794</v>
      </c>
      <c r="K327" s="4">
        <v>1354.8300029999998</v>
      </c>
      <c r="L327">
        <v>213155</v>
      </c>
    </row>
    <row r="328" spans="1:12" x14ac:dyDescent="0.35">
      <c r="A328" t="s">
        <v>8</v>
      </c>
      <c r="B328" t="s">
        <v>9</v>
      </c>
      <c r="C328" t="s">
        <v>53</v>
      </c>
      <c r="D328" t="str" cm="1">
        <f t="array" ref="D328">INDEX(_xlfn.TEXTSPLIT(C328,"_"),3)</f>
        <v>bond-therapy</v>
      </c>
      <c r="E328" t="str">
        <f>VLOOKUP(D328,FranchiseMapping!$A$1:$B$15,2,FALSE)</f>
        <v>Bond Therapy</v>
      </c>
      <c r="F328" s="1">
        <v>44927</v>
      </c>
      <c r="G328" t="s">
        <v>11</v>
      </c>
      <c r="H328" s="2">
        <v>45231</v>
      </c>
      <c r="I328" s="3">
        <v>45253</v>
      </c>
      <c r="J328" s="3">
        <f t="shared" si="5"/>
        <v>45255</v>
      </c>
      <c r="K328" s="4">
        <v>1206.8999999999999</v>
      </c>
      <c r="L328">
        <v>193807</v>
      </c>
    </row>
    <row r="329" spans="1:12" x14ac:dyDescent="0.35">
      <c r="A329" t="s">
        <v>8</v>
      </c>
      <c r="B329" t="s">
        <v>9</v>
      </c>
      <c r="C329" t="s">
        <v>50</v>
      </c>
      <c r="D329" t="str" cm="1">
        <f t="array" ref="D329">INDEX(_xlfn.TEXTSPLIT(C329,"_"),3)</f>
        <v>bond-therapy</v>
      </c>
      <c r="E329" t="str">
        <f>VLOOKUP(D329,FranchiseMapping!$A$1:$B$15,2,FALSE)</f>
        <v>Bond Therapy</v>
      </c>
      <c r="F329" s="1">
        <v>44927</v>
      </c>
      <c r="G329" t="s">
        <v>12</v>
      </c>
      <c r="H329" s="2">
        <v>45261</v>
      </c>
      <c r="I329" s="3">
        <v>45263</v>
      </c>
      <c r="J329" s="3">
        <f t="shared" si="5"/>
        <v>45269</v>
      </c>
      <c r="K329" s="4">
        <v>3266.0600000000004</v>
      </c>
      <c r="L329">
        <v>341813</v>
      </c>
    </row>
    <row r="330" spans="1:12" x14ac:dyDescent="0.35">
      <c r="A330" t="s">
        <v>8</v>
      </c>
      <c r="B330" t="s">
        <v>13</v>
      </c>
      <c r="C330" t="s">
        <v>62</v>
      </c>
      <c r="D330" t="str" cm="1">
        <f t="array" ref="D330">INDEX(_xlfn.TEXTSPLIT(C330,"_"),3)</f>
        <v>na</v>
      </c>
      <c r="E330" t="str">
        <f>VLOOKUP(D330,FranchiseMapping!$A$1:$B$15,2,FALSE)</f>
        <v>Biolage</v>
      </c>
      <c r="F330" s="1">
        <v>44927</v>
      </c>
      <c r="G330" t="s">
        <v>12</v>
      </c>
      <c r="H330" s="2">
        <v>45108</v>
      </c>
      <c r="I330" s="3">
        <v>45112</v>
      </c>
      <c r="J330" s="3">
        <f t="shared" si="5"/>
        <v>45115</v>
      </c>
      <c r="K330" s="4">
        <v>1386.188956</v>
      </c>
      <c r="L330">
        <v>333428</v>
      </c>
    </row>
    <row r="331" spans="1:12" x14ac:dyDescent="0.35">
      <c r="A331" t="s">
        <v>8</v>
      </c>
      <c r="B331" t="s">
        <v>14</v>
      </c>
      <c r="C331" t="s">
        <v>49</v>
      </c>
      <c r="D331" t="str" cm="1">
        <f t="array" ref="D331">INDEX(_xlfn.TEXTSPLIT(C331,"_"),3)</f>
        <v>hys</v>
      </c>
      <c r="E331" t="str">
        <f>VLOOKUP(D331,FranchiseMapping!$A$1:$B$15,2,FALSE)</f>
        <v>Hydrasource</v>
      </c>
      <c r="F331" s="1">
        <v>45658</v>
      </c>
      <c r="G331" t="s">
        <v>10</v>
      </c>
      <c r="H331" s="2">
        <v>45748</v>
      </c>
      <c r="I331" s="3">
        <v>45769</v>
      </c>
      <c r="J331" s="3">
        <f t="shared" si="5"/>
        <v>45773</v>
      </c>
      <c r="K331" s="4">
        <v>199.67999999999998</v>
      </c>
      <c r="L331">
        <v>50123</v>
      </c>
    </row>
    <row r="332" spans="1:12" x14ac:dyDescent="0.35">
      <c r="A332" t="s">
        <v>8</v>
      </c>
      <c r="B332" t="s">
        <v>9</v>
      </c>
      <c r="C332" t="s">
        <v>33</v>
      </c>
      <c r="D332" t="str" cm="1">
        <f t="array" ref="D332">INDEX(_xlfn.TEXTSPLIT(C332,"_"),3)</f>
        <v>hydrasource</v>
      </c>
      <c r="E332" t="str">
        <f>VLOOKUP(D332,FranchiseMapping!$A$1:$B$15,2,FALSE)</f>
        <v>Hydrasource</v>
      </c>
      <c r="F332" s="1">
        <v>45292</v>
      </c>
      <c r="G332" t="s">
        <v>11</v>
      </c>
      <c r="H332" s="2">
        <v>45352</v>
      </c>
      <c r="I332" s="3">
        <v>45355</v>
      </c>
      <c r="J332" s="3">
        <f t="shared" si="5"/>
        <v>45360</v>
      </c>
      <c r="K332" s="4">
        <v>1295.2799990000003</v>
      </c>
      <c r="L332">
        <v>176951</v>
      </c>
    </row>
    <row r="333" spans="1:12" x14ac:dyDescent="0.35">
      <c r="A333" t="s">
        <v>8</v>
      </c>
      <c r="B333" t="s">
        <v>13</v>
      </c>
      <c r="C333" t="s">
        <v>59</v>
      </c>
      <c r="D333" t="str" cm="1">
        <f t="array" ref="D333">INDEX(_xlfn.TEXTSPLIT(C333,"_"),3)</f>
        <v>scalp-sync</v>
      </c>
      <c r="E333" t="str">
        <f>VLOOKUP(D333,FranchiseMapping!$A$1:$B$15,2,FALSE)</f>
        <v>Scalp Sync</v>
      </c>
      <c r="F333" s="1">
        <v>45292</v>
      </c>
      <c r="G333" t="s">
        <v>11</v>
      </c>
      <c r="H333" s="2">
        <v>45413</v>
      </c>
      <c r="I333" s="3">
        <v>45428</v>
      </c>
      <c r="J333" s="3">
        <f t="shared" si="5"/>
        <v>45430</v>
      </c>
      <c r="K333" s="4">
        <v>3367.5097520000004</v>
      </c>
      <c r="L333">
        <v>1463266</v>
      </c>
    </row>
    <row r="334" spans="1:12" x14ac:dyDescent="0.35">
      <c r="A334" t="s">
        <v>8</v>
      </c>
      <c r="B334" t="s">
        <v>9</v>
      </c>
      <c r="C334" t="s">
        <v>40</v>
      </c>
      <c r="D334" t="str" cm="1">
        <f t="array" ref="D334">INDEX(_xlfn.TEXTSPLIT(C334,"_"),3)</f>
        <v>hydrasource</v>
      </c>
      <c r="E334" t="str">
        <f>VLOOKUP(D334,FranchiseMapping!$A$1:$B$15,2,FALSE)</f>
        <v>Hydrasource</v>
      </c>
      <c r="F334" s="1">
        <v>45292</v>
      </c>
      <c r="G334" t="s">
        <v>12</v>
      </c>
      <c r="H334" s="2">
        <v>45352</v>
      </c>
      <c r="I334" s="3">
        <v>45352</v>
      </c>
      <c r="J334" s="3">
        <f t="shared" si="5"/>
        <v>45353</v>
      </c>
      <c r="K334" s="4">
        <v>3098.5299989999999</v>
      </c>
      <c r="L334">
        <v>474696</v>
      </c>
    </row>
    <row r="335" spans="1:12" x14ac:dyDescent="0.35">
      <c r="A335" t="s">
        <v>8</v>
      </c>
      <c r="B335" t="s">
        <v>9</v>
      </c>
      <c r="C335" t="s">
        <v>35</v>
      </c>
      <c r="D335" t="str" cm="1">
        <f t="array" ref="D335">INDEX(_xlfn.TEXTSPLIT(C335,"_"),3)</f>
        <v>bfr</v>
      </c>
      <c r="E335" t="str">
        <f>VLOOKUP(D335,FranchiseMapping!$A$1:$B$15,2,FALSE)</f>
        <v>Full Rescue</v>
      </c>
      <c r="F335" s="1">
        <v>45658</v>
      </c>
      <c r="G335" t="s">
        <v>12</v>
      </c>
      <c r="H335" s="2">
        <v>45809</v>
      </c>
      <c r="I335" s="3">
        <v>45837</v>
      </c>
      <c r="J335" s="3">
        <f t="shared" si="5"/>
        <v>45843</v>
      </c>
      <c r="K335" s="4">
        <v>1557.469998</v>
      </c>
      <c r="L335">
        <v>146010</v>
      </c>
    </row>
    <row r="336" spans="1:12" x14ac:dyDescent="0.35">
      <c r="A336" t="s">
        <v>8</v>
      </c>
      <c r="B336" t="s">
        <v>9</v>
      </c>
      <c r="C336" t="s">
        <v>40</v>
      </c>
      <c r="D336" t="str" cm="1">
        <f t="array" ref="D336">INDEX(_xlfn.TEXTSPLIT(C336,"_"),3)</f>
        <v>hydrasource</v>
      </c>
      <c r="E336" t="str">
        <f>VLOOKUP(D336,FranchiseMapping!$A$1:$B$15,2,FALSE)</f>
        <v>Hydrasource</v>
      </c>
      <c r="F336" s="1">
        <v>45292</v>
      </c>
      <c r="G336" t="s">
        <v>12</v>
      </c>
      <c r="H336" s="2">
        <v>45292</v>
      </c>
      <c r="I336" s="3">
        <v>45321</v>
      </c>
      <c r="J336" s="3">
        <f t="shared" si="5"/>
        <v>45325</v>
      </c>
      <c r="K336" s="4">
        <v>3288.4099980000001</v>
      </c>
      <c r="L336">
        <v>525917</v>
      </c>
    </row>
    <row r="337" spans="1:12" x14ac:dyDescent="0.35">
      <c r="A337" t="s">
        <v>8</v>
      </c>
      <c r="B337" t="s">
        <v>13</v>
      </c>
      <c r="C337" t="s">
        <v>28</v>
      </c>
      <c r="D337" t="str" cm="1">
        <f t="array" ref="D337">INDEX(_xlfn.TEXTSPLIT(C337,"_"),3)</f>
        <v>na</v>
      </c>
      <c r="E337" t="str">
        <f>VLOOKUP(D337,FranchiseMapping!$A$1:$B$15,2,FALSE)</f>
        <v>Biolage</v>
      </c>
      <c r="F337" s="1">
        <v>44927</v>
      </c>
      <c r="G337" t="s">
        <v>10</v>
      </c>
      <c r="H337" s="2">
        <v>45139</v>
      </c>
      <c r="I337" s="3">
        <v>45154</v>
      </c>
      <c r="J337" s="3">
        <f t="shared" si="5"/>
        <v>45157</v>
      </c>
      <c r="K337" s="4">
        <v>1171.3754740000002</v>
      </c>
      <c r="L337">
        <v>129086</v>
      </c>
    </row>
    <row r="338" spans="1:12" x14ac:dyDescent="0.35">
      <c r="A338" t="s">
        <v>8</v>
      </c>
      <c r="B338" t="s">
        <v>9</v>
      </c>
      <c r="C338" t="s">
        <v>46</v>
      </c>
      <c r="D338" t="str" cm="1">
        <f t="array" ref="D338">INDEX(_xlfn.TEXTSPLIT(C338,"_"),3)</f>
        <v>mult</v>
      </c>
      <c r="E338" t="str">
        <f>VLOOKUP(D338,FranchiseMapping!$A$1:$B$15,2,FALSE)</f>
        <v>Biolage</v>
      </c>
      <c r="F338" s="1">
        <v>45658</v>
      </c>
      <c r="G338" t="s">
        <v>12</v>
      </c>
      <c r="H338" s="2">
        <v>45748</v>
      </c>
      <c r="I338" s="3">
        <v>45768</v>
      </c>
      <c r="J338" s="3">
        <f t="shared" si="5"/>
        <v>45773</v>
      </c>
      <c r="K338" s="4">
        <v>907.39999999999986</v>
      </c>
      <c r="L338">
        <v>225281</v>
      </c>
    </row>
    <row r="339" spans="1:12" x14ac:dyDescent="0.35">
      <c r="A339" t="s">
        <v>8</v>
      </c>
      <c r="B339" t="s">
        <v>14</v>
      </c>
      <c r="C339" t="s">
        <v>37</v>
      </c>
      <c r="D339" t="str" cm="1">
        <f t="array" ref="D339">INDEX(_xlfn.TEXTSPLIT(C339,"_"),3)</f>
        <v>mult</v>
      </c>
      <c r="E339" t="str">
        <f>VLOOKUP(D339,FranchiseMapping!$A$1:$B$15,2,FALSE)</f>
        <v>Biolage</v>
      </c>
      <c r="F339" s="1">
        <v>45658</v>
      </c>
      <c r="G339" t="s">
        <v>10</v>
      </c>
      <c r="H339" s="2">
        <v>45748</v>
      </c>
      <c r="I339" s="3">
        <v>45768</v>
      </c>
      <c r="J339" s="3">
        <f t="shared" si="5"/>
        <v>45773</v>
      </c>
      <c r="K339" s="4">
        <v>1615.14</v>
      </c>
      <c r="L339">
        <v>462445</v>
      </c>
    </row>
    <row r="340" spans="1:12" x14ac:dyDescent="0.35">
      <c r="A340" t="s">
        <v>8</v>
      </c>
      <c r="B340" t="s">
        <v>9</v>
      </c>
      <c r="C340" t="s">
        <v>36</v>
      </c>
      <c r="D340" t="str" cm="1">
        <f t="array" ref="D340">INDEX(_xlfn.TEXTSPLIT(C340,"_"),3)</f>
        <v>bfr</v>
      </c>
      <c r="E340" t="str">
        <f>VLOOKUP(D340,FranchiseMapping!$A$1:$B$15,2,FALSE)</f>
        <v>Full Rescue</v>
      </c>
      <c r="F340" s="1">
        <v>45658</v>
      </c>
      <c r="G340" t="s">
        <v>10</v>
      </c>
      <c r="H340" s="2">
        <v>45778</v>
      </c>
      <c r="I340" s="3">
        <v>45779</v>
      </c>
      <c r="J340" s="3">
        <f t="shared" si="5"/>
        <v>45780</v>
      </c>
      <c r="K340" s="4">
        <v>1379.8400000000001</v>
      </c>
      <c r="L340">
        <v>356158</v>
      </c>
    </row>
    <row r="341" spans="1:12" x14ac:dyDescent="0.35">
      <c r="A341" t="s">
        <v>8</v>
      </c>
      <c r="B341" t="s">
        <v>9</v>
      </c>
      <c r="C341" t="s">
        <v>50</v>
      </c>
      <c r="D341" t="str" cm="1">
        <f t="array" ref="D341">INDEX(_xlfn.TEXTSPLIT(C341,"_"),3)</f>
        <v>bond-therapy</v>
      </c>
      <c r="E341" t="str">
        <f>VLOOKUP(D341,FranchiseMapping!$A$1:$B$15,2,FALSE)</f>
        <v>Bond Therapy</v>
      </c>
      <c r="F341" s="1">
        <v>44927</v>
      </c>
      <c r="G341" t="s">
        <v>12</v>
      </c>
      <c r="H341" s="2">
        <v>45261</v>
      </c>
      <c r="I341" s="3">
        <v>45285</v>
      </c>
      <c r="J341" s="3">
        <f t="shared" si="5"/>
        <v>45290</v>
      </c>
      <c r="K341" s="4">
        <v>3039.7399989999999</v>
      </c>
      <c r="L341">
        <v>361096</v>
      </c>
    </row>
    <row r="342" spans="1:12" x14ac:dyDescent="0.35">
      <c r="A342" t="s">
        <v>8</v>
      </c>
      <c r="B342" t="s">
        <v>9</v>
      </c>
      <c r="C342" t="s">
        <v>40</v>
      </c>
      <c r="D342" t="str" cm="1">
        <f t="array" ref="D342">INDEX(_xlfn.TEXTSPLIT(C342,"_"),3)</f>
        <v>hydrasource</v>
      </c>
      <c r="E342" t="str">
        <f>VLOOKUP(D342,FranchiseMapping!$A$1:$B$15,2,FALSE)</f>
        <v>Hydrasource</v>
      </c>
      <c r="F342" s="1">
        <v>45292</v>
      </c>
      <c r="G342" t="s">
        <v>12</v>
      </c>
      <c r="H342" s="2">
        <v>45323</v>
      </c>
      <c r="I342" s="3">
        <v>45323</v>
      </c>
      <c r="J342" s="3">
        <f t="shared" si="5"/>
        <v>45325</v>
      </c>
      <c r="K342" s="4">
        <v>3057.579999</v>
      </c>
      <c r="L342">
        <v>506611</v>
      </c>
    </row>
    <row r="343" spans="1:12" x14ac:dyDescent="0.35">
      <c r="A343" t="s">
        <v>8</v>
      </c>
      <c r="B343" t="s">
        <v>13</v>
      </c>
      <c r="C343" t="s">
        <v>62</v>
      </c>
      <c r="D343" t="str" cm="1">
        <f t="array" ref="D343">INDEX(_xlfn.TEXTSPLIT(C343,"_"),3)</f>
        <v>na</v>
      </c>
      <c r="E343" t="str">
        <f>VLOOKUP(D343,FranchiseMapping!$A$1:$B$15,2,FALSE)</f>
        <v>Biolage</v>
      </c>
      <c r="F343" s="1">
        <v>44927</v>
      </c>
      <c r="G343" t="s">
        <v>10</v>
      </c>
      <c r="H343" s="2">
        <v>45108</v>
      </c>
      <c r="I343" s="3">
        <v>45115</v>
      </c>
      <c r="J343" s="3">
        <f t="shared" si="5"/>
        <v>45115</v>
      </c>
      <c r="K343" s="4">
        <v>281.30014599999998</v>
      </c>
      <c r="L343">
        <v>161299</v>
      </c>
    </row>
    <row r="344" spans="1:12" x14ac:dyDescent="0.35">
      <c r="A344" t="s">
        <v>8</v>
      </c>
      <c r="B344" t="s">
        <v>9</v>
      </c>
      <c r="C344" t="s">
        <v>38</v>
      </c>
      <c r="D344" t="str" cm="1">
        <f t="array" ref="D344">INDEX(_xlfn.TEXTSPLIT(C344,"_"),3)</f>
        <v>hys</v>
      </c>
      <c r="E344" t="str">
        <f>VLOOKUP(D344,FranchiseMapping!$A$1:$B$15,2,FALSE)</f>
        <v>Hydrasource</v>
      </c>
      <c r="F344" s="1">
        <v>45658</v>
      </c>
      <c r="G344" t="s">
        <v>12</v>
      </c>
      <c r="H344" s="2">
        <v>45748</v>
      </c>
      <c r="I344" s="3">
        <v>45777</v>
      </c>
      <c r="J344" s="3">
        <f t="shared" si="5"/>
        <v>45780</v>
      </c>
      <c r="K344" s="4">
        <v>1939.1700009999997</v>
      </c>
      <c r="L344">
        <v>281294</v>
      </c>
    </row>
    <row r="345" spans="1:12" x14ac:dyDescent="0.35">
      <c r="A345" t="s">
        <v>8</v>
      </c>
      <c r="B345" t="s">
        <v>9</v>
      </c>
      <c r="C345" t="s">
        <v>34</v>
      </c>
      <c r="D345" t="str" cm="1">
        <f t="array" ref="D345">INDEX(_xlfn.TEXTSPLIT(C345,"_"),3)</f>
        <v>hydrasource</v>
      </c>
      <c r="E345" t="str">
        <f>VLOOKUP(D345,FranchiseMapping!$A$1:$B$15,2,FALSE)</f>
        <v>Hydrasource</v>
      </c>
      <c r="F345" s="1">
        <v>45292</v>
      </c>
      <c r="G345" t="s">
        <v>12</v>
      </c>
      <c r="H345" s="2">
        <v>45292</v>
      </c>
      <c r="I345" s="3">
        <v>45316</v>
      </c>
      <c r="J345" s="3">
        <f t="shared" si="5"/>
        <v>45318</v>
      </c>
      <c r="K345" s="4">
        <v>632.12</v>
      </c>
      <c r="L345">
        <v>151351</v>
      </c>
    </row>
    <row r="346" spans="1:12" x14ac:dyDescent="0.35">
      <c r="A346" t="s">
        <v>8</v>
      </c>
      <c r="B346" t="s">
        <v>13</v>
      </c>
      <c r="C346" t="s">
        <v>42</v>
      </c>
      <c r="D346" t="str" cm="1">
        <f t="array" ref="D346">INDEX(_xlfn.TEXTSPLIT(C346,"_"),3)</f>
        <v>bfr</v>
      </c>
      <c r="E346" t="str">
        <f>VLOOKUP(D346,FranchiseMapping!$A$1:$B$15,2,FALSE)</f>
        <v>Full Rescue</v>
      </c>
      <c r="F346" s="1">
        <v>45658</v>
      </c>
      <c r="G346" t="s">
        <v>10</v>
      </c>
      <c r="H346" s="2">
        <v>45809</v>
      </c>
      <c r="I346" s="3">
        <v>45828</v>
      </c>
      <c r="J346" s="3">
        <f t="shared" si="5"/>
        <v>45829</v>
      </c>
      <c r="K346" s="4">
        <v>329.95329199999998</v>
      </c>
      <c r="L346">
        <v>155056</v>
      </c>
    </row>
    <row r="347" spans="1:12" x14ac:dyDescent="0.35">
      <c r="A347" t="s">
        <v>8</v>
      </c>
      <c r="B347" t="s">
        <v>9</v>
      </c>
      <c r="C347" t="s">
        <v>56</v>
      </c>
      <c r="D347" t="str" cm="1">
        <f t="array" ref="D347">INDEX(_xlfn.TEXTSPLIT(C347,"_"),3)</f>
        <v>haca-colorlast-q3</v>
      </c>
      <c r="E347" t="str">
        <f>VLOOKUP(D347,FranchiseMapping!$A$1:$B$15,2,FALSE)</f>
        <v>Color Last</v>
      </c>
      <c r="F347" s="1">
        <v>44927</v>
      </c>
      <c r="G347" t="s">
        <v>10</v>
      </c>
      <c r="H347" s="2">
        <v>45108</v>
      </c>
      <c r="I347" s="3">
        <v>45130</v>
      </c>
      <c r="J347" s="3">
        <f t="shared" si="5"/>
        <v>45136</v>
      </c>
      <c r="K347" s="4">
        <v>2264.6300020000003</v>
      </c>
      <c r="L347">
        <v>330678</v>
      </c>
    </row>
    <row r="348" spans="1:12" x14ac:dyDescent="0.35">
      <c r="A348" t="s">
        <v>8</v>
      </c>
      <c r="B348" t="s">
        <v>9</v>
      </c>
      <c r="C348" t="s">
        <v>33</v>
      </c>
      <c r="D348" t="str" cm="1">
        <f t="array" ref="D348">INDEX(_xlfn.TEXTSPLIT(C348,"_"),3)</f>
        <v>hydrasource</v>
      </c>
      <c r="E348" t="str">
        <f>VLOOKUP(D348,FranchiseMapping!$A$1:$B$15,2,FALSE)</f>
        <v>Hydrasource</v>
      </c>
      <c r="F348" s="1">
        <v>45292</v>
      </c>
      <c r="G348" t="s">
        <v>11</v>
      </c>
      <c r="H348" s="2">
        <v>45352</v>
      </c>
      <c r="I348" s="3">
        <v>45353</v>
      </c>
      <c r="J348" s="3">
        <f t="shared" si="5"/>
        <v>45353</v>
      </c>
      <c r="K348" s="4">
        <v>1267.480002</v>
      </c>
      <c r="L348">
        <v>166578</v>
      </c>
    </row>
    <row r="349" spans="1:12" x14ac:dyDescent="0.35">
      <c r="A349" t="s">
        <v>8</v>
      </c>
      <c r="B349" t="s">
        <v>9</v>
      </c>
      <c r="C349" t="s">
        <v>30</v>
      </c>
      <c r="D349" t="str" cm="1">
        <f t="array" ref="D349">INDEX(_xlfn.TEXTSPLIT(C349,"_"),3)</f>
        <v>q3-haca-colorlast</v>
      </c>
      <c r="E349" t="str">
        <f>VLOOKUP(D349,FranchiseMapping!$A$1:$B$15,2,FALSE)</f>
        <v>Color Last</v>
      </c>
      <c r="F349" s="1">
        <v>44927</v>
      </c>
      <c r="G349" t="s">
        <v>10</v>
      </c>
      <c r="H349" s="2">
        <v>45139</v>
      </c>
      <c r="I349" s="3">
        <v>45143</v>
      </c>
      <c r="J349" s="3">
        <f t="shared" si="5"/>
        <v>45143</v>
      </c>
      <c r="K349" s="4">
        <v>2503.1000019999997</v>
      </c>
      <c r="L349">
        <v>407662</v>
      </c>
    </row>
    <row r="350" spans="1:12" x14ac:dyDescent="0.35">
      <c r="A350" t="s">
        <v>8</v>
      </c>
      <c r="B350" t="s">
        <v>9</v>
      </c>
      <c r="C350" t="s">
        <v>31</v>
      </c>
      <c r="D350" t="str" cm="1">
        <f t="array" ref="D350">INDEX(_xlfn.TEXTSPLIT(C350,"_"),3)</f>
        <v>scalp</v>
      </c>
      <c r="E350" t="str">
        <f>VLOOKUP(D350,FranchiseMapping!$A$1:$B$15,2,FALSE)</f>
        <v>Scalp Sync</v>
      </c>
      <c r="F350" s="1">
        <v>45292</v>
      </c>
      <c r="G350" t="s">
        <v>10</v>
      </c>
      <c r="H350" s="2">
        <v>45383</v>
      </c>
      <c r="I350" s="3">
        <v>45390</v>
      </c>
      <c r="J350" s="3">
        <f t="shared" si="5"/>
        <v>45395</v>
      </c>
      <c r="K350" s="4">
        <v>240.85000000000002</v>
      </c>
      <c r="L350">
        <v>38042</v>
      </c>
    </row>
    <row r="351" spans="1:12" x14ac:dyDescent="0.35">
      <c r="A351" t="s">
        <v>8</v>
      </c>
      <c r="B351" t="s">
        <v>13</v>
      </c>
      <c r="C351" t="s">
        <v>59</v>
      </c>
      <c r="D351" t="str" cm="1">
        <f t="array" ref="D351">INDEX(_xlfn.TEXTSPLIT(C351,"_"),3)</f>
        <v>scalp-sync</v>
      </c>
      <c r="E351" t="str">
        <f>VLOOKUP(D351,FranchiseMapping!$A$1:$B$15,2,FALSE)</f>
        <v>Scalp Sync</v>
      </c>
      <c r="F351" s="1">
        <v>45292</v>
      </c>
      <c r="G351" t="s">
        <v>11</v>
      </c>
      <c r="H351" s="2">
        <v>45413</v>
      </c>
      <c r="I351" s="3">
        <v>45422</v>
      </c>
      <c r="J351" s="3">
        <f t="shared" si="5"/>
        <v>45423</v>
      </c>
      <c r="K351" s="4">
        <v>3365.7209590000002</v>
      </c>
      <c r="L351">
        <v>1481332</v>
      </c>
    </row>
    <row r="352" spans="1:12" x14ac:dyDescent="0.35">
      <c r="A352" t="s">
        <v>8</v>
      </c>
      <c r="B352" t="s">
        <v>9</v>
      </c>
      <c r="C352" t="s">
        <v>50</v>
      </c>
      <c r="D352" t="str" cm="1">
        <f t="array" ref="D352">INDEX(_xlfn.TEXTSPLIT(C352,"_"),3)</f>
        <v>bond-therapy</v>
      </c>
      <c r="E352" t="str">
        <f>VLOOKUP(D352,FranchiseMapping!$A$1:$B$15,2,FALSE)</f>
        <v>Bond Therapy</v>
      </c>
      <c r="F352" s="1">
        <v>44927</v>
      </c>
      <c r="G352" t="s">
        <v>12</v>
      </c>
      <c r="H352" s="2">
        <v>45231</v>
      </c>
      <c r="I352" s="3">
        <v>45250</v>
      </c>
      <c r="J352" s="3">
        <f t="shared" si="5"/>
        <v>45255</v>
      </c>
      <c r="K352" s="4">
        <v>3292.7299989999992</v>
      </c>
      <c r="L352">
        <v>333142</v>
      </c>
    </row>
    <row r="353" spans="1:12" x14ac:dyDescent="0.35">
      <c r="A353" t="s">
        <v>8</v>
      </c>
      <c r="B353" t="s">
        <v>14</v>
      </c>
      <c r="C353" t="s">
        <v>37</v>
      </c>
      <c r="D353" t="str" cm="1">
        <f t="array" ref="D353">INDEX(_xlfn.TEXTSPLIT(C353,"_"),3)</f>
        <v>mult</v>
      </c>
      <c r="E353" t="str">
        <f>VLOOKUP(D353,FranchiseMapping!$A$1:$B$15,2,FALSE)</f>
        <v>Biolage</v>
      </c>
      <c r="F353" s="1">
        <v>45658</v>
      </c>
      <c r="G353" t="s">
        <v>10</v>
      </c>
      <c r="H353" s="2">
        <v>45809</v>
      </c>
      <c r="I353" s="3">
        <v>45812</v>
      </c>
      <c r="J353" s="3">
        <f t="shared" si="5"/>
        <v>45815</v>
      </c>
      <c r="K353" s="4">
        <v>1403.03</v>
      </c>
      <c r="L353">
        <v>395972</v>
      </c>
    </row>
    <row r="354" spans="1:12" x14ac:dyDescent="0.35">
      <c r="A354" t="s">
        <v>8</v>
      </c>
      <c r="B354" t="s">
        <v>13</v>
      </c>
      <c r="C354" t="s">
        <v>32</v>
      </c>
      <c r="D354" t="str" cm="1">
        <f t="array" ref="D354">INDEX(_xlfn.TEXTSPLIT(C354,"_"),3)</f>
        <v>na</v>
      </c>
      <c r="E354" t="str">
        <f>VLOOKUP(D354,FranchiseMapping!$A$1:$B$15,2,FALSE)</f>
        <v>Biolage</v>
      </c>
      <c r="F354" s="1">
        <v>44927</v>
      </c>
      <c r="G354" t="s">
        <v>11</v>
      </c>
      <c r="H354" s="2">
        <v>45170</v>
      </c>
      <c r="I354" s="3">
        <v>45170</v>
      </c>
      <c r="J354" s="3">
        <f t="shared" si="5"/>
        <v>45171</v>
      </c>
      <c r="K354" s="4">
        <v>1754.207046</v>
      </c>
      <c r="L354">
        <v>532921</v>
      </c>
    </row>
    <row r="355" spans="1:12" x14ac:dyDescent="0.35">
      <c r="A355" t="s">
        <v>8</v>
      </c>
      <c r="B355" t="s">
        <v>9</v>
      </c>
      <c r="C355" t="s">
        <v>46</v>
      </c>
      <c r="D355" t="str" cm="1">
        <f t="array" ref="D355">INDEX(_xlfn.TEXTSPLIT(C355,"_"),3)</f>
        <v>mult</v>
      </c>
      <c r="E355" t="str">
        <f>VLOOKUP(D355,FranchiseMapping!$A$1:$B$15,2,FALSE)</f>
        <v>Biolage</v>
      </c>
      <c r="F355" s="1">
        <v>45658</v>
      </c>
      <c r="G355" t="s">
        <v>12</v>
      </c>
      <c r="H355" s="2">
        <v>45748</v>
      </c>
      <c r="I355" s="3">
        <v>45754</v>
      </c>
      <c r="J355" s="3">
        <f t="shared" si="5"/>
        <v>45759</v>
      </c>
      <c r="K355" s="4">
        <v>709.71999900000014</v>
      </c>
      <c r="L355">
        <v>159837</v>
      </c>
    </row>
    <row r="356" spans="1:12" x14ac:dyDescent="0.35">
      <c r="A356" t="s">
        <v>8</v>
      </c>
      <c r="B356" t="s">
        <v>9</v>
      </c>
      <c r="C356" t="s">
        <v>53</v>
      </c>
      <c r="D356" t="str" cm="1">
        <f t="array" ref="D356">INDEX(_xlfn.TEXTSPLIT(C356,"_"),3)</f>
        <v>bond-therapy</v>
      </c>
      <c r="E356" t="str">
        <f>VLOOKUP(D356,FranchiseMapping!$A$1:$B$15,2,FALSE)</f>
        <v>Bond Therapy</v>
      </c>
      <c r="F356" s="1">
        <v>44927</v>
      </c>
      <c r="G356" t="s">
        <v>11</v>
      </c>
      <c r="H356" s="2">
        <v>45231</v>
      </c>
      <c r="I356" s="3">
        <v>45260</v>
      </c>
      <c r="J356" s="3">
        <f t="shared" si="5"/>
        <v>45262</v>
      </c>
      <c r="K356" s="4">
        <v>1247.8800010000002</v>
      </c>
      <c r="L356">
        <v>213402</v>
      </c>
    </row>
    <row r="357" spans="1:12" x14ac:dyDescent="0.35">
      <c r="A357" t="s">
        <v>8</v>
      </c>
      <c r="B357" t="s">
        <v>9</v>
      </c>
      <c r="C357" t="s">
        <v>34</v>
      </c>
      <c r="D357" t="str" cm="1">
        <f t="array" ref="D357">INDEX(_xlfn.TEXTSPLIT(C357,"_"),3)</f>
        <v>hydrasource</v>
      </c>
      <c r="E357" t="str">
        <f>VLOOKUP(D357,FranchiseMapping!$A$1:$B$15,2,FALSE)</f>
        <v>Hydrasource</v>
      </c>
      <c r="F357" s="1">
        <v>45292</v>
      </c>
      <c r="G357" t="s">
        <v>12</v>
      </c>
      <c r="H357" s="2">
        <v>45323</v>
      </c>
      <c r="I357" s="3">
        <v>45331</v>
      </c>
      <c r="J357" s="3">
        <f t="shared" si="5"/>
        <v>45332</v>
      </c>
      <c r="K357" s="4">
        <v>887.11999900000012</v>
      </c>
      <c r="L357">
        <v>182869</v>
      </c>
    </row>
    <row r="358" spans="1:12" x14ac:dyDescent="0.35">
      <c r="A358" t="s">
        <v>8</v>
      </c>
      <c r="B358" t="s">
        <v>9</v>
      </c>
      <c r="C358" t="s">
        <v>36</v>
      </c>
      <c r="D358" t="str" cm="1">
        <f t="array" ref="D358">INDEX(_xlfn.TEXTSPLIT(C358,"_"),3)</f>
        <v>bfr</v>
      </c>
      <c r="E358" t="str">
        <f>VLOOKUP(D358,FranchiseMapping!$A$1:$B$15,2,FALSE)</f>
        <v>Full Rescue</v>
      </c>
      <c r="F358" s="1">
        <v>45658</v>
      </c>
      <c r="G358" t="s">
        <v>10</v>
      </c>
      <c r="H358" s="2">
        <v>45778</v>
      </c>
      <c r="I358" s="3">
        <v>45805</v>
      </c>
      <c r="J358" s="3">
        <f t="shared" si="5"/>
        <v>45808</v>
      </c>
      <c r="K358" s="4">
        <v>27.380000000000006</v>
      </c>
      <c r="L358">
        <v>1173</v>
      </c>
    </row>
    <row r="359" spans="1:12" x14ac:dyDescent="0.35">
      <c r="A359" t="s">
        <v>8</v>
      </c>
      <c r="B359" t="s">
        <v>14</v>
      </c>
      <c r="C359" t="s">
        <v>43</v>
      </c>
      <c r="D359" t="str" cm="1">
        <f t="array" ref="D359">INDEX(_xlfn.TEXTSPLIT(C359,"_"),3)</f>
        <v>bfr</v>
      </c>
      <c r="E359" t="str">
        <f>VLOOKUP(D359,FranchiseMapping!$A$1:$B$15,2,FALSE)</f>
        <v>Full Rescue</v>
      </c>
      <c r="F359" s="1">
        <v>45658</v>
      </c>
      <c r="G359" t="s">
        <v>10</v>
      </c>
      <c r="H359" s="2">
        <v>45809</v>
      </c>
      <c r="I359" s="3">
        <v>45824</v>
      </c>
      <c r="J359" s="3">
        <f t="shared" si="5"/>
        <v>45829</v>
      </c>
      <c r="K359" s="4">
        <v>979.55</v>
      </c>
      <c r="L359">
        <v>207106</v>
      </c>
    </row>
    <row r="360" spans="1:12" x14ac:dyDescent="0.35">
      <c r="A360" t="s">
        <v>8</v>
      </c>
      <c r="B360" t="s">
        <v>13</v>
      </c>
      <c r="C360" t="s">
        <v>62</v>
      </c>
      <c r="D360" t="str" cm="1">
        <f t="array" ref="D360">INDEX(_xlfn.TEXTSPLIT(C360,"_"),3)</f>
        <v>na</v>
      </c>
      <c r="E360" t="str">
        <f>VLOOKUP(D360,FranchiseMapping!$A$1:$B$15,2,FALSE)</f>
        <v>Biolage</v>
      </c>
      <c r="F360" s="1">
        <v>44927</v>
      </c>
      <c r="G360" t="s">
        <v>12</v>
      </c>
      <c r="H360" s="2">
        <v>45108</v>
      </c>
      <c r="I360" s="3">
        <v>45113</v>
      </c>
      <c r="J360" s="3">
        <f t="shared" si="5"/>
        <v>45115</v>
      </c>
      <c r="K360" s="4">
        <v>1320.6341010000001</v>
      </c>
      <c r="L360">
        <v>374168</v>
      </c>
    </row>
    <row r="361" spans="1:12" x14ac:dyDescent="0.35">
      <c r="A361" t="s">
        <v>8</v>
      </c>
      <c r="B361" t="s">
        <v>9</v>
      </c>
      <c r="C361" t="s">
        <v>48</v>
      </c>
      <c r="D361" t="str" cm="1">
        <f t="array" ref="D361">INDEX(_xlfn.TEXTSPLIT(C361,"_"),3)</f>
        <v>scalp</v>
      </c>
      <c r="E361" t="str">
        <f>VLOOKUP(D361,FranchiseMapping!$A$1:$B$15,2,FALSE)</f>
        <v>Scalp Sync</v>
      </c>
      <c r="F361" s="1">
        <v>45292</v>
      </c>
      <c r="G361" t="s">
        <v>10</v>
      </c>
      <c r="H361" s="2">
        <v>45383</v>
      </c>
      <c r="I361" s="3">
        <v>45389</v>
      </c>
      <c r="J361" s="3">
        <f t="shared" si="5"/>
        <v>45395</v>
      </c>
      <c r="K361" s="4">
        <v>242.56</v>
      </c>
      <c r="L361">
        <v>62038</v>
      </c>
    </row>
    <row r="362" spans="1:12" x14ac:dyDescent="0.35">
      <c r="A362" t="s">
        <v>8</v>
      </c>
      <c r="B362" t="s">
        <v>9</v>
      </c>
      <c r="C362" t="s">
        <v>68</v>
      </c>
      <c r="D362" t="str" cm="1">
        <f t="array" ref="D362">INDEX(_xlfn.TEXTSPLIT(C362,"_"),3)</f>
        <v>na</v>
      </c>
      <c r="E362" t="str">
        <f>VLOOKUP(D362,FranchiseMapping!$A$1:$B$15,2,FALSE)</f>
        <v>Biolage</v>
      </c>
      <c r="F362" s="1">
        <v>44927</v>
      </c>
      <c r="G362" t="s">
        <v>11</v>
      </c>
      <c r="H362" s="2">
        <v>45200</v>
      </c>
      <c r="I362" s="3">
        <v>45229</v>
      </c>
      <c r="J362" s="3">
        <f t="shared" si="5"/>
        <v>45234</v>
      </c>
      <c r="K362" s="4">
        <v>342.71999899999992</v>
      </c>
      <c r="L362">
        <v>38506</v>
      </c>
    </row>
    <row r="363" spans="1:12" x14ac:dyDescent="0.35">
      <c r="A363" t="s">
        <v>8</v>
      </c>
      <c r="B363" t="s">
        <v>9</v>
      </c>
      <c r="C363" t="s">
        <v>48</v>
      </c>
      <c r="D363" t="str" cm="1">
        <f t="array" ref="D363">INDEX(_xlfn.TEXTSPLIT(C363,"_"),3)</f>
        <v>scalp</v>
      </c>
      <c r="E363" t="str">
        <f>VLOOKUP(D363,FranchiseMapping!$A$1:$B$15,2,FALSE)</f>
        <v>Scalp Sync</v>
      </c>
      <c r="F363" s="1">
        <v>45292</v>
      </c>
      <c r="G363" t="s">
        <v>12</v>
      </c>
      <c r="H363" s="2">
        <v>45383</v>
      </c>
      <c r="I363" s="3">
        <v>45385</v>
      </c>
      <c r="J363" s="3">
        <f t="shared" si="5"/>
        <v>45388</v>
      </c>
      <c r="K363" s="4">
        <v>558.91999999999996</v>
      </c>
      <c r="L363">
        <v>144142</v>
      </c>
    </row>
    <row r="364" spans="1:12" x14ac:dyDescent="0.35">
      <c r="A364" t="s">
        <v>8</v>
      </c>
      <c r="B364" t="s">
        <v>9</v>
      </c>
      <c r="C364" t="s">
        <v>52</v>
      </c>
      <c r="D364" t="str" cm="1">
        <f t="array" ref="D364">INDEX(_xlfn.TEXTSPLIT(C364,"_"),3)</f>
        <v>bond-therapy</v>
      </c>
      <c r="E364" t="str">
        <f>VLOOKUP(D364,FranchiseMapping!$A$1:$B$15,2,FALSE)</f>
        <v>Bond Therapy</v>
      </c>
      <c r="F364" s="1">
        <v>44927</v>
      </c>
      <c r="G364" t="s">
        <v>11</v>
      </c>
      <c r="H364" s="2">
        <v>45261</v>
      </c>
      <c r="I364" s="3">
        <v>45285</v>
      </c>
      <c r="J364" s="3">
        <f t="shared" si="5"/>
        <v>45290</v>
      </c>
      <c r="K364" s="4">
        <v>3029.6300019999999</v>
      </c>
      <c r="L364">
        <v>454215</v>
      </c>
    </row>
    <row r="365" spans="1:12" x14ac:dyDescent="0.35">
      <c r="A365" t="s">
        <v>8</v>
      </c>
      <c r="B365" t="s">
        <v>9</v>
      </c>
      <c r="C365" t="s">
        <v>53</v>
      </c>
      <c r="D365" t="str" cm="1">
        <f t="array" ref="D365">INDEX(_xlfn.TEXTSPLIT(C365,"_"),3)</f>
        <v>bond-therapy</v>
      </c>
      <c r="E365" t="str">
        <f>VLOOKUP(D365,FranchiseMapping!$A$1:$B$15,2,FALSE)</f>
        <v>Bond Therapy</v>
      </c>
      <c r="F365" s="1">
        <v>44927</v>
      </c>
      <c r="G365" t="s">
        <v>11</v>
      </c>
      <c r="H365" s="2">
        <v>45261</v>
      </c>
      <c r="I365" s="3">
        <v>45285</v>
      </c>
      <c r="J365" s="3">
        <f t="shared" si="5"/>
        <v>45290</v>
      </c>
      <c r="K365" s="4">
        <v>1240.6300000000001</v>
      </c>
      <c r="L365">
        <v>284441</v>
      </c>
    </row>
    <row r="366" spans="1:12" x14ac:dyDescent="0.35">
      <c r="A366" t="s">
        <v>8</v>
      </c>
      <c r="B366" t="s">
        <v>9</v>
      </c>
      <c r="C366" t="s">
        <v>31</v>
      </c>
      <c r="D366" t="str" cm="1">
        <f t="array" ref="D366">INDEX(_xlfn.TEXTSPLIT(C366,"_"),3)</f>
        <v>scalp</v>
      </c>
      <c r="E366" t="str">
        <f>VLOOKUP(D366,FranchiseMapping!$A$1:$B$15,2,FALSE)</f>
        <v>Scalp Sync</v>
      </c>
      <c r="F366" s="1">
        <v>45292</v>
      </c>
      <c r="G366" t="s">
        <v>10</v>
      </c>
      <c r="H366" s="2">
        <v>45383</v>
      </c>
      <c r="I366" s="3">
        <v>45397</v>
      </c>
      <c r="J366" s="3">
        <f t="shared" si="5"/>
        <v>45402</v>
      </c>
      <c r="K366" s="4">
        <v>109.41</v>
      </c>
      <c r="L366">
        <v>15273</v>
      </c>
    </row>
    <row r="367" spans="1:12" x14ac:dyDescent="0.35">
      <c r="A367" t="s">
        <v>8</v>
      </c>
      <c r="B367" t="s">
        <v>14</v>
      </c>
      <c r="C367" t="s">
        <v>37</v>
      </c>
      <c r="D367" t="str" cm="1">
        <f t="array" ref="D367">INDEX(_xlfn.TEXTSPLIT(C367,"_"),3)</f>
        <v>mult</v>
      </c>
      <c r="E367" t="str">
        <f>VLOOKUP(D367,FranchiseMapping!$A$1:$B$15,2,FALSE)</f>
        <v>Biolage</v>
      </c>
      <c r="F367" s="1">
        <v>45658</v>
      </c>
      <c r="G367" t="s">
        <v>10</v>
      </c>
      <c r="H367" s="2">
        <v>45809</v>
      </c>
      <c r="I367" s="3">
        <v>45823</v>
      </c>
      <c r="J367" s="3">
        <f t="shared" si="5"/>
        <v>45829</v>
      </c>
      <c r="K367" s="4">
        <v>0.02</v>
      </c>
      <c r="L367">
        <v>9</v>
      </c>
    </row>
    <row r="368" spans="1:12" x14ac:dyDescent="0.35">
      <c r="A368" t="s">
        <v>8</v>
      </c>
      <c r="B368" t="s">
        <v>9</v>
      </c>
      <c r="C368" t="s">
        <v>48</v>
      </c>
      <c r="D368" t="str" cm="1">
        <f t="array" ref="D368">INDEX(_xlfn.TEXTSPLIT(C368,"_"),3)</f>
        <v>scalp</v>
      </c>
      <c r="E368" t="str">
        <f>VLOOKUP(D368,FranchiseMapping!$A$1:$B$15,2,FALSE)</f>
        <v>Scalp Sync</v>
      </c>
      <c r="F368" s="1">
        <v>45292</v>
      </c>
      <c r="G368" t="s">
        <v>10</v>
      </c>
      <c r="H368" s="2">
        <v>45352</v>
      </c>
      <c r="I368" s="3">
        <v>45359</v>
      </c>
      <c r="J368" s="3">
        <f t="shared" si="5"/>
        <v>45360</v>
      </c>
      <c r="K368" s="4">
        <v>972.65000099999986</v>
      </c>
      <c r="L368">
        <v>220777</v>
      </c>
    </row>
    <row r="369" spans="1:12" x14ac:dyDescent="0.35">
      <c r="A369" t="s">
        <v>8</v>
      </c>
      <c r="B369" t="s">
        <v>14</v>
      </c>
      <c r="C369" t="s">
        <v>49</v>
      </c>
      <c r="D369" t="str" cm="1">
        <f t="array" ref="D369">INDEX(_xlfn.TEXTSPLIT(C369,"_"),3)</f>
        <v>hys</v>
      </c>
      <c r="E369" t="str">
        <f>VLOOKUP(D369,FranchiseMapping!$A$1:$B$15,2,FALSE)</f>
        <v>Hydrasource</v>
      </c>
      <c r="F369" s="1">
        <v>45658</v>
      </c>
      <c r="G369" t="s">
        <v>12</v>
      </c>
      <c r="H369" s="2">
        <v>45748</v>
      </c>
      <c r="I369" s="3">
        <v>45749</v>
      </c>
      <c r="J369" s="3">
        <f t="shared" si="5"/>
        <v>45752</v>
      </c>
      <c r="K369" s="4">
        <v>5018.0800000000008</v>
      </c>
      <c r="L369">
        <v>1072908</v>
      </c>
    </row>
    <row r="370" spans="1:12" x14ac:dyDescent="0.35">
      <c r="A370" t="s">
        <v>8</v>
      </c>
      <c r="B370" t="s">
        <v>9</v>
      </c>
      <c r="C370" t="s">
        <v>31</v>
      </c>
      <c r="D370" t="str" cm="1">
        <f t="array" ref="D370">INDEX(_xlfn.TEXTSPLIT(C370,"_"),3)</f>
        <v>scalp</v>
      </c>
      <c r="E370" t="str">
        <f>VLOOKUP(D370,FranchiseMapping!$A$1:$B$15,2,FALSE)</f>
        <v>Scalp Sync</v>
      </c>
      <c r="F370" s="1">
        <v>45292</v>
      </c>
      <c r="G370" t="s">
        <v>12</v>
      </c>
      <c r="H370" s="2">
        <v>45383</v>
      </c>
      <c r="I370" s="3">
        <v>45398</v>
      </c>
      <c r="J370" s="3">
        <f t="shared" si="5"/>
        <v>45402</v>
      </c>
      <c r="K370" s="4">
        <v>1320.0100079999997</v>
      </c>
      <c r="L370">
        <v>210229</v>
      </c>
    </row>
    <row r="371" spans="1:12" x14ac:dyDescent="0.35">
      <c r="A371" t="s">
        <v>8</v>
      </c>
      <c r="B371" t="s">
        <v>9</v>
      </c>
      <c r="C371" t="s">
        <v>38</v>
      </c>
      <c r="D371" t="str" cm="1">
        <f t="array" ref="D371">INDEX(_xlfn.TEXTSPLIT(C371,"_"),3)</f>
        <v>hys</v>
      </c>
      <c r="E371" t="str">
        <f>VLOOKUP(D371,FranchiseMapping!$A$1:$B$15,2,FALSE)</f>
        <v>Hydrasource</v>
      </c>
      <c r="F371" s="1">
        <v>45658</v>
      </c>
      <c r="G371" t="s">
        <v>12</v>
      </c>
      <c r="H371" s="2">
        <v>45748</v>
      </c>
      <c r="I371" s="3">
        <v>45773</v>
      </c>
      <c r="J371" s="3">
        <f t="shared" si="5"/>
        <v>45773</v>
      </c>
      <c r="K371" s="4">
        <v>2051.1499999999996</v>
      </c>
      <c r="L371">
        <v>285394</v>
      </c>
    </row>
    <row r="372" spans="1:12" x14ac:dyDescent="0.35">
      <c r="A372" t="s">
        <v>8</v>
      </c>
      <c r="B372" t="s">
        <v>9</v>
      </c>
      <c r="C372" t="s">
        <v>41</v>
      </c>
      <c r="D372" t="str" cm="1">
        <f t="array" ref="D372">INDEX(_xlfn.TEXTSPLIT(C372,"_"),3)</f>
        <v>hys</v>
      </c>
      <c r="E372" t="str">
        <f>VLOOKUP(D372,FranchiseMapping!$A$1:$B$15,2,FALSE)</f>
        <v>Hydrasource</v>
      </c>
      <c r="F372" s="1">
        <v>45658</v>
      </c>
      <c r="G372" t="s">
        <v>12</v>
      </c>
      <c r="H372" s="2">
        <v>45748</v>
      </c>
      <c r="I372" s="3">
        <v>45773</v>
      </c>
      <c r="J372" s="3">
        <f t="shared" si="5"/>
        <v>45773</v>
      </c>
      <c r="K372" s="4">
        <v>3830.4800000000018</v>
      </c>
      <c r="L372">
        <v>361384</v>
      </c>
    </row>
    <row r="373" spans="1:12" x14ac:dyDescent="0.35">
      <c r="A373" t="s">
        <v>8</v>
      </c>
      <c r="B373" t="s">
        <v>9</v>
      </c>
      <c r="C373" t="s">
        <v>36</v>
      </c>
      <c r="D373" t="str" cm="1">
        <f t="array" ref="D373">INDEX(_xlfn.TEXTSPLIT(C373,"_"),3)</f>
        <v>bfr</v>
      </c>
      <c r="E373" t="str">
        <f>VLOOKUP(D373,FranchiseMapping!$A$1:$B$15,2,FALSE)</f>
        <v>Full Rescue</v>
      </c>
      <c r="F373" s="1">
        <v>45658</v>
      </c>
      <c r="G373" t="s">
        <v>12</v>
      </c>
      <c r="H373" s="2">
        <v>45839</v>
      </c>
      <c r="I373" s="3">
        <v>45839</v>
      </c>
      <c r="J373" s="3">
        <f t="shared" si="5"/>
        <v>45843</v>
      </c>
      <c r="K373" s="4">
        <v>722.93065100000013</v>
      </c>
      <c r="L373">
        <v>95404</v>
      </c>
    </row>
    <row r="374" spans="1:12" x14ac:dyDescent="0.35">
      <c r="A374" t="s">
        <v>8</v>
      </c>
      <c r="B374" t="s">
        <v>9</v>
      </c>
      <c r="C374" t="s">
        <v>46</v>
      </c>
      <c r="D374" t="str" cm="1">
        <f t="array" ref="D374">INDEX(_xlfn.TEXTSPLIT(C374,"_"),3)</f>
        <v>mult</v>
      </c>
      <c r="E374" t="str">
        <f>VLOOKUP(D374,FranchiseMapping!$A$1:$B$15,2,FALSE)</f>
        <v>Biolage</v>
      </c>
      <c r="F374" s="1">
        <v>45658</v>
      </c>
      <c r="G374" t="s">
        <v>10</v>
      </c>
      <c r="H374" s="2">
        <v>45809</v>
      </c>
      <c r="I374" s="3">
        <v>45818</v>
      </c>
      <c r="J374" s="3">
        <f t="shared" si="5"/>
        <v>45822</v>
      </c>
      <c r="K374" s="4">
        <v>1736.9500029999997</v>
      </c>
      <c r="L374">
        <v>212361</v>
      </c>
    </row>
    <row r="375" spans="1:12" x14ac:dyDescent="0.35">
      <c r="A375" t="s">
        <v>8</v>
      </c>
      <c r="B375" t="s">
        <v>13</v>
      </c>
      <c r="C375" t="s">
        <v>28</v>
      </c>
      <c r="D375" t="str" cm="1">
        <f t="array" ref="D375">INDEX(_xlfn.TEXTSPLIT(C375,"_"),3)</f>
        <v>na</v>
      </c>
      <c r="E375" t="str">
        <f>VLOOKUP(D375,FranchiseMapping!$A$1:$B$15,2,FALSE)</f>
        <v>Biolage</v>
      </c>
      <c r="F375" s="1">
        <v>44927</v>
      </c>
      <c r="G375" t="s">
        <v>10</v>
      </c>
      <c r="H375" s="2">
        <v>45108</v>
      </c>
      <c r="I375" s="3">
        <v>45126</v>
      </c>
      <c r="J375" s="3">
        <f t="shared" si="5"/>
        <v>45129</v>
      </c>
      <c r="K375" s="4">
        <v>1290.5978299999999</v>
      </c>
      <c r="L375">
        <v>144735</v>
      </c>
    </row>
    <row r="376" spans="1:12" x14ac:dyDescent="0.35">
      <c r="A376" t="s">
        <v>8</v>
      </c>
      <c r="B376" t="s">
        <v>13</v>
      </c>
      <c r="C376" t="s">
        <v>39</v>
      </c>
      <c r="D376" t="str" cm="1">
        <f t="array" ref="D376">INDEX(_xlfn.TEXTSPLIT(C376,"_"),3)</f>
        <v>scalp-sync</v>
      </c>
      <c r="E376" t="str">
        <f>VLOOKUP(D376,FranchiseMapping!$A$1:$B$15,2,FALSE)</f>
        <v>Scalp Sync</v>
      </c>
      <c r="F376" s="1">
        <v>45292</v>
      </c>
      <c r="G376" t="s">
        <v>12</v>
      </c>
      <c r="H376" s="2">
        <v>45413</v>
      </c>
      <c r="I376" s="3">
        <v>45441</v>
      </c>
      <c r="J376" s="3">
        <f t="shared" si="5"/>
        <v>45444</v>
      </c>
      <c r="K376" s="4">
        <v>1605.5295239999998</v>
      </c>
      <c r="L376">
        <v>442245</v>
      </c>
    </row>
    <row r="377" spans="1:12" x14ac:dyDescent="0.35">
      <c r="A377" t="s">
        <v>8</v>
      </c>
      <c r="B377" t="s">
        <v>13</v>
      </c>
      <c r="C377" t="s">
        <v>42</v>
      </c>
      <c r="D377" t="str" cm="1">
        <f t="array" ref="D377">INDEX(_xlfn.TEXTSPLIT(C377,"_"),3)</f>
        <v>bfr</v>
      </c>
      <c r="E377" t="str">
        <f>VLOOKUP(D377,FranchiseMapping!$A$1:$B$15,2,FALSE)</f>
        <v>Full Rescue</v>
      </c>
      <c r="F377" s="1">
        <v>45658</v>
      </c>
      <c r="G377" t="s">
        <v>12</v>
      </c>
      <c r="H377" s="2">
        <v>45809</v>
      </c>
      <c r="I377" s="3">
        <v>45833</v>
      </c>
      <c r="J377" s="3">
        <f t="shared" si="5"/>
        <v>45836</v>
      </c>
      <c r="K377" s="4">
        <v>1418.3146009999998</v>
      </c>
      <c r="L377">
        <v>657274</v>
      </c>
    </row>
    <row r="378" spans="1:12" x14ac:dyDescent="0.35">
      <c r="A378" t="s">
        <v>8</v>
      </c>
      <c r="B378" t="s">
        <v>14</v>
      </c>
      <c r="C378" t="s">
        <v>49</v>
      </c>
      <c r="D378" t="str" cm="1">
        <f t="array" ref="D378">INDEX(_xlfn.TEXTSPLIT(C378,"_"),3)</f>
        <v>hys</v>
      </c>
      <c r="E378" t="str">
        <f>VLOOKUP(D378,FranchiseMapping!$A$1:$B$15,2,FALSE)</f>
        <v>Hydrasource</v>
      </c>
      <c r="F378" s="1">
        <v>45658</v>
      </c>
      <c r="G378" t="s">
        <v>12</v>
      </c>
      <c r="H378" s="2">
        <v>45748</v>
      </c>
      <c r="I378" s="3">
        <v>45761</v>
      </c>
      <c r="J378" s="3">
        <f t="shared" si="5"/>
        <v>45766</v>
      </c>
      <c r="K378" s="4">
        <v>5415.1900000000005</v>
      </c>
      <c r="L378">
        <v>1201294</v>
      </c>
    </row>
    <row r="379" spans="1:12" x14ac:dyDescent="0.35">
      <c r="A379" t="s">
        <v>8</v>
      </c>
      <c r="B379" t="s">
        <v>13</v>
      </c>
      <c r="C379" t="s">
        <v>28</v>
      </c>
      <c r="D379" t="str" cm="1">
        <f t="array" ref="D379">INDEX(_xlfn.TEXTSPLIT(C379,"_"),3)</f>
        <v>na</v>
      </c>
      <c r="E379" t="str">
        <f>VLOOKUP(D379,FranchiseMapping!$A$1:$B$15,2,FALSE)</f>
        <v>Biolage</v>
      </c>
      <c r="F379" s="1">
        <v>44927</v>
      </c>
      <c r="G379" t="s">
        <v>12</v>
      </c>
      <c r="H379" s="2">
        <v>45139</v>
      </c>
      <c r="I379" s="3">
        <v>45150</v>
      </c>
      <c r="J379" s="3">
        <f t="shared" si="5"/>
        <v>45150</v>
      </c>
      <c r="K379" s="4">
        <v>470.79679299999998</v>
      </c>
      <c r="L379">
        <v>128730</v>
      </c>
    </row>
    <row r="380" spans="1:12" x14ac:dyDescent="0.35">
      <c r="A380" t="s">
        <v>8</v>
      </c>
      <c r="B380" t="s">
        <v>13</v>
      </c>
      <c r="C380" t="s">
        <v>51</v>
      </c>
      <c r="D380" t="str" cm="1">
        <f t="array" ref="D380">INDEX(_xlfn.TEXTSPLIT(C380,"_"),3)</f>
        <v>na</v>
      </c>
      <c r="E380" t="str">
        <f>VLOOKUP(D380,FranchiseMapping!$A$1:$B$15,2,FALSE)</f>
        <v>Biolage</v>
      </c>
      <c r="F380" s="1">
        <v>44927</v>
      </c>
      <c r="G380" t="s">
        <v>11</v>
      </c>
      <c r="H380" s="2">
        <v>45139</v>
      </c>
      <c r="I380" s="3">
        <v>45153</v>
      </c>
      <c r="J380" s="3">
        <f t="shared" si="5"/>
        <v>45157</v>
      </c>
      <c r="K380" s="4">
        <v>766.64939600000002</v>
      </c>
      <c r="L380">
        <v>335873</v>
      </c>
    </row>
    <row r="381" spans="1:12" x14ac:dyDescent="0.35">
      <c r="A381" t="s">
        <v>8</v>
      </c>
      <c r="B381" t="s">
        <v>13</v>
      </c>
      <c r="C381" t="s">
        <v>32</v>
      </c>
      <c r="D381" t="str" cm="1">
        <f t="array" ref="D381">INDEX(_xlfn.TEXTSPLIT(C381,"_"),3)</f>
        <v>na</v>
      </c>
      <c r="E381" t="str">
        <f>VLOOKUP(D381,FranchiseMapping!$A$1:$B$15,2,FALSE)</f>
        <v>Biolage</v>
      </c>
      <c r="F381" s="1">
        <v>44927</v>
      </c>
      <c r="G381" t="s">
        <v>11</v>
      </c>
      <c r="H381" s="2">
        <v>45139</v>
      </c>
      <c r="I381" s="3">
        <v>45165</v>
      </c>
      <c r="J381" s="3">
        <f t="shared" si="5"/>
        <v>45171</v>
      </c>
      <c r="K381" s="4">
        <v>1774.221487</v>
      </c>
      <c r="L381">
        <v>565432</v>
      </c>
    </row>
    <row r="382" spans="1:12" x14ac:dyDescent="0.35">
      <c r="A382" t="s">
        <v>8</v>
      </c>
      <c r="B382" t="s">
        <v>14</v>
      </c>
      <c r="C382" t="s">
        <v>37</v>
      </c>
      <c r="D382" t="str" cm="1">
        <f t="array" ref="D382">INDEX(_xlfn.TEXTSPLIT(C382,"_"),3)</f>
        <v>mult</v>
      </c>
      <c r="E382" t="str">
        <f>VLOOKUP(D382,FranchiseMapping!$A$1:$B$15,2,FALSE)</f>
        <v>Biolage</v>
      </c>
      <c r="F382" s="1">
        <v>45658</v>
      </c>
      <c r="G382" t="s">
        <v>12</v>
      </c>
      <c r="H382" s="2">
        <v>45748</v>
      </c>
      <c r="I382" s="3">
        <v>45754</v>
      </c>
      <c r="J382" s="3">
        <f t="shared" si="5"/>
        <v>45759</v>
      </c>
      <c r="K382" s="4">
        <v>3.98</v>
      </c>
      <c r="L382">
        <v>1698</v>
      </c>
    </row>
    <row r="383" spans="1:12" x14ac:dyDescent="0.35">
      <c r="A383" t="s">
        <v>8</v>
      </c>
      <c r="B383" t="s">
        <v>14</v>
      </c>
      <c r="C383" t="s">
        <v>37</v>
      </c>
      <c r="D383" t="str" cm="1">
        <f t="array" ref="D383">INDEX(_xlfn.TEXTSPLIT(C383,"_"),3)</f>
        <v>mult</v>
      </c>
      <c r="E383" t="str">
        <f>VLOOKUP(D383,FranchiseMapping!$A$1:$B$15,2,FALSE)</f>
        <v>Biolage</v>
      </c>
      <c r="F383" s="1">
        <v>45658</v>
      </c>
      <c r="G383" t="s">
        <v>12</v>
      </c>
      <c r="H383" s="2">
        <v>45748</v>
      </c>
      <c r="I383" s="3">
        <v>45755</v>
      </c>
      <c r="J383" s="3">
        <f t="shared" si="5"/>
        <v>45759</v>
      </c>
      <c r="K383" s="4">
        <v>1.56</v>
      </c>
      <c r="L383">
        <v>581</v>
      </c>
    </row>
    <row r="384" spans="1:12" x14ac:dyDescent="0.35">
      <c r="A384" t="s">
        <v>8</v>
      </c>
      <c r="B384" t="s">
        <v>9</v>
      </c>
      <c r="C384" t="s">
        <v>54</v>
      </c>
      <c r="D384" t="str" cm="1">
        <f t="array" ref="D384">INDEX(_xlfn.TEXTSPLIT(C384,"_"),3)</f>
        <v>scalp</v>
      </c>
      <c r="E384" t="str">
        <f>VLOOKUP(D384,FranchiseMapping!$A$1:$B$15,2,FALSE)</f>
        <v>Scalp Sync</v>
      </c>
      <c r="F384" s="1">
        <v>45292</v>
      </c>
      <c r="G384" t="s">
        <v>10</v>
      </c>
      <c r="H384" s="2">
        <v>45383</v>
      </c>
      <c r="I384" s="3">
        <v>45391</v>
      </c>
      <c r="J384" s="3">
        <f t="shared" si="5"/>
        <v>45395</v>
      </c>
      <c r="K384" s="4">
        <v>2280.9800039999996</v>
      </c>
      <c r="L384">
        <v>506885</v>
      </c>
    </row>
    <row r="385" spans="1:12" x14ac:dyDescent="0.35">
      <c r="A385" t="s">
        <v>8</v>
      </c>
      <c r="B385" t="s">
        <v>9</v>
      </c>
      <c r="C385" t="s">
        <v>34</v>
      </c>
      <c r="D385" t="str" cm="1">
        <f t="array" ref="D385">INDEX(_xlfn.TEXTSPLIT(C385,"_"),3)</f>
        <v>hydrasource</v>
      </c>
      <c r="E385" t="str">
        <f>VLOOKUP(D385,FranchiseMapping!$A$1:$B$15,2,FALSE)</f>
        <v>Hydrasource</v>
      </c>
      <c r="F385" s="1">
        <v>45292</v>
      </c>
      <c r="G385" t="s">
        <v>12</v>
      </c>
      <c r="H385" s="2">
        <v>45292</v>
      </c>
      <c r="I385" s="3">
        <v>45306</v>
      </c>
      <c r="J385" s="3">
        <f t="shared" si="5"/>
        <v>45311</v>
      </c>
      <c r="K385" s="4">
        <v>657.26999799999999</v>
      </c>
      <c r="L385">
        <v>168007</v>
      </c>
    </row>
    <row r="386" spans="1:12" x14ac:dyDescent="0.35">
      <c r="A386" t="s">
        <v>8</v>
      </c>
      <c r="B386" t="s">
        <v>9</v>
      </c>
      <c r="C386" t="s">
        <v>46</v>
      </c>
      <c r="D386" t="str" cm="1">
        <f t="array" ref="D386">INDEX(_xlfn.TEXTSPLIT(C386,"_"),3)</f>
        <v>mult</v>
      </c>
      <c r="E386" t="str">
        <f>VLOOKUP(D386,FranchiseMapping!$A$1:$B$15,2,FALSE)</f>
        <v>Biolage</v>
      </c>
      <c r="F386" s="1">
        <v>45658</v>
      </c>
      <c r="G386" t="s">
        <v>10</v>
      </c>
      <c r="H386" s="2">
        <v>45809</v>
      </c>
      <c r="I386" s="3">
        <v>45819</v>
      </c>
      <c r="J386" s="3">
        <f t="shared" si="5"/>
        <v>45822</v>
      </c>
      <c r="K386" s="4">
        <v>1709.519998</v>
      </c>
      <c r="L386">
        <v>210940</v>
      </c>
    </row>
    <row r="387" spans="1:12" x14ac:dyDescent="0.35">
      <c r="A387" t="s">
        <v>8</v>
      </c>
      <c r="B387" t="s">
        <v>9</v>
      </c>
      <c r="C387" t="s">
        <v>52</v>
      </c>
      <c r="D387" t="str" cm="1">
        <f t="array" ref="D387">INDEX(_xlfn.TEXTSPLIT(C387,"_"),3)</f>
        <v>bond-therapy</v>
      </c>
      <c r="E387" t="str">
        <f>VLOOKUP(D387,FranchiseMapping!$A$1:$B$15,2,FALSE)</f>
        <v>Bond Therapy</v>
      </c>
      <c r="F387" s="1">
        <v>44927</v>
      </c>
      <c r="G387" t="s">
        <v>11</v>
      </c>
      <c r="H387" s="2">
        <v>45261</v>
      </c>
      <c r="I387" s="3">
        <v>45262</v>
      </c>
      <c r="J387" s="3">
        <f t="shared" ref="J387:J450" si="6">I387 + (7 - WEEKDAY(I387, 1))</f>
        <v>45262</v>
      </c>
      <c r="K387" s="4">
        <v>2957.7199999999993</v>
      </c>
      <c r="L387">
        <v>517468</v>
      </c>
    </row>
    <row r="388" spans="1:12" x14ac:dyDescent="0.35">
      <c r="A388" t="s">
        <v>8</v>
      </c>
      <c r="B388" t="s">
        <v>9</v>
      </c>
      <c r="C388" t="s">
        <v>48</v>
      </c>
      <c r="D388" t="str" cm="1">
        <f t="array" ref="D388">INDEX(_xlfn.TEXTSPLIT(C388,"_"),3)</f>
        <v>scalp</v>
      </c>
      <c r="E388" t="str">
        <f>VLOOKUP(D388,FranchiseMapping!$A$1:$B$15,2,FALSE)</f>
        <v>Scalp Sync</v>
      </c>
      <c r="F388" s="1">
        <v>45292</v>
      </c>
      <c r="G388" t="s">
        <v>12</v>
      </c>
      <c r="H388" s="2">
        <v>45383</v>
      </c>
      <c r="I388" s="3">
        <v>45396</v>
      </c>
      <c r="J388" s="3">
        <f t="shared" si="6"/>
        <v>45402</v>
      </c>
      <c r="K388" s="4">
        <v>778.7</v>
      </c>
      <c r="L388">
        <v>186632</v>
      </c>
    </row>
    <row r="389" spans="1:12" x14ac:dyDescent="0.35">
      <c r="A389" t="s">
        <v>8</v>
      </c>
      <c r="B389" t="s">
        <v>13</v>
      </c>
      <c r="C389" t="s">
        <v>51</v>
      </c>
      <c r="D389" t="str" cm="1">
        <f t="array" ref="D389">INDEX(_xlfn.TEXTSPLIT(C389,"_"),3)</f>
        <v>na</v>
      </c>
      <c r="E389" t="str">
        <f>VLOOKUP(D389,FranchiseMapping!$A$1:$B$15,2,FALSE)</f>
        <v>Biolage</v>
      </c>
      <c r="F389" s="1">
        <v>44927</v>
      </c>
      <c r="G389" t="s">
        <v>11</v>
      </c>
      <c r="H389" s="2">
        <v>45139</v>
      </c>
      <c r="I389" s="3">
        <v>45144</v>
      </c>
      <c r="J389" s="3">
        <f t="shared" si="6"/>
        <v>45150</v>
      </c>
      <c r="K389" s="4">
        <v>774.45903599999997</v>
      </c>
      <c r="L389">
        <v>369930</v>
      </c>
    </row>
    <row r="390" spans="1:12" x14ac:dyDescent="0.35">
      <c r="A390" t="s">
        <v>8</v>
      </c>
      <c r="B390" t="s">
        <v>9</v>
      </c>
      <c r="C390" t="s">
        <v>71</v>
      </c>
      <c r="D390" t="str" cm="1">
        <f t="array" ref="D390">INDEX(_xlfn.TEXTSPLIT(C390,"_"),3)</f>
        <v>bondtherapy</v>
      </c>
      <c r="E390" t="str">
        <f>VLOOKUP(D390,FranchiseMapping!$A$1:$B$15,2,FALSE)</f>
        <v>Bond Therapy</v>
      </c>
      <c r="F390" s="1">
        <v>44927</v>
      </c>
      <c r="G390" t="s">
        <v>11</v>
      </c>
      <c r="H390" s="2">
        <v>45261</v>
      </c>
      <c r="I390" s="3">
        <v>45273</v>
      </c>
      <c r="J390" s="3">
        <f t="shared" si="6"/>
        <v>45276</v>
      </c>
      <c r="K390" s="4">
        <v>1824.6599949999995</v>
      </c>
      <c r="L390">
        <v>117946</v>
      </c>
    </row>
    <row r="391" spans="1:12" x14ac:dyDescent="0.35">
      <c r="A391" t="s">
        <v>8</v>
      </c>
      <c r="B391" t="s">
        <v>9</v>
      </c>
      <c r="C391" t="s">
        <v>72</v>
      </c>
      <c r="D391" t="str" cm="1">
        <f t="array" ref="D391">INDEX(_xlfn.TEXTSPLIT(C391,"_"),3)</f>
        <v>mult</v>
      </c>
      <c r="E391" t="str">
        <f>VLOOKUP(D391,FranchiseMapping!$A$1:$B$15,2,FALSE)</f>
        <v>Biolage</v>
      </c>
      <c r="F391" s="1">
        <v>45658</v>
      </c>
      <c r="G391" t="s">
        <v>12</v>
      </c>
      <c r="H391" s="2">
        <v>45689</v>
      </c>
      <c r="I391" s="3">
        <v>45708</v>
      </c>
      <c r="J391" s="3">
        <f t="shared" si="6"/>
        <v>45710</v>
      </c>
      <c r="K391" s="4">
        <v>7041.5500020000009</v>
      </c>
      <c r="L391">
        <v>1024864</v>
      </c>
    </row>
    <row r="392" spans="1:12" x14ac:dyDescent="0.35">
      <c r="A392" t="s">
        <v>8</v>
      </c>
      <c r="B392" t="s">
        <v>9</v>
      </c>
      <c r="C392" t="s">
        <v>41</v>
      </c>
      <c r="D392" t="str" cm="1">
        <f t="array" ref="D392">INDEX(_xlfn.TEXTSPLIT(C392,"_"),3)</f>
        <v>hys</v>
      </c>
      <c r="E392" t="str">
        <f>VLOOKUP(D392,FranchiseMapping!$A$1:$B$15,2,FALSE)</f>
        <v>Hydrasource</v>
      </c>
      <c r="F392" s="1">
        <v>45658</v>
      </c>
      <c r="G392" t="s">
        <v>12</v>
      </c>
      <c r="H392" s="2">
        <v>45748</v>
      </c>
      <c r="I392" s="3">
        <v>45749</v>
      </c>
      <c r="J392" s="3">
        <f t="shared" si="6"/>
        <v>45752</v>
      </c>
      <c r="K392" s="4">
        <v>3833.0300000000011</v>
      </c>
      <c r="L392">
        <v>474730</v>
      </c>
    </row>
    <row r="393" spans="1:12" x14ac:dyDescent="0.35">
      <c r="A393" t="s">
        <v>8</v>
      </c>
      <c r="B393" t="s">
        <v>14</v>
      </c>
      <c r="C393" t="s">
        <v>47</v>
      </c>
      <c r="D393" t="str" cm="1">
        <f t="array" ref="D393">INDEX(_xlfn.TEXTSPLIT(C393,"_"),3)</f>
        <v>hys</v>
      </c>
      <c r="E393" t="str">
        <f>VLOOKUP(D393,FranchiseMapping!$A$1:$B$15,2,FALSE)</f>
        <v>Hydrasource</v>
      </c>
      <c r="F393" s="1">
        <v>45658</v>
      </c>
      <c r="G393" t="s">
        <v>10</v>
      </c>
      <c r="H393" s="2">
        <v>45748</v>
      </c>
      <c r="I393" s="3">
        <v>45749</v>
      </c>
      <c r="J393" s="3">
        <f t="shared" si="6"/>
        <v>45752</v>
      </c>
      <c r="K393" s="4">
        <v>3575.19</v>
      </c>
      <c r="L393">
        <v>801756</v>
      </c>
    </row>
    <row r="394" spans="1:12" x14ac:dyDescent="0.35">
      <c r="A394" t="s">
        <v>8</v>
      </c>
      <c r="B394" t="s">
        <v>9</v>
      </c>
      <c r="C394" t="s">
        <v>46</v>
      </c>
      <c r="D394" t="str" cm="1">
        <f t="array" ref="D394">INDEX(_xlfn.TEXTSPLIT(C394,"_"),3)</f>
        <v>mult</v>
      </c>
      <c r="E394" t="str">
        <f>VLOOKUP(D394,FranchiseMapping!$A$1:$B$15,2,FALSE)</f>
        <v>Biolage</v>
      </c>
      <c r="F394" s="1">
        <v>45658</v>
      </c>
      <c r="G394" t="s">
        <v>10</v>
      </c>
      <c r="H394" s="2">
        <v>45809</v>
      </c>
      <c r="I394" s="3">
        <v>45815</v>
      </c>
      <c r="J394" s="3">
        <f t="shared" si="6"/>
        <v>45815</v>
      </c>
      <c r="K394" s="4">
        <v>1672.8999990000002</v>
      </c>
      <c r="L394">
        <v>192931</v>
      </c>
    </row>
    <row r="395" spans="1:12" x14ac:dyDescent="0.35">
      <c r="A395" t="s">
        <v>8</v>
      </c>
      <c r="B395" t="s">
        <v>9</v>
      </c>
      <c r="C395" t="s">
        <v>73</v>
      </c>
      <c r="D395" t="str" cm="1">
        <f t="array" ref="D395">INDEX(_xlfn.TEXTSPLIT(C395,"_"),3)</f>
        <v>prime-day</v>
      </c>
      <c r="E395" t="str">
        <f>VLOOKUP(D395,FranchiseMapping!$A$1:$B$15,2,FALSE)</f>
        <v>Prime Day</v>
      </c>
      <c r="F395" s="1">
        <v>45292</v>
      </c>
      <c r="G395" t="s">
        <v>11</v>
      </c>
      <c r="H395" s="2">
        <v>45474</v>
      </c>
      <c r="I395" s="3">
        <v>45486</v>
      </c>
      <c r="J395" s="3">
        <f t="shared" si="6"/>
        <v>45486</v>
      </c>
      <c r="K395" s="4">
        <v>9964.4899990000013</v>
      </c>
      <c r="L395">
        <v>1026076</v>
      </c>
    </row>
    <row r="396" spans="1:12" x14ac:dyDescent="0.35">
      <c r="A396" t="s">
        <v>8</v>
      </c>
      <c r="B396" t="s">
        <v>9</v>
      </c>
      <c r="C396" t="s">
        <v>31</v>
      </c>
      <c r="D396" t="str" cm="1">
        <f t="array" ref="D396">INDEX(_xlfn.TEXTSPLIT(C396,"_"),3)</f>
        <v>scalp</v>
      </c>
      <c r="E396" t="str">
        <f>VLOOKUP(D396,FranchiseMapping!$A$1:$B$15,2,FALSE)</f>
        <v>Scalp Sync</v>
      </c>
      <c r="F396" s="1">
        <v>45292</v>
      </c>
      <c r="G396" t="s">
        <v>12</v>
      </c>
      <c r="H396" s="2">
        <v>45383</v>
      </c>
      <c r="I396" s="3">
        <v>45394</v>
      </c>
      <c r="J396" s="3">
        <f t="shared" si="6"/>
        <v>45395</v>
      </c>
      <c r="K396" s="4">
        <v>1404.3500049999998</v>
      </c>
      <c r="L396">
        <v>209449</v>
      </c>
    </row>
    <row r="397" spans="1:12" x14ac:dyDescent="0.35">
      <c r="A397" t="s">
        <v>8</v>
      </c>
      <c r="B397" t="s">
        <v>13</v>
      </c>
      <c r="C397" t="s">
        <v>39</v>
      </c>
      <c r="D397" t="str" cm="1">
        <f t="array" ref="D397">INDEX(_xlfn.TEXTSPLIT(C397,"_"),3)</f>
        <v>scalp-sync</v>
      </c>
      <c r="E397" t="str">
        <f>VLOOKUP(D397,FranchiseMapping!$A$1:$B$15,2,FALSE)</f>
        <v>Scalp Sync</v>
      </c>
      <c r="F397" s="1">
        <v>45292</v>
      </c>
      <c r="G397" t="s">
        <v>12</v>
      </c>
      <c r="H397" s="2">
        <v>45383</v>
      </c>
      <c r="I397" s="3">
        <v>45407</v>
      </c>
      <c r="J397" s="3">
        <f t="shared" si="6"/>
        <v>45409</v>
      </c>
      <c r="K397" s="4">
        <v>1771.5554269999998</v>
      </c>
      <c r="L397">
        <v>453443</v>
      </c>
    </row>
    <row r="398" spans="1:12" x14ac:dyDescent="0.35">
      <c r="A398" t="s">
        <v>8</v>
      </c>
      <c r="B398" t="s">
        <v>9</v>
      </c>
      <c r="C398" t="s">
        <v>40</v>
      </c>
      <c r="D398" t="str" cm="1">
        <f t="array" ref="D398">INDEX(_xlfn.TEXTSPLIT(C398,"_"),3)</f>
        <v>hydrasource</v>
      </c>
      <c r="E398" t="str">
        <f>VLOOKUP(D398,FranchiseMapping!$A$1:$B$15,2,FALSE)</f>
        <v>Hydrasource</v>
      </c>
      <c r="F398" s="1">
        <v>45292</v>
      </c>
      <c r="G398" t="s">
        <v>12</v>
      </c>
      <c r="H398" s="2">
        <v>45352</v>
      </c>
      <c r="I398" s="3">
        <v>45353</v>
      </c>
      <c r="J398" s="3">
        <f t="shared" si="6"/>
        <v>45353</v>
      </c>
      <c r="K398" s="4">
        <v>3377.9999999999995</v>
      </c>
      <c r="L398">
        <v>526715</v>
      </c>
    </row>
    <row r="399" spans="1:12" x14ac:dyDescent="0.35">
      <c r="A399" t="s">
        <v>8</v>
      </c>
      <c r="B399" t="s">
        <v>14</v>
      </c>
      <c r="C399" t="s">
        <v>47</v>
      </c>
      <c r="D399" t="str" cm="1">
        <f t="array" ref="D399">INDEX(_xlfn.TEXTSPLIT(C399,"_"),3)</f>
        <v>hys</v>
      </c>
      <c r="E399" t="str">
        <f>VLOOKUP(D399,FranchiseMapping!$A$1:$B$15,2,FALSE)</f>
        <v>Hydrasource</v>
      </c>
      <c r="F399" s="1">
        <v>45658</v>
      </c>
      <c r="G399" t="s">
        <v>12</v>
      </c>
      <c r="H399" s="2">
        <v>45748</v>
      </c>
      <c r="I399" s="3">
        <v>45766</v>
      </c>
      <c r="J399" s="3">
        <f t="shared" si="6"/>
        <v>45766</v>
      </c>
      <c r="K399" s="4">
        <v>3715.82</v>
      </c>
      <c r="L399">
        <v>940218</v>
      </c>
    </row>
    <row r="400" spans="1:12" x14ac:dyDescent="0.35">
      <c r="A400" t="s">
        <v>8</v>
      </c>
      <c r="B400" t="s">
        <v>13</v>
      </c>
      <c r="C400" t="s">
        <v>44</v>
      </c>
      <c r="D400" t="str" cm="1">
        <f t="array" ref="D400">INDEX(_xlfn.TEXTSPLIT(C400,"_"),3)</f>
        <v>na</v>
      </c>
      <c r="E400" t="str">
        <f>VLOOKUP(D400,FranchiseMapping!$A$1:$B$15,2,FALSE)</f>
        <v>Biolage</v>
      </c>
      <c r="F400" s="1">
        <v>44927</v>
      </c>
      <c r="G400" t="s">
        <v>11</v>
      </c>
      <c r="H400" s="2">
        <v>45108</v>
      </c>
      <c r="I400" s="3">
        <v>45122</v>
      </c>
      <c r="J400" s="3">
        <f t="shared" si="6"/>
        <v>45122</v>
      </c>
      <c r="K400" s="4">
        <v>0.49795200000000001</v>
      </c>
      <c r="L400">
        <v>29</v>
      </c>
    </row>
    <row r="401" spans="1:12" x14ac:dyDescent="0.35">
      <c r="A401" t="s">
        <v>8</v>
      </c>
      <c r="B401" t="s">
        <v>9</v>
      </c>
      <c r="C401" t="s">
        <v>36</v>
      </c>
      <c r="D401" t="str" cm="1">
        <f t="array" ref="D401">INDEX(_xlfn.TEXTSPLIT(C401,"_"),3)</f>
        <v>bfr</v>
      </c>
      <c r="E401" t="str">
        <f>VLOOKUP(D401,FranchiseMapping!$A$1:$B$15,2,FALSE)</f>
        <v>Full Rescue</v>
      </c>
      <c r="F401" s="1">
        <v>45658</v>
      </c>
      <c r="G401" t="s">
        <v>12</v>
      </c>
      <c r="H401" s="2">
        <v>45778</v>
      </c>
      <c r="I401" s="3">
        <v>45786</v>
      </c>
      <c r="J401" s="3">
        <f t="shared" si="6"/>
        <v>45787</v>
      </c>
      <c r="K401" s="4">
        <v>1236.5999999999995</v>
      </c>
      <c r="L401">
        <v>231145</v>
      </c>
    </row>
    <row r="402" spans="1:12" x14ac:dyDescent="0.35">
      <c r="A402" t="s">
        <v>8</v>
      </c>
      <c r="B402" t="s">
        <v>14</v>
      </c>
      <c r="C402" t="s">
        <v>37</v>
      </c>
      <c r="D402" t="str" cm="1">
        <f t="array" ref="D402">INDEX(_xlfn.TEXTSPLIT(C402,"_"),3)</f>
        <v>mult</v>
      </c>
      <c r="E402" t="str">
        <f>VLOOKUP(D402,FranchiseMapping!$A$1:$B$15,2,FALSE)</f>
        <v>Biolage</v>
      </c>
      <c r="F402" s="1">
        <v>45658</v>
      </c>
      <c r="G402" t="s">
        <v>12</v>
      </c>
      <c r="H402" s="2">
        <v>45748</v>
      </c>
      <c r="I402" s="3">
        <v>45756</v>
      </c>
      <c r="J402" s="3">
        <f t="shared" si="6"/>
        <v>45759</v>
      </c>
      <c r="K402" s="4">
        <v>2.6399999999999997</v>
      </c>
      <c r="L402">
        <v>1137</v>
      </c>
    </row>
    <row r="403" spans="1:12" x14ac:dyDescent="0.35">
      <c r="A403" t="s">
        <v>8</v>
      </c>
      <c r="B403" t="s">
        <v>9</v>
      </c>
      <c r="C403" t="s">
        <v>56</v>
      </c>
      <c r="D403" t="str" cm="1">
        <f t="array" ref="D403">INDEX(_xlfn.TEXTSPLIT(C403,"_"),3)</f>
        <v>haca-colorlast-q3</v>
      </c>
      <c r="E403" t="str">
        <f>VLOOKUP(D403,FranchiseMapping!$A$1:$B$15,2,FALSE)</f>
        <v>Color Last</v>
      </c>
      <c r="F403" s="1">
        <v>44927</v>
      </c>
      <c r="G403" t="s">
        <v>10</v>
      </c>
      <c r="H403" s="2">
        <v>45108</v>
      </c>
      <c r="I403" s="3">
        <v>45123</v>
      </c>
      <c r="J403" s="3">
        <f t="shared" si="6"/>
        <v>45129</v>
      </c>
      <c r="K403" s="4">
        <v>2359.7600020000004</v>
      </c>
      <c r="L403">
        <v>399074</v>
      </c>
    </row>
    <row r="404" spans="1:12" x14ac:dyDescent="0.35">
      <c r="A404" t="s">
        <v>8</v>
      </c>
      <c r="B404" t="s">
        <v>9</v>
      </c>
      <c r="C404" t="s">
        <v>56</v>
      </c>
      <c r="D404" t="str" cm="1">
        <f t="array" ref="D404">INDEX(_xlfn.TEXTSPLIT(C404,"_"),3)</f>
        <v>haca-colorlast-q3</v>
      </c>
      <c r="E404" t="str">
        <f>VLOOKUP(D404,FranchiseMapping!$A$1:$B$15,2,FALSE)</f>
        <v>Color Last</v>
      </c>
      <c r="F404" s="1">
        <v>44927</v>
      </c>
      <c r="G404" t="s">
        <v>10</v>
      </c>
      <c r="H404" s="2">
        <v>45108</v>
      </c>
      <c r="I404" s="3">
        <v>45117</v>
      </c>
      <c r="J404" s="3">
        <f t="shared" si="6"/>
        <v>45122</v>
      </c>
      <c r="K404" s="4">
        <v>1407.9800000000002</v>
      </c>
      <c r="L404">
        <v>258510</v>
      </c>
    </row>
    <row r="405" spans="1:12" x14ac:dyDescent="0.35">
      <c r="A405" t="s">
        <v>8</v>
      </c>
      <c r="B405" t="s">
        <v>9</v>
      </c>
      <c r="C405" t="s">
        <v>45</v>
      </c>
      <c r="D405" t="str" cm="1">
        <f t="array" ref="D405">INDEX(_xlfn.TEXTSPLIT(C405,"_"),3)</f>
        <v>hydrasource</v>
      </c>
      <c r="E405" t="str">
        <f>VLOOKUP(D405,FranchiseMapping!$A$1:$B$15,2,FALSE)</f>
        <v>Hydrasource</v>
      </c>
      <c r="F405" s="1">
        <v>45292</v>
      </c>
      <c r="G405" t="s">
        <v>12</v>
      </c>
      <c r="H405" s="2">
        <v>45566</v>
      </c>
      <c r="I405" s="3">
        <v>45589</v>
      </c>
      <c r="J405" s="3">
        <f t="shared" si="6"/>
        <v>45591</v>
      </c>
      <c r="K405" s="4">
        <v>2315.8600029999998</v>
      </c>
      <c r="L405">
        <v>218493</v>
      </c>
    </row>
    <row r="406" spans="1:12" x14ac:dyDescent="0.35">
      <c r="A406" t="s">
        <v>8</v>
      </c>
      <c r="B406" t="s">
        <v>9</v>
      </c>
      <c r="C406" t="s">
        <v>54</v>
      </c>
      <c r="D406" t="str" cm="1">
        <f t="array" ref="D406">INDEX(_xlfn.TEXTSPLIT(C406,"_"),3)</f>
        <v>scalp</v>
      </c>
      <c r="E406" t="str">
        <f>VLOOKUP(D406,FranchiseMapping!$A$1:$B$15,2,FALSE)</f>
        <v>Scalp Sync</v>
      </c>
      <c r="F406" s="1">
        <v>45292</v>
      </c>
      <c r="G406" t="s">
        <v>10</v>
      </c>
      <c r="H406" s="2">
        <v>45383</v>
      </c>
      <c r="I406" s="3">
        <v>45393</v>
      </c>
      <c r="J406" s="3">
        <f t="shared" si="6"/>
        <v>45395</v>
      </c>
      <c r="K406" s="4">
        <v>2207.5599949999996</v>
      </c>
      <c r="L406">
        <v>473342</v>
      </c>
    </row>
    <row r="407" spans="1:12" x14ac:dyDescent="0.35">
      <c r="A407" t="s">
        <v>8</v>
      </c>
      <c r="B407" t="s">
        <v>9</v>
      </c>
      <c r="C407" t="s">
        <v>60</v>
      </c>
      <c r="D407" t="str" cm="1">
        <f t="array" ref="D407">INDEX(_xlfn.TEXTSPLIT(C407,"_"),3)</f>
        <v>blowdrycream</v>
      </c>
      <c r="E407" t="str">
        <f>VLOOKUP(D407,FranchiseMapping!$A$1:$B$15,2,FALSE)</f>
        <v>Blowdry Cream</v>
      </c>
      <c r="F407" s="1">
        <v>44927</v>
      </c>
      <c r="G407" t="s">
        <v>11</v>
      </c>
      <c r="H407" s="2">
        <v>45170</v>
      </c>
      <c r="I407" s="3">
        <v>45193</v>
      </c>
      <c r="J407" s="3">
        <f t="shared" si="6"/>
        <v>45199</v>
      </c>
      <c r="K407" s="4">
        <v>2089.9499940000001</v>
      </c>
      <c r="L407">
        <v>116082</v>
      </c>
    </row>
    <row r="408" spans="1:12" x14ac:dyDescent="0.35">
      <c r="A408" t="s">
        <v>8</v>
      </c>
      <c r="B408" t="s">
        <v>9</v>
      </c>
      <c r="C408" t="s">
        <v>74</v>
      </c>
      <c r="D408" t="str" cm="1">
        <f t="array" ref="D408">INDEX(_xlfn.TEXTSPLIT(C408,"_"),3)</f>
        <v>mult</v>
      </c>
      <c r="E408" t="str">
        <f>VLOOKUP(D408,FranchiseMapping!$A$1:$B$15,2,FALSE)</f>
        <v>Biolage</v>
      </c>
      <c r="F408" s="1">
        <v>45658</v>
      </c>
      <c r="G408" t="s">
        <v>12</v>
      </c>
      <c r="H408" s="2">
        <v>45658</v>
      </c>
      <c r="I408" s="3">
        <v>45678</v>
      </c>
      <c r="J408" s="3">
        <f t="shared" si="6"/>
        <v>45682</v>
      </c>
      <c r="K408" s="4">
        <v>3822.8099980000002</v>
      </c>
      <c r="L408">
        <v>692167</v>
      </c>
    </row>
    <row r="409" spans="1:12" x14ac:dyDescent="0.35">
      <c r="A409" t="s">
        <v>8</v>
      </c>
      <c r="B409" t="s">
        <v>9</v>
      </c>
      <c r="C409" t="s">
        <v>30</v>
      </c>
      <c r="D409" t="str" cm="1">
        <f t="array" ref="D409">INDEX(_xlfn.TEXTSPLIT(C409,"_"),3)</f>
        <v>q3-haca-colorlast</v>
      </c>
      <c r="E409" t="str">
        <f>VLOOKUP(D409,FranchiseMapping!$A$1:$B$15,2,FALSE)</f>
        <v>Color Last</v>
      </c>
      <c r="F409" s="1">
        <v>44927</v>
      </c>
      <c r="G409" t="s">
        <v>10</v>
      </c>
      <c r="H409" s="2">
        <v>45139</v>
      </c>
      <c r="I409" s="3">
        <v>45157</v>
      </c>
      <c r="J409" s="3">
        <f t="shared" si="6"/>
        <v>45157</v>
      </c>
      <c r="K409" s="4">
        <v>3854.85</v>
      </c>
      <c r="L409">
        <v>560587</v>
      </c>
    </row>
    <row r="410" spans="1:12" x14ac:dyDescent="0.35">
      <c r="A410" t="s">
        <v>8</v>
      </c>
      <c r="B410" t="s">
        <v>14</v>
      </c>
      <c r="C410" t="s">
        <v>49</v>
      </c>
      <c r="D410" t="str" cm="1">
        <f t="array" ref="D410">INDEX(_xlfn.TEXTSPLIT(C410,"_"),3)</f>
        <v>hys</v>
      </c>
      <c r="E410" t="str">
        <f>VLOOKUP(D410,FranchiseMapping!$A$1:$B$15,2,FALSE)</f>
        <v>Hydrasource</v>
      </c>
      <c r="F410" s="1">
        <v>45658</v>
      </c>
      <c r="G410" t="s">
        <v>10</v>
      </c>
      <c r="H410" s="2">
        <v>45748</v>
      </c>
      <c r="I410" s="3">
        <v>45762</v>
      </c>
      <c r="J410" s="3">
        <f t="shared" si="6"/>
        <v>45766</v>
      </c>
      <c r="K410" s="4">
        <v>107.94</v>
      </c>
      <c r="L410">
        <v>38357</v>
      </c>
    </row>
    <row r="411" spans="1:12" x14ac:dyDescent="0.35">
      <c r="A411" t="s">
        <v>8</v>
      </c>
      <c r="B411" t="s">
        <v>9</v>
      </c>
      <c r="C411" t="s">
        <v>45</v>
      </c>
      <c r="D411" t="str" cm="1">
        <f t="array" ref="D411">INDEX(_xlfn.TEXTSPLIT(C411,"_"),3)</f>
        <v>hydrasource</v>
      </c>
      <c r="E411" t="str">
        <f>VLOOKUP(D411,FranchiseMapping!$A$1:$B$15,2,FALSE)</f>
        <v>Hydrasource</v>
      </c>
      <c r="F411" s="1">
        <v>45292</v>
      </c>
      <c r="G411" t="s">
        <v>12</v>
      </c>
      <c r="H411" s="2">
        <v>45566</v>
      </c>
      <c r="I411" s="3">
        <v>45587</v>
      </c>
      <c r="J411" s="3">
        <f t="shared" si="6"/>
        <v>45591</v>
      </c>
      <c r="K411" s="4">
        <v>2524.690008</v>
      </c>
      <c r="L411">
        <v>237071</v>
      </c>
    </row>
    <row r="412" spans="1:12" x14ac:dyDescent="0.35">
      <c r="A412" t="s">
        <v>8</v>
      </c>
      <c r="B412" t="s">
        <v>9</v>
      </c>
      <c r="C412" t="s">
        <v>46</v>
      </c>
      <c r="D412" t="str" cm="1">
        <f t="array" ref="D412">INDEX(_xlfn.TEXTSPLIT(C412,"_"),3)</f>
        <v>mult</v>
      </c>
      <c r="E412" t="str">
        <f>VLOOKUP(D412,FranchiseMapping!$A$1:$B$15,2,FALSE)</f>
        <v>Biolage</v>
      </c>
      <c r="F412" s="1">
        <v>45658</v>
      </c>
      <c r="G412" t="s">
        <v>12</v>
      </c>
      <c r="H412" s="2">
        <v>45717</v>
      </c>
      <c r="I412" s="3">
        <v>45743</v>
      </c>
      <c r="J412" s="3">
        <f t="shared" si="6"/>
        <v>45745</v>
      </c>
      <c r="K412" s="4">
        <v>2070.4100009999997</v>
      </c>
      <c r="L412">
        <v>306284</v>
      </c>
    </row>
    <row r="413" spans="1:12" x14ac:dyDescent="0.35">
      <c r="A413" t="s">
        <v>8</v>
      </c>
      <c r="B413" t="s">
        <v>13</v>
      </c>
      <c r="C413" t="s">
        <v>28</v>
      </c>
      <c r="D413" t="str" cm="1">
        <f t="array" ref="D413">INDEX(_xlfn.TEXTSPLIT(C413,"_"),3)</f>
        <v>na</v>
      </c>
      <c r="E413" t="str">
        <f>VLOOKUP(D413,FranchiseMapping!$A$1:$B$15,2,FALSE)</f>
        <v>Biolage</v>
      </c>
      <c r="F413" s="1">
        <v>44927</v>
      </c>
      <c r="G413" t="s">
        <v>12</v>
      </c>
      <c r="H413" s="2">
        <v>45108</v>
      </c>
      <c r="I413" s="3">
        <v>45124</v>
      </c>
      <c r="J413" s="3">
        <f t="shared" si="6"/>
        <v>45129</v>
      </c>
      <c r="K413" s="4">
        <v>496.87131600000004</v>
      </c>
      <c r="L413">
        <v>155497</v>
      </c>
    </row>
    <row r="414" spans="1:12" x14ac:dyDescent="0.35">
      <c r="A414" t="s">
        <v>8</v>
      </c>
      <c r="B414" t="s">
        <v>9</v>
      </c>
      <c r="C414" t="s">
        <v>55</v>
      </c>
      <c r="D414" t="str" cm="1">
        <f t="array" ref="D414">INDEX(_xlfn.TEXTSPLIT(C414,"_"),3)</f>
        <v>hydrasource</v>
      </c>
      <c r="E414" t="str">
        <f>VLOOKUP(D414,FranchiseMapping!$A$1:$B$15,2,FALSE)</f>
        <v>Hydrasource</v>
      </c>
      <c r="F414" s="1">
        <v>45292</v>
      </c>
      <c r="G414" t="s">
        <v>12</v>
      </c>
      <c r="H414" s="2">
        <v>45566</v>
      </c>
      <c r="I414" s="3">
        <v>45574</v>
      </c>
      <c r="J414" s="3">
        <f t="shared" si="6"/>
        <v>45577</v>
      </c>
      <c r="K414" s="4">
        <v>3639.2</v>
      </c>
      <c r="L414">
        <v>677460</v>
      </c>
    </row>
    <row r="415" spans="1:12" x14ac:dyDescent="0.35">
      <c r="A415" t="s">
        <v>8</v>
      </c>
      <c r="B415" t="s">
        <v>9</v>
      </c>
      <c r="C415" t="s">
        <v>55</v>
      </c>
      <c r="D415" t="str" cm="1">
        <f t="array" ref="D415">INDEX(_xlfn.TEXTSPLIT(C415,"_"),3)</f>
        <v>hydrasource</v>
      </c>
      <c r="E415" t="str">
        <f>VLOOKUP(D415,FranchiseMapping!$A$1:$B$15,2,FALSE)</f>
        <v>Hydrasource</v>
      </c>
      <c r="F415" s="1">
        <v>45292</v>
      </c>
      <c r="G415" t="s">
        <v>12</v>
      </c>
      <c r="H415" s="2">
        <v>45566</v>
      </c>
      <c r="I415" s="3">
        <v>45596</v>
      </c>
      <c r="J415" s="3">
        <f t="shared" si="6"/>
        <v>45598</v>
      </c>
      <c r="K415" s="4">
        <v>3238.6999980000001</v>
      </c>
      <c r="L415">
        <v>668965</v>
      </c>
    </row>
    <row r="416" spans="1:12" x14ac:dyDescent="0.35">
      <c r="A416" t="s">
        <v>8</v>
      </c>
      <c r="B416" t="s">
        <v>13</v>
      </c>
      <c r="C416" t="s">
        <v>62</v>
      </c>
      <c r="D416" t="str" cm="1">
        <f t="array" ref="D416">INDEX(_xlfn.TEXTSPLIT(C416,"_"),3)</f>
        <v>na</v>
      </c>
      <c r="E416" t="str">
        <f>VLOOKUP(D416,FranchiseMapping!$A$1:$B$15,2,FALSE)</f>
        <v>Biolage</v>
      </c>
      <c r="F416" s="1">
        <v>44927</v>
      </c>
      <c r="G416" t="s">
        <v>10</v>
      </c>
      <c r="H416" s="2">
        <v>45108</v>
      </c>
      <c r="I416" s="3">
        <v>45113</v>
      </c>
      <c r="J416" s="3">
        <f t="shared" si="6"/>
        <v>45115</v>
      </c>
      <c r="K416" s="4">
        <v>147.09187399999999</v>
      </c>
      <c r="L416">
        <v>103098</v>
      </c>
    </row>
    <row r="417" spans="1:12" x14ac:dyDescent="0.35">
      <c r="A417" t="s">
        <v>8</v>
      </c>
      <c r="B417" t="s">
        <v>9</v>
      </c>
      <c r="C417" t="s">
        <v>46</v>
      </c>
      <c r="D417" t="str" cm="1">
        <f t="array" ref="D417">INDEX(_xlfn.TEXTSPLIT(C417,"_"),3)</f>
        <v>mult</v>
      </c>
      <c r="E417" t="str">
        <f>VLOOKUP(D417,FranchiseMapping!$A$1:$B$15,2,FALSE)</f>
        <v>Biolage</v>
      </c>
      <c r="F417" s="1">
        <v>45658</v>
      </c>
      <c r="G417" t="s">
        <v>12</v>
      </c>
      <c r="H417" s="2">
        <v>45748</v>
      </c>
      <c r="I417" s="3">
        <v>45771</v>
      </c>
      <c r="J417" s="3">
        <f t="shared" si="6"/>
        <v>45773</v>
      </c>
      <c r="K417" s="4">
        <v>948.49000199999989</v>
      </c>
      <c r="L417">
        <v>219647</v>
      </c>
    </row>
    <row r="418" spans="1:12" x14ac:dyDescent="0.35">
      <c r="A418" t="s">
        <v>8</v>
      </c>
      <c r="B418" t="s">
        <v>13</v>
      </c>
      <c r="C418" t="s">
        <v>32</v>
      </c>
      <c r="D418" t="str" cm="1">
        <f t="array" ref="D418">INDEX(_xlfn.TEXTSPLIT(C418,"_"),3)</f>
        <v>na</v>
      </c>
      <c r="E418" t="str">
        <f>VLOOKUP(D418,FranchiseMapping!$A$1:$B$15,2,FALSE)</f>
        <v>Biolage</v>
      </c>
      <c r="F418" s="1">
        <v>44927</v>
      </c>
      <c r="G418" t="s">
        <v>11</v>
      </c>
      <c r="H418" s="2">
        <v>45139</v>
      </c>
      <c r="I418" s="3">
        <v>45166</v>
      </c>
      <c r="J418" s="3">
        <f t="shared" si="6"/>
        <v>45171</v>
      </c>
      <c r="K418" s="4">
        <v>1769.105474</v>
      </c>
      <c r="L418">
        <v>497109</v>
      </c>
    </row>
    <row r="419" spans="1:12" x14ac:dyDescent="0.35">
      <c r="A419" t="s">
        <v>8</v>
      </c>
      <c r="B419" t="s">
        <v>13</v>
      </c>
      <c r="C419" t="s">
        <v>39</v>
      </c>
      <c r="D419" t="str" cm="1">
        <f t="array" ref="D419">INDEX(_xlfn.TEXTSPLIT(C419,"_"),3)</f>
        <v>scalp-sync</v>
      </c>
      <c r="E419" t="str">
        <f>VLOOKUP(D419,FranchiseMapping!$A$1:$B$15,2,FALSE)</f>
        <v>Scalp Sync</v>
      </c>
      <c r="F419" s="1">
        <v>45292</v>
      </c>
      <c r="G419" t="s">
        <v>12</v>
      </c>
      <c r="H419" s="2">
        <v>45413</v>
      </c>
      <c r="I419" s="3">
        <v>45418</v>
      </c>
      <c r="J419" s="3">
        <f t="shared" si="6"/>
        <v>45423</v>
      </c>
      <c r="K419" s="4">
        <v>1705.8647299999998</v>
      </c>
      <c r="L419">
        <v>486252</v>
      </c>
    </row>
    <row r="420" spans="1:12" x14ac:dyDescent="0.35">
      <c r="A420" t="s">
        <v>8</v>
      </c>
      <c r="B420" t="s">
        <v>9</v>
      </c>
      <c r="C420" t="s">
        <v>33</v>
      </c>
      <c r="D420" t="str" cm="1">
        <f t="array" ref="D420">INDEX(_xlfn.TEXTSPLIT(C420,"_"),3)</f>
        <v>hydrasource</v>
      </c>
      <c r="E420" t="str">
        <f>VLOOKUP(D420,FranchiseMapping!$A$1:$B$15,2,FALSE)</f>
        <v>Hydrasource</v>
      </c>
      <c r="F420" s="1">
        <v>45292</v>
      </c>
      <c r="G420" t="s">
        <v>11</v>
      </c>
      <c r="H420" s="2">
        <v>45292</v>
      </c>
      <c r="I420" s="3">
        <v>45313</v>
      </c>
      <c r="J420" s="3">
        <f t="shared" si="6"/>
        <v>45318</v>
      </c>
      <c r="K420" s="4">
        <v>1520.770002</v>
      </c>
      <c r="L420">
        <v>471659</v>
      </c>
    </row>
    <row r="421" spans="1:12" x14ac:dyDescent="0.35">
      <c r="A421" t="s">
        <v>8</v>
      </c>
      <c r="B421" t="s">
        <v>9</v>
      </c>
      <c r="C421" t="s">
        <v>33</v>
      </c>
      <c r="D421" t="str" cm="1">
        <f t="array" ref="D421">INDEX(_xlfn.TEXTSPLIT(C421,"_"),3)</f>
        <v>hydrasource</v>
      </c>
      <c r="E421" t="str">
        <f>VLOOKUP(D421,FranchiseMapping!$A$1:$B$15,2,FALSE)</f>
        <v>Hydrasource</v>
      </c>
      <c r="F421" s="1">
        <v>45292</v>
      </c>
      <c r="G421" t="s">
        <v>11</v>
      </c>
      <c r="H421" s="2">
        <v>45323</v>
      </c>
      <c r="I421" s="3">
        <v>45328</v>
      </c>
      <c r="J421" s="3">
        <f t="shared" si="6"/>
        <v>45332</v>
      </c>
      <c r="K421" s="4">
        <v>1317.9699930000002</v>
      </c>
      <c r="L421">
        <v>242546</v>
      </c>
    </row>
    <row r="422" spans="1:12" x14ac:dyDescent="0.35">
      <c r="A422" t="s">
        <v>8</v>
      </c>
      <c r="B422" t="s">
        <v>9</v>
      </c>
      <c r="C422" t="s">
        <v>61</v>
      </c>
      <c r="D422" t="str" cm="1">
        <f t="array" ref="D422">INDEX(_xlfn.TEXTSPLIT(C422,"_"),3)</f>
        <v>prime-day</v>
      </c>
      <c r="E422" t="str">
        <f>VLOOKUP(D422,FranchiseMapping!$A$1:$B$15,2,FALSE)</f>
        <v>Prime Day</v>
      </c>
      <c r="F422" s="1">
        <v>45292</v>
      </c>
      <c r="G422" t="s">
        <v>10</v>
      </c>
      <c r="H422" s="2">
        <v>45474</v>
      </c>
      <c r="I422" s="3">
        <v>45484</v>
      </c>
      <c r="J422" s="3">
        <f t="shared" si="6"/>
        <v>45486</v>
      </c>
      <c r="K422" s="4">
        <v>3298.4600049999999</v>
      </c>
      <c r="L422">
        <v>553516</v>
      </c>
    </row>
    <row r="423" spans="1:12" x14ac:dyDescent="0.35">
      <c r="A423" t="s">
        <v>8</v>
      </c>
      <c r="B423" t="s">
        <v>9</v>
      </c>
      <c r="C423" t="s">
        <v>46</v>
      </c>
      <c r="D423" t="str" cm="1">
        <f t="array" ref="D423">INDEX(_xlfn.TEXTSPLIT(C423,"_"),3)</f>
        <v>mult</v>
      </c>
      <c r="E423" t="str">
        <f>VLOOKUP(D423,FranchiseMapping!$A$1:$B$15,2,FALSE)</f>
        <v>Biolage</v>
      </c>
      <c r="F423" s="1">
        <v>45658</v>
      </c>
      <c r="G423" t="s">
        <v>10</v>
      </c>
      <c r="H423" s="2">
        <v>45748</v>
      </c>
      <c r="I423" s="3">
        <v>45766</v>
      </c>
      <c r="J423" s="3">
        <f t="shared" si="6"/>
        <v>45766</v>
      </c>
      <c r="K423" s="4">
        <v>679.55000000000018</v>
      </c>
      <c r="L423">
        <v>144181</v>
      </c>
    </row>
    <row r="424" spans="1:12" x14ac:dyDescent="0.35">
      <c r="A424" t="s">
        <v>8</v>
      </c>
      <c r="B424" t="s">
        <v>9</v>
      </c>
      <c r="C424" t="s">
        <v>54</v>
      </c>
      <c r="D424" t="str" cm="1">
        <f t="array" ref="D424">INDEX(_xlfn.TEXTSPLIT(C424,"_"),3)</f>
        <v>scalp</v>
      </c>
      <c r="E424" t="str">
        <f>VLOOKUP(D424,FranchiseMapping!$A$1:$B$15,2,FALSE)</f>
        <v>Scalp Sync</v>
      </c>
      <c r="F424" s="1">
        <v>45292</v>
      </c>
      <c r="G424" t="s">
        <v>10</v>
      </c>
      <c r="H424" s="2">
        <v>45383</v>
      </c>
      <c r="I424" s="3">
        <v>45392</v>
      </c>
      <c r="J424" s="3">
        <f t="shared" si="6"/>
        <v>45395</v>
      </c>
      <c r="K424" s="4">
        <v>2271.6899979999998</v>
      </c>
      <c r="L424">
        <v>495351</v>
      </c>
    </row>
    <row r="425" spans="1:12" x14ac:dyDescent="0.35">
      <c r="A425" t="s">
        <v>8</v>
      </c>
      <c r="B425" t="s">
        <v>9</v>
      </c>
      <c r="C425" t="s">
        <v>72</v>
      </c>
      <c r="D425" t="str" cm="1">
        <f t="array" ref="D425">INDEX(_xlfn.TEXTSPLIT(C425,"_"),3)</f>
        <v>mult</v>
      </c>
      <c r="E425" t="str">
        <f>VLOOKUP(D425,FranchiseMapping!$A$1:$B$15,2,FALSE)</f>
        <v>Biolage</v>
      </c>
      <c r="F425" s="1">
        <v>45658</v>
      </c>
      <c r="G425" t="s">
        <v>12</v>
      </c>
      <c r="H425" s="2">
        <v>45689</v>
      </c>
      <c r="I425" s="3">
        <v>45715</v>
      </c>
      <c r="J425" s="3">
        <f t="shared" si="6"/>
        <v>45717</v>
      </c>
      <c r="K425" s="4">
        <v>6987.4199989999997</v>
      </c>
      <c r="L425">
        <v>849896</v>
      </c>
    </row>
    <row r="426" spans="1:12" x14ac:dyDescent="0.35">
      <c r="A426" t="s">
        <v>8</v>
      </c>
      <c r="B426" t="s">
        <v>9</v>
      </c>
      <c r="C426" t="s">
        <v>54</v>
      </c>
      <c r="D426" t="str" cm="1">
        <f t="array" ref="D426">INDEX(_xlfn.TEXTSPLIT(C426,"_"),3)</f>
        <v>scalp</v>
      </c>
      <c r="E426" t="str">
        <f>VLOOKUP(D426,FranchiseMapping!$A$1:$B$15,2,FALSE)</f>
        <v>Scalp Sync</v>
      </c>
      <c r="F426" s="1">
        <v>45292</v>
      </c>
      <c r="G426" t="s">
        <v>10</v>
      </c>
      <c r="H426" s="2">
        <v>45352</v>
      </c>
      <c r="I426" s="3">
        <v>45372</v>
      </c>
      <c r="J426" s="3">
        <f t="shared" si="6"/>
        <v>45374</v>
      </c>
      <c r="K426" s="4">
        <v>2265.6899950000002</v>
      </c>
      <c r="L426">
        <v>490085</v>
      </c>
    </row>
    <row r="427" spans="1:12" x14ac:dyDescent="0.35">
      <c r="A427" t="s">
        <v>8</v>
      </c>
      <c r="B427" t="s">
        <v>9</v>
      </c>
      <c r="C427" t="s">
        <v>31</v>
      </c>
      <c r="D427" t="str" cm="1">
        <f t="array" ref="D427">INDEX(_xlfn.TEXTSPLIT(C427,"_"),3)</f>
        <v>scalp</v>
      </c>
      <c r="E427" t="str">
        <f>VLOOKUP(D427,FranchiseMapping!$A$1:$B$15,2,FALSE)</f>
        <v>Scalp Sync</v>
      </c>
      <c r="F427" s="1">
        <v>45292</v>
      </c>
      <c r="G427" t="s">
        <v>10</v>
      </c>
      <c r="H427" s="2">
        <v>45352</v>
      </c>
      <c r="I427" s="3">
        <v>45372</v>
      </c>
      <c r="J427" s="3">
        <f t="shared" si="6"/>
        <v>45374</v>
      </c>
      <c r="K427" s="4">
        <v>1622.2899980000002</v>
      </c>
      <c r="L427">
        <v>240253</v>
      </c>
    </row>
    <row r="428" spans="1:12" x14ac:dyDescent="0.35">
      <c r="A428" t="s">
        <v>8</v>
      </c>
      <c r="B428" t="s">
        <v>9</v>
      </c>
      <c r="C428" t="s">
        <v>46</v>
      </c>
      <c r="D428" t="str" cm="1">
        <f t="array" ref="D428">INDEX(_xlfn.TEXTSPLIT(C428,"_"),3)</f>
        <v>mult</v>
      </c>
      <c r="E428" t="str">
        <f>VLOOKUP(D428,FranchiseMapping!$A$1:$B$15,2,FALSE)</f>
        <v>Biolage</v>
      </c>
      <c r="F428" s="1">
        <v>45658</v>
      </c>
      <c r="G428" t="s">
        <v>12</v>
      </c>
      <c r="H428" s="2">
        <v>45748</v>
      </c>
      <c r="I428" s="3">
        <v>45761</v>
      </c>
      <c r="J428" s="3">
        <f t="shared" si="6"/>
        <v>45766</v>
      </c>
      <c r="K428" s="4">
        <v>890.48000000000013</v>
      </c>
      <c r="L428">
        <v>205240</v>
      </c>
    </row>
    <row r="429" spans="1:12" x14ac:dyDescent="0.35">
      <c r="A429" t="s">
        <v>8</v>
      </c>
      <c r="B429" t="s">
        <v>9</v>
      </c>
      <c r="C429" t="s">
        <v>36</v>
      </c>
      <c r="D429" t="str" cm="1">
        <f t="array" ref="D429">INDEX(_xlfn.TEXTSPLIT(C429,"_"),3)</f>
        <v>bfr</v>
      </c>
      <c r="E429" t="str">
        <f>VLOOKUP(D429,FranchiseMapping!$A$1:$B$15,2,FALSE)</f>
        <v>Full Rescue</v>
      </c>
      <c r="F429" s="1">
        <v>45658</v>
      </c>
      <c r="G429" t="s">
        <v>12</v>
      </c>
      <c r="H429" s="2">
        <v>45778</v>
      </c>
      <c r="I429" s="3">
        <v>45795</v>
      </c>
      <c r="J429" s="3">
        <f t="shared" si="6"/>
        <v>45801</v>
      </c>
      <c r="K429" s="4">
        <v>2952.0299999999997</v>
      </c>
      <c r="L429">
        <v>487002</v>
      </c>
    </row>
    <row r="430" spans="1:12" x14ac:dyDescent="0.35">
      <c r="A430" t="s">
        <v>8</v>
      </c>
      <c r="B430" t="s">
        <v>9</v>
      </c>
      <c r="C430" t="s">
        <v>66</v>
      </c>
      <c r="D430" t="str" cm="1">
        <f t="array" ref="D430">INDEX(_xlfn.TEXTSPLIT(C430,"_"),3)</f>
        <v>mult</v>
      </c>
      <c r="E430" t="str">
        <f>VLOOKUP(D430,FranchiseMapping!$A$1:$B$15,2,FALSE)</f>
        <v>Biolage</v>
      </c>
      <c r="F430" s="1">
        <v>45292</v>
      </c>
      <c r="G430" t="s">
        <v>11</v>
      </c>
      <c r="H430" s="2">
        <v>45597</v>
      </c>
      <c r="I430" s="3">
        <v>45619</v>
      </c>
      <c r="J430" s="3">
        <f t="shared" si="6"/>
        <v>45619</v>
      </c>
      <c r="K430" s="4">
        <v>9445.9100019999969</v>
      </c>
      <c r="L430">
        <v>776092</v>
      </c>
    </row>
    <row r="431" spans="1:12" x14ac:dyDescent="0.35">
      <c r="A431" t="s">
        <v>8</v>
      </c>
      <c r="B431" t="s">
        <v>9</v>
      </c>
      <c r="C431" t="s">
        <v>35</v>
      </c>
      <c r="D431" t="str" cm="1">
        <f t="array" ref="D431">INDEX(_xlfn.TEXTSPLIT(C431,"_"),3)</f>
        <v>bfr</v>
      </c>
      <c r="E431" t="str">
        <f>VLOOKUP(D431,FranchiseMapping!$A$1:$B$15,2,FALSE)</f>
        <v>Full Rescue</v>
      </c>
      <c r="F431" s="1">
        <v>45658</v>
      </c>
      <c r="G431" t="s">
        <v>10</v>
      </c>
      <c r="H431" s="2">
        <v>45778</v>
      </c>
      <c r="I431" s="3">
        <v>45806</v>
      </c>
      <c r="J431" s="3">
        <f t="shared" si="6"/>
        <v>45808</v>
      </c>
      <c r="K431" s="4">
        <v>8.36</v>
      </c>
      <c r="L431">
        <v>937</v>
      </c>
    </row>
    <row r="432" spans="1:12" x14ac:dyDescent="0.35">
      <c r="A432" t="s">
        <v>8</v>
      </c>
      <c r="B432" t="s">
        <v>9</v>
      </c>
      <c r="C432" t="s">
        <v>35</v>
      </c>
      <c r="D432" t="str" cm="1">
        <f t="array" ref="D432">INDEX(_xlfn.TEXTSPLIT(C432,"_"),3)</f>
        <v>bfr</v>
      </c>
      <c r="E432" t="str">
        <f>VLOOKUP(D432,FranchiseMapping!$A$1:$B$15,2,FALSE)</f>
        <v>Full Rescue</v>
      </c>
      <c r="F432" s="1">
        <v>45658</v>
      </c>
      <c r="G432" t="s">
        <v>12</v>
      </c>
      <c r="H432" s="2">
        <v>45778</v>
      </c>
      <c r="I432" s="3">
        <v>45785</v>
      </c>
      <c r="J432" s="3">
        <f t="shared" si="6"/>
        <v>45787</v>
      </c>
      <c r="K432" s="4">
        <v>1817.1699999999998</v>
      </c>
      <c r="L432">
        <v>127850</v>
      </c>
    </row>
    <row r="433" spans="1:12" x14ac:dyDescent="0.35">
      <c r="A433" t="s">
        <v>8</v>
      </c>
      <c r="B433" t="s">
        <v>9</v>
      </c>
      <c r="C433" t="s">
        <v>50</v>
      </c>
      <c r="D433" t="str" cm="1">
        <f t="array" ref="D433">INDEX(_xlfn.TEXTSPLIT(C433,"_"),3)</f>
        <v>bond-therapy</v>
      </c>
      <c r="E433" t="str">
        <f>VLOOKUP(D433,FranchiseMapping!$A$1:$B$15,2,FALSE)</f>
        <v>Bond Therapy</v>
      </c>
      <c r="F433" s="1">
        <v>44927</v>
      </c>
      <c r="G433" t="s">
        <v>12</v>
      </c>
      <c r="H433" s="2">
        <v>45261</v>
      </c>
      <c r="I433" s="3">
        <v>45268</v>
      </c>
      <c r="J433" s="3">
        <f t="shared" si="6"/>
        <v>45269</v>
      </c>
      <c r="K433" s="4">
        <v>2982.4600030000006</v>
      </c>
      <c r="L433">
        <v>316846</v>
      </c>
    </row>
    <row r="434" spans="1:12" x14ac:dyDescent="0.35">
      <c r="A434" t="s">
        <v>8</v>
      </c>
      <c r="B434" t="s">
        <v>9</v>
      </c>
      <c r="C434" t="s">
        <v>41</v>
      </c>
      <c r="D434" t="str" cm="1">
        <f t="array" ref="D434">INDEX(_xlfn.TEXTSPLIT(C434,"_"),3)</f>
        <v>hys</v>
      </c>
      <c r="E434" t="str">
        <f>VLOOKUP(D434,FranchiseMapping!$A$1:$B$15,2,FALSE)</f>
        <v>Hydrasource</v>
      </c>
      <c r="F434" s="1">
        <v>45658</v>
      </c>
      <c r="G434" t="s">
        <v>12</v>
      </c>
      <c r="H434" s="2">
        <v>45748</v>
      </c>
      <c r="I434" s="3">
        <v>45772</v>
      </c>
      <c r="J434" s="3">
        <f t="shared" si="6"/>
        <v>45773</v>
      </c>
      <c r="K434" s="4">
        <v>3725.650000000001</v>
      </c>
      <c r="L434">
        <v>332455</v>
      </c>
    </row>
    <row r="435" spans="1:12" x14ac:dyDescent="0.35">
      <c r="A435" t="s">
        <v>8</v>
      </c>
      <c r="B435" t="s">
        <v>13</v>
      </c>
      <c r="C435" t="s">
        <v>62</v>
      </c>
      <c r="D435" t="str" cm="1">
        <f t="array" ref="D435">INDEX(_xlfn.TEXTSPLIT(C435,"_"),3)</f>
        <v>na</v>
      </c>
      <c r="E435" t="str">
        <f>VLOOKUP(D435,FranchiseMapping!$A$1:$B$15,2,FALSE)</f>
        <v>Biolage</v>
      </c>
      <c r="F435" s="1">
        <v>44927</v>
      </c>
      <c r="G435" t="s">
        <v>10</v>
      </c>
      <c r="H435" s="2">
        <v>45108</v>
      </c>
      <c r="I435" s="3">
        <v>45120</v>
      </c>
      <c r="J435" s="3">
        <f t="shared" si="6"/>
        <v>45122</v>
      </c>
      <c r="K435" s="4">
        <v>417.445381</v>
      </c>
      <c r="L435">
        <v>65144</v>
      </c>
    </row>
    <row r="436" spans="1:12" x14ac:dyDescent="0.35">
      <c r="A436" t="s">
        <v>8</v>
      </c>
      <c r="B436" t="s">
        <v>9</v>
      </c>
      <c r="C436" t="s">
        <v>31</v>
      </c>
      <c r="D436" t="str" cm="1">
        <f t="array" ref="D436">INDEX(_xlfn.TEXTSPLIT(C436,"_"),3)</f>
        <v>scalp</v>
      </c>
      <c r="E436" t="str">
        <f>VLOOKUP(D436,FranchiseMapping!$A$1:$B$15,2,FALSE)</f>
        <v>Scalp Sync</v>
      </c>
      <c r="F436" s="1">
        <v>45292</v>
      </c>
      <c r="G436" t="s">
        <v>10</v>
      </c>
      <c r="H436" s="2">
        <v>45383</v>
      </c>
      <c r="I436" s="3">
        <v>45384</v>
      </c>
      <c r="J436" s="3">
        <f t="shared" si="6"/>
        <v>45388</v>
      </c>
      <c r="K436" s="4">
        <v>104.20000199999998</v>
      </c>
      <c r="L436">
        <v>18546</v>
      </c>
    </row>
    <row r="437" spans="1:12" x14ac:dyDescent="0.35">
      <c r="A437" t="s">
        <v>8</v>
      </c>
      <c r="B437" t="s">
        <v>9</v>
      </c>
      <c r="C437" t="s">
        <v>71</v>
      </c>
      <c r="D437" t="str" cm="1">
        <f t="array" ref="D437">INDEX(_xlfn.TEXTSPLIT(C437,"_"),3)</f>
        <v>bondtherapy</v>
      </c>
      <c r="E437" t="str">
        <f>VLOOKUP(D437,FranchiseMapping!$A$1:$B$15,2,FALSE)</f>
        <v>Bond Therapy</v>
      </c>
      <c r="F437" s="1">
        <v>44927</v>
      </c>
      <c r="G437" t="s">
        <v>11</v>
      </c>
      <c r="H437" s="2">
        <v>45261</v>
      </c>
      <c r="I437" s="3">
        <v>45277</v>
      </c>
      <c r="J437" s="3">
        <f t="shared" si="6"/>
        <v>45283</v>
      </c>
      <c r="K437" s="4">
        <v>2092.1300050000009</v>
      </c>
      <c r="L437">
        <v>159101</v>
      </c>
    </row>
    <row r="438" spans="1:12" x14ac:dyDescent="0.35">
      <c r="A438" t="s">
        <v>8</v>
      </c>
      <c r="B438" t="s">
        <v>9</v>
      </c>
      <c r="C438" t="s">
        <v>46</v>
      </c>
      <c r="D438" t="str" cm="1">
        <f t="array" ref="D438">INDEX(_xlfn.TEXTSPLIT(C438,"_"),3)</f>
        <v>mult</v>
      </c>
      <c r="E438" t="str">
        <f>VLOOKUP(D438,FranchiseMapping!$A$1:$B$15,2,FALSE)</f>
        <v>Biolage</v>
      </c>
      <c r="F438" s="1">
        <v>45658</v>
      </c>
      <c r="G438" t="s">
        <v>12</v>
      </c>
      <c r="H438" s="2">
        <v>45778</v>
      </c>
      <c r="I438" s="3">
        <v>45792</v>
      </c>
      <c r="J438" s="3">
        <f t="shared" si="6"/>
        <v>45794</v>
      </c>
      <c r="K438" s="4">
        <v>222.51999999999998</v>
      </c>
      <c r="L438">
        <v>36377</v>
      </c>
    </row>
    <row r="439" spans="1:12" x14ac:dyDescent="0.35">
      <c r="A439" t="s">
        <v>8</v>
      </c>
      <c r="B439" t="s">
        <v>9</v>
      </c>
      <c r="C439" t="s">
        <v>36</v>
      </c>
      <c r="D439" t="str" cm="1">
        <f t="array" ref="D439">INDEX(_xlfn.TEXTSPLIT(C439,"_"),3)</f>
        <v>bfr</v>
      </c>
      <c r="E439" t="str">
        <f>VLOOKUP(D439,FranchiseMapping!$A$1:$B$15,2,FALSE)</f>
        <v>Full Rescue</v>
      </c>
      <c r="F439" s="1">
        <v>45658</v>
      </c>
      <c r="G439" t="s">
        <v>12</v>
      </c>
      <c r="H439" s="2">
        <v>45778</v>
      </c>
      <c r="I439" s="3">
        <v>45779</v>
      </c>
      <c r="J439" s="3">
        <f t="shared" si="6"/>
        <v>45780</v>
      </c>
      <c r="K439" s="4">
        <v>693.8499999999998</v>
      </c>
      <c r="L439">
        <v>132862</v>
      </c>
    </row>
    <row r="440" spans="1:12" x14ac:dyDescent="0.35">
      <c r="A440" t="s">
        <v>8</v>
      </c>
      <c r="B440" t="s">
        <v>9</v>
      </c>
      <c r="C440" t="s">
        <v>53</v>
      </c>
      <c r="D440" t="str" cm="1">
        <f t="array" ref="D440">INDEX(_xlfn.TEXTSPLIT(C440,"_"),3)</f>
        <v>bond-therapy</v>
      </c>
      <c r="E440" t="str">
        <f>VLOOKUP(D440,FranchiseMapping!$A$1:$B$15,2,FALSE)</f>
        <v>Bond Therapy</v>
      </c>
      <c r="F440" s="1">
        <v>44927</v>
      </c>
      <c r="G440" t="s">
        <v>11</v>
      </c>
      <c r="H440" s="2">
        <v>45261</v>
      </c>
      <c r="I440" s="3">
        <v>45276</v>
      </c>
      <c r="J440" s="3">
        <f t="shared" si="6"/>
        <v>45276</v>
      </c>
      <c r="K440" s="4">
        <v>1244.4299989999997</v>
      </c>
      <c r="L440">
        <v>193723</v>
      </c>
    </row>
    <row r="441" spans="1:12" x14ac:dyDescent="0.35">
      <c r="A441" t="s">
        <v>8</v>
      </c>
      <c r="B441" t="s">
        <v>9</v>
      </c>
      <c r="C441" t="s">
        <v>45</v>
      </c>
      <c r="D441" t="str" cm="1">
        <f t="array" ref="D441">INDEX(_xlfn.TEXTSPLIT(C441,"_"),3)</f>
        <v>hydrasource</v>
      </c>
      <c r="E441" t="str">
        <f>VLOOKUP(D441,FranchiseMapping!$A$1:$B$15,2,FALSE)</f>
        <v>Hydrasource</v>
      </c>
      <c r="F441" s="1">
        <v>45292</v>
      </c>
      <c r="G441" t="s">
        <v>12</v>
      </c>
      <c r="H441" s="2">
        <v>45566</v>
      </c>
      <c r="I441" s="3">
        <v>45593</v>
      </c>
      <c r="J441" s="3">
        <f t="shared" si="6"/>
        <v>45598</v>
      </c>
      <c r="K441" s="4">
        <v>2468.5099970000001</v>
      </c>
      <c r="L441">
        <v>261754</v>
      </c>
    </row>
    <row r="442" spans="1:12" x14ac:dyDescent="0.35">
      <c r="A442" t="s">
        <v>8</v>
      </c>
      <c r="B442" t="s">
        <v>9</v>
      </c>
      <c r="C442" t="s">
        <v>46</v>
      </c>
      <c r="D442" t="str" cm="1">
        <f t="array" ref="D442">INDEX(_xlfn.TEXTSPLIT(C442,"_"),3)</f>
        <v>mult</v>
      </c>
      <c r="E442" t="str">
        <f>VLOOKUP(D442,FranchiseMapping!$A$1:$B$15,2,FALSE)</f>
        <v>Biolage</v>
      </c>
      <c r="F442" s="1">
        <v>45658</v>
      </c>
      <c r="G442" t="s">
        <v>12</v>
      </c>
      <c r="H442" s="2">
        <v>45778</v>
      </c>
      <c r="I442" s="3">
        <v>45797</v>
      </c>
      <c r="J442" s="3">
        <f t="shared" si="6"/>
        <v>45801</v>
      </c>
      <c r="K442" s="4">
        <v>177.49</v>
      </c>
      <c r="L442">
        <v>30115</v>
      </c>
    </row>
    <row r="443" spans="1:12" x14ac:dyDescent="0.35">
      <c r="A443" t="s">
        <v>8</v>
      </c>
      <c r="B443" t="s">
        <v>9</v>
      </c>
      <c r="C443" t="s">
        <v>40</v>
      </c>
      <c r="D443" t="str" cm="1">
        <f t="array" ref="D443">INDEX(_xlfn.TEXTSPLIT(C443,"_"),3)</f>
        <v>hydrasource</v>
      </c>
      <c r="E443" t="str">
        <f>VLOOKUP(D443,FranchiseMapping!$A$1:$B$15,2,FALSE)</f>
        <v>Hydrasource</v>
      </c>
      <c r="F443" s="1">
        <v>45292</v>
      </c>
      <c r="G443" t="s">
        <v>12</v>
      </c>
      <c r="H443" s="2">
        <v>45323</v>
      </c>
      <c r="I443" s="3">
        <v>45344</v>
      </c>
      <c r="J443" s="3">
        <f t="shared" si="6"/>
        <v>45346</v>
      </c>
      <c r="K443" s="4">
        <v>3097.5500080000006</v>
      </c>
      <c r="L443">
        <v>465216</v>
      </c>
    </row>
    <row r="444" spans="1:12" x14ac:dyDescent="0.35">
      <c r="A444" t="s">
        <v>8</v>
      </c>
      <c r="B444" t="s">
        <v>9</v>
      </c>
      <c r="C444" t="s">
        <v>35</v>
      </c>
      <c r="D444" t="str" cm="1">
        <f t="array" ref="D444">INDEX(_xlfn.TEXTSPLIT(C444,"_"),3)</f>
        <v>bfr</v>
      </c>
      <c r="E444" t="str">
        <f>VLOOKUP(D444,FranchiseMapping!$A$1:$B$15,2,FALSE)</f>
        <v>Full Rescue</v>
      </c>
      <c r="F444" s="1">
        <v>45658</v>
      </c>
      <c r="G444" t="s">
        <v>12</v>
      </c>
      <c r="H444" s="2">
        <v>45809</v>
      </c>
      <c r="I444" s="3">
        <v>45816</v>
      </c>
      <c r="J444" s="3">
        <f t="shared" si="6"/>
        <v>45822</v>
      </c>
      <c r="K444" s="4">
        <v>1789.7300010000013</v>
      </c>
      <c r="L444">
        <v>132762</v>
      </c>
    </row>
    <row r="445" spans="1:12" x14ac:dyDescent="0.35">
      <c r="A445" t="s">
        <v>8</v>
      </c>
      <c r="B445" t="s">
        <v>9</v>
      </c>
      <c r="C445" t="s">
        <v>56</v>
      </c>
      <c r="D445" t="str" cm="1">
        <f t="array" ref="D445">INDEX(_xlfn.TEXTSPLIT(C445,"_"),3)</f>
        <v>haca-colorlast-q3</v>
      </c>
      <c r="E445" t="str">
        <f>VLOOKUP(D445,FranchiseMapping!$A$1:$B$15,2,FALSE)</f>
        <v>Color Last</v>
      </c>
      <c r="F445" s="1">
        <v>44927</v>
      </c>
      <c r="G445" t="s">
        <v>10</v>
      </c>
      <c r="H445" s="2">
        <v>45139</v>
      </c>
      <c r="I445" s="3">
        <v>45151</v>
      </c>
      <c r="J445" s="3">
        <f t="shared" si="6"/>
        <v>45157</v>
      </c>
      <c r="K445" s="4">
        <v>717.4</v>
      </c>
      <c r="L445">
        <v>105045</v>
      </c>
    </row>
    <row r="446" spans="1:12" x14ac:dyDescent="0.35">
      <c r="A446" t="s">
        <v>8</v>
      </c>
      <c r="B446" t="s">
        <v>9</v>
      </c>
      <c r="C446" t="s">
        <v>36</v>
      </c>
      <c r="D446" t="str" cm="1">
        <f t="array" ref="D446">INDEX(_xlfn.TEXTSPLIT(C446,"_"),3)</f>
        <v>bfr</v>
      </c>
      <c r="E446" t="str">
        <f>VLOOKUP(D446,FranchiseMapping!$A$1:$B$15,2,FALSE)</f>
        <v>Full Rescue</v>
      </c>
      <c r="F446" s="1">
        <v>45658</v>
      </c>
      <c r="G446" t="s">
        <v>12</v>
      </c>
      <c r="H446" s="2">
        <v>45809</v>
      </c>
      <c r="I446" s="3">
        <v>45826</v>
      </c>
      <c r="J446" s="3">
        <f t="shared" si="6"/>
        <v>45829</v>
      </c>
      <c r="K446" s="4">
        <v>1448.7400000000005</v>
      </c>
      <c r="L446">
        <v>224038</v>
      </c>
    </row>
    <row r="447" spans="1:12" x14ac:dyDescent="0.35">
      <c r="A447" t="s">
        <v>8</v>
      </c>
      <c r="B447" t="s">
        <v>9</v>
      </c>
      <c r="C447" t="s">
        <v>38</v>
      </c>
      <c r="D447" t="str" cm="1">
        <f t="array" ref="D447">INDEX(_xlfn.TEXTSPLIT(C447,"_"),3)</f>
        <v>hys</v>
      </c>
      <c r="E447" t="str">
        <f>VLOOKUP(D447,FranchiseMapping!$A$1:$B$15,2,FALSE)</f>
        <v>Hydrasource</v>
      </c>
      <c r="F447" s="1">
        <v>45658</v>
      </c>
      <c r="G447" t="s">
        <v>10</v>
      </c>
      <c r="H447" s="2">
        <v>45748</v>
      </c>
      <c r="I447" s="3">
        <v>45766</v>
      </c>
      <c r="J447" s="3">
        <f t="shared" si="6"/>
        <v>45766</v>
      </c>
      <c r="K447" s="4">
        <v>346.35</v>
      </c>
      <c r="L447">
        <v>14791</v>
      </c>
    </row>
    <row r="448" spans="1:12" x14ac:dyDescent="0.35">
      <c r="A448" t="s">
        <v>8</v>
      </c>
      <c r="B448" t="s">
        <v>9</v>
      </c>
      <c r="C448" t="s">
        <v>46</v>
      </c>
      <c r="D448" t="str" cm="1">
        <f t="array" ref="D448">INDEX(_xlfn.TEXTSPLIT(C448,"_"),3)</f>
        <v>mult</v>
      </c>
      <c r="E448" t="str">
        <f>VLOOKUP(D448,FranchiseMapping!$A$1:$B$15,2,FALSE)</f>
        <v>Biolage</v>
      </c>
      <c r="F448" s="1">
        <v>45658</v>
      </c>
      <c r="G448" t="s">
        <v>12</v>
      </c>
      <c r="H448" s="2">
        <v>45748</v>
      </c>
      <c r="I448" s="3">
        <v>45763</v>
      </c>
      <c r="J448" s="3">
        <f t="shared" si="6"/>
        <v>45766</v>
      </c>
      <c r="K448" s="4">
        <v>1072.1299959999999</v>
      </c>
      <c r="L448">
        <v>242873</v>
      </c>
    </row>
    <row r="449" spans="1:12" x14ac:dyDescent="0.35">
      <c r="A449" t="s">
        <v>8</v>
      </c>
      <c r="B449" t="s">
        <v>14</v>
      </c>
      <c r="C449" t="s">
        <v>29</v>
      </c>
      <c r="D449" t="str" cm="1">
        <f t="array" ref="D449">INDEX(_xlfn.TEXTSPLIT(C449,"_"),3)</f>
        <v>bfr</v>
      </c>
      <c r="E449" t="str">
        <f>VLOOKUP(D449,FranchiseMapping!$A$1:$B$15,2,FALSE)</f>
        <v>Full Rescue</v>
      </c>
      <c r="F449" s="1">
        <v>45658</v>
      </c>
      <c r="G449" t="s">
        <v>10</v>
      </c>
      <c r="H449" s="2">
        <v>45809</v>
      </c>
      <c r="I449" s="3">
        <v>45818</v>
      </c>
      <c r="J449" s="3">
        <f t="shared" si="6"/>
        <v>45822</v>
      </c>
      <c r="K449" s="4">
        <v>1682.03</v>
      </c>
      <c r="L449">
        <v>256372</v>
      </c>
    </row>
    <row r="450" spans="1:12" x14ac:dyDescent="0.35">
      <c r="A450" t="s">
        <v>8</v>
      </c>
      <c r="B450" t="s">
        <v>9</v>
      </c>
      <c r="C450" t="s">
        <v>50</v>
      </c>
      <c r="D450" t="str" cm="1">
        <f t="array" ref="D450">INDEX(_xlfn.TEXTSPLIT(C450,"_"),3)</f>
        <v>bond-therapy</v>
      </c>
      <c r="E450" t="str">
        <f>VLOOKUP(D450,FranchiseMapping!$A$1:$B$15,2,FALSE)</f>
        <v>Bond Therapy</v>
      </c>
      <c r="F450" s="1">
        <v>44927</v>
      </c>
      <c r="G450" t="s">
        <v>12</v>
      </c>
      <c r="H450" s="2">
        <v>45231</v>
      </c>
      <c r="I450" s="3">
        <v>45254</v>
      </c>
      <c r="J450" s="3">
        <f t="shared" si="6"/>
        <v>45255</v>
      </c>
      <c r="K450" s="4">
        <v>3001.8599990000012</v>
      </c>
      <c r="L450">
        <v>267819</v>
      </c>
    </row>
    <row r="451" spans="1:12" x14ac:dyDescent="0.35">
      <c r="A451" t="s">
        <v>8</v>
      </c>
      <c r="B451" t="s">
        <v>9</v>
      </c>
      <c r="C451" t="s">
        <v>38</v>
      </c>
      <c r="D451" t="str" cm="1">
        <f t="array" ref="D451">INDEX(_xlfn.TEXTSPLIT(C451,"_"),3)</f>
        <v>hys</v>
      </c>
      <c r="E451" t="str">
        <f>VLOOKUP(D451,FranchiseMapping!$A$1:$B$15,2,FALSE)</f>
        <v>Hydrasource</v>
      </c>
      <c r="F451" s="1">
        <v>45658</v>
      </c>
      <c r="G451" t="s">
        <v>10</v>
      </c>
      <c r="H451" s="2">
        <v>45748</v>
      </c>
      <c r="I451" s="3">
        <v>45774</v>
      </c>
      <c r="J451" s="3">
        <f t="shared" ref="J451:J514" si="7">I451 + (7 - WEEKDAY(I451, 1))</f>
        <v>45780</v>
      </c>
      <c r="K451" s="4">
        <v>394.13999999999982</v>
      </c>
      <c r="L451">
        <v>15499</v>
      </c>
    </row>
    <row r="452" spans="1:12" x14ac:dyDescent="0.35">
      <c r="A452" t="s">
        <v>8</v>
      </c>
      <c r="B452" t="s">
        <v>14</v>
      </c>
      <c r="C452" t="s">
        <v>37</v>
      </c>
      <c r="D452" t="str" cm="1">
        <f t="array" ref="D452">INDEX(_xlfn.TEXTSPLIT(C452,"_"),3)</f>
        <v>mult</v>
      </c>
      <c r="E452" t="str">
        <f>VLOOKUP(D452,FranchiseMapping!$A$1:$B$15,2,FALSE)</f>
        <v>Biolage</v>
      </c>
      <c r="F452" s="1">
        <v>45658</v>
      </c>
      <c r="G452" t="s">
        <v>12</v>
      </c>
      <c r="H452" s="2">
        <v>45717</v>
      </c>
      <c r="I452" s="3">
        <v>45734</v>
      </c>
      <c r="J452" s="3">
        <f t="shared" si="7"/>
        <v>45738</v>
      </c>
      <c r="K452" s="4">
        <v>1946.34</v>
      </c>
      <c r="L452">
        <v>450609</v>
      </c>
    </row>
    <row r="453" spans="1:12" x14ac:dyDescent="0.35">
      <c r="A453" t="s">
        <v>8</v>
      </c>
      <c r="B453" t="s">
        <v>9</v>
      </c>
      <c r="C453" t="s">
        <v>54</v>
      </c>
      <c r="D453" t="str" cm="1">
        <f t="array" ref="D453">INDEX(_xlfn.TEXTSPLIT(C453,"_"),3)</f>
        <v>scalp</v>
      </c>
      <c r="E453" t="str">
        <f>VLOOKUP(D453,FranchiseMapping!$A$1:$B$15,2,FALSE)</f>
        <v>Scalp Sync</v>
      </c>
      <c r="F453" s="1">
        <v>45292</v>
      </c>
      <c r="G453" t="s">
        <v>10</v>
      </c>
      <c r="H453" s="2">
        <v>45352</v>
      </c>
      <c r="I453" s="3">
        <v>45378</v>
      </c>
      <c r="J453" s="3">
        <f t="shared" si="7"/>
        <v>45381</v>
      </c>
      <c r="K453" s="4">
        <v>2258.3300000000004</v>
      </c>
      <c r="L453">
        <v>496151</v>
      </c>
    </row>
    <row r="454" spans="1:12" x14ac:dyDescent="0.35">
      <c r="A454" t="s">
        <v>8</v>
      </c>
      <c r="B454" t="s">
        <v>9</v>
      </c>
      <c r="C454" t="s">
        <v>55</v>
      </c>
      <c r="D454" t="str" cm="1">
        <f t="array" ref="D454">INDEX(_xlfn.TEXTSPLIT(C454,"_"),3)</f>
        <v>hydrasource</v>
      </c>
      <c r="E454" t="str">
        <f>VLOOKUP(D454,FranchiseMapping!$A$1:$B$15,2,FALSE)</f>
        <v>Hydrasource</v>
      </c>
      <c r="F454" s="1">
        <v>45292</v>
      </c>
      <c r="G454" t="s">
        <v>12</v>
      </c>
      <c r="H454" s="2">
        <v>45566</v>
      </c>
      <c r="I454" s="3">
        <v>45567</v>
      </c>
      <c r="J454" s="3">
        <f t="shared" si="7"/>
        <v>45570</v>
      </c>
      <c r="K454" s="4">
        <v>3817.6099990000002</v>
      </c>
      <c r="L454">
        <v>725321</v>
      </c>
    </row>
    <row r="455" spans="1:12" x14ac:dyDescent="0.35">
      <c r="A455" t="s">
        <v>8</v>
      </c>
      <c r="B455" t="s">
        <v>9</v>
      </c>
      <c r="C455" t="s">
        <v>54</v>
      </c>
      <c r="D455" t="str" cm="1">
        <f t="array" ref="D455">INDEX(_xlfn.TEXTSPLIT(C455,"_"),3)</f>
        <v>scalp</v>
      </c>
      <c r="E455" t="str">
        <f>VLOOKUP(D455,FranchiseMapping!$A$1:$B$15,2,FALSE)</f>
        <v>Scalp Sync</v>
      </c>
      <c r="F455" s="1">
        <v>45292</v>
      </c>
      <c r="G455" t="s">
        <v>10</v>
      </c>
      <c r="H455" s="2">
        <v>45352</v>
      </c>
      <c r="I455" s="3">
        <v>45375</v>
      </c>
      <c r="J455" s="3">
        <f t="shared" si="7"/>
        <v>45381</v>
      </c>
      <c r="K455" s="4">
        <v>2401.75</v>
      </c>
      <c r="L455">
        <v>529346</v>
      </c>
    </row>
    <row r="456" spans="1:12" x14ac:dyDescent="0.35">
      <c r="A456" t="s">
        <v>8</v>
      </c>
      <c r="B456" t="s">
        <v>9</v>
      </c>
      <c r="C456" t="s">
        <v>41</v>
      </c>
      <c r="D456" t="str" cm="1">
        <f t="array" ref="D456">INDEX(_xlfn.TEXTSPLIT(C456,"_"),3)</f>
        <v>hys</v>
      </c>
      <c r="E456" t="str">
        <f>VLOOKUP(D456,FranchiseMapping!$A$1:$B$15,2,FALSE)</f>
        <v>Hydrasource</v>
      </c>
      <c r="F456" s="1">
        <v>45658</v>
      </c>
      <c r="G456" t="s">
        <v>12</v>
      </c>
      <c r="H456" s="2">
        <v>45748</v>
      </c>
      <c r="I456" s="3">
        <v>45748</v>
      </c>
      <c r="J456" s="3">
        <f t="shared" si="7"/>
        <v>45752</v>
      </c>
      <c r="K456" s="4">
        <v>2767.2600000000016</v>
      </c>
      <c r="L456">
        <v>378968</v>
      </c>
    </row>
    <row r="457" spans="1:12" x14ac:dyDescent="0.35">
      <c r="A457" t="s">
        <v>8</v>
      </c>
      <c r="B457" t="s">
        <v>9</v>
      </c>
      <c r="C457" t="s">
        <v>35</v>
      </c>
      <c r="D457" t="str" cm="1">
        <f t="array" ref="D457">INDEX(_xlfn.TEXTSPLIT(C457,"_"),3)</f>
        <v>bfr</v>
      </c>
      <c r="E457" t="str">
        <f>VLOOKUP(D457,FranchiseMapping!$A$1:$B$15,2,FALSE)</f>
        <v>Full Rescue</v>
      </c>
      <c r="F457" s="1">
        <v>45658</v>
      </c>
      <c r="G457" t="s">
        <v>12</v>
      </c>
      <c r="H457" s="2">
        <v>45778</v>
      </c>
      <c r="I457" s="3">
        <v>45782</v>
      </c>
      <c r="J457" s="3">
        <f t="shared" si="7"/>
        <v>45787</v>
      </c>
      <c r="K457" s="4">
        <v>1834.570001</v>
      </c>
      <c r="L457">
        <v>134293</v>
      </c>
    </row>
    <row r="458" spans="1:12" x14ac:dyDescent="0.35">
      <c r="A458" t="s">
        <v>8</v>
      </c>
      <c r="B458" t="s">
        <v>9</v>
      </c>
      <c r="C458" t="s">
        <v>35</v>
      </c>
      <c r="D458" t="str" cm="1">
        <f t="array" ref="D458">INDEX(_xlfn.TEXTSPLIT(C458,"_"),3)</f>
        <v>bfr</v>
      </c>
      <c r="E458" t="str">
        <f>VLOOKUP(D458,FranchiseMapping!$A$1:$B$15,2,FALSE)</f>
        <v>Full Rescue</v>
      </c>
      <c r="F458" s="1">
        <v>45658</v>
      </c>
      <c r="G458" t="s">
        <v>10</v>
      </c>
      <c r="H458" s="2">
        <v>45809</v>
      </c>
      <c r="I458" s="3">
        <v>45824</v>
      </c>
      <c r="J458" s="3">
        <f t="shared" si="7"/>
        <v>45829</v>
      </c>
      <c r="K458" s="4">
        <v>62.68</v>
      </c>
      <c r="L458">
        <v>8809</v>
      </c>
    </row>
    <row r="459" spans="1:12" x14ac:dyDescent="0.35">
      <c r="A459" t="s">
        <v>8</v>
      </c>
      <c r="B459" t="s">
        <v>9</v>
      </c>
      <c r="C459" t="s">
        <v>68</v>
      </c>
      <c r="D459" t="str" cm="1">
        <f t="array" ref="D459">INDEX(_xlfn.TEXTSPLIT(C459,"_"),3)</f>
        <v>na</v>
      </c>
      <c r="E459" t="str">
        <f>VLOOKUP(D459,FranchiseMapping!$A$1:$B$15,2,FALSE)</f>
        <v>Biolage</v>
      </c>
      <c r="F459" s="1">
        <v>44927</v>
      </c>
      <c r="G459" t="s">
        <v>11</v>
      </c>
      <c r="H459" s="2">
        <v>45231</v>
      </c>
      <c r="I459" s="3">
        <v>45234</v>
      </c>
      <c r="J459" s="3">
        <f t="shared" si="7"/>
        <v>45234</v>
      </c>
      <c r="K459" s="4">
        <v>350.2</v>
      </c>
      <c r="L459">
        <v>37912</v>
      </c>
    </row>
    <row r="460" spans="1:12" x14ac:dyDescent="0.35">
      <c r="A460" t="s">
        <v>8</v>
      </c>
      <c r="B460" t="s">
        <v>14</v>
      </c>
      <c r="C460" t="s">
        <v>37</v>
      </c>
      <c r="D460" t="str" cm="1">
        <f t="array" ref="D460">INDEX(_xlfn.TEXTSPLIT(C460,"_"),3)</f>
        <v>mult</v>
      </c>
      <c r="E460" t="str">
        <f>VLOOKUP(D460,FranchiseMapping!$A$1:$B$15,2,FALSE)</f>
        <v>Biolage</v>
      </c>
      <c r="F460" s="1">
        <v>45658</v>
      </c>
      <c r="G460" t="s">
        <v>12</v>
      </c>
      <c r="H460" s="2">
        <v>45717</v>
      </c>
      <c r="I460" s="3">
        <v>45745</v>
      </c>
      <c r="J460" s="3">
        <f t="shared" si="7"/>
        <v>45745</v>
      </c>
      <c r="K460" s="4">
        <v>1999.53</v>
      </c>
      <c r="L460">
        <v>494556</v>
      </c>
    </row>
    <row r="461" spans="1:12" x14ac:dyDescent="0.35">
      <c r="A461" t="s">
        <v>8</v>
      </c>
      <c r="B461" t="s">
        <v>13</v>
      </c>
      <c r="C461" t="s">
        <v>44</v>
      </c>
      <c r="D461" t="str" cm="1">
        <f t="array" ref="D461">INDEX(_xlfn.TEXTSPLIT(C461,"_"),3)</f>
        <v>na</v>
      </c>
      <c r="E461" t="str">
        <f>VLOOKUP(D461,FranchiseMapping!$A$1:$B$15,2,FALSE)</f>
        <v>Biolage</v>
      </c>
      <c r="F461" s="1">
        <v>44927</v>
      </c>
      <c r="G461" t="s">
        <v>11</v>
      </c>
      <c r="H461" s="2">
        <v>45108</v>
      </c>
      <c r="I461" s="3">
        <v>45120</v>
      </c>
      <c r="J461" s="3">
        <f t="shared" si="7"/>
        <v>45122</v>
      </c>
      <c r="K461" s="4">
        <v>672.55525299999999</v>
      </c>
      <c r="L461">
        <v>375654</v>
      </c>
    </row>
    <row r="462" spans="1:12" x14ac:dyDescent="0.35">
      <c r="A462" t="s">
        <v>8</v>
      </c>
      <c r="B462" t="s">
        <v>9</v>
      </c>
      <c r="C462" t="s">
        <v>36</v>
      </c>
      <c r="D462" t="str" cm="1">
        <f t="array" ref="D462">INDEX(_xlfn.TEXTSPLIT(C462,"_"),3)</f>
        <v>bfr</v>
      </c>
      <c r="E462" t="str">
        <f>VLOOKUP(D462,FranchiseMapping!$A$1:$B$15,2,FALSE)</f>
        <v>Full Rescue</v>
      </c>
      <c r="F462" s="1">
        <v>45658</v>
      </c>
      <c r="G462" t="s">
        <v>12</v>
      </c>
      <c r="H462" s="2">
        <v>45778</v>
      </c>
      <c r="I462" s="3">
        <v>45792</v>
      </c>
      <c r="J462" s="3">
        <f t="shared" si="7"/>
        <v>45794</v>
      </c>
      <c r="K462" s="4">
        <v>1730.6699999999998</v>
      </c>
      <c r="L462">
        <v>298216</v>
      </c>
    </row>
    <row r="463" spans="1:12" x14ac:dyDescent="0.35">
      <c r="A463" t="s">
        <v>8</v>
      </c>
      <c r="B463" t="s">
        <v>9</v>
      </c>
      <c r="C463" t="s">
        <v>35</v>
      </c>
      <c r="D463" t="str" cm="1">
        <f t="array" ref="D463">INDEX(_xlfn.TEXTSPLIT(C463,"_"),3)</f>
        <v>bfr</v>
      </c>
      <c r="E463" t="str">
        <f>VLOOKUP(D463,FranchiseMapping!$A$1:$B$15,2,FALSE)</f>
        <v>Full Rescue</v>
      </c>
      <c r="F463" s="1">
        <v>45658</v>
      </c>
      <c r="G463" t="s">
        <v>10</v>
      </c>
      <c r="H463" s="2">
        <v>45778</v>
      </c>
      <c r="I463" s="3">
        <v>45802</v>
      </c>
      <c r="J463" s="3">
        <f t="shared" si="7"/>
        <v>45808</v>
      </c>
      <c r="K463" s="4">
        <v>11.1</v>
      </c>
      <c r="L463">
        <v>1223</v>
      </c>
    </row>
    <row r="464" spans="1:12" x14ac:dyDescent="0.35">
      <c r="A464" t="s">
        <v>8</v>
      </c>
      <c r="B464" t="s">
        <v>9</v>
      </c>
      <c r="C464" t="s">
        <v>68</v>
      </c>
      <c r="D464" t="str" cm="1">
        <f t="array" ref="D464">INDEX(_xlfn.TEXTSPLIT(C464,"_"),3)</f>
        <v>na</v>
      </c>
      <c r="E464" t="str">
        <f>VLOOKUP(D464,FranchiseMapping!$A$1:$B$15,2,FALSE)</f>
        <v>Biolage</v>
      </c>
      <c r="F464" s="1">
        <v>44927</v>
      </c>
      <c r="G464" t="s">
        <v>11</v>
      </c>
      <c r="H464" s="2">
        <v>45200</v>
      </c>
      <c r="I464" s="3">
        <v>45227</v>
      </c>
      <c r="J464" s="3">
        <f t="shared" si="7"/>
        <v>45227</v>
      </c>
      <c r="K464" s="4">
        <v>358.93</v>
      </c>
      <c r="L464">
        <v>32788</v>
      </c>
    </row>
    <row r="465" spans="1:12" x14ac:dyDescent="0.35">
      <c r="A465" t="s">
        <v>8</v>
      </c>
      <c r="B465" t="s">
        <v>14</v>
      </c>
      <c r="C465" t="s">
        <v>37</v>
      </c>
      <c r="D465" t="str" cm="1">
        <f t="array" ref="D465">INDEX(_xlfn.TEXTSPLIT(C465,"_"),3)</f>
        <v>mult</v>
      </c>
      <c r="E465" t="str">
        <f>VLOOKUP(D465,FranchiseMapping!$A$1:$B$15,2,FALSE)</f>
        <v>Biolage</v>
      </c>
      <c r="F465" s="1">
        <v>45658</v>
      </c>
      <c r="G465" t="s">
        <v>12</v>
      </c>
      <c r="H465" s="2">
        <v>45809</v>
      </c>
      <c r="I465" s="3">
        <v>45816</v>
      </c>
      <c r="J465" s="3">
        <f t="shared" si="7"/>
        <v>45822</v>
      </c>
      <c r="K465" s="4">
        <v>1854.53</v>
      </c>
      <c r="L465">
        <v>390405</v>
      </c>
    </row>
    <row r="466" spans="1:12" x14ac:dyDescent="0.35">
      <c r="A466" t="s">
        <v>8</v>
      </c>
      <c r="B466" t="s">
        <v>9</v>
      </c>
      <c r="C466" t="s">
        <v>46</v>
      </c>
      <c r="D466" t="str" cm="1">
        <f t="array" ref="D466">INDEX(_xlfn.TEXTSPLIT(C466,"_"),3)</f>
        <v>mult</v>
      </c>
      <c r="E466" t="str">
        <f>VLOOKUP(D466,FranchiseMapping!$A$1:$B$15,2,FALSE)</f>
        <v>Biolage</v>
      </c>
      <c r="F466" s="1">
        <v>45658</v>
      </c>
      <c r="G466" t="s">
        <v>12</v>
      </c>
      <c r="H466" s="2">
        <v>45748</v>
      </c>
      <c r="I466" s="3">
        <v>45766</v>
      </c>
      <c r="J466" s="3">
        <f t="shared" si="7"/>
        <v>45766</v>
      </c>
      <c r="K466" s="4">
        <v>1149.6899999999998</v>
      </c>
      <c r="L466">
        <v>278745</v>
      </c>
    </row>
    <row r="467" spans="1:12" x14ac:dyDescent="0.35">
      <c r="A467" t="s">
        <v>8</v>
      </c>
      <c r="B467" t="s">
        <v>14</v>
      </c>
      <c r="C467" t="s">
        <v>37</v>
      </c>
      <c r="D467" t="str" cm="1">
        <f t="array" ref="D467">INDEX(_xlfn.TEXTSPLIT(C467,"_"),3)</f>
        <v>mult</v>
      </c>
      <c r="E467" t="str">
        <f>VLOOKUP(D467,FranchiseMapping!$A$1:$B$15,2,FALSE)</f>
        <v>Biolage</v>
      </c>
      <c r="F467" s="1">
        <v>45658</v>
      </c>
      <c r="G467" t="s">
        <v>12</v>
      </c>
      <c r="H467" s="2">
        <v>45778</v>
      </c>
      <c r="I467" s="3">
        <v>45786</v>
      </c>
      <c r="J467" s="3">
        <f t="shared" si="7"/>
        <v>45787</v>
      </c>
      <c r="K467" s="4">
        <v>738.17</v>
      </c>
      <c r="L467">
        <v>225914</v>
      </c>
    </row>
    <row r="468" spans="1:12" x14ac:dyDescent="0.35">
      <c r="A468" t="s">
        <v>8</v>
      </c>
      <c r="B468" t="s">
        <v>9</v>
      </c>
      <c r="C468" t="s">
        <v>46</v>
      </c>
      <c r="D468" t="str" cm="1">
        <f t="array" ref="D468">INDEX(_xlfn.TEXTSPLIT(C468,"_"),3)</f>
        <v>mult</v>
      </c>
      <c r="E468" t="str">
        <f>VLOOKUP(D468,FranchiseMapping!$A$1:$B$15,2,FALSE)</f>
        <v>Biolage</v>
      </c>
      <c r="F468" s="1">
        <v>45658</v>
      </c>
      <c r="G468" t="s">
        <v>12</v>
      </c>
      <c r="H468" s="2">
        <v>45778</v>
      </c>
      <c r="I468" s="3">
        <v>45800</v>
      </c>
      <c r="J468" s="3">
        <f t="shared" si="7"/>
        <v>45801</v>
      </c>
      <c r="K468" s="4">
        <v>127.87999999999998</v>
      </c>
      <c r="L468">
        <v>20592</v>
      </c>
    </row>
    <row r="469" spans="1:12" x14ac:dyDescent="0.35">
      <c r="A469" t="s">
        <v>8</v>
      </c>
      <c r="B469" t="s">
        <v>9</v>
      </c>
      <c r="C469" t="s">
        <v>72</v>
      </c>
      <c r="D469" t="str" cm="1">
        <f t="array" ref="D469">INDEX(_xlfn.TEXTSPLIT(C469,"_"),3)</f>
        <v>mult</v>
      </c>
      <c r="E469" t="str">
        <f>VLOOKUP(D469,FranchiseMapping!$A$1:$B$15,2,FALSE)</f>
        <v>Biolage</v>
      </c>
      <c r="F469" s="1">
        <v>45658</v>
      </c>
      <c r="G469" t="s">
        <v>12</v>
      </c>
      <c r="H469" s="2">
        <v>45689</v>
      </c>
      <c r="I469" s="3">
        <v>45707</v>
      </c>
      <c r="J469" s="3">
        <f t="shared" si="7"/>
        <v>45710</v>
      </c>
      <c r="K469" s="4">
        <v>4994.849999</v>
      </c>
      <c r="L469">
        <v>826170</v>
      </c>
    </row>
    <row r="470" spans="1:12" x14ac:dyDescent="0.35">
      <c r="A470" t="s">
        <v>8</v>
      </c>
      <c r="B470" t="s">
        <v>9</v>
      </c>
      <c r="C470" t="s">
        <v>53</v>
      </c>
      <c r="D470" t="str" cm="1">
        <f t="array" ref="D470">INDEX(_xlfn.TEXTSPLIT(C470,"_"),3)</f>
        <v>bond-therapy</v>
      </c>
      <c r="E470" t="str">
        <f>VLOOKUP(D470,FranchiseMapping!$A$1:$B$15,2,FALSE)</f>
        <v>Bond Therapy</v>
      </c>
      <c r="F470" s="1">
        <v>44927</v>
      </c>
      <c r="G470" t="s">
        <v>11</v>
      </c>
      <c r="H470" s="2">
        <v>45261</v>
      </c>
      <c r="I470" s="3">
        <v>45278</v>
      </c>
      <c r="J470" s="3">
        <f t="shared" si="7"/>
        <v>45283</v>
      </c>
      <c r="K470" s="4">
        <v>1246.3600000000001</v>
      </c>
      <c r="L470">
        <v>215841</v>
      </c>
    </row>
    <row r="471" spans="1:12" x14ac:dyDescent="0.35">
      <c r="A471" t="s">
        <v>8</v>
      </c>
      <c r="B471" t="s">
        <v>9</v>
      </c>
      <c r="C471" t="s">
        <v>46</v>
      </c>
      <c r="D471" t="str" cm="1">
        <f t="array" ref="D471">INDEX(_xlfn.TEXTSPLIT(C471,"_"),3)</f>
        <v>mult</v>
      </c>
      <c r="E471" t="str">
        <f>VLOOKUP(D471,FranchiseMapping!$A$1:$B$15,2,FALSE)</f>
        <v>Biolage</v>
      </c>
      <c r="F471" s="1">
        <v>45658</v>
      </c>
      <c r="G471" t="s">
        <v>10</v>
      </c>
      <c r="H471" s="2">
        <v>45809</v>
      </c>
      <c r="I471" s="3">
        <v>45820</v>
      </c>
      <c r="J471" s="3">
        <f t="shared" si="7"/>
        <v>45822</v>
      </c>
      <c r="K471" s="4">
        <v>1640.2199989999999</v>
      </c>
      <c r="L471">
        <v>203032</v>
      </c>
    </row>
    <row r="472" spans="1:12" x14ac:dyDescent="0.35">
      <c r="A472" t="s">
        <v>8</v>
      </c>
      <c r="B472" t="s">
        <v>9</v>
      </c>
      <c r="C472" t="s">
        <v>35</v>
      </c>
      <c r="D472" t="str" cm="1">
        <f t="array" ref="D472">INDEX(_xlfn.TEXTSPLIT(C472,"_"),3)</f>
        <v>bfr</v>
      </c>
      <c r="E472" t="str">
        <f>VLOOKUP(D472,FranchiseMapping!$A$1:$B$15,2,FALSE)</f>
        <v>Full Rescue</v>
      </c>
      <c r="F472" s="1">
        <v>45658</v>
      </c>
      <c r="G472" t="s">
        <v>12</v>
      </c>
      <c r="H472" s="2">
        <v>45809</v>
      </c>
      <c r="I472" s="3">
        <v>45812</v>
      </c>
      <c r="J472" s="3">
        <f t="shared" si="7"/>
        <v>45815</v>
      </c>
      <c r="K472" s="4">
        <v>1646.2999989999998</v>
      </c>
      <c r="L472">
        <v>132566</v>
      </c>
    </row>
    <row r="473" spans="1:12" x14ac:dyDescent="0.35">
      <c r="A473" t="s">
        <v>8</v>
      </c>
      <c r="B473" t="s">
        <v>14</v>
      </c>
      <c r="C473" t="s">
        <v>47</v>
      </c>
      <c r="D473" t="str" cm="1">
        <f t="array" ref="D473">INDEX(_xlfn.TEXTSPLIT(C473,"_"),3)</f>
        <v>hys</v>
      </c>
      <c r="E473" t="str">
        <f>VLOOKUP(D473,FranchiseMapping!$A$1:$B$15,2,FALSE)</f>
        <v>Hydrasource</v>
      </c>
      <c r="F473" s="1">
        <v>45658</v>
      </c>
      <c r="G473" t="s">
        <v>12</v>
      </c>
      <c r="H473" s="2">
        <v>45748</v>
      </c>
      <c r="I473" s="3">
        <v>45758</v>
      </c>
      <c r="J473" s="3">
        <f t="shared" si="7"/>
        <v>45759</v>
      </c>
      <c r="K473" s="4">
        <v>2668.3</v>
      </c>
      <c r="L473">
        <v>641091</v>
      </c>
    </row>
    <row r="474" spans="1:12" x14ac:dyDescent="0.35">
      <c r="A474" t="s">
        <v>8</v>
      </c>
      <c r="B474" t="s">
        <v>9</v>
      </c>
      <c r="C474" t="s">
        <v>48</v>
      </c>
      <c r="D474" t="str" cm="1">
        <f t="array" ref="D474">INDEX(_xlfn.TEXTSPLIT(C474,"_"),3)</f>
        <v>scalp</v>
      </c>
      <c r="E474" t="str">
        <f>VLOOKUP(D474,FranchiseMapping!$A$1:$B$15,2,FALSE)</f>
        <v>Scalp Sync</v>
      </c>
      <c r="F474" s="1">
        <v>45292</v>
      </c>
      <c r="G474" t="s">
        <v>10</v>
      </c>
      <c r="H474" s="2">
        <v>45352</v>
      </c>
      <c r="I474" s="3">
        <v>45363</v>
      </c>
      <c r="J474" s="3">
        <f t="shared" si="7"/>
        <v>45367</v>
      </c>
      <c r="K474" s="4">
        <v>991.29000099999985</v>
      </c>
      <c r="L474">
        <v>217111</v>
      </c>
    </row>
    <row r="475" spans="1:12" x14ac:dyDescent="0.35">
      <c r="A475" t="s">
        <v>8</v>
      </c>
      <c r="B475" t="s">
        <v>9</v>
      </c>
      <c r="C475" t="s">
        <v>30</v>
      </c>
      <c r="D475" t="str" cm="1">
        <f t="array" ref="D475">INDEX(_xlfn.TEXTSPLIT(C475,"_"),3)</f>
        <v>q3-haca-colorlast</v>
      </c>
      <c r="E475" t="str">
        <f>VLOOKUP(D475,FranchiseMapping!$A$1:$B$15,2,FALSE)</f>
        <v>Color Last</v>
      </c>
      <c r="F475" s="1">
        <v>44927</v>
      </c>
      <c r="G475" t="s">
        <v>10</v>
      </c>
      <c r="H475" s="2">
        <v>45108</v>
      </c>
      <c r="I475" s="3">
        <v>45134</v>
      </c>
      <c r="J475" s="3">
        <f t="shared" si="7"/>
        <v>45136</v>
      </c>
      <c r="K475" s="4">
        <v>2562.490002</v>
      </c>
      <c r="L475">
        <v>341583</v>
      </c>
    </row>
    <row r="476" spans="1:12" x14ac:dyDescent="0.35">
      <c r="A476" t="s">
        <v>8</v>
      </c>
      <c r="B476" t="s">
        <v>9</v>
      </c>
      <c r="C476" t="s">
        <v>31</v>
      </c>
      <c r="D476" t="str" cm="1">
        <f t="array" ref="D476">INDEX(_xlfn.TEXTSPLIT(C476,"_"),3)</f>
        <v>scalp</v>
      </c>
      <c r="E476" t="str">
        <f>VLOOKUP(D476,FranchiseMapping!$A$1:$B$15,2,FALSE)</f>
        <v>Scalp Sync</v>
      </c>
      <c r="F476" s="1">
        <v>45292</v>
      </c>
      <c r="G476" t="s">
        <v>10</v>
      </c>
      <c r="H476" s="2">
        <v>45383</v>
      </c>
      <c r="I476" s="3">
        <v>45393</v>
      </c>
      <c r="J476" s="3">
        <f t="shared" si="7"/>
        <v>45395</v>
      </c>
      <c r="K476" s="4">
        <v>162.74999799999998</v>
      </c>
      <c r="L476">
        <v>24181</v>
      </c>
    </row>
    <row r="477" spans="1:12" x14ac:dyDescent="0.35">
      <c r="A477" t="s">
        <v>8</v>
      </c>
      <c r="B477" t="s">
        <v>13</v>
      </c>
      <c r="C477" t="s">
        <v>51</v>
      </c>
      <c r="D477" t="str" cm="1">
        <f t="array" ref="D477">INDEX(_xlfn.TEXTSPLIT(C477,"_"),3)</f>
        <v>na</v>
      </c>
      <c r="E477" t="str">
        <f>VLOOKUP(D477,FranchiseMapping!$A$1:$B$15,2,FALSE)</f>
        <v>Biolage</v>
      </c>
      <c r="F477" s="1">
        <v>44927</v>
      </c>
      <c r="G477" t="s">
        <v>11</v>
      </c>
      <c r="H477" s="2">
        <v>45139</v>
      </c>
      <c r="I477" s="3">
        <v>45141</v>
      </c>
      <c r="J477" s="3">
        <f t="shared" si="7"/>
        <v>45143</v>
      </c>
      <c r="K477" s="4">
        <v>770.66540699999996</v>
      </c>
      <c r="L477">
        <v>434114</v>
      </c>
    </row>
    <row r="478" spans="1:12" x14ac:dyDescent="0.35">
      <c r="A478" t="s">
        <v>8</v>
      </c>
      <c r="B478" t="s">
        <v>14</v>
      </c>
      <c r="C478" t="s">
        <v>29</v>
      </c>
      <c r="D478" t="str" cm="1">
        <f t="array" ref="D478">INDEX(_xlfn.TEXTSPLIT(C478,"_"),3)</f>
        <v>bfr</v>
      </c>
      <c r="E478" t="str">
        <f>VLOOKUP(D478,FranchiseMapping!$A$1:$B$15,2,FALSE)</f>
        <v>Full Rescue</v>
      </c>
      <c r="F478" s="1">
        <v>45658</v>
      </c>
      <c r="G478" t="s">
        <v>12</v>
      </c>
      <c r="H478" s="2">
        <v>45809</v>
      </c>
      <c r="I478" s="3">
        <v>45832</v>
      </c>
      <c r="J478" s="3">
        <f t="shared" si="7"/>
        <v>45836</v>
      </c>
      <c r="K478" s="4">
        <v>302.16999999999996</v>
      </c>
      <c r="L478">
        <v>49971</v>
      </c>
    </row>
    <row r="479" spans="1:12" x14ac:dyDescent="0.35">
      <c r="A479" t="s">
        <v>8</v>
      </c>
      <c r="B479" t="s">
        <v>9</v>
      </c>
      <c r="C479" t="s">
        <v>31</v>
      </c>
      <c r="D479" t="str" cm="1">
        <f t="array" ref="D479">INDEX(_xlfn.TEXTSPLIT(C479,"_"),3)</f>
        <v>scalp</v>
      </c>
      <c r="E479" t="str">
        <f>VLOOKUP(D479,FranchiseMapping!$A$1:$B$15,2,FALSE)</f>
        <v>Scalp Sync</v>
      </c>
      <c r="F479" s="1">
        <v>45292</v>
      </c>
      <c r="G479" t="s">
        <v>10</v>
      </c>
      <c r="H479" s="2">
        <v>45383</v>
      </c>
      <c r="I479" s="3">
        <v>45388</v>
      </c>
      <c r="J479" s="3">
        <f t="shared" si="7"/>
        <v>45388</v>
      </c>
      <c r="K479" s="4">
        <v>180.74000000000004</v>
      </c>
      <c r="L479">
        <v>29024</v>
      </c>
    </row>
    <row r="480" spans="1:12" x14ac:dyDescent="0.35">
      <c r="A480" t="s">
        <v>8</v>
      </c>
      <c r="B480" t="s">
        <v>9</v>
      </c>
      <c r="C480" t="s">
        <v>55</v>
      </c>
      <c r="D480" t="str" cm="1">
        <f t="array" ref="D480">INDEX(_xlfn.TEXTSPLIT(C480,"_"),3)</f>
        <v>hydrasource</v>
      </c>
      <c r="E480" t="str">
        <f>VLOOKUP(D480,FranchiseMapping!$A$1:$B$15,2,FALSE)</f>
        <v>Hydrasource</v>
      </c>
      <c r="F480" s="1">
        <v>45292</v>
      </c>
      <c r="G480" t="s">
        <v>12</v>
      </c>
      <c r="H480" s="2">
        <v>45536</v>
      </c>
      <c r="I480" s="3">
        <v>45562</v>
      </c>
      <c r="J480" s="3">
        <f t="shared" si="7"/>
        <v>45563</v>
      </c>
      <c r="K480" s="4">
        <v>3411.7399989999994</v>
      </c>
      <c r="L480">
        <v>581057</v>
      </c>
    </row>
    <row r="481" spans="1:12" x14ac:dyDescent="0.35">
      <c r="A481" t="s">
        <v>8</v>
      </c>
      <c r="B481" t="s">
        <v>9</v>
      </c>
      <c r="C481" t="s">
        <v>56</v>
      </c>
      <c r="D481" t="str" cm="1">
        <f t="array" ref="D481">INDEX(_xlfn.TEXTSPLIT(C481,"_"),3)</f>
        <v>haca-colorlast-q3</v>
      </c>
      <c r="E481" t="str">
        <f>VLOOKUP(D481,FranchiseMapping!$A$1:$B$15,2,FALSE)</f>
        <v>Color Last</v>
      </c>
      <c r="F481" s="1">
        <v>44927</v>
      </c>
      <c r="G481" t="s">
        <v>10</v>
      </c>
      <c r="H481" s="2">
        <v>45139</v>
      </c>
      <c r="I481" s="3">
        <v>45154</v>
      </c>
      <c r="J481" s="3">
        <f t="shared" si="7"/>
        <v>45157</v>
      </c>
      <c r="K481" s="4">
        <v>713.20000099999993</v>
      </c>
      <c r="L481">
        <v>99553</v>
      </c>
    </row>
    <row r="482" spans="1:12" x14ac:dyDescent="0.35">
      <c r="A482" t="s">
        <v>8</v>
      </c>
      <c r="B482" t="s">
        <v>9</v>
      </c>
      <c r="C482" t="s">
        <v>35</v>
      </c>
      <c r="D482" t="str" cm="1">
        <f t="array" ref="D482">INDEX(_xlfn.TEXTSPLIT(C482,"_"),3)</f>
        <v>bfr</v>
      </c>
      <c r="E482" t="str">
        <f>VLOOKUP(D482,FranchiseMapping!$A$1:$B$15,2,FALSE)</f>
        <v>Full Rescue</v>
      </c>
      <c r="F482" s="1">
        <v>45658</v>
      </c>
      <c r="G482" t="s">
        <v>10</v>
      </c>
      <c r="H482" s="2">
        <v>45778</v>
      </c>
      <c r="I482" s="3">
        <v>45790</v>
      </c>
      <c r="J482" s="3">
        <f t="shared" si="7"/>
        <v>45794</v>
      </c>
      <c r="K482" s="4">
        <v>8.11</v>
      </c>
      <c r="L482">
        <v>948</v>
      </c>
    </row>
    <row r="483" spans="1:12" x14ac:dyDescent="0.35">
      <c r="A483" t="s">
        <v>8</v>
      </c>
      <c r="B483" t="s">
        <v>9</v>
      </c>
      <c r="C483" t="s">
        <v>46</v>
      </c>
      <c r="D483" t="str" cm="1">
        <f t="array" ref="D483">INDEX(_xlfn.TEXTSPLIT(C483,"_"),3)</f>
        <v>mult</v>
      </c>
      <c r="E483" t="str">
        <f>VLOOKUP(D483,FranchiseMapping!$A$1:$B$15,2,FALSE)</f>
        <v>Biolage</v>
      </c>
      <c r="F483" s="1">
        <v>45658</v>
      </c>
      <c r="G483" t="s">
        <v>12</v>
      </c>
      <c r="H483" s="2">
        <v>45717</v>
      </c>
      <c r="I483" s="3">
        <v>45732</v>
      </c>
      <c r="J483" s="3">
        <f t="shared" si="7"/>
        <v>45738</v>
      </c>
      <c r="K483" s="4">
        <v>2866.1699999999996</v>
      </c>
      <c r="L483">
        <v>540435</v>
      </c>
    </row>
    <row r="484" spans="1:12" x14ac:dyDescent="0.35">
      <c r="A484" t="s">
        <v>8</v>
      </c>
      <c r="B484" t="s">
        <v>9</v>
      </c>
      <c r="C484" t="s">
        <v>40</v>
      </c>
      <c r="D484" t="str" cm="1">
        <f t="array" ref="D484">INDEX(_xlfn.TEXTSPLIT(C484,"_"),3)</f>
        <v>hydrasource</v>
      </c>
      <c r="E484" t="str">
        <f>VLOOKUP(D484,FranchiseMapping!$A$1:$B$15,2,FALSE)</f>
        <v>Hydrasource</v>
      </c>
      <c r="F484" s="1">
        <v>45292</v>
      </c>
      <c r="G484" t="s">
        <v>12</v>
      </c>
      <c r="H484" s="2">
        <v>45323</v>
      </c>
      <c r="I484" s="3">
        <v>45325</v>
      </c>
      <c r="J484" s="3">
        <f t="shared" si="7"/>
        <v>45325</v>
      </c>
      <c r="K484" s="4">
        <v>3259.2700039999991</v>
      </c>
      <c r="L484">
        <v>525963</v>
      </c>
    </row>
    <row r="485" spans="1:12" x14ac:dyDescent="0.35">
      <c r="A485" t="s">
        <v>8</v>
      </c>
      <c r="B485" t="s">
        <v>9</v>
      </c>
      <c r="C485" t="s">
        <v>48</v>
      </c>
      <c r="D485" t="str" cm="1">
        <f t="array" ref="D485">INDEX(_xlfn.TEXTSPLIT(C485,"_"),3)</f>
        <v>scalp</v>
      </c>
      <c r="E485" t="str">
        <f>VLOOKUP(D485,FranchiseMapping!$A$1:$B$15,2,FALSE)</f>
        <v>Scalp Sync</v>
      </c>
      <c r="F485" s="1">
        <v>45292</v>
      </c>
      <c r="G485" t="s">
        <v>12</v>
      </c>
      <c r="H485" s="2">
        <v>45383</v>
      </c>
      <c r="I485" s="3">
        <v>45398</v>
      </c>
      <c r="J485" s="3">
        <f t="shared" si="7"/>
        <v>45402</v>
      </c>
      <c r="K485" s="4">
        <v>665.70000099999993</v>
      </c>
      <c r="L485">
        <v>165522</v>
      </c>
    </row>
    <row r="486" spans="1:12" x14ac:dyDescent="0.35">
      <c r="A486" t="s">
        <v>8</v>
      </c>
      <c r="B486" t="s">
        <v>14</v>
      </c>
      <c r="C486" t="s">
        <v>29</v>
      </c>
      <c r="D486" t="str" cm="1">
        <f t="array" ref="D486">INDEX(_xlfn.TEXTSPLIT(C486,"_"),3)</f>
        <v>bfr</v>
      </c>
      <c r="E486" t="str">
        <f>VLOOKUP(D486,FranchiseMapping!$A$1:$B$15,2,FALSE)</f>
        <v>Full Rescue</v>
      </c>
      <c r="F486" s="1">
        <v>45658</v>
      </c>
      <c r="G486" t="s">
        <v>12</v>
      </c>
      <c r="H486" s="2">
        <v>45809</v>
      </c>
      <c r="I486" s="3">
        <v>45815</v>
      </c>
      <c r="J486" s="3">
        <f t="shared" si="7"/>
        <v>45815</v>
      </c>
      <c r="K486" s="4">
        <v>3.6599999999999997</v>
      </c>
      <c r="L486">
        <v>840</v>
      </c>
    </row>
    <row r="487" spans="1:12" x14ac:dyDescent="0.35">
      <c r="A487" t="s">
        <v>8</v>
      </c>
      <c r="B487" t="s">
        <v>9</v>
      </c>
      <c r="C487" t="s">
        <v>41</v>
      </c>
      <c r="D487" t="str" cm="1">
        <f t="array" ref="D487">INDEX(_xlfn.TEXTSPLIT(C487,"_"),3)</f>
        <v>hys</v>
      </c>
      <c r="E487" t="str">
        <f>VLOOKUP(D487,FranchiseMapping!$A$1:$B$15,2,FALSE)</f>
        <v>Hydrasource</v>
      </c>
      <c r="F487" s="1">
        <v>45658</v>
      </c>
      <c r="G487" t="s">
        <v>12</v>
      </c>
      <c r="H487" s="2">
        <v>45748</v>
      </c>
      <c r="I487" s="3">
        <v>45764</v>
      </c>
      <c r="J487" s="3">
        <f t="shared" si="7"/>
        <v>45766</v>
      </c>
      <c r="K487" s="4">
        <v>3822.7300000000023</v>
      </c>
      <c r="L487">
        <v>341863</v>
      </c>
    </row>
    <row r="488" spans="1:12" x14ac:dyDescent="0.35">
      <c r="A488" t="s">
        <v>8</v>
      </c>
      <c r="B488" t="s">
        <v>9</v>
      </c>
      <c r="C488" t="s">
        <v>46</v>
      </c>
      <c r="D488" t="str" cm="1">
        <f t="array" ref="D488">INDEX(_xlfn.TEXTSPLIT(C488,"_"),3)</f>
        <v>mult</v>
      </c>
      <c r="E488" t="str">
        <f>VLOOKUP(D488,FranchiseMapping!$A$1:$B$15,2,FALSE)</f>
        <v>Biolage</v>
      </c>
      <c r="F488" s="1">
        <v>45658</v>
      </c>
      <c r="G488" t="s">
        <v>12</v>
      </c>
      <c r="H488" s="2">
        <v>45717</v>
      </c>
      <c r="I488" s="3">
        <v>45746</v>
      </c>
      <c r="J488" s="3">
        <f t="shared" si="7"/>
        <v>45752</v>
      </c>
      <c r="K488" s="4">
        <v>2854.2700000000004</v>
      </c>
      <c r="L488">
        <v>191702</v>
      </c>
    </row>
    <row r="489" spans="1:12" x14ac:dyDescent="0.35">
      <c r="A489" t="s">
        <v>8</v>
      </c>
      <c r="B489" t="s">
        <v>14</v>
      </c>
      <c r="C489" t="s">
        <v>29</v>
      </c>
      <c r="D489" t="str" cm="1">
        <f t="array" ref="D489">INDEX(_xlfn.TEXTSPLIT(C489,"_"),3)</f>
        <v>bfr</v>
      </c>
      <c r="E489" t="str">
        <f>VLOOKUP(D489,FranchiseMapping!$A$1:$B$15,2,FALSE)</f>
        <v>Full Rescue</v>
      </c>
      <c r="F489" s="1">
        <v>45658</v>
      </c>
      <c r="G489" t="s">
        <v>10</v>
      </c>
      <c r="H489" s="2">
        <v>45809</v>
      </c>
      <c r="I489" s="3">
        <v>45822</v>
      </c>
      <c r="J489" s="3">
        <f t="shared" si="7"/>
        <v>45822</v>
      </c>
      <c r="K489" s="4">
        <v>1678.9899999999998</v>
      </c>
      <c r="L489">
        <v>217128</v>
      </c>
    </row>
    <row r="490" spans="1:12" x14ac:dyDescent="0.35">
      <c r="A490" t="s">
        <v>8</v>
      </c>
      <c r="B490" t="s">
        <v>9</v>
      </c>
      <c r="C490" t="s">
        <v>35</v>
      </c>
      <c r="D490" t="str" cm="1">
        <f t="array" ref="D490">INDEX(_xlfn.TEXTSPLIT(C490,"_"),3)</f>
        <v>bfr</v>
      </c>
      <c r="E490" t="str">
        <f>VLOOKUP(D490,FranchiseMapping!$A$1:$B$15,2,FALSE)</f>
        <v>Full Rescue</v>
      </c>
      <c r="F490" s="1">
        <v>45658</v>
      </c>
      <c r="G490" t="s">
        <v>10</v>
      </c>
      <c r="H490" s="2">
        <v>45809</v>
      </c>
      <c r="I490" s="3">
        <v>45822</v>
      </c>
      <c r="J490" s="3">
        <f t="shared" si="7"/>
        <v>45822</v>
      </c>
      <c r="K490" s="4">
        <v>52.939999999999991</v>
      </c>
      <c r="L490">
        <v>5959</v>
      </c>
    </row>
    <row r="491" spans="1:12" x14ac:dyDescent="0.35">
      <c r="A491" t="s">
        <v>8</v>
      </c>
      <c r="B491" t="s">
        <v>9</v>
      </c>
      <c r="C491" t="s">
        <v>46</v>
      </c>
      <c r="D491" t="str" cm="1">
        <f t="array" ref="D491">INDEX(_xlfn.TEXTSPLIT(C491,"_"),3)</f>
        <v>mult</v>
      </c>
      <c r="E491" t="str">
        <f>VLOOKUP(D491,FranchiseMapping!$A$1:$B$15,2,FALSE)</f>
        <v>Biolage</v>
      </c>
      <c r="F491" s="1">
        <v>45658</v>
      </c>
      <c r="G491" t="s">
        <v>12</v>
      </c>
      <c r="H491" s="2">
        <v>45778</v>
      </c>
      <c r="I491" s="3">
        <v>45793</v>
      </c>
      <c r="J491" s="3">
        <f t="shared" si="7"/>
        <v>45794</v>
      </c>
      <c r="K491" s="4">
        <v>268.10000000000002</v>
      </c>
      <c r="L491">
        <v>45713</v>
      </c>
    </row>
    <row r="492" spans="1:12" x14ac:dyDescent="0.35">
      <c r="A492" t="s">
        <v>8</v>
      </c>
      <c r="B492" t="s">
        <v>14</v>
      </c>
      <c r="C492" t="s">
        <v>37</v>
      </c>
      <c r="D492" t="str" cm="1">
        <f t="array" ref="D492">INDEX(_xlfn.TEXTSPLIT(C492,"_"),3)</f>
        <v>mult</v>
      </c>
      <c r="E492" t="str">
        <f>VLOOKUP(D492,FranchiseMapping!$A$1:$B$15,2,FALSE)</f>
        <v>Biolage</v>
      </c>
      <c r="F492" s="1">
        <v>45658</v>
      </c>
      <c r="G492" t="s">
        <v>12</v>
      </c>
      <c r="H492" s="2">
        <v>45809</v>
      </c>
      <c r="I492" s="3">
        <v>45818</v>
      </c>
      <c r="J492" s="3">
        <f t="shared" si="7"/>
        <v>45822</v>
      </c>
      <c r="K492" s="4">
        <v>1671.97</v>
      </c>
      <c r="L492">
        <v>335501</v>
      </c>
    </row>
    <row r="493" spans="1:12" x14ac:dyDescent="0.35">
      <c r="A493" t="s">
        <v>8</v>
      </c>
      <c r="B493" t="s">
        <v>9</v>
      </c>
      <c r="C493" t="s">
        <v>53</v>
      </c>
      <c r="D493" t="str" cm="1">
        <f t="array" ref="D493">INDEX(_xlfn.TEXTSPLIT(C493,"_"),3)</f>
        <v>bond-therapy</v>
      </c>
      <c r="E493" t="str">
        <f>VLOOKUP(D493,FranchiseMapping!$A$1:$B$15,2,FALSE)</f>
        <v>Bond Therapy</v>
      </c>
      <c r="F493" s="1">
        <v>44927</v>
      </c>
      <c r="G493" t="s">
        <v>11</v>
      </c>
      <c r="H493" s="2">
        <v>45231</v>
      </c>
      <c r="I493" s="3">
        <v>45245</v>
      </c>
      <c r="J493" s="3">
        <f t="shared" si="7"/>
        <v>45248</v>
      </c>
      <c r="K493" s="4">
        <v>506.13000000000005</v>
      </c>
      <c r="L493">
        <v>81234</v>
      </c>
    </row>
    <row r="494" spans="1:12" x14ac:dyDescent="0.35">
      <c r="A494" t="s">
        <v>8</v>
      </c>
      <c r="B494" t="s">
        <v>9</v>
      </c>
      <c r="C494" t="s">
        <v>31</v>
      </c>
      <c r="D494" t="str" cm="1">
        <f t="array" ref="D494">INDEX(_xlfn.TEXTSPLIT(C494,"_"),3)</f>
        <v>scalp</v>
      </c>
      <c r="E494" t="str">
        <f>VLOOKUP(D494,FranchiseMapping!$A$1:$B$15,2,FALSE)</f>
        <v>Scalp Sync</v>
      </c>
      <c r="F494" s="1">
        <v>45292</v>
      </c>
      <c r="G494" t="s">
        <v>12</v>
      </c>
      <c r="H494" s="2">
        <v>45352</v>
      </c>
      <c r="I494" s="3">
        <v>45382</v>
      </c>
      <c r="J494" s="3">
        <f t="shared" si="7"/>
        <v>45388</v>
      </c>
      <c r="K494" s="4">
        <v>1668.9200040000001</v>
      </c>
      <c r="L494">
        <v>277534</v>
      </c>
    </row>
    <row r="495" spans="1:12" x14ac:dyDescent="0.35">
      <c r="A495" t="s">
        <v>8</v>
      </c>
      <c r="B495" t="s">
        <v>14</v>
      </c>
      <c r="C495" t="s">
        <v>49</v>
      </c>
      <c r="D495" t="str" cm="1">
        <f t="array" ref="D495">INDEX(_xlfn.TEXTSPLIT(C495,"_"),3)</f>
        <v>hys</v>
      </c>
      <c r="E495" t="str">
        <f>VLOOKUP(D495,FranchiseMapping!$A$1:$B$15,2,FALSE)</f>
        <v>Hydrasource</v>
      </c>
      <c r="F495" s="1">
        <v>45658</v>
      </c>
      <c r="G495" t="s">
        <v>12</v>
      </c>
      <c r="H495" s="2">
        <v>45748</v>
      </c>
      <c r="I495" s="3">
        <v>45750</v>
      </c>
      <c r="J495" s="3">
        <f t="shared" si="7"/>
        <v>45752</v>
      </c>
      <c r="K495" s="4">
        <v>5110.5</v>
      </c>
      <c r="L495">
        <v>1186264</v>
      </c>
    </row>
    <row r="496" spans="1:12" x14ac:dyDescent="0.35">
      <c r="A496" t="s">
        <v>8</v>
      </c>
      <c r="B496" t="s">
        <v>9</v>
      </c>
      <c r="C496" t="s">
        <v>69</v>
      </c>
      <c r="D496" t="str" cm="1">
        <f t="array" ref="D496">INDEX(_xlfn.TEXTSPLIT(C496,"_"),3)</f>
        <v>prime-day</v>
      </c>
      <c r="E496" t="str">
        <f>VLOOKUP(D496,FranchiseMapping!$A$1:$B$15,2,FALSE)</f>
        <v>Prime Day</v>
      </c>
      <c r="F496" s="1">
        <v>45292</v>
      </c>
      <c r="G496" t="s">
        <v>10</v>
      </c>
      <c r="H496" s="2">
        <v>45474</v>
      </c>
      <c r="I496" s="3">
        <v>45480</v>
      </c>
      <c r="J496" s="3">
        <f t="shared" si="7"/>
        <v>45486</v>
      </c>
      <c r="K496" s="4">
        <v>3597.9300030000004</v>
      </c>
      <c r="L496">
        <v>545598</v>
      </c>
    </row>
    <row r="497" spans="1:12" x14ac:dyDescent="0.35">
      <c r="A497" t="s">
        <v>8</v>
      </c>
      <c r="B497" t="s">
        <v>13</v>
      </c>
      <c r="C497" t="s">
        <v>42</v>
      </c>
      <c r="D497" t="str" cm="1">
        <f t="array" ref="D497">INDEX(_xlfn.TEXTSPLIT(C497,"_"),3)</f>
        <v>bfr</v>
      </c>
      <c r="E497" t="str">
        <f>VLOOKUP(D497,FranchiseMapping!$A$1:$B$15,2,FALSE)</f>
        <v>Full Rescue</v>
      </c>
      <c r="F497" s="1">
        <v>45658</v>
      </c>
      <c r="G497" t="s">
        <v>12</v>
      </c>
      <c r="H497" s="2">
        <v>45809</v>
      </c>
      <c r="I497" s="3">
        <v>45812</v>
      </c>
      <c r="J497" s="3">
        <f t="shared" si="7"/>
        <v>45815</v>
      </c>
      <c r="K497" s="4">
        <v>1317.666164</v>
      </c>
      <c r="L497">
        <v>643490</v>
      </c>
    </row>
    <row r="498" spans="1:12" x14ac:dyDescent="0.35">
      <c r="A498" t="s">
        <v>8</v>
      </c>
      <c r="B498" t="s">
        <v>14</v>
      </c>
      <c r="C498" t="s">
        <v>37</v>
      </c>
      <c r="D498" t="str" cm="1">
        <f t="array" ref="D498">INDEX(_xlfn.TEXTSPLIT(C498,"_"),3)</f>
        <v>mult</v>
      </c>
      <c r="E498" t="str">
        <f>VLOOKUP(D498,FranchiseMapping!$A$1:$B$15,2,FALSE)</f>
        <v>Biolage</v>
      </c>
      <c r="F498" s="1">
        <v>45658</v>
      </c>
      <c r="G498" t="s">
        <v>12</v>
      </c>
      <c r="H498" s="2">
        <v>45809</v>
      </c>
      <c r="I498" s="3">
        <v>45817</v>
      </c>
      <c r="J498" s="3">
        <f t="shared" si="7"/>
        <v>45822</v>
      </c>
      <c r="K498" s="4">
        <v>1639.42</v>
      </c>
      <c r="L498">
        <v>347354</v>
      </c>
    </row>
    <row r="499" spans="1:12" x14ac:dyDescent="0.35">
      <c r="A499" t="s">
        <v>8</v>
      </c>
      <c r="B499" t="s">
        <v>13</v>
      </c>
      <c r="C499" t="s">
        <v>28</v>
      </c>
      <c r="D499" t="str" cm="1">
        <f t="array" ref="D499">INDEX(_xlfn.TEXTSPLIT(C499,"_"),3)</f>
        <v>na</v>
      </c>
      <c r="E499" t="str">
        <f>VLOOKUP(D499,FranchiseMapping!$A$1:$B$15,2,FALSE)</f>
        <v>Biolage</v>
      </c>
      <c r="F499" s="1">
        <v>44927</v>
      </c>
      <c r="G499" t="s">
        <v>10</v>
      </c>
      <c r="H499" s="2">
        <v>45139</v>
      </c>
      <c r="I499" s="3">
        <v>45141</v>
      </c>
      <c r="J499" s="3">
        <f t="shared" si="7"/>
        <v>45143</v>
      </c>
      <c r="K499" s="4">
        <v>1264.3262910000001</v>
      </c>
      <c r="L499">
        <v>145051</v>
      </c>
    </row>
    <row r="500" spans="1:12" x14ac:dyDescent="0.35">
      <c r="A500" t="s">
        <v>8</v>
      </c>
      <c r="B500" t="s">
        <v>13</v>
      </c>
      <c r="C500" t="s">
        <v>28</v>
      </c>
      <c r="D500" t="str" cm="1">
        <f t="array" ref="D500">INDEX(_xlfn.TEXTSPLIT(C500,"_"),3)</f>
        <v>na</v>
      </c>
      <c r="E500" t="str">
        <f>VLOOKUP(D500,FranchiseMapping!$A$1:$B$15,2,FALSE)</f>
        <v>Biolage</v>
      </c>
      <c r="F500" s="1">
        <v>44927</v>
      </c>
      <c r="G500" t="s">
        <v>12</v>
      </c>
      <c r="H500" s="2">
        <v>45139</v>
      </c>
      <c r="I500" s="3">
        <v>45146</v>
      </c>
      <c r="J500" s="3">
        <f t="shared" si="7"/>
        <v>45150</v>
      </c>
      <c r="K500" s="4">
        <v>344.39223800000002</v>
      </c>
      <c r="L500">
        <v>154105</v>
      </c>
    </row>
    <row r="501" spans="1:12" x14ac:dyDescent="0.35">
      <c r="A501" t="s">
        <v>8</v>
      </c>
      <c r="B501" t="s">
        <v>9</v>
      </c>
      <c r="C501" t="s">
        <v>35</v>
      </c>
      <c r="D501" t="str" cm="1">
        <f t="array" ref="D501">INDEX(_xlfn.TEXTSPLIT(C501,"_"),3)</f>
        <v>bfr</v>
      </c>
      <c r="E501" t="str">
        <f>VLOOKUP(D501,FranchiseMapping!$A$1:$B$15,2,FALSE)</f>
        <v>Full Rescue</v>
      </c>
      <c r="F501" s="1">
        <v>45658</v>
      </c>
      <c r="G501" t="s">
        <v>12</v>
      </c>
      <c r="H501" s="2">
        <v>45809</v>
      </c>
      <c r="I501" s="3">
        <v>45827</v>
      </c>
      <c r="J501" s="3">
        <f t="shared" si="7"/>
        <v>45829</v>
      </c>
      <c r="K501" s="4">
        <v>1660.0299999999997</v>
      </c>
      <c r="L501">
        <v>131554</v>
      </c>
    </row>
    <row r="502" spans="1:12" x14ac:dyDescent="0.35">
      <c r="A502" t="s">
        <v>8</v>
      </c>
      <c r="B502" t="s">
        <v>14</v>
      </c>
      <c r="C502" t="s">
        <v>47</v>
      </c>
      <c r="D502" t="str" cm="1">
        <f t="array" ref="D502">INDEX(_xlfn.TEXTSPLIT(C502,"_"),3)</f>
        <v>hys</v>
      </c>
      <c r="E502" t="str">
        <f>VLOOKUP(D502,FranchiseMapping!$A$1:$B$15,2,FALSE)</f>
        <v>Hydrasource</v>
      </c>
      <c r="F502" s="1">
        <v>45658</v>
      </c>
      <c r="G502" t="s">
        <v>12</v>
      </c>
      <c r="H502" s="2">
        <v>45748</v>
      </c>
      <c r="I502" s="3">
        <v>45754</v>
      </c>
      <c r="J502" s="3">
        <f t="shared" si="7"/>
        <v>45759</v>
      </c>
      <c r="K502" s="4">
        <v>1471.9299999999998</v>
      </c>
      <c r="L502">
        <v>307143</v>
      </c>
    </row>
    <row r="503" spans="1:12" x14ac:dyDescent="0.35">
      <c r="A503" t="s">
        <v>8</v>
      </c>
      <c r="B503" t="s">
        <v>13</v>
      </c>
      <c r="C503" t="s">
        <v>51</v>
      </c>
      <c r="D503" t="str" cm="1">
        <f t="array" ref="D503">INDEX(_xlfn.TEXTSPLIT(C503,"_"),3)</f>
        <v>na</v>
      </c>
      <c r="E503" t="str">
        <f>VLOOKUP(D503,FranchiseMapping!$A$1:$B$15,2,FALSE)</f>
        <v>Biolage</v>
      </c>
      <c r="F503" s="1">
        <v>44927</v>
      </c>
      <c r="G503" t="s">
        <v>11</v>
      </c>
      <c r="H503" s="2">
        <v>45139</v>
      </c>
      <c r="I503" s="3">
        <v>45157</v>
      </c>
      <c r="J503" s="3">
        <f t="shared" si="7"/>
        <v>45157</v>
      </c>
      <c r="K503" s="4">
        <v>760.06901100000005</v>
      </c>
      <c r="L503">
        <v>313658</v>
      </c>
    </row>
    <row r="504" spans="1:12" x14ac:dyDescent="0.35">
      <c r="A504" t="s">
        <v>8</v>
      </c>
      <c r="B504" t="s">
        <v>9</v>
      </c>
      <c r="C504" t="s">
        <v>64</v>
      </c>
      <c r="D504" t="str" cm="1">
        <f t="array" ref="D504">INDEX(_xlfn.TEXTSPLIT(C504,"_"),3)</f>
        <v>mult</v>
      </c>
      <c r="E504" t="str">
        <f>VLOOKUP(D504,FranchiseMapping!$A$1:$B$15,2,FALSE)</f>
        <v>Biolage</v>
      </c>
      <c r="F504" s="1">
        <v>45292</v>
      </c>
      <c r="G504" t="s">
        <v>12</v>
      </c>
      <c r="H504" s="2">
        <v>45597</v>
      </c>
      <c r="I504" s="3">
        <v>45619</v>
      </c>
      <c r="J504" s="3">
        <f t="shared" si="7"/>
        <v>45619</v>
      </c>
      <c r="K504" s="4">
        <v>6304.5599999999995</v>
      </c>
      <c r="L504">
        <v>483471</v>
      </c>
    </row>
    <row r="505" spans="1:12" x14ac:dyDescent="0.35">
      <c r="A505" t="s">
        <v>8</v>
      </c>
      <c r="B505" t="s">
        <v>9</v>
      </c>
      <c r="C505" t="s">
        <v>60</v>
      </c>
      <c r="D505" t="str" cm="1">
        <f t="array" ref="D505">INDEX(_xlfn.TEXTSPLIT(C505,"_"),3)</f>
        <v>blowdrycream</v>
      </c>
      <c r="E505" t="str">
        <f>VLOOKUP(D505,FranchiseMapping!$A$1:$B$15,2,FALSE)</f>
        <v>Blowdry Cream</v>
      </c>
      <c r="F505" s="1">
        <v>44927</v>
      </c>
      <c r="G505" t="s">
        <v>11</v>
      </c>
      <c r="H505" s="2">
        <v>45170</v>
      </c>
      <c r="I505" s="3">
        <v>45189</v>
      </c>
      <c r="J505" s="3">
        <f t="shared" si="7"/>
        <v>45192</v>
      </c>
      <c r="K505" s="4">
        <v>1979.5300030000001</v>
      </c>
      <c r="L505">
        <v>131627</v>
      </c>
    </row>
    <row r="506" spans="1:12" x14ac:dyDescent="0.35">
      <c r="A506" t="s">
        <v>8</v>
      </c>
      <c r="B506" t="s">
        <v>9</v>
      </c>
      <c r="C506" t="s">
        <v>36</v>
      </c>
      <c r="D506" t="str" cm="1">
        <f t="array" ref="D506">INDEX(_xlfn.TEXTSPLIT(C506,"_"),3)</f>
        <v>bfr</v>
      </c>
      <c r="E506" t="str">
        <f>VLOOKUP(D506,FranchiseMapping!$A$1:$B$15,2,FALSE)</f>
        <v>Full Rescue</v>
      </c>
      <c r="F506" s="1">
        <v>45658</v>
      </c>
      <c r="G506" t="s">
        <v>10</v>
      </c>
      <c r="H506" s="2">
        <v>45778</v>
      </c>
      <c r="I506" s="3">
        <v>45782</v>
      </c>
      <c r="J506" s="3">
        <f t="shared" si="7"/>
        <v>45787</v>
      </c>
      <c r="K506" s="4">
        <v>1340.3</v>
      </c>
      <c r="L506">
        <v>369657</v>
      </c>
    </row>
    <row r="507" spans="1:12" x14ac:dyDescent="0.35">
      <c r="A507" t="s">
        <v>8</v>
      </c>
      <c r="B507" t="s">
        <v>14</v>
      </c>
      <c r="C507" t="s">
        <v>29</v>
      </c>
      <c r="D507" t="str" cm="1">
        <f t="array" ref="D507">INDEX(_xlfn.TEXTSPLIT(C507,"_"),3)</f>
        <v>bfr</v>
      </c>
      <c r="E507" t="str">
        <f>VLOOKUP(D507,FranchiseMapping!$A$1:$B$15,2,FALSE)</f>
        <v>Full Rescue</v>
      </c>
      <c r="F507" s="1">
        <v>45658</v>
      </c>
      <c r="G507" t="s">
        <v>10</v>
      </c>
      <c r="H507" s="2">
        <v>45809</v>
      </c>
      <c r="I507" s="3">
        <v>45810</v>
      </c>
      <c r="J507" s="3">
        <f t="shared" si="7"/>
        <v>45815</v>
      </c>
      <c r="K507" s="4">
        <v>1132.7000000000003</v>
      </c>
      <c r="L507">
        <v>191755</v>
      </c>
    </row>
    <row r="508" spans="1:12" x14ac:dyDescent="0.35">
      <c r="A508" t="s">
        <v>8</v>
      </c>
      <c r="B508" t="s">
        <v>9</v>
      </c>
      <c r="C508" t="s">
        <v>69</v>
      </c>
      <c r="D508" t="str" cm="1">
        <f t="array" ref="D508">INDEX(_xlfn.TEXTSPLIT(C508,"_"),3)</f>
        <v>prime-day</v>
      </c>
      <c r="E508" t="str">
        <f>VLOOKUP(D508,FranchiseMapping!$A$1:$B$15,2,FALSE)</f>
        <v>Prime Day</v>
      </c>
      <c r="F508" s="1">
        <v>45292</v>
      </c>
      <c r="G508" t="s">
        <v>10</v>
      </c>
      <c r="H508" s="2">
        <v>45474</v>
      </c>
      <c r="I508" s="3">
        <v>45481</v>
      </c>
      <c r="J508" s="3">
        <f t="shared" si="7"/>
        <v>45486</v>
      </c>
      <c r="K508" s="4">
        <v>3179.4500040000003</v>
      </c>
      <c r="L508">
        <v>544002</v>
      </c>
    </row>
    <row r="509" spans="1:12" x14ac:dyDescent="0.35">
      <c r="A509" t="s">
        <v>8</v>
      </c>
      <c r="B509" t="s">
        <v>9</v>
      </c>
      <c r="C509" t="s">
        <v>60</v>
      </c>
      <c r="D509" t="str" cm="1">
        <f t="array" ref="D509">INDEX(_xlfn.TEXTSPLIT(C509,"_"),3)</f>
        <v>blowdrycream</v>
      </c>
      <c r="E509" t="str">
        <f>VLOOKUP(D509,FranchiseMapping!$A$1:$B$15,2,FALSE)</f>
        <v>Blowdry Cream</v>
      </c>
      <c r="F509" s="1">
        <v>44927</v>
      </c>
      <c r="G509" t="s">
        <v>11</v>
      </c>
      <c r="H509" s="2">
        <v>45170</v>
      </c>
      <c r="I509" s="3">
        <v>45186</v>
      </c>
      <c r="J509" s="3">
        <f t="shared" si="7"/>
        <v>45192</v>
      </c>
      <c r="K509" s="4">
        <v>2087.9500000000003</v>
      </c>
      <c r="L509">
        <v>146784</v>
      </c>
    </row>
    <row r="510" spans="1:12" x14ac:dyDescent="0.35">
      <c r="A510" t="s">
        <v>8</v>
      </c>
      <c r="B510" t="s">
        <v>9</v>
      </c>
      <c r="C510" t="s">
        <v>52</v>
      </c>
      <c r="D510" t="str" cm="1">
        <f t="array" ref="D510">INDEX(_xlfn.TEXTSPLIT(C510,"_"),3)</f>
        <v>bond-therapy</v>
      </c>
      <c r="E510" t="str">
        <f>VLOOKUP(D510,FranchiseMapping!$A$1:$B$15,2,FALSE)</f>
        <v>Bond Therapy</v>
      </c>
      <c r="F510" s="1">
        <v>44927</v>
      </c>
      <c r="G510" t="s">
        <v>11</v>
      </c>
      <c r="H510" s="2">
        <v>45261</v>
      </c>
      <c r="I510" s="3">
        <v>45277</v>
      </c>
      <c r="J510" s="3">
        <f t="shared" si="7"/>
        <v>45283</v>
      </c>
      <c r="K510" s="4">
        <v>3070.2800010000005</v>
      </c>
      <c r="L510">
        <v>537344</v>
      </c>
    </row>
    <row r="511" spans="1:12" x14ac:dyDescent="0.35">
      <c r="A511" t="s">
        <v>8</v>
      </c>
      <c r="B511" t="s">
        <v>9</v>
      </c>
      <c r="C511" t="s">
        <v>68</v>
      </c>
      <c r="D511" t="str" cm="1">
        <f t="array" ref="D511">INDEX(_xlfn.TEXTSPLIT(C511,"_"),3)</f>
        <v>na</v>
      </c>
      <c r="E511" t="str">
        <f>VLOOKUP(D511,FranchiseMapping!$A$1:$B$15,2,FALSE)</f>
        <v>Biolage</v>
      </c>
      <c r="F511" s="1">
        <v>44927</v>
      </c>
      <c r="G511" t="s">
        <v>11</v>
      </c>
      <c r="H511" s="2">
        <v>45231</v>
      </c>
      <c r="I511" s="3">
        <v>45235</v>
      </c>
      <c r="J511" s="3">
        <f t="shared" si="7"/>
        <v>45241</v>
      </c>
      <c r="K511" s="4">
        <v>377.04999400000003</v>
      </c>
      <c r="L511">
        <v>42438</v>
      </c>
    </row>
    <row r="512" spans="1:12" x14ac:dyDescent="0.35">
      <c r="A512" t="s">
        <v>8</v>
      </c>
      <c r="B512" t="s">
        <v>9</v>
      </c>
      <c r="C512" t="s">
        <v>50</v>
      </c>
      <c r="D512" t="str" cm="1">
        <f t="array" ref="D512">INDEX(_xlfn.TEXTSPLIT(C512,"_"),3)</f>
        <v>bond-therapy</v>
      </c>
      <c r="E512" t="str">
        <f>VLOOKUP(D512,FranchiseMapping!$A$1:$B$15,2,FALSE)</f>
        <v>Bond Therapy</v>
      </c>
      <c r="F512" s="1">
        <v>44927</v>
      </c>
      <c r="G512" t="s">
        <v>12</v>
      </c>
      <c r="H512" s="2">
        <v>45261</v>
      </c>
      <c r="I512" s="3">
        <v>45272</v>
      </c>
      <c r="J512" s="3">
        <f t="shared" si="7"/>
        <v>45276</v>
      </c>
      <c r="K512" s="4">
        <v>3054.4700050000006</v>
      </c>
      <c r="L512">
        <v>303341</v>
      </c>
    </row>
    <row r="513" spans="1:12" x14ac:dyDescent="0.35">
      <c r="A513" t="s">
        <v>8</v>
      </c>
      <c r="B513" t="s">
        <v>9</v>
      </c>
      <c r="C513" t="s">
        <v>71</v>
      </c>
      <c r="D513" t="str" cm="1">
        <f t="array" ref="D513">INDEX(_xlfn.TEXTSPLIT(C513,"_"),3)</f>
        <v>bondtherapy</v>
      </c>
      <c r="E513" t="str">
        <f>VLOOKUP(D513,FranchiseMapping!$A$1:$B$15,2,FALSE)</f>
        <v>Bond Therapy</v>
      </c>
      <c r="F513" s="1">
        <v>44927</v>
      </c>
      <c r="G513" t="s">
        <v>11</v>
      </c>
      <c r="H513" s="2">
        <v>45261</v>
      </c>
      <c r="I513" s="3">
        <v>45272</v>
      </c>
      <c r="J513" s="3">
        <f t="shared" si="7"/>
        <v>45276</v>
      </c>
      <c r="K513" s="4">
        <v>1868.9000029999997</v>
      </c>
      <c r="L513">
        <v>116718</v>
      </c>
    </row>
    <row r="514" spans="1:12" x14ac:dyDescent="0.35">
      <c r="A514" t="s">
        <v>8</v>
      </c>
      <c r="B514" t="s">
        <v>9</v>
      </c>
      <c r="C514" t="s">
        <v>33</v>
      </c>
      <c r="D514" t="str" cm="1">
        <f t="array" ref="D514">INDEX(_xlfn.TEXTSPLIT(C514,"_"),3)</f>
        <v>hydrasource</v>
      </c>
      <c r="E514" t="str">
        <f>VLOOKUP(D514,FranchiseMapping!$A$1:$B$15,2,FALSE)</f>
        <v>Hydrasource</v>
      </c>
      <c r="F514" s="1">
        <v>45292</v>
      </c>
      <c r="G514" t="s">
        <v>11</v>
      </c>
      <c r="H514" s="2">
        <v>45323</v>
      </c>
      <c r="I514" s="3">
        <v>45323</v>
      </c>
      <c r="J514" s="3">
        <f t="shared" si="7"/>
        <v>45325</v>
      </c>
      <c r="K514" s="4">
        <v>1415.5900039999999</v>
      </c>
      <c r="L514">
        <v>278255</v>
      </c>
    </row>
    <row r="515" spans="1:12" x14ac:dyDescent="0.35">
      <c r="A515" t="s">
        <v>8</v>
      </c>
      <c r="B515" t="s">
        <v>9</v>
      </c>
      <c r="C515" t="s">
        <v>33</v>
      </c>
      <c r="D515" t="str" cm="1">
        <f t="array" ref="D515">INDEX(_xlfn.TEXTSPLIT(C515,"_"),3)</f>
        <v>hydrasource</v>
      </c>
      <c r="E515" t="str">
        <f>VLOOKUP(D515,FranchiseMapping!$A$1:$B$15,2,FALSE)</f>
        <v>Hydrasource</v>
      </c>
      <c r="F515" s="1">
        <v>45292</v>
      </c>
      <c r="G515" t="s">
        <v>11</v>
      </c>
      <c r="H515" s="2">
        <v>45292</v>
      </c>
      <c r="I515" s="3">
        <v>45307</v>
      </c>
      <c r="J515" s="3">
        <f t="shared" ref="J515:J578" si="8">I515 + (7 - WEEKDAY(I515, 1))</f>
        <v>45311</v>
      </c>
      <c r="K515" s="4">
        <v>1445.83</v>
      </c>
      <c r="L515">
        <v>482100</v>
      </c>
    </row>
    <row r="516" spans="1:12" x14ac:dyDescent="0.35">
      <c r="A516" t="s">
        <v>8</v>
      </c>
      <c r="B516" t="s">
        <v>14</v>
      </c>
      <c r="C516" t="s">
        <v>57</v>
      </c>
      <c r="D516" t="str" cm="1">
        <f t="array" ref="D516">INDEX(_xlfn.TEXTSPLIT(C516,"_"),3)</f>
        <v>bfr</v>
      </c>
      <c r="E516" t="str">
        <f>VLOOKUP(D516,FranchiseMapping!$A$1:$B$15,2,FALSE)</f>
        <v>Full Rescue</v>
      </c>
      <c r="F516" s="1">
        <v>45658</v>
      </c>
      <c r="G516" t="s">
        <v>10</v>
      </c>
      <c r="H516" s="2">
        <v>45809</v>
      </c>
      <c r="I516" s="3">
        <v>45815</v>
      </c>
      <c r="J516" s="3">
        <f t="shared" si="8"/>
        <v>45815</v>
      </c>
      <c r="K516" s="4">
        <v>14441.68</v>
      </c>
      <c r="L516">
        <v>1046493</v>
      </c>
    </row>
    <row r="517" spans="1:12" x14ac:dyDescent="0.35">
      <c r="A517" t="s">
        <v>8</v>
      </c>
      <c r="B517" t="s">
        <v>13</v>
      </c>
      <c r="C517" t="s">
        <v>51</v>
      </c>
      <c r="D517" t="str" cm="1">
        <f t="array" ref="D517">INDEX(_xlfn.TEXTSPLIT(C517,"_"),3)</f>
        <v>na</v>
      </c>
      <c r="E517" t="str">
        <f>VLOOKUP(D517,FranchiseMapping!$A$1:$B$15,2,FALSE)</f>
        <v>Biolage</v>
      </c>
      <c r="F517" s="1">
        <v>44927</v>
      </c>
      <c r="G517" t="s">
        <v>11</v>
      </c>
      <c r="H517" s="2">
        <v>45139</v>
      </c>
      <c r="I517" s="3">
        <v>45151</v>
      </c>
      <c r="J517" s="3">
        <f t="shared" si="8"/>
        <v>45157</v>
      </c>
      <c r="K517" s="4">
        <v>767.53109900000004</v>
      </c>
      <c r="L517">
        <v>300539</v>
      </c>
    </row>
    <row r="518" spans="1:12" x14ac:dyDescent="0.35">
      <c r="A518" t="s">
        <v>8</v>
      </c>
      <c r="B518" t="s">
        <v>9</v>
      </c>
      <c r="C518" t="s">
        <v>46</v>
      </c>
      <c r="D518" t="str" cm="1">
        <f t="array" ref="D518">INDEX(_xlfn.TEXTSPLIT(C518,"_"),3)</f>
        <v>mult</v>
      </c>
      <c r="E518" t="str">
        <f>VLOOKUP(D518,FranchiseMapping!$A$1:$B$15,2,FALSE)</f>
        <v>Biolage</v>
      </c>
      <c r="F518" s="1">
        <v>45658</v>
      </c>
      <c r="G518" t="s">
        <v>10</v>
      </c>
      <c r="H518" s="2">
        <v>45809</v>
      </c>
      <c r="I518" s="3">
        <v>45826</v>
      </c>
      <c r="J518" s="3">
        <f t="shared" si="8"/>
        <v>45829</v>
      </c>
      <c r="K518" s="4">
        <v>1656.4499980000001</v>
      </c>
      <c r="L518">
        <v>210849</v>
      </c>
    </row>
    <row r="519" spans="1:12" x14ac:dyDescent="0.35">
      <c r="A519" t="s">
        <v>8</v>
      </c>
      <c r="B519" t="s">
        <v>13</v>
      </c>
      <c r="C519" t="s">
        <v>42</v>
      </c>
      <c r="D519" t="str" cm="1">
        <f t="array" ref="D519">INDEX(_xlfn.TEXTSPLIT(C519,"_"),3)</f>
        <v>bfr</v>
      </c>
      <c r="E519" t="str">
        <f>VLOOKUP(D519,FranchiseMapping!$A$1:$B$15,2,FALSE)</f>
        <v>Full Rescue</v>
      </c>
      <c r="F519" s="1">
        <v>45658</v>
      </c>
      <c r="G519" t="s">
        <v>10</v>
      </c>
      <c r="H519" s="2">
        <v>45809</v>
      </c>
      <c r="I519" s="3">
        <v>45822</v>
      </c>
      <c r="J519" s="3">
        <f t="shared" si="8"/>
        <v>45822</v>
      </c>
      <c r="K519" s="4">
        <v>399.18742500000008</v>
      </c>
      <c r="L519">
        <v>186457</v>
      </c>
    </row>
    <row r="520" spans="1:12" x14ac:dyDescent="0.35">
      <c r="A520" t="s">
        <v>8</v>
      </c>
      <c r="B520" t="s">
        <v>9</v>
      </c>
      <c r="C520" t="s">
        <v>35</v>
      </c>
      <c r="D520" t="str" cm="1">
        <f t="array" ref="D520">INDEX(_xlfn.TEXTSPLIT(C520,"_"),3)</f>
        <v>bfr</v>
      </c>
      <c r="E520" t="str">
        <f>VLOOKUP(D520,FranchiseMapping!$A$1:$B$15,2,FALSE)</f>
        <v>Full Rescue</v>
      </c>
      <c r="F520" s="1">
        <v>45658</v>
      </c>
      <c r="G520" t="s">
        <v>12</v>
      </c>
      <c r="H520" s="2">
        <v>45778</v>
      </c>
      <c r="I520" s="3">
        <v>45793</v>
      </c>
      <c r="J520" s="3">
        <f t="shared" si="8"/>
        <v>45794</v>
      </c>
      <c r="K520" s="4">
        <v>1741.86</v>
      </c>
      <c r="L520">
        <v>145315</v>
      </c>
    </row>
    <row r="521" spans="1:12" x14ac:dyDescent="0.35">
      <c r="A521" t="s">
        <v>8</v>
      </c>
      <c r="B521" t="s">
        <v>9</v>
      </c>
      <c r="C521" t="s">
        <v>52</v>
      </c>
      <c r="D521" t="str" cm="1">
        <f t="array" ref="D521">INDEX(_xlfn.TEXTSPLIT(C521,"_"),3)</f>
        <v>bond-therapy</v>
      </c>
      <c r="E521" t="str">
        <f>VLOOKUP(D521,FranchiseMapping!$A$1:$B$15,2,FALSE)</f>
        <v>Bond Therapy</v>
      </c>
      <c r="F521" s="1">
        <v>44927</v>
      </c>
      <c r="G521" t="s">
        <v>11</v>
      </c>
      <c r="H521" s="2">
        <v>45231</v>
      </c>
      <c r="I521" s="3">
        <v>45252</v>
      </c>
      <c r="J521" s="3">
        <f t="shared" si="8"/>
        <v>45255</v>
      </c>
      <c r="K521" s="4">
        <v>2782.0300029999994</v>
      </c>
      <c r="L521">
        <v>448877</v>
      </c>
    </row>
    <row r="522" spans="1:12" x14ac:dyDescent="0.35">
      <c r="A522" t="s">
        <v>8</v>
      </c>
      <c r="B522" t="s">
        <v>9</v>
      </c>
      <c r="C522" t="s">
        <v>52</v>
      </c>
      <c r="D522" t="str" cm="1">
        <f t="array" ref="D522">INDEX(_xlfn.TEXTSPLIT(C522,"_"),3)</f>
        <v>bond-therapy</v>
      </c>
      <c r="E522" t="str">
        <f>VLOOKUP(D522,FranchiseMapping!$A$1:$B$15,2,FALSE)</f>
        <v>Bond Therapy</v>
      </c>
      <c r="F522" s="1">
        <v>44927</v>
      </c>
      <c r="G522" t="s">
        <v>11</v>
      </c>
      <c r="H522" s="2">
        <v>45231</v>
      </c>
      <c r="I522" s="3">
        <v>45248</v>
      </c>
      <c r="J522" s="3">
        <f t="shared" si="8"/>
        <v>45248</v>
      </c>
      <c r="K522" s="4">
        <v>2960.6999999999994</v>
      </c>
      <c r="L522">
        <v>454258</v>
      </c>
    </row>
    <row r="523" spans="1:12" x14ac:dyDescent="0.35">
      <c r="A523" t="s">
        <v>8</v>
      </c>
      <c r="B523" t="s">
        <v>13</v>
      </c>
      <c r="C523" t="s">
        <v>59</v>
      </c>
      <c r="D523" t="str" cm="1">
        <f t="array" ref="D523">INDEX(_xlfn.TEXTSPLIT(C523,"_"),3)</f>
        <v>scalp-sync</v>
      </c>
      <c r="E523" t="str">
        <f>VLOOKUP(D523,FranchiseMapping!$A$1:$B$15,2,FALSE)</f>
        <v>Scalp Sync</v>
      </c>
      <c r="F523" s="1">
        <v>45292</v>
      </c>
      <c r="G523" t="s">
        <v>11</v>
      </c>
      <c r="H523" s="2">
        <v>45413</v>
      </c>
      <c r="I523" s="3">
        <v>45443</v>
      </c>
      <c r="J523" s="3">
        <f t="shared" si="8"/>
        <v>45444</v>
      </c>
      <c r="K523" s="4">
        <v>3285.4748680000007</v>
      </c>
      <c r="L523">
        <v>1212365</v>
      </c>
    </row>
    <row r="524" spans="1:12" x14ac:dyDescent="0.35">
      <c r="A524" t="s">
        <v>8</v>
      </c>
      <c r="B524" t="s">
        <v>9</v>
      </c>
      <c r="C524" t="s">
        <v>66</v>
      </c>
      <c r="D524" t="str" cm="1">
        <f t="array" ref="D524">INDEX(_xlfn.TEXTSPLIT(C524,"_"),3)</f>
        <v>mult</v>
      </c>
      <c r="E524" t="str">
        <f>VLOOKUP(D524,FranchiseMapping!$A$1:$B$15,2,FALSE)</f>
        <v>Biolage</v>
      </c>
      <c r="F524" s="1">
        <v>45292</v>
      </c>
      <c r="G524" t="s">
        <v>11</v>
      </c>
      <c r="H524" s="2">
        <v>45597</v>
      </c>
      <c r="I524" s="3">
        <v>45618</v>
      </c>
      <c r="J524" s="3">
        <f t="shared" si="8"/>
        <v>45619</v>
      </c>
      <c r="K524" s="4">
        <v>9802.7500040000032</v>
      </c>
      <c r="L524">
        <v>803901</v>
      </c>
    </row>
    <row r="525" spans="1:12" x14ac:dyDescent="0.35">
      <c r="A525" t="s">
        <v>8</v>
      </c>
      <c r="B525" t="s">
        <v>14</v>
      </c>
      <c r="C525" t="s">
        <v>37</v>
      </c>
      <c r="D525" t="str" cm="1">
        <f t="array" ref="D525">INDEX(_xlfn.TEXTSPLIT(C525,"_"),3)</f>
        <v>mult</v>
      </c>
      <c r="E525" t="str">
        <f>VLOOKUP(D525,FranchiseMapping!$A$1:$B$15,2,FALSE)</f>
        <v>Biolage</v>
      </c>
      <c r="F525" s="1">
        <v>45658</v>
      </c>
      <c r="G525" t="s">
        <v>12</v>
      </c>
      <c r="H525" s="2">
        <v>45778</v>
      </c>
      <c r="I525" s="3">
        <v>45788</v>
      </c>
      <c r="J525" s="3">
        <f t="shared" si="8"/>
        <v>45794</v>
      </c>
      <c r="K525" s="4">
        <v>746.53</v>
      </c>
      <c r="L525">
        <v>252623</v>
      </c>
    </row>
    <row r="526" spans="1:12" x14ac:dyDescent="0.35">
      <c r="A526" t="s">
        <v>8</v>
      </c>
      <c r="B526" t="s">
        <v>9</v>
      </c>
      <c r="C526" t="s">
        <v>33</v>
      </c>
      <c r="D526" t="str" cm="1">
        <f t="array" ref="D526">INDEX(_xlfn.TEXTSPLIT(C526,"_"),3)</f>
        <v>hydrasource</v>
      </c>
      <c r="E526" t="str">
        <f>VLOOKUP(D526,FranchiseMapping!$A$1:$B$15,2,FALSE)</f>
        <v>Hydrasource</v>
      </c>
      <c r="F526" s="1">
        <v>45292</v>
      </c>
      <c r="G526" t="s">
        <v>11</v>
      </c>
      <c r="H526" s="2">
        <v>45292</v>
      </c>
      <c r="I526" s="3">
        <v>45311</v>
      </c>
      <c r="J526" s="3">
        <f t="shared" si="8"/>
        <v>45311</v>
      </c>
      <c r="K526" s="4">
        <v>1537.9499999999996</v>
      </c>
      <c r="L526">
        <v>480851</v>
      </c>
    </row>
    <row r="527" spans="1:12" x14ac:dyDescent="0.35">
      <c r="A527" t="s">
        <v>8</v>
      </c>
      <c r="B527" t="s">
        <v>9</v>
      </c>
      <c r="C527" t="s">
        <v>33</v>
      </c>
      <c r="D527" t="str" cm="1">
        <f t="array" ref="D527">INDEX(_xlfn.TEXTSPLIT(C527,"_"),3)</f>
        <v>hydrasource</v>
      </c>
      <c r="E527" t="str">
        <f>VLOOKUP(D527,FranchiseMapping!$A$1:$B$15,2,FALSE)</f>
        <v>Hydrasource</v>
      </c>
      <c r="F527" s="1">
        <v>45292</v>
      </c>
      <c r="G527" t="s">
        <v>11</v>
      </c>
      <c r="H527" s="2">
        <v>45323</v>
      </c>
      <c r="I527" s="3">
        <v>45347</v>
      </c>
      <c r="J527" s="3">
        <f t="shared" si="8"/>
        <v>45353</v>
      </c>
      <c r="K527" s="4">
        <v>1321.530002</v>
      </c>
      <c r="L527">
        <v>198355</v>
      </c>
    </row>
    <row r="528" spans="1:12" x14ac:dyDescent="0.35">
      <c r="A528" t="s">
        <v>8</v>
      </c>
      <c r="B528" t="s">
        <v>9</v>
      </c>
      <c r="C528" t="s">
        <v>67</v>
      </c>
      <c r="D528" t="str" cm="1">
        <f t="array" ref="D528">INDEX(_xlfn.TEXTSPLIT(C528,"_"),3)</f>
        <v>prime-day</v>
      </c>
      <c r="E528" t="str">
        <f>VLOOKUP(D528,FranchiseMapping!$A$1:$B$15,2,FALSE)</f>
        <v>Prime Day</v>
      </c>
      <c r="F528" s="1">
        <v>45292</v>
      </c>
      <c r="G528" t="s">
        <v>10</v>
      </c>
      <c r="H528" s="2">
        <v>45474</v>
      </c>
      <c r="I528" s="3">
        <v>45480</v>
      </c>
      <c r="J528" s="3">
        <f t="shared" si="8"/>
        <v>45486</v>
      </c>
      <c r="K528" s="4">
        <v>2640.329999</v>
      </c>
      <c r="L528">
        <v>313135</v>
      </c>
    </row>
    <row r="529" spans="1:12" x14ac:dyDescent="0.35">
      <c r="A529" t="s">
        <v>8</v>
      </c>
      <c r="B529" t="s">
        <v>9</v>
      </c>
      <c r="C529" t="s">
        <v>31</v>
      </c>
      <c r="D529" t="str" cm="1">
        <f t="array" ref="D529">INDEX(_xlfn.TEXTSPLIT(C529,"_"),3)</f>
        <v>scalp</v>
      </c>
      <c r="E529" t="str">
        <f>VLOOKUP(D529,FranchiseMapping!$A$1:$B$15,2,FALSE)</f>
        <v>Scalp Sync</v>
      </c>
      <c r="F529" s="1">
        <v>45292</v>
      </c>
      <c r="G529" t="s">
        <v>10</v>
      </c>
      <c r="H529" s="2">
        <v>45352</v>
      </c>
      <c r="I529" s="3">
        <v>45363</v>
      </c>
      <c r="J529" s="3">
        <f t="shared" si="8"/>
        <v>45367</v>
      </c>
      <c r="K529" s="4">
        <v>1639.1600120000001</v>
      </c>
      <c r="L529">
        <v>227459</v>
      </c>
    </row>
    <row r="530" spans="1:12" x14ac:dyDescent="0.35">
      <c r="A530" t="s">
        <v>8</v>
      </c>
      <c r="B530" t="s">
        <v>9</v>
      </c>
      <c r="C530" t="s">
        <v>52</v>
      </c>
      <c r="D530" t="str" cm="1">
        <f t="array" ref="D530">INDEX(_xlfn.TEXTSPLIT(C530,"_"),3)</f>
        <v>bond-therapy</v>
      </c>
      <c r="E530" t="str">
        <f>VLOOKUP(D530,FranchiseMapping!$A$1:$B$15,2,FALSE)</f>
        <v>Bond Therapy</v>
      </c>
      <c r="F530" s="1">
        <v>44927</v>
      </c>
      <c r="G530" t="s">
        <v>11</v>
      </c>
      <c r="H530" s="2">
        <v>45231</v>
      </c>
      <c r="I530" s="3">
        <v>45253</v>
      </c>
      <c r="J530" s="3">
        <f t="shared" si="8"/>
        <v>45255</v>
      </c>
      <c r="K530" s="4">
        <v>2889.7100010000004</v>
      </c>
      <c r="L530">
        <v>451380</v>
      </c>
    </row>
    <row r="531" spans="1:12" x14ac:dyDescent="0.35">
      <c r="A531" t="s">
        <v>8</v>
      </c>
      <c r="B531" t="s">
        <v>9</v>
      </c>
      <c r="C531" t="s">
        <v>41</v>
      </c>
      <c r="D531" t="str" cm="1">
        <f t="array" ref="D531">INDEX(_xlfn.TEXTSPLIT(C531,"_"),3)</f>
        <v>hys</v>
      </c>
      <c r="E531" t="str">
        <f>VLOOKUP(D531,FranchiseMapping!$A$1:$B$15,2,FALSE)</f>
        <v>Hydrasource</v>
      </c>
      <c r="F531" s="1">
        <v>45658</v>
      </c>
      <c r="G531" t="s">
        <v>12</v>
      </c>
      <c r="H531" s="2">
        <v>45748</v>
      </c>
      <c r="I531" s="3">
        <v>45755</v>
      </c>
      <c r="J531" s="3">
        <f t="shared" si="8"/>
        <v>45759</v>
      </c>
      <c r="K531" s="4">
        <v>3705.2500000000014</v>
      </c>
      <c r="L531">
        <v>442046</v>
      </c>
    </row>
    <row r="532" spans="1:12" x14ac:dyDescent="0.35">
      <c r="A532" t="s">
        <v>8</v>
      </c>
      <c r="B532" t="s">
        <v>9</v>
      </c>
      <c r="C532" t="s">
        <v>36</v>
      </c>
      <c r="D532" t="str" cm="1">
        <f t="array" ref="D532">INDEX(_xlfn.TEXTSPLIT(C532,"_"),3)</f>
        <v>bfr</v>
      </c>
      <c r="E532" t="str">
        <f>VLOOKUP(D532,FranchiseMapping!$A$1:$B$15,2,FALSE)</f>
        <v>Full Rescue</v>
      </c>
      <c r="F532" s="1">
        <v>45658</v>
      </c>
      <c r="G532" t="s">
        <v>10</v>
      </c>
      <c r="H532" s="2">
        <v>45809</v>
      </c>
      <c r="I532" s="3">
        <v>45809</v>
      </c>
      <c r="J532" s="3">
        <f t="shared" si="8"/>
        <v>45815</v>
      </c>
      <c r="K532" s="4">
        <v>72.310001</v>
      </c>
      <c r="L532">
        <v>2695</v>
      </c>
    </row>
    <row r="533" spans="1:12" x14ac:dyDescent="0.35">
      <c r="A533" t="s">
        <v>8</v>
      </c>
      <c r="B533" t="s">
        <v>9</v>
      </c>
      <c r="C533" t="s">
        <v>33</v>
      </c>
      <c r="D533" t="str" cm="1">
        <f t="array" ref="D533">INDEX(_xlfn.TEXTSPLIT(C533,"_"),3)</f>
        <v>hydrasource</v>
      </c>
      <c r="E533" t="str">
        <f>VLOOKUP(D533,FranchiseMapping!$A$1:$B$15,2,FALSE)</f>
        <v>Hydrasource</v>
      </c>
      <c r="F533" s="1">
        <v>45292</v>
      </c>
      <c r="G533" t="s">
        <v>11</v>
      </c>
      <c r="H533" s="2">
        <v>45292</v>
      </c>
      <c r="I533" s="3">
        <v>45320</v>
      </c>
      <c r="J533" s="3">
        <f t="shared" si="8"/>
        <v>45325</v>
      </c>
      <c r="K533" s="4">
        <v>1480.6200019999999</v>
      </c>
      <c r="L533">
        <v>319622</v>
      </c>
    </row>
    <row r="534" spans="1:12" x14ac:dyDescent="0.35">
      <c r="A534" t="s">
        <v>8</v>
      </c>
      <c r="B534" t="s">
        <v>9</v>
      </c>
      <c r="C534" t="s">
        <v>30</v>
      </c>
      <c r="D534" t="str" cm="1">
        <f t="array" ref="D534">INDEX(_xlfn.TEXTSPLIT(C534,"_"),3)</f>
        <v>q3-haca-colorlast</v>
      </c>
      <c r="E534" t="str">
        <f>VLOOKUP(D534,FranchiseMapping!$A$1:$B$15,2,FALSE)</f>
        <v>Color Last</v>
      </c>
      <c r="F534" s="1">
        <v>44927</v>
      </c>
      <c r="G534" t="s">
        <v>10</v>
      </c>
      <c r="H534" s="2">
        <v>45108</v>
      </c>
      <c r="I534" s="3">
        <v>45124</v>
      </c>
      <c r="J534" s="3">
        <f t="shared" si="8"/>
        <v>45129</v>
      </c>
      <c r="K534" s="4">
        <v>2592.7299969999999</v>
      </c>
      <c r="L534">
        <v>352902</v>
      </c>
    </row>
    <row r="535" spans="1:12" x14ac:dyDescent="0.35">
      <c r="A535" t="s">
        <v>8</v>
      </c>
      <c r="B535" t="s">
        <v>14</v>
      </c>
      <c r="C535" t="s">
        <v>37</v>
      </c>
      <c r="D535" t="str" cm="1">
        <f t="array" ref="D535">INDEX(_xlfn.TEXTSPLIT(C535,"_"),3)</f>
        <v>mult</v>
      </c>
      <c r="E535" t="str">
        <f>VLOOKUP(D535,FranchiseMapping!$A$1:$B$15,2,FALSE)</f>
        <v>Biolage</v>
      </c>
      <c r="F535" s="1">
        <v>45658</v>
      </c>
      <c r="G535" t="s">
        <v>12</v>
      </c>
      <c r="H535" s="2">
        <v>45778</v>
      </c>
      <c r="I535" s="3">
        <v>45792</v>
      </c>
      <c r="J535" s="3">
        <f t="shared" si="8"/>
        <v>45794</v>
      </c>
      <c r="K535" s="4">
        <v>2158.0899999999997</v>
      </c>
      <c r="L535">
        <v>526943</v>
      </c>
    </row>
    <row r="536" spans="1:12" x14ac:dyDescent="0.35">
      <c r="A536" t="s">
        <v>8</v>
      </c>
      <c r="B536" t="s">
        <v>13</v>
      </c>
      <c r="C536" t="s">
        <v>28</v>
      </c>
      <c r="D536" t="str" cm="1">
        <f t="array" ref="D536">INDEX(_xlfn.TEXTSPLIT(C536,"_"),3)</f>
        <v>na</v>
      </c>
      <c r="E536" t="str">
        <f>VLOOKUP(D536,FranchiseMapping!$A$1:$B$15,2,FALSE)</f>
        <v>Biolage</v>
      </c>
      <c r="F536" s="1">
        <v>44927</v>
      </c>
      <c r="G536" t="s">
        <v>12</v>
      </c>
      <c r="H536" s="2">
        <v>45139</v>
      </c>
      <c r="I536" s="3">
        <v>45154</v>
      </c>
      <c r="J536" s="3">
        <f t="shared" si="8"/>
        <v>45157</v>
      </c>
      <c r="K536" s="4">
        <v>302.48611599999998</v>
      </c>
      <c r="L536">
        <v>89029</v>
      </c>
    </row>
    <row r="537" spans="1:12" x14ac:dyDescent="0.35">
      <c r="A537" t="s">
        <v>8</v>
      </c>
      <c r="B537" t="s">
        <v>13</v>
      </c>
      <c r="C537" t="s">
        <v>28</v>
      </c>
      <c r="D537" t="str" cm="1">
        <f t="array" ref="D537">INDEX(_xlfn.TEXTSPLIT(C537,"_"),3)</f>
        <v>na</v>
      </c>
      <c r="E537" t="str">
        <f>VLOOKUP(D537,FranchiseMapping!$A$1:$B$15,2,FALSE)</f>
        <v>Biolage</v>
      </c>
      <c r="F537" s="1">
        <v>44927</v>
      </c>
      <c r="G537" t="s">
        <v>12</v>
      </c>
      <c r="H537" s="2">
        <v>45108</v>
      </c>
      <c r="I537" s="3">
        <v>45129</v>
      </c>
      <c r="J537" s="3">
        <f t="shared" si="8"/>
        <v>45129</v>
      </c>
      <c r="K537" s="4">
        <v>138.785855</v>
      </c>
      <c r="L537">
        <v>53739</v>
      </c>
    </row>
    <row r="538" spans="1:12" x14ac:dyDescent="0.35">
      <c r="A538" t="s">
        <v>8</v>
      </c>
      <c r="B538" t="s">
        <v>9</v>
      </c>
      <c r="C538" t="s">
        <v>34</v>
      </c>
      <c r="D538" t="str" cm="1">
        <f t="array" ref="D538">INDEX(_xlfn.TEXTSPLIT(C538,"_"),3)</f>
        <v>hydrasource</v>
      </c>
      <c r="E538" t="str">
        <f>VLOOKUP(D538,FranchiseMapping!$A$1:$B$15,2,FALSE)</f>
        <v>Hydrasource</v>
      </c>
      <c r="F538" s="1">
        <v>45292</v>
      </c>
      <c r="G538" t="s">
        <v>12</v>
      </c>
      <c r="H538" s="2">
        <v>45323</v>
      </c>
      <c r="I538" s="3">
        <v>45346</v>
      </c>
      <c r="J538" s="3">
        <f t="shared" si="8"/>
        <v>45346</v>
      </c>
      <c r="K538" s="4">
        <v>952.68999999999994</v>
      </c>
      <c r="L538">
        <v>191205</v>
      </c>
    </row>
    <row r="539" spans="1:12" x14ac:dyDescent="0.35">
      <c r="A539" t="s">
        <v>8</v>
      </c>
      <c r="B539" t="s">
        <v>9</v>
      </c>
      <c r="C539" t="s">
        <v>35</v>
      </c>
      <c r="D539" t="str" cm="1">
        <f t="array" ref="D539">INDEX(_xlfn.TEXTSPLIT(C539,"_"),3)</f>
        <v>bfr</v>
      </c>
      <c r="E539" t="str">
        <f>VLOOKUP(D539,FranchiseMapping!$A$1:$B$15,2,FALSE)</f>
        <v>Full Rescue</v>
      </c>
      <c r="F539" s="1">
        <v>45658</v>
      </c>
      <c r="G539" t="s">
        <v>12</v>
      </c>
      <c r="H539" s="2">
        <v>45778</v>
      </c>
      <c r="I539" s="3">
        <v>45787</v>
      </c>
      <c r="J539" s="3">
        <f t="shared" si="8"/>
        <v>45787</v>
      </c>
      <c r="K539" s="4">
        <v>1853.78</v>
      </c>
      <c r="L539">
        <v>137091</v>
      </c>
    </row>
    <row r="540" spans="1:12" x14ac:dyDescent="0.35">
      <c r="A540" t="s">
        <v>8</v>
      </c>
      <c r="B540" t="s">
        <v>9</v>
      </c>
      <c r="C540" t="s">
        <v>56</v>
      </c>
      <c r="D540" t="str" cm="1">
        <f t="array" ref="D540">INDEX(_xlfn.TEXTSPLIT(C540,"_"),3)</f>
        <v>haca-colorlast-q3</v>
      </c>
      <c r="E540" t="str">
        <f>VLOOKUP(D540,FranchiseMapping!$A$1:$B$15,2,FALSE)</f>
        <v>Color Last</v>
      </c>
      <c r="F540" s="1">
        <v>44927</v>
      </c>
      <c r="G540" t="s">
        <v>10</v>
      </c>
      <c r="H540" s="2">
        <v>45108</v>
      </c>
      <c r="I540" s="3">
        <v>45121</v>
      </c>
      <c r="J540" s="3">
        <f t="shared" si="8"/>
        <v>45122</v>
      </c>
      <c r="K540" s="4">
        <v>2067.7399999999998</v>
      </c>
      <c r="L540">
        <v>365962</v>
      </c>
    </row>
    <row r="541" spans="1:12" x14ac:dyDescent="0.35">
      <c r="A541" t="s">
        <v>8</v>
      </c>
      <c r="B541" t="s">
        <v>9</v>
      </c>
      <c r="C541" t="s">
        <v>64</v>
      </c>
      <c r="D541" t="str" cm="1">
        <f t="array" ref="D541">INDEX(_xlfn.TEXTSPLIT(C541,"_"),3)</f>
        <v>mult</v>
      </c>
      <c r="E541" t="str">
        <f>VLOOKUP(D541,FranchiseMapping!$A$1:$B$15,2,FALSE)</f>
        <v>Biolage</v>
      </c>
      <c r="F541" s="1">
        <v>45292</v>
      </c>
      <c r="G541" t="s">
        <v>12</v>
      </c>
      <c r="H541" s="2">
        <v>45597</v>
      </c>
      <c r="I541" s="3">
        <v>45626</v>
      </c>
      <c r="J541" s="3">
        <f t="shared" si="8"/>
        <v>45626</v>
      </c>
      <c r="K541" s="4">
        <v>6436.3500030000005</v>
      </c>
      <c r="L541">
        <v>452368</v>
      </c>
    </row>
    <row r="542" spans="1:12" x14ac:dyDescent="0.35">
      <c r="A542" t="s">
        <v>8</v>
      </c>
      <c r="B542" t="s">
        <v>9</v>
      </c>
      <c r="C542" t="s">
        <v>36</v>
      </c>
      <c r="D542" t="str" cm="1">
        <f t="array" ref="D542">INDEX(_xlfn.TEXTSPLIT(C542,"_"),3)</f>
        <v>bfr</v>
      </c>
      <c r="E542" t="str">
        <f>VLOOKUP(D542,FranchiseMapping!$A$1:$B$15,2,FALSE)</f>
        <v>Full Rescue</v>
      </c>
      <c r="F542" s="1">
        <v>45658</v>
      </c>
      <c r="G542" t="s">
        <v>10</v>
      </c>
      <c r="H542" s="2">
        <v>45809</v>
      </c>
      <c r="I542" s="3">
        <v>45823</v>
      </c>
      <c r="J542" s="3">
        <f t="shared" si="8"/>
        <v>45829</v>
      </c>
      <c r="K542" s="4">
        <v>1082.349997</v>
      </c>
      <c r="L542">
        <v>159790</v>
      </c>
    </row>
    <row r="543" spans="1:12" x14ac:dyDescent="0.35">
      <c r="A543" t="s">
        <v>8</v>
      </c>
      <c r="B543" t="s">
        <v>9</v>
      </c>
      <c r="C543" t="s">
        <v>48</v>
      </c>
      <c r="D543" t="str" cm="1">
        <f t="array" ref="D543">INDEX(_xlfn.TEXTSPLIT(C543,"_"),3)</f>
        <v>scalp</v>
      </c>
      <c r="E543" t="str">
        <f>VLOOKUP(D543,FranchiseMapping!$A$1:$B$15,2,FALSE)</f>
        <v>Scalp Sync</v>
      </c>
      <c r="F543" s="1">
        <v>45292</v>
      </c>
      <c r="G543" t="s">
        <v>10</v>
      </c>
      <c r="H543" s="2">
        <v>45383</v>
      </c>
      <c r="I543" s="3">
        <v>45386</v>
      </c>
      <c r="J543" s="3">
        <f t="shared" si="8"/>
        <v>45388</v>
      </c>
      <c r="K543" s="4">
        <v>228.93</v>
      </c>
      <c r="L543">
        <v>58532</v>
      </c>
    </row>
    <row r="544" spans="1:12" x14ac:dyDescent="0.35">
      <c r="A544" t="s">
        <v>8</v>
      </c>
      <c r="B544" t="s">
        <v>9</v>
      </c>
      <c r="C544" t="s">
        <v>38</v>
      </c>
      <c r="D544" t="str" cm="1">
        <f t="array" ref="D544">INDEX(_xlfn.TEXTSPLIT(C544,"_"),3)</f>
        <v>hys</v>
      </c>
      <c r="E544" t="str">
        <f>VLOOKUP(D544,FranchiseMapping!$A$1:$B$15,2,FALSE)</f>
        <v>Hydrasource</v>
      </c>
      <c r="F544" s="1">
        <v>45658</v>
      </c>
      <c r="G544" t="s">
        <v>10</v>
      </c>
      <c r="H544" s="2">
        <v>45748</v>
      </c>
      <c r="I544" s="3">
        <v>45773</v>
      </c>
      <c r="J544" s="3">
        <f t="shared" si="8"/>
        <v>45773</v>
      </c>
      <c r="K544" s="4">
        <v>493.46000000000004</v>
      </c>
      <c r="L544">
        <v>21448</v>
      </c>
    </row>
    <row r="545" spans="1:12" x14ac:dyDescent="0.35">
      <c r="A545" t="s">
        <v>8</v>
      </c>
      <c r="B545" t="s">
        <v>13</v>
      </c>
      <c r="C545" t="s">
        <v>62</v>
      </c>
      <c r="D545" t="str" cm="1">
        <f t="array" ref="D545">INDEX(_xlfn.TEXTSPLIT(C545,"_"),3)</f>
        <v>na</v>
      </c>
      <c r="E545" t="str">
        <f>VLOOKUP(D545,FranchiseMapping!$A$1:$B$15,2,FALSE)</f>
        <v>Biolage</v>
      </c>
      <c r="F545" s="1">
        <v>44927</v>
      </c>
      <c r="G545" t="s">
        <v>12</v>
      </c>
      <c r="H545" s="2">
        <v>45108</v>
      </c>
      <c r="I545" s="3">
        <v>45118</v>
      </c>
      <c r="J545" s="3">
        <f t="shared" si="8"/>
        <v>45122</v>
      </c>
      <c r="K545" s="4">
        <v>695.97343499999999</v>
      </c>
      <c r="L545">
        <v>136995</v>
      </c>
    </row>
    <row r="546" spans="1:12" x14ac:dyDescent="0.35">
      <c r="A546" t="s">
        <v>8</v>
      </c>
      <c r="B546" t="s">
        <v>9</v>
      </c>
      <c r="C546" t="s">
        <v>46</v>
      </c>
      <c r="D546" t="str" cm="1">
        <f t="array" ref="D546">INDEX(_xlfn.TEXTSPLIT(C546,"_"),3)</f>
        <v>mult</v>
      </c>
      <c r="E546" t="str">
        <f>VLOOKUP(D546,FranchiseMapping!$A$1:$B$15,2,FALSE)</f>
        <v>Biolage</v>
      </c>
      <c r="F546" s="1">
        <v>45658</v>
      </c>
      <c r="G546" t="s">
        <v>12</v>
      </c>
      <c r="H546" s="2">
        <v>45748</v>
      </c>
      <c r="I546" s="3">
        <v>45764</v>
      </c>
      <c r="J546" s="3">
        <f t="shared" si="8"/>
        <v>45766</v>
      </c>
      <c r="K546" s="4">
        <v>1029.079999</v>
      </c>
      <c r="L546">
        <v>235031</v>
      </c>
    </row>
    <row r="547" spans="1:12" x14ac:dyDescent="0.35">
      <c r="A547" t="s">
        <v>8</v>
      </c>
      <c r="B547" t="s">
        <v>9</v>
      </c>
      <c r="C547" t="s">
        <v>48</v>
      </c>
      <c r="D547" t="str" cm="1">
        <f t="array" ref="D547">INDEX(_xlfn.TEXTSPLIT(C547,"_"),3)</f>
        <v>scalp</v>
      </c>
      <c r="E547" t="str">
        <f>VLOOKUP(D547,FranchiseMapping!$A$1:$B$15,2,FALSE)</f>
        <v>Scalp Sync</v>
      </c>
      <c r="F547" s="1">
        <v>45292</v>
      </c>
      <c r="G547" t="s">
        <v>10</v>
      </c>
      <c r="H547" s="2">
        <v>45352</v>
      </c>
      <c r="I547" s="3">
        <v>45373</v>
      </c>
      <c r="J547" s="3">
        <f t="shared" si="8"/>
        <v>45374</v>
      </c>
      <c r="K547" s="4">
        <v>924.04999999999984</v>
      </c>
      <c r="L547">
        <v>203153</v>
      </c>
    </row>
    <row r="548" spans="1:12" x14ac:dyDescent="0.35">
      <c r="A548" t="s">
        <v>8</v>
      </c>
      <c r="B548" t="s">
        <v>9</v>
      </c>
      <c r="C548" t="s">
        <v>30</v>
      </c>
      <c r="D548" t="str" cm="1">
        <f t="array" ref="D548">INDEX(_xlfn.TEXTSPLIT(C548,"_"),3)</f>
        <v>q3-haca-colorlast</v>
      </c>
      <c r="E548" t="str">
        <f>VLOOKUP(D548,FranchiseMapping!$A$1:$B$15,2,FALSE)</f>
        <v>Color Last</v>
      </c>
      <c r="F548" s="1">
        <v>44927</v>
      </c>
      <c r="G548" t="s">
        <v>10</v>
      </c>
      <c r="H548" s="2">
        <v>45139</v>
      </c>
      <c r="I548" s="3">
        <v>45151</v>
      </c>
      <c r="J548" s="3">
        <f t="shared" si="8"/>
        <v>45157</v>
      </c>
      <c r="K548" s="4">
        <v>4030.29</v>
      </c>
      <c r="L548">
        <v>653573</v>
      </c>
    </row>
    <row r="549" spans="1:12" x14ac:dyDescent="0.35">
      <c r="A549" t="s">
        <v>8</v>
      </c>
      <c r="B549" t="s">
        <v>9</v>
      </c>
      <c r="C549" t="s">
        <v>36</v>
      </c>
      <c r="D549" t="str" cm="1">
        <f t="array" ref="D549">INDEX(_xlfn.TEXTSPLIT(C549,"_"),3)</f>
        <v>bfr</v>
      </c>
      <c r="E549" t="str">
        <f>VLOOKUP(D549,FranchiseMapping!$A$1:$B$15,2,FALSE)</f>
        <v>Full Rescue</v>
      </c>
      <c r="F549" s="1">
        <v>45658</v>
      </c>
      <c r="G549" t="s">
        <v>10</v>
      </c>
      <c r="H549" s="2">
        <v>45809</v>
      </c>
      <c r="I549" s="3">
        <v>45818</v>
      </c>
      <c r="J549" s="3">
        <f t="shared" si="8"/>
        <v>45822</v>
      </c>
      <c r="K549" s="4">
        <v>1371.9499990000002</v>
      </c>
      <c r="L549">
        <v>199634</v>
      </c>
    </row>
    <row r="550" spans="1:12" x14ac:dyDescent="0.35">
      <c r="A550" t="s">
        <v>8</v>
      </c>
      <c r="B550" t="s">
        <v>13</v>
      </c>
      <c r="C550" t="s">
        <v>59</v>
      </c>
      <c r="D550" t="str" cm="1">
        <f t="array" ref="D550">INDEX(_xlfn.TEXTSPLIT(C550,"_"),3)</f>
        <v>scalp-sync</v>
      </c>
      <c r="E550" t="str">
        <f>VLOOKUP(D550,FranchiseMapping!$A$1:$B$15,2,FALSE)</f>
        <v>Scalp Sync</v>
      </c>
      <c r="F550" s="1">
        <v>45292</v>
      </c>
      <c r="G550" t="s">
        <v>11</v>
      </c>
      <c r="H550" s="2">
        <v>45383</v>
      </c>
      <c r="I550" s="3">
        <v>45406</v>
      </c>
      <c r="J550" s="3">
        <f t="shared" si="8"/>
        <v>45409</v>
      </c>
      <c r="K550" s="4">
        <v>3354.0008330000001</v>
      </c>
      <c r="L550">
        <v>1561980</v>
      </c>
    </row>
    <row r="551" spans="1:12" x14ac:dyDescent="0.35">
      <c r="A551" t="s">
        <v>8</v>
      </c>
      <c r="B551" t="s">
        <v>9</v>
      </c>
      <c r="C551" t="s">
        <v>40</v>
      </c>
      <c r="D551" t="str" cm="1">
        <f t="array" ref="D551">INDEX(_xlfn.TEXTSPLIT(C551,"_"),3)</f>
        <v>hydrasource</v>
      </c>
      <c r="E551" t="str">
        <f>VLOOKUP(D551,FranchiseMapping!$A$1:$B$15,2,FALSE)</f>
        <v>Hydrasource</v>
      </c>
      <c r="F551" s="1">
        <v>45292</v>
      </c>
      <c r="G551" t="s">
        <v>12</v>
      </c>
      <c r="H551" s="2">
        <v>45292</v>
      </c>
      <c r="I551" s="3">
        <v>45318</v>
      </c>
      <c r="J551" s="3">
        <f t="shared" si="8"/>
        <v>45318</v>
      </c>
      <c r="K551" s="4">
        <v>3304.3500049999993</v>
      </c>
      <c r="L551">
        <v>595727</v>
      </c>
    </row>
    <row r="552" spans="1:12" x14ac:dyDescent="0.35">
      <c r="A552" t="s">
        <v>8</v>
      </c>
      <c r="B552" t="s">
        <v>9</v>
      </c>
      <c r="C552" t="s">
        <v>48</v>
      </c>
      <c r="D552" t="str" cm="1">
        <f t="array" ref="D552">INDEX(_xlfn.TEXTSPLIT(C552,"_"),3)</f>
        <v>scalp</v>
      </c>
      <c r="E552" t="str">
        <f>VLOOKUP(D552,FranchiseMapping!$A$1:$B$15,2,FALSE)</f>
        <v>Scalp Sync</v>
      </c>
      <c r="F552" s="1">
        <v>45292</v>
      </c>
      <c r="G552" t="s">
        <v>10</v>
      </c>
      <c r="H552" s="2">
        <v>45352</v>
      </c>
      <c r="I552" s="3">
        <v>45371</v>
      </c>
      <c r="J552" s="3">
        <f t="shared" si="8"/>
        <v>45374</v>
      </c>
      <c r="K552" s="4">
        <v>1006.7200030000001</v>
      </c>
      <c r="L552">
        <v>224440</v>
      </c>
    </row>
    <row r="553" spans="1:12" x14ac:dyDescent="0.35">
      <c r="A553" t="s">
        <v>8</v>
      </c>
      <c r="B553" t="s">
        <v>9</v>
      </c>
      <c r="C553" t="s">
        <v>36</v>
      </c>
      <c r="D553" t="str" cm="1">
        <f t="array" ref="D553">INDEX(_xlfn.TEXTSPLIT(C553,"_"),3)</f>
        <v>bfr</v>
      </c>
      <c r="E553" t="str">
        <f>VLOOKUP(D553,FranchiseMapping!$A$1:$B$15,2,FALSE)</f>
        <v>Full Rescue</v>
      </c>
      <c r="F553" s="1">
        <v>45658</v>
      </c>
      <c r="G553" t="s">
        <v>10</v>
      </c>
      <c r="H553" s="2">
        <v>45809</v>
      </c>
      <c r="I553" s="3">
        <v>45833</v>
      </c>
      <c r="J553" s="3">
        <f t="shared" si="8"/>
        <v>45836</v>
      </c>
      <c r="K553" s="4">
        <v>1216.8100000000002</v>
      </c>
      <c r="L553">
        <v>206817</v>
      </c>
    </row>
    <row r="554" spans="1:12" x14ac:dyDescent="0.35">
      <c r="A554" t="s">
        <v>8</v>
      </c>
      <c r="B554" t="s">
        <v>9</v>
      </c>
      <c r="C554" t="s">
        <v>35</v>
      </c>
      <c r="D554" t="str" cm="1">
        <f t="array" ref="D554">INDEX(_xlfn.TEXTSPLIT(C554,"_"),3)</f>
        <v>bfr</v>
      </c>
      <c r="E554" t="str">
        <f>VLOOKUP(D554,FranchiseMapping!$A$1:$B$15,2,FALSE)</f>
        <v>Full Rescue</v>
      </c>
      <c r="F554" s="1">
        <v>45658</v>
      </c>
      <c r="G554" t="s">
        <v>10</v>
      </c>
      <c r="H554" s="2">
        <v>45778</v>
      </c>
      <c r="I554" s="3">
        <v>45800</v>
      </c>
      <c r="J554" s="3">
        <f t="shared" si="8"/>
        <v>45801</v>
      </c>
      <c r="K554" s="4">
        <v>9.6599999999999984</v>
      </c>
      <c r="L554">
        <v>1051</v>
      </c>
    </row>
    <row r="555" spans="1:12" x14ac:dyDescent="0.35">
      <c r="A555" t="s">
        <v>8</v>
      </c>
      <c r="B555" t="s">
        <v>14</v>
      </c>
      <c r="C555" t="s">
        <v>29</v>
      </c>
      <c r="D555" t="str" cm="1">
        <f t="array" ref="D555">INDEX(_xlfn.TEXTSPLIT(C555,"_"),3)</f>
        <v>bfr</v>
      </c>
      <c r="E555" t="str">
        <f>VLOOKUP(D555,FranchiseMapping!$A$1:$B$15,2,FALSE)</f>
        <v>Full Rescue</v>
      </c>
      <c r="F555" s="1">
        <v>45658</v>
      </c>
      <c r="G555" t="s">
        <v>10</v>
      </c>
      <c r="H555" s="2">
        <v>45809</v>
      </c>
      <c r="I555" s="3">
        <v>45812</v>
      </c>
      <c r="J555" s="3">
        <f t="shared" si="8"/>
        <v>45815</v>
      </c>
      <c r="K555" s="4">
        <v>1704.83</v>
      </c>
      <c r="L555">
        <v>230179</v>
      </c>
    </row>
    <row r="556" spans="1:12" x14ac:dyDescent="0.35">
      <c r="A556" t="s">
        <v>8</v>
      </c>
      <c r="B556" t="s">
        <v>9</v>
      </c>
      <c r="C556" t="s">
        <v>48</v>
      </c>
      <c r="D556" t="str" cm="1">
        <f t="array" ref="D556">INDEX(_xlfn.TEXTSPLIT(C556,"_"),3)</f>
        <v>scalp</v>
      </c>
      <c r="E556" t="str">
        <f>VLOOKUP(D556,FranchiseMapping!$A$1:$B$15,2,FALSE)</f>
        <v>Scalp Sync</v>
      </c>
      <c r="F556" s="1">
        <v>45292</v>
      </c>
      <c r="G556" t="s">
        <v>12</v>
      </c>
      <c r="H556" s="2">
        <v>45352</v>
      </c>
      <c r="I556" s="3">
        <v>45378</v>
      </c>
      <c r="J556" s="3">
        <f t="shared" si="8"/>
        <v>45381</v>
      </c>
      <c r="K556" s="4">
        <v>649.379998</v>
      </c>
      <c r="L556">
        <v>139689</v>
      </c>
    </row>
    <row r="557" spans="1:12" x14ac:dyDescent="0.35">
      <c r="A557" t="s">
        <v>8</v>
      </c>
      <c r="B557" t="s">
        <v>14</v>
      </c>
      <c r="C557" t="s">
        <v>43</v>
      </c>
      <c r="D557" t="str" cm="1">
        <f t="array" ref="D557">INDEX(_xlfn.TEXTSPLIT(C557,"_"),3)</f>
        <v>bfr</v>
      </c>
      <c r="E557" t="str">
        <f>VLOOKUP(D557,FranchiseMapping!$A$1:$B$15,2,FALSE)</f>
        <v>Full Rescue</v>
      </c>
      <c r="F557" s="1">
        <v>45658</v>
      </c>
      <c r="G557" t="s">
        <v>12</v>
      </c>
      <c r="H557" s="2">
        <v>45809</v>
      </c>
      <c r="I557" s="3">
        <v>45832</v>
      </c>
      <c r="J557" s="3">
        <f t="shared" si="8"/>
        <v>45836</v>
      </c>
      <c r="K557" s="4">
        <v>1862.2799999999997</v>
      </c>
      <c r="L557">
        <v>334494</v>
      </c>
    </row>
    <row r="558" spans="1:12" x14ac:dyDescent="0.35">
      <c r="A558" t="s">
        <v>8</v>
      </c>
      <c r="B558" t="s">
        <v>9</v>
      </c>
      <c r="C558" t="s">
        <v>36</v>
      </c>
      <c r="D558" t="str" cm="1">
        <f t="array" ref="D558">INDEX(_xlfn.TEXTSPLIT(C558,"_"),3)</f>
        <v>bfr</v>
      </c>
      <c r="E558" t="str">
        <f>VLOOKUP(D558,FranchiseMapping!$A$1:$B$15,2,FALSE)</f>
        <v>Full Rescue</v>
      </c>
      <c r="F558" s="1">
        <v>45658</v>
      </c>
      <c r="G558" t="s">
        <v>12</v>
      </c>
      <c r="H558" s="2">
        <v>45809</v>
      </c>
      <c r="I558" s="3">
        <v>45832</v>
      </c>
      <c r="J558" s="3">
        <f t="shared" si="8"/>
        <v>45836</v>
      </c>
      <c r="K558" s="4">
        <v>1206.3699979999999</v>
      </c>
      <c r="L558">
        <v>198180</v>
      </c>
    </row>
    <row r="559" spans="1:12" x14ac:dyDescent="0.35">
      <c r="A559" t="s">
        <v>8</v>
      </c>
      <c r="B559" t="s">
        <v>13</v>
      </c>
      <c r="C559" t="s">
        <v>32</v>
      </c>
      <c r="D559" t="str" cm="1">
        <f t="array" ref="D559">INDEX(_xlfn.TEXTSPLIT(C559,"_"),3)</f>
        <v>na</v>
      </c>
      <c r="E559" t="str">
        <f>VLOOKUP(D559,FranchiseMapping!$A$1:$B$15,2,FALSE)</f>
        <v>Biolage</v>
      </c>
      <c r="F559" s="1">
        <v>44927</v>
      </c>
      <c r="G559" t="s">
        <v>11</v>
      </c>
      <c r="H559" s="2">
        <v>45139</v>
      </c>
      <c r="I559" s="3">
        <v>45161</v>
      </c>
      <c r="J559" s="3">
        <f t="shared" si="8"/>
        <v>45164</v>
      </c>
      <c r="K559" s="4">
        <v>1777.0951499999999</v>
      </c>
      <c r="L559">
        <v>521003</v>
      </c>
    </row>
    <row r="560" spans="1:12" x14ac:dyDescent="0.35">
      <c r="A560" t="s">
        <v>8</v>
      </c>
      <c r="B560" t="s">
        <v>9</v>
      </c>
      <c r="C560" t="s">
        <v>46</v>
      </c>
      <c r="D560" t="str" cm="1">
        <f t="array" ref="D560">INDEX(_xlfn.TEXTSPLIT(C560,"_"),3)</f>
        <v>mult</v>
      </c>
      <c r="E560" t="str">
        <f>VLOOKUP(D560,FranchiseMapping!$A$1:$B$15,2,FALSE)</f>
        <v>Biolage</v>
      </c>
      <c r="F560" s="1">
        <v>45658</v>
      </c>
      <c r="G560" t="s">
        <v>12</v>
      </c>
      <c r="H560" s="2">
        <v>45748</v>
      </c>
      <c r="I560" s="3">
        <v>45776</v>
      </c>
      <c r="J560" s="3">
        <f t="shared" si="8"/>
        <v>45780</v>
      </c>
      <c r="K560" s="4">
        <v>728.42</v>
      </c>
      <c r="L560">
        <v>159072</v>
      </c>
    </row>
    <row r="561" spans="1:12" x14ac:dyDescent="0.35">
      <c r="A561" t="s">
        <v>8</v>
      </c>
      <c r="B561" t="s">
        <v>9</v>
      </c>
      <c r="C561" t="s">
        <v>35</v>
      </c>
      <c r="D561" t="str" cm="1">
        <f t="array" ref="D561">INDEX(_xlfn.TEXTSPLIT(C561,"_"),3)</f>
        <v>bfr</v>
      </c>
      <c r="E561" t="str">
        <f>VLOOKUP(D561,FranchiseMapping!$A$1:$B$15,2,FALSE)</f>
        <v>Full Rescue</v>
      </c>
      <c r="F561" s="1">
        <v>45658</v>
      </c>
      <c r="G561" t="s">
        <v>10</v>
      </c>
      <c r="H561" s="2">
        <v>45809</v>
      </c>
      <c r="I561" s="3">
        <v>45819</v>
      </c>
      <c r="J561" s="3">
        <f t="shared" si="8"/>
        <v>45822</v>
      </c>
      <c r="K561" s="4">
        <v>10.11</v>
      </c>
      <c r="L561">
        <v>1147</v>
      </c>
    </row>
    <row r="562" spans="1:12" x14ac:dyDescent="0.35">
      <c r="A562" t="s">
        <v>8</v>
      </c>
      <c r="B562" t="s">
        <v>13</v>
      </c>
      <c r="C562" t="s">
        <v>39</v>
      </c>
      <c r="D562" t="str" cm="1">
        <f t="array" ref="D562">INDEX(_xlfn.TEXTSPLIT(C562,"_"),3)</f>
        <v>scalp-sync</v>
      </c>
      <c r="E562" t="str">
        <f>VLOOKUP(D562,FranchiseMapping!$A$1:$B$15,2,FALSE)</f>
        <v>Scalp Sync</v>
      </c>
      <c r="F562" s="1">
        <v>45292</v>
      </c>
      <c r="G562" t="s">
        <v>12</v>
      </c>
      <c r="H562" s="2">
        <v>45413</v>
      </c>
      <c r="I562" s="3">
        <v>45419</v>
      </c>
      <c r="J562" s="3">
        <f t="shared" si="8"/>
        <v>45423</v>
      </c>
      <c r="K562" s="4">
        <v>1708.8288790000001</v>
      </c>
      <c r="L562">
        <v>492455</v>
      </c>
    </row>
    <row r="563" spans="1:12" x14ac:dyDescent="0.35">
      <c r="A563" t="s">
        <v>8</v>
      </c>
      <c r="B563" t="s">
        <v>9</v>
      </c>
      <c r="C563" t="s">
        <v>55</v>
      </c>
      <c r="D563" t="str" cm="1">
        <f t="array" ref="D563">INDEX(_xlfn.TEXTSPLIT(C563,"_"),3)</f>
        <v>hydrasource</v>
      </c>
      <c r="E563" t="str">
        <f>VLOOKUP(D563,FranchiseMapping!$A$1:$B$15,2,FALSE)</f>
        <v>Hydrasource</v>
      </c>
      <c r="F563" s="1">
        <v>45292</v>
      </c>
      <c r="G563" t="s">
        <v>12</v>
      </c>
      <c r="H563" s="2">
        <v>45566</v>
      </c>
      <c r="I563" s="3">
        <v>45577</v>
      </c>
      <c r="J563" s="3">
        <f t="shared" si="8"/>
        <v>45577</v>
      </c>
      <c r="K563" s="4">
        <v>3519.2300029999997</v>
      </c>
      <c r="L563">
        <v>652360</v>
      </c>
    </row>
    <row r="564" spans="1:12" x14ac:dyDescent="0.35">
      <c r="A564" t="s">
        <v>8</v>
      </c>
      <c r="B564" t="s">
        <v>9</v>
      </c>
      <c r="C564" t="s">
        <v>36</v>
      </c>
      <c r="D564" t="str" cm="1">
        <f t="array" ref="D564">INDEX(_xlfn.TEXTSPLIT(C564,"_"),3)</f>
        <v>bfr</v>
      </c>
      <c r="E564" t="str">
        <f>VLOOKUP(D564,FranchiseMapping!$A$1:$B$15,2,FALSE)</f>
        <v>Full Rescue</v>
      </c>
      <c r="F564" s="1">
        <v>45658</v>
      </c>
      <c r="G564" t="s">
        <v>12</v>
      </c>
      <c r="H564" s="2">
        <v>45778</v>
      </c>
      <c r="I564" s="3">
        <v>45785</v>
      </c>
      <c r="J564" s="3">
        <f t="shared" si="8"/>
        <v>45787</v>
      </c>
      <c r="K564" s="4">
        <v>1513.4999999999995</v>
      </c>
      <c r="L564">
        <v>282485</v>
      </c>
    </row>
    <row r="565" spans="1:12" x14ac:dyDescent="0.35">
      <c r="A565" t="s">
        <v>8</v>
      </c>
      <c r="B565" t="s">
        <v>13</v>
      </c>
      <c r="C565" t="s">
        <v>32</v>
      </c>
      <c r="D565" t="str" cm="1">
        <f t="array" ref="D565">INDEX(_xlfn.TEXTSPLIT(C565,"_"),3)</f>
        <v>na</v>
      </c>
      <c r="E565" t="str">
        <f>VLOOKUP(D565,FranchiseMapping!$A$1:$B$15,2,FALSE)</f>
        <v>Biolage</v>
      </c>
      <c r="F565" s="1">
        <v>44927</v>
      </c>
      <c r="G565" t="s">
        <v>11</v>
      </c>
      <c r="H565" s="2">
        <v>45139</v>
      </c>
      <c r="I565" s="3">
        <v>45167</v>
      </c>
      <c r="J565" s="3">
        <f t="shared" si="8"/>
        <v>45171</v>
      </c>
      <c r="K565" s="4">
        <v>1768.44011</v>
      </c>
      <c r="L565">
        <v>504206</v>
      </c>
    </row>
    <row r="566" spans="1:12" x14ac:dyDescent="0.35">
      <c r="A566" t="s">
        <v>8</v>
      </c>
      <c r="B566" t="s">
        <v>9</v>
      </c>
      <c r="C566" t="s">
        <v>54</v>
      </c>
      <c r="D566" t="str" cm="1">
        <f t="array" ref="D566">INDEX(_xlfn.TEXTSPLIT(C566,"_"),3)</f>
        <v>scalp</v>
      </c>
      <c r="E566" t="str">
        <f>VLOOKUP(D566,FranchiseMapping!$A$1:$B$15,2,FALSE)</f>
        <v>Scalp Sync</v>
      </c>
      <c r="F566" s="1">
        <v>45292</v>
      </c>
      <c r="G566" t="s">
        <v>10</v>
      </c>
      <c r="H566" s="2">
        <v>45352</v>
      </c>
      <c r="I566" s="3">
        <v>45377</v>
      </c>
      <c r="J566" s="3">
        <f t="shared" si="8"/>
        <v>45381</v>
      </c>
      <c r="K566" s="4">
        <v>2269.8300010000003</v>
      </c>
      <c r="L566">
        <v>522042</v>
      </c>
    </row>
    <row r="567" spans="1:12" x14ac:dyDescent="0.35">
      <c r="A567" t="s">
        <v>8</v>
      </c>
      <c r="B567" t="s">
        <v>14</v>
      </c>
      <c r="C567" t="s">
        <v>29</v>
      </c>
      <c r="D567" t="str" cm="1">
        <f t="array" ref="D567">INDEX(_xlfn.TEXTSPLIT(C567,"_"),3)</f>
        <v>bfr</v>
      </c>
      <c r="E567" t="str">
        <f>VLOOKUP(D567,FranchiseMapping!$A$1:$B$15,2,FALSE)</f>
        <v>Full Rescue</v>
      </c>
      <c r="F567" s="1">
        <v>45658</v>
      </c>
      <c r="G567" t="s">
        <v>12</v>
      </c>
      <c r="H567" s="2">
        <v>45809</v>
      </c>
      <c r="I567" s="3">
        <v>45836</v>
      </c>
      <c r="J567" s="3">
        <f t="shared" si="8"/>
        <v>45836</v>
      </c>
      <c r="K567" s="4">
        <v>293.82</v>
      </c>
      <c r="L567">
        <v>49204</v>
      </c>
    </row>
    <row r="568" spans="1:12" x14ac:dyDescent="0.35">
      <c r="A568" t="s">
        <v>8</v>
      </c>
      <c r="B568" t="s">
        <v>13</v>
      </c>
      <c r="C568" t="s">
        <v>62</v>
      </c>
      <c r="D568" t="str" cm="1">
        <f t="array" ref="D568">INDEX(_xlfn.TEXTSPLIT(C568,"_"),3)</f>
        <v>na</v>
      </c>
      <c r="E568" t="str">
        <f>VLOOKUP(D568,FranchiseMapping!$A$1:$B$15,2,FALSE)</f>
        <v>Biolage</v>
      </c>
      <c r="F568" s="1">
        <v>44927</v>
      </c>
      <c r="G568" t="s">
        <v>10</v>
      </c>
      <c r="H568" s="2">
        <v>45108</v>
      </c>
      <c r="I568" s="3">
        <v>45119</v>
      </c>
      <c r="J568" s="3">
        <f t="shared" si="8"/>
        <v>45122</v>
      </c>
      <c r="K568" s="4">
        <v>808.65678100000002</v>
      </c>
      <c r="L568">
        <v>211427</v>
      </c>
    </row>
    <row r="569" spans="1:12" x14ac:dyDescent="0.35">
      <c r="A569" t="s">
        <v>8</v>
      </c>
      <c r="B569" t="s">
        <v>9</v>
      </c>
      <c r="C569" t="s">
        <v>35</v>
      </c>
      <c r="D569" t="str" cm="1">
        <f t="array" ref="D569">INDEX(_xlfn.TEXTSPLIT(C569,"_"),3)</f>
        <v>bfr</v>
      </c>
      <c r="E569" t="str">
        <f>VLOOKUP(D569,FranchiseMapping!$A$1:$B$15,2,FALSE)</f>
        <v>Full Rescue</v>
      </c>
      <c r="F569" s="1">
        <v>45658</v>
      </c>
      <c r="G569" t="s">
        <v>10</v>
      </c>
      <c r="H569" s="2">
        <v>45778</v>
      </c>
      <c r="I569" s="3">
        <v>45779</v>
      </c>
      <c r="J569" s="3">
        <f t="shared" si="8"/>
        <v>45780</v>
      </c>
      <c r="K569" s="4">
        <v>9.3899999999999988</v>
      </c>
      <c r="L569">
        <v>1324</v>
      </c>
    </row>
    <row r="570" spans="1:12" x14ac:dyDescent="0.35">
      <c r="A570" t="s">
        <v>8</v>
      </c>
      <c r="B570" t="s">
        <v>13</v>
      </c>
      <c r="C570" t="s">
        <v>42</v>
      </c>
      <c r="D570" t="str" cm="1">
        <f t="array" ref="D570">INDEX(_xlfn.TEXTSPLIT(C570,"_"),3)</f>
        <v>bfr</v>
      </c>
      <c r="E570" t="str">
        <f>VLOOKUP(D570,FranchiseMapping!$A$1:$B$15,2,FALSE)</f>
        <v>Full Rescue</v>
      </c>
      <c r="F570" s="1">
        <v>45658</v>
      </c>
      <c r="G570" t="s">
        <v>12</v>
      </c>
      <c r="H570" s="2">
        <v>45809</v>
      </c>
      <c r="I570" s="3">
        <v>45823</v>
      </c>
      <c r="J570" s="3">
        <f t="shared" si="8"/>
        <v>45829</v>
      </c>
      <c r="K570" s="4">
        <v>1383.825525</v>
      </c>
      <c r="L570">
        <v>621564</v>
      </c>
    </row>
    <row r="571" spans="1:12" x14ac:dyDescent="0.35">
      <c r="A571" t="s">
        <v>8</v>
      </c>
      <c r="B571" t="s">
        <v>13</v>
      </c>
      <c r="C571" t="s">
        <v>28</v>
      </c>
      <c r="D571" t="str" cm="1">
        <f t="array" ref="D571">INDEX(_xlfn.TEXTSPLIT(C571,"_"),3)</f>
        <v>na</v>
      </c>
      <c r="E571" t="str">
        <f>VLOOKUP(D571,FranchiseMapping!$A$1:$B$15,2,FALSE)</f>
        <v>Biolage</v>
      </c>
      <c r="F571" s="1">
        <v>44927</v>
      </c>
      <c r="G571" t="s">
        <v>10</v>
      </c>
      <c r="H571" s="2">
        <v>45139</v>
      </c>
      <c r="I571" s="3">
        <v>45140</v>
      </c>
      <c r="J571" s="3">
        <f t="shared" si="8"/>
        <v>45143</v>
      </c>
      <c r="K571" s="4">
        <v>1306.577781</v>
      </c>
      <c r="L571">
        <v>100580</v>
      </c>
    </row>
    <row r="572" spans="1:12" x14ac:dyDescent="0.35">
      <c r="A572" t="s">
        <v>8</v>
      </c>
      <c r="B572" t="s">
        <v>9</v>
      </c>
      <c r="C572" t="s">
        <v>55</v>
      </c>
      <c r="D572" t="str" cm="1">
        <f t="array" ref="D572">INDEX(_xlfn.TEXTSPLIT(C572,"_"),3)</f>
        <v>hydrasource</v>
      </c>
      <c r="E572" t="str">
        <f>VLOOKUP(D572,FranchiseMapping!$A$1:$B$15,2,FALSE)</f>
        <v>Hydrasource</v>
      </c>
      <c r="F572" s="1">
        <v>45292</v>
      </c>
      <c r="G572" t="s">
        <v>12</v>
      </c>
      <c r="H572" s="2">
        <v>45566</v>
      </c>
      <c r="I572" s="3">
        <v>45580</v>
      </c>
      <c r="J572" s="3">
        <f t="shared" si="8"/>
        <v>45584</v>
      </c>
      <c r="K572" s="4">
        <v>3848.9400019999998</v>
      </c>
      <c r="L572">
        <v>779853</v>
      </c>
    </row>
    <row r="573" spans="1:12" x14ac:dyDescent="0.35">
      <c r="A573" t="s">
        <v>8</v>
      </c>
      <c r="B573" t="s">
        <v>9</v>
      </c>
      <c r="C573" t="s">
        <v>33</v>
      </c>
      <c r="D573" t="str" cm="1">
        <f t="array" ref="D573">INDEX(_xlfn.TEXTSPLIT(C573,"_"),3)</f>
        <v>hydrasource</v>
      </c>
      <c r="E573" t="str">
        <f>VLOOKUP(D573,FranchiseMapping!$A$1:$B$15,2,FALSE)</f>
        <v>Hydrasource</v>
      </c>
      <c r="F573" s="1">
        <v>45292</v>
      </c>
      <c r="G573" t="s">
        <v>11</v>
      </c>
      <c r="H573" s="2">
        <v>45323</v>
      </c>
      <c r="I573" s="3">
        <v>45333</v>
      </c>
      <c r="J573" s="3">
        <f t="shared" si="8"/>
        <v>45339</v>
      </c>
      <c r="K573" s="4">
        <v>1281.0199970000001</v>
      </c>
      <c r="L573">
        <v>230148</v>
      </c>
    </row>
    <row r="574" spans="1:12" x14ac:dyDescent="0.35">
      <c r="A574" t="s">
        <v>8</v>
      </c>
      <c r="B574" t="s">
        <v>9</v>
      </c>
      <c r="C574" t="s">
        <v>75</v>
      </c>
      <c r="D574" t="str" cm="1">
        <f t="array" ref="D574">INDEX(_xlfn.TEXTSPLIT(C574,"_"),3)</f>
        <v>q3-haca-colorlast</v>
      </c>
      <c r="E574" t="str">
        <f>VLOOKUP(D574,FranchiseMapping!$A$1:$B$15,2,FALSE)</f>
        <v>Color Last</v>
      </c>
      <c r="F574" s="1">
        <v>44927</v>
      </c>
      <c r="G574" t="s">
        <v>10</v>
      </c>
      <c r="H574" s="2">
        <v>45108</v>
      </c>
      <c r="I574" s="3">
        <v>45118</v>
      </c>
      <c r="J574" s="3">
        <f t="shared" si="8"/>
        <v>45122</v>
      </c>
      <c r="K574" s="4">
        <v>2498.6299980000003</v>
      </c>
      <c r="L574">
        <v>366049</v>
      </c>
    </row>
    <row r="575" spans="1:12" x14ac:dyDescent="0.35">
      <c r="A575" t="s">
        <v>8</v>
      </c>
      <c r="B575" t="s">
        <v>9</v>
      </c>
      <c r="C575" t="s">
        <v>35</v>
      </c>
      <c r="D575" t="str" cm="1">
        <f t="array" ref="D575">INDEX(_xlfn.TEXTSPLIT(C575,"_"),3)</f>
        <v>bfr</v>
      </c>
      <c r="E575" t="str">
        <f>VLOOKUP(D575,FranchiseMapping!$A$1:$B$15,2,FALSE)</f>
        <v>Full Rescue</v>
      </c>
      <c r="F575" s="1">
        <v>45658</v>
      </c>
      <c r="G575" t="s">
        <v>12</v>
      </c>
      <c r="H575" s="2">
        <v>45809</v>
      </c>
      <c r="I575" s="3">
        <v>45828</v>
      </c>
      <c r="J575" s="3">
        <f t="shared" si="8"/>
        <v>45829</v>
      </c>
      <c r="K575" s="4">
        <v>1645.7</v>
      </c>
      <c r="L575">
        <v>140848</v>
      </c>
    </row>
    <row r="576" spans="1:12" x14ac:dyDescent="0.35">
      <c r="A576" t="s">
        <v>8</v>
      </c>
      <c r="B576" t="s">
        <v>14</v>
      </c>
      <c r="C576" t="s">
        <v>57</v>
      </c>
      <c r="D576" t="str" cm="1">
        <f t="array" ref="D576">INDEX(_xlfn.TEXTSPLIT(C576,"_"),3)</f>
        <v>bfr</v>
      </c>
      <c r="E576" t="str">
        <f>VLOOKUP(D576,FranchiseMapping!$A$1:$B$15,2,FALSE)</f>
        <v>Full Rescue</v>
      </c>
      <c r="F576" s="1">
        <v>45658</v>
      </c>
      <c r="G576" t="s">
        <v>12</v>
      </c>
      <c r="H576" s="2">
        <v>45809</v>
      </c>
      <c r="I576" s="3">
        <v>45816</v>
      </c>
      <c r="J576" s="3">
        <f t="shared" si="8"/>
        <v>45822</v>
      </c>
      <c r="K576" s="4">
        <v>7098</v>
      </c>
      <c r="L576">
        <v>517742</v>
      </c>
    </row>
    <row r="577" spans="1:12" x14ac:dyDescent="0.35">
      <c r="A577" t="s">
        <v>8</v>
      </c>
      <c r="B577" t="s">
        <v>13</v>
      </c>
      <c r="C577" t="s">
        <v>39</v>
      </c>
      <c r="D577" t="str" cm="1">
        <f t="array" ref="D577">INDEX(_xlfn.TEXTSPLIT(C577,"_"),3)</f>
        <v>scalp-sync</v>
      </c>
      <c r="E577" t="str">
        <f>VLOOKUP(D577,FranchiseMapping!$A$1:$B$15,2,FALSE)</f>
        <v>Scalp Sync</v>
      </c>
      <c r="F577" s="1">
        <v>45292</v>
      </c>
      <c r="G577" t="s">
        <v>12</v>
      </c>
      <c r="H577" s="2">
        <v>45413</v>
      </c>
      <c r="I577" s="3">
        <v>45421</v>
      </c>
      <c r="J577" s="3">
        <f t="shared" si="8"/>
        <v>45423</v>
      </c>
      <c r="K577" s="4">
        <v>1705.5331539999995</v>
      </c>
      <c r="L577">
        <v>474865</v>
      </c>
    </row>
    <row r="578" spans="1:12" x14ac:dyDescent="0.35">
      <c r="A578" t="s">
        <v>8</v>
      </c>
      <c r="B578" t="s">
        <v>13</v>
      </c>
      <c r="C578" t="s">
        <v>59</v>
      </c>
      <c r="D578" t="str" cm="1">
        <f t="array" ref="D578">INDEX(_xlfn.TEXTSPLIT(C578,"_"),3)</f>
        <v>scalp-sync</v>
      </c>
      <c r="E578" t="str">
        <f>VLOOKUP(D578,FranchiseMapping!$A$1:$B$15,2,FALSE)</f>
        <v>Scalp Sync</v>
      </c>
      <c r="F578" s="1">
        <v>45292</v>
      </c>
      <c r="G578" t="s">
        <v>11</v>
      </c>
      <c r="H578" s="2">
        <v>45383</v>
      </c>
      <c r="I578" s="3">
        <v>45405</v>
      </c>
      <c r="J578" s="3">
        <f t="shared" si="8"/>
        <v>45409</v>
      </c>
      <c r="K578" s="4">
        <v>3366.2020360000001</v>
      </c>
      <c r="L578">
        <v>1580718</v>
      </c>
    </row>
    <row r="579" spans="1:12" x14ac:dyDescent="0.35">
      <c r="A579" t="s">
        <v>8</v>
      </c>
      <c r="B579" t="s">
        <v>9</v>
      </c>
      <c r="C579" t="s">
        <v>50</v>
      </c>
      <c r="D579" t="str" cm="1">
        <f t="array" ref="D579">INDEX(_xlfn.TEXTSPLIT(C579,"_"),3)</f>
        <v>bond-therapy</v>
      </c>
      <c r="E579" t="str">
        <f>VLOOKUP(D579,FranchiseMapping!$A$1:$B$15,2,FALSE)</f>
        <v>Bond Therapy</v>
      </c>
      <c r="F579" s="1">
        <v>44927</v>
      </c>
      <c r="G579" t="s">
        <v>12</v>
      </c>
      <c r="H579" s="2">
        <v>45231</v>
      </c>
      <c r="I579" s="3">
        <v>45256</v>
      </c>
      <c r="J579" s="3">
        <f t="shared" ref="J579:J642" si="9">I579 + (7 - WEEKDAY(I579, 1))</f>
        <v>45262</v>
      </c>
      <c r="K579" s="4">
        <v>3344.1100040000001</v>
      </c>
      <c r="L579">
        <v>292864</v>
      </c>
    </row>
    <row r="580" spans="1:12" x14ac:dyDescent="0.35">
      <c r="A580" t="s">
        <v>8</v>
      </c>
      <c r="B580" t="s">
        <v>9</v>
      </c>
      <c r="C580" t="s">
        <v>45</v>
      </c>
      <c r="D580" t="str" cm="1">
        <f t="array" ref="D580">INDEX(_xlfn.TEXTSPLIT(C580,"_"),3)</f>
        <v>hydrasource</v>
      </c>
      <c r="E580" t="str">
        <f>VLOOKUP(D580,FranchiseMapping!$A$1:$B$15,2,FALSE)</f>
        <v>Hydrasource</v>
      </c>
      <c r="F580" s="1">
        <v>45292</v>
      </c>
      <c r="G580" t="s">
        <v>12</v>
      </c>
      <c r="H580" s="2">
        <v>45536</v>
      </c>
      <c r="I580" s="3">
        <v>45561</v>
      </c>
      <c r="J580" s="3">
        <f t="shared" si="9"/>
        <v>45563</v>
      </c>
      <c r="K580" s="4">
        <v>2650.3300000000008</v>
      </c>
      <c r="L580">
        <v>275637</v>
      </c>
    </row>
    <row r="581" spans="1:12" x14ac:dyDescent="0.35">
      <c r="A581" t="s">
        <v>8</v>
      </c>
      <c r="B581" t="s">
        <v>13</v>
      </c>
      <c r="C581" t="s">
        <v>39</v>
      </c>
      <c r="D581" t="str" cm="1">
        <f t="array" ref="D581">INDEX(_xlfn.TEXTSPLIT(C581,"_"),3)</f>
        <v>scalp-sync</v>
      </c>
      <c r="E581" t="str">
        <f>VLOOKUP(D581,FranchiseMapping!$A$1:$B$15,2,FALSE)</f>
        <v>Scalp Sync</v>
      </c>
      <c r="F581" s="1">
        <v>45292</v>
      </c>
      <c r="G581" t="s">
        <v>12</v>
      </c>
      <c r="H581" s="2">
        <v>45413</v>
      </c>
      <c r="I581" s="3">
        <v>45423</v>
      </c>
      <c r="J581" s="3">
        <f t="shared" si="9"/>
        <v>45423</v>
      </c>
      <c r="K581" s="4">
        <v>1658.9595189999995</v>
      </c>
      <c r="L581">
        <v>469179</v>
      </c>
    </row>
    <row r="582" spans="1:12" x14ac:dyDescent="0.35">
      <c r="A582" t="s">
        <v>8</v>
      </c>
      <c r="B582" t="s">
        <v>9</v>
      </c>
      <c r="C582" t="s">
        <v>64</v>
      </c>
      <c r="D582" t="str" cm="1">
        <f t="array" ref="D582">INDEX(_xlfn.TEXTSPLIT(C582,"_"),3)</f>
        <v>mult</v>
      </c>
      <c r="E582" t="str">
        <f>VLOOKUP(D582,FranchiseMapping!$A$1:$B$15,2,FALSE)</f>
        <v>Biolage</v>
      </c>
      <c r="F582" s="1">
        <v>45292</v>
      </c>
      <c r="G582" t="s">
        <v>12</v>
      </c>
      <c r="H582" s="2">
        <v>45597</v>
      </c>
      <c r="I582" s="3">
        <v>45618</v>
      </c>
      <c r="J582" s="3">
        <f t="shared" si="9"/>
        <v>45619</v>
      </c>
      <c r="K582" s="4">
        <v>6352.2200060000023</v>
      </c>
      <c r="L582">
        <v>485848</v>
      </c>
    </row>
    <row r="583" spans="1:12" x14ac:dyDescent="0.35">
      <c r="A583" t="s">
        <v>8</v>
      </c>
      <c r="B583" t="s">
        <v>9</v>
      </c>
      <c r="C583" t="s">
        <v>34</v>
      </c>
      <c r="D583" t="str" cm="1">
        <f t="array" ref="D583">INDEX(_xlfn.TEXTSPLIT(C583,"_"),3)</f>
        <v>hydrasource</v>
      </c>
      <c r="E583" t="str">
        <f>VLOOKUP(D583,FranchiseMapping!$A$1:$B$15,2,FALSE)</f>
        <v>Hydrasource</v>
      </c>
      <c r="F583" s="1">
        <v>45292</v>
      </c>
      <c r="G583" t="s">
        <v>12</v>
      </c>
      <c r="H583" s="2">
        <v>45323</v>
      </c>
      <c r="I583" s="3">
        <v>45341</v>
      </c>
      <c r="J583" s="3">
        <f t="shared" si="9"/>
        <v>45346</v>
      </c>
      <c r="K583" s="4">
        <v>917.76999999999987</v>
      </c>
      <c r="L583">
        <v>202918</v>
      </c>
    </row>
    <row r="584" spans="1:12" x14ac:dyDescent="0.35">
      <c r="A584" t="s">
        <v>8</v>
      </c>
      <c r="B584" t="s">
        <v>13</v>
      </c>
      <c r="C584" t="s">
        <v>42</v>
      </c>
      <c r="D584" t="str" cm="1">
        <f t="array" ref="D584">INDEX(_xlfn.TEXTSPLIT(C584,"_"),3)</f>
        <v>bfr</v>
      </c>
      <c r="E584" t="str">
        <f>VLOOKUP(D584,FranchiseMapping!$A$1:$B$15,2,FALSE)</f>
        <v>Full Rescue</v>
      </c>
      <c r="F584" s="1">
        <v>45658</v>
      </c>
      <c r="G584" t="s">
        <v>12</v>
      </c>
      <c r="H584" s="2">
        <v>45809</v>
      </c>
      <c r="I584" s="3">
        <v>45831</v>
      </c>
      <c r="J584" s="3">
        <f t="shared" si="9"/>
        <v>45836</v>
      </c>
      <c r="K584" s="4">
        <v>1411.947216</v>
      </c>
      <c r="L584">
        <v>629951</v>
      </c>
    </row>
    <row r="585" spans="1:12" x14ac:dyDescent="0.35">
      <c r="A585" t="s">
        <v>8</v>
      </c>
      <c r="B585" t="s">
        <v>9</v>
      </c>
      <c r="C585" t="s">
        <v>46</v>
      </c>
      <c r="D585" t="str" cm="1">
        <f t="array" ref="D585">INDEX(_xlfn.TEXTSPLIT(C585,"_"),3)</f>
        <v>mult</v>
      </c>
      <c r="E585" t="str">
        <f>VLOOKUP(D585,FranchiseMapping!$A$1:$B$15,2,FALSE)</f>
        <v>Biolage</v>
      </c>
      <c r="F585" s="1">
        <v>45658</v>
      </c>
      <c r="G585" t="s">
        <v>10</v>
      </c>
      <c r="H585" s="2">
        <v>45809</v>
      </c>
      <c r="I585" s="3">
        <v>45817</v>
      </c>
      <c r="J585" s="3">
        <f t="shared" si="9"/>
        <v>45822</v>
      </c>
      <c r="K585" s="4">
        <v>1854.12</v>
      </c>
      <c r="L585">
        <v>226498</v>
      </c>
    </row>
    <row r="586" spans="1:12" x14ac:dyDescent="0.35">
      <c r="A586" t="s">
        <v>8</v>
      </c>
      <c r="B586" t="s">
        <v>9</v>
      </c>
      <c r="C586" t="s">
        <v>36</v>
      </c>
      <c r="D586" t="str" cm="1">
        <f t="array" ref="D586">INDEX(_xlfn.TEXTSPLIT(C586,"_"),3)</f>
        <v>bfr</v>
      </c>
      <c r="E586" t="str">
        <f>VLOOKUP(D586,FranchiseMapping!$A$1:$B$15,2,FALSE)</f>
        <v>Full Rescue</v>
      </c>
      <c r="F586" s="1">
        <v>45658</v>
      </c>
      <c r="G586" t="s">
        <v>10</v>
      </c>
      <c r="H586" s="2">
        <v>45778</v>
      </c>
      <c r="I586" s="3">
        <v>45807</v>
      </c>
      <c r="J586" s="3">
        <f t="shared" si="9"/>
        <v>45808</v>
      </c>
      <c r="K586" s="4">
        <v>32.53</v>
      </c>
      <c r="L586">
        <v>1267</v>
      </c>
    </row>
    <row r="587" spans="1:12" x14ac:dyDescent="0.35">
      <c r="A587" t="s">
        <v>8</v>
      </c>
      <c r="B587" t="s">
        <v>9</v>
      </c>
      <c r="C587" t="s">
        <v>36</v>
      </c>
      <c r="D587" t="str" cm="1">
        <f t="array" ref="D587">INDEX(_xlfn.TEXTSPLIT(C587,"_"),3)</f>
        <v>bfr</v>
      </c>
      <c r="E587" t="str">
        <f>VLOOKUP(D587,FranchiseMapping!$A$1:$B$15,2,FALSE)</f>
        <v>Full Rescue</v>
      </c>
      <c r="F587" s="1">
        <v>45658</v>
      </c>
      <c r="G587" t="s">
        <v>10</v>
      </c>
      <c r="H587" s="2">
        <v>45809</v>
      </c>
      <c r="I587" s="3">
        <v>45827</v>
      </c>
      <c r="J587" s="3">
        <f t="shared" si="9"/>
        <v>45829</v>
      </c>
      <c r="K587" s="4">
        <v>1407.7000009999999</v>
      </c>
      <c r="L587">
        <v>287058</v>
      </c>
    </row>
    <row r="588" spans="1:12" x14ac:dyDescent="0.35">
      <c r="A588" t="s">
        <v>8</v>
      </c>
      <c r="B588" t="s">
        <v>9</v>
      </c>
      <c r="C588" t="s">
        <v>31</v>
      </c>
      <c r="D588" t="str" cm="1">
        <f t="array" ref="D588">INDEX(_xlfn.TEXTSPLIT(C588,"_"),3)</f>
        <v>scalp</v>
      </c>
      <c r="E588" t="str">
        <f>VLOOKUP(D588,FranchiseMapping!$A$1:$B$15,2,FALSE)</f>
        <v>Scalp Sync</v>
      </c>
      <c r="F588" s="1">
        <v>45292</v>
      </c>
      <c r="G588" t="s">
        <v>10</v>
      </c>
      <c r="H588" s="2">
        <v>45352</v>
      </c>
      <c r="I588" s="3">
        <v>45375</v>
      </c>
      <c r="J588" s="3">
        <f t="shared" si="9"/>
        <v>45381</v>
      </c>
      <c r="K588" s="4">
        <v>1650.8499940000008</v>
      </c>
      <c r="L588">
        <v>256480</v>
      </c>
    </row>
    <row r="589" spans="1:12" x14ac:dyDescent="0.35">
      <c r="A589" t="s">
        <v>8</v>
      </c>
      <c r="B589" t="s">
        <v>9</v>
      </c>
      <c r="C589" t="s">
        <v>38</v>
      </c>
      <c r="D589" t="str" cm="1">
        <f t="array" ref="D589">INDEX(_xlfn.TEXTSPLIT(C589,"_"),3)</f>
        <v>hys</v>
      </c>
      <c r="E589" t="str">
        <f>VLOOKUP(D589,FranchiseMapping!$A$1:$B$15,2,FALSE)</f>
        <v>Hydrasource</v>
      </c>
      <c r="F589" s="1">
        <v>45658</v>
      </c>
      <c r="G589" t="s">
        <v>10</v>
      </c>
      <c r="H589" s="2">
        <v>45748</v>
      </c>
      <c r="I589" s="3">
        <v>45769</v>
      </c>
      <c r="J589" s="3">
        <f t="shared" si="9"/>
        <v>45773</v>
      </c>
      <c r="K589" s="4">
        <v>374.65</v>
      </c>
      <c r="L589">
        <v>17788</v>
      </c>
    </row>
    <row r="590" spans="1:12" x14ac:dyDescent="0.35">
      <c r="A590" t="s">
        <v>8</v>
      </c>
      <c r="B590" t="s">
        <v>9</v>
      </c>
      <c r="C590" t="s">
        <v>35</v>
      </c>
      <c r="D590" t="str" cm="1">
        <f t="array" ref="D590">INDEX(_xlfn.TEXTSPLIT(C590,"_"),3)</f>
        <v>bfr</v>
      </c>
      <c r="E590" t="str">
        <f>VLOOKUP(D590,FranchiseMapping!$A$1:$B$15,2,FALSE)</f>
        <v>Full Rescue</v>
      </c>
      <c r="F590" s="1">
        <v>45658</v>
      </c>
      <c r="G590" t="s">
        <v>10</v>
      </c>
      <c r="H590" s="2">
        <v>45809</v>
      </c>
      <c r="I590" s="3">
        <v>45836</v>
      </c>
      <c r="J590" s="3">
        <f t="shared" si="9"/>
        <v>45836</v>
      </c>
      <c r="K590" s="4">
        <v>211.88999700000005</v>
      </c>
      <c r="L590">
        <v>20345</v>
      </c>
    </row>
    <row r="591" spans="1:12" x14ac:dyDescent="0.35">
      <c r="A591" t="s">
        <v>8</v>
      </c>
      <c r="B591" t="s">
        <v>14</v>
      </c>
      <c r="C591" t="s">
        <v>47</v>
      </c>
      <c r="D591" t="str" cm="1">
        <f t="array" ref="D591">INDEX(_xlfn.TEXTSPLIT(C591,"_"),3)</f>
        <v>hys</v>
      </c>
      <c r="E591" t="str">
        <f>VLOOKUP(D591,FranchiseMapping!$A$1:$B$15,2,FALSE)</f>
        <v>Hydrasource</v>
      </c>
      <c r="F591" s="1">
        <v>45658</v>
      </c>
      <c r="G591" t="s">
        <v>12</v>
      </c>
      <c r="H591" s="2">
        <v>45748</v>
      </c>
      <c r="I591" s="3">
        <v>45759</v>
      </c>
      <c r="J591" s="3">
        <f t="shared" si="9"/>
        <v>45759</v>
      </c>
      <c r="K591" s="4">
        <v>2600.91</v>
      </c>
      <c r="L591">
        <v>640921</v>
      </c>
    </row>
    <row r="592" spans="1:12" x14ac:dyDescent="0.35">
      <c r="A592" t="s">
        <v>8</v>
      </c>
      <c r="B592" t="s">
        <v>9</v>
      </c>
      <c r="C592" t="s">
        <v>48</v>
      </c>
      <c r="D592" t="str" cm="1">
        <f t="array" ref="D592">INDEX(_xlfn.TEXTSPLIT(C592,"_"),3)</f>
        <v>scalp</v>
      </c>
      <c r="E592" t="str">
        <f>VLOOKUP(D592,FranchiseMapping!$A$1:$B$15,2,FALSE)</f>
        <v>Scalp Sync</v>
      </c>
      <c r="F592" s="1">
        <v>45292</v>
      </c>
      <c r="G592" t="s">
        <v>12</v>
      </c>
      <c r="H592" s="2">
        <v>45383</v>
      </c>
      <c r="I592" s="3">
        <v>45386</v>
      </c>
      <c r="J592" s="3">
        <f t="shared" si="9"/>
        <v>45388</v>
      </c>
      <c r="K592" s="4">
        <v>741.47000299999991</v>
      </c>
      <c r="L592">
        <v>184648</v>
      </c>
    </row>
    <row r="593" spans="1:12" x14ac:dyDescent="0.35">
      <c r="A593" t="s">
        <v>8</v>
      </c>
      <c r="B593" t="s">
        <v>14</v>
      </c>
      <c r="C593" t="s">
        <v>43</v>
      </c>
      <c r="D593" t="str" cm="1">
        <f t="array" ref="D593">INDEX(_xlfn.TEXTSPLIT(C593,"_"),3)</f>
        <v>bfr</v>
      </c>
      <c r="E593" t="str">
        <f>VLOOKUP(D593,FranchiseMapping!$A$1:$B$15,2,FALSE)</f>
        <v>Full Rescue</v>
      </c>
      <c r="F593" s="1">
        <v>45658</v>
      </c>
      <c r="G593" t="s">
        <v>10</v>
      </c>
      <c r="H593" s="2">
        <v>45809</v>
      </c>
      <c r="I593" s="3">
        <v>45815</v>
      </c>
      <c r="J593" s="3">
        <f t="shared" si="9"/>
        <v>45815</v>
      </c>
      <c r="K593" s="4">
        <v>592.83999999999992</v>
      </c>
      <c r="L593">
        <v>111383</v>
      </c>
    </row>
    <row r="594" spans="1:12" x14ac:dyDescent="0.35">
      <c r="A594" t="s">
        <v>8</v>
      </c>
      <c r="B594" t="s">
        <v>13</v>
      </c>
      <c r="C594" t="s">
        <v>32</v>
      </c>
      <c r="D594" t="str" cm="1">
        <f t="array" ref="D594">INDEX(_xlfn.TEXTSPLIT(C594,"_"),3)</f>
        <v>na</v>
      </c>
      <c r="E594" t="str">
        <f>VLOOKUP(D594,FranchiseMapping!$A$1:$B$15,2,FALSE)</f>
        <v>Biolage</v>
      </c>
      <c r="F594" s="1">
        <v>44927</v>
      </c>
      <c r="G594" t="s">
        <v>11</v>
      </c>
      <c r="H594" s="2">
        <v>45170</v>
      </c>
      <c r="I594" s="3">
        <v>45172</v>
      </c>
      <c r="J594" s="3">
        <f t="shared" si="9"/>
        <v>45178</v>
      </c>
      <c r="K594" s="4">
        <v>1755.2705329999999</v>
      </c>
      <c r="L594">
        <v>570505</v>
      </c>
    </row>
    <row r="595" spans="1:12" x14ac:dyDescent="0.35">
      <c r="A595" t="s">
        <v>8</v>
      </c>
      <c r="B595" t="s">
        <v>14</v>
      </c>
      <c r="C595" t="s">
        <v>37</v>
      </c>
      <c r="D595" t="str" cm="1">
        <f t="array" ref="D595">INDEX(_xlfn.TEXTSPLIT(C595,"_"),3)</f>
        <v>mult</v>
      </c>
      <c r="E595" t="str">
        <f>VLOOKUP(D595,FranchiseMapping!$A$1:$B$15,2,FALSE)</f>
        <v>Biolage</v>
      </c>
      <c r="F595" s="1">
        <v>45658</v>
      </c>
      <c r="G595" t="s">
        <v>12</v>
      </c>
      <c r="H595" s="2">
        <v>45717</v>
      </c>
      <c r="I595" s="3">
        <v>45742</v>
      </c>
      <c r="J595" s="3">
        <f t="shared" si="9"/>
        <v>45745</v>
      </c>
      <c r="K595" s="4">
        <v>2058.1</v>
      </c>
      <c r="L595">
        <v>494230</v>
      </c>
    </row>
    <row r="596" spans="1:12" x14ac:dyDescent="0.35">
      <c r="A596" t="s">
        <v>8</v>
      </c>
      <c r="B596" t="s">
        <v>9</v>
      </c>
      <c r="C596" t="s">
        <v>68</v>
      </c>
      <c r="D596" t="str" cm="1">
        <f t="array" ref="D596">INDEX(_xlfn.TEXTSPLIT(C596,"_"),3)</f>
        <v>na</v>
      </c>
      <c r="E596" t="str">
        <f>VLOOKUP(D596,FranchiseMapping!$A$1:$B$15,2,FALSE)</f>
        <v>Biolage</v>
      </c>
      <c r="F596" s="1">
        <v>44927</v>
      </c>
      <c r="G596" t="s">
        <v>11</v>
      </c>
      <c r="H596" s="2">
        <v>45231</v>
      </c>
      <c r="I596" s="3">
        <v>45239</v>
      </c>
      <c r="J596" s="3">
        <f t="shared" si="9"/>
        <v>45241</v>
      </c>
      <c r="K596" s="4">
        <v>323.70999799999981</v>
      </c>
      <c r="L596">
        <v>33720</v>
      </c>
    </row>
    <row r="597" spans="1:12" x14ac:dyDescent="0.35">
      <c r="A597" t="s">
        <v>8</v>
      </c>
      <c r="B597" t="s">
        <v>9</v>
      </c>
      <c r="C597" t="s">
        <v>33</v>
      </c>
      <c r="D597" t="str" cm="1">
        <f t="array" ref="D597">INDEX(_xlfn.TEXTSPLIT(C597,"_"),3)</f>
        <v>hydrasource</v>
      </c>
      <c r="E597" t="str">
        <f>VLOOKUP(D597,FranchiseMapping!$A$1:$B$15,2,FALSE)</f>
        <v>Hydrasource</v>
      </c>
      <c r="F597" s="1">
        <v>45292</v>
      </c>
      <c r="G597" t="s">
        <v>11</v>
      </c>
      <c r="H597" s="2">
        <v>45323</v>
      </c>
      <c r="I597" s="3">
        <v>45348</v>
      </c>
      <c r="J597" s="3">
        <f t="shared" si="9"/>
        <v>45353</v>
      </c>
      <c r="K597" s="4">
        <v>1263.049998</v>
      </c>
      <c r="L597">
        <v>181953</v>
      </c>
    </row>
    <row r="598" spans="1:12" x14ac:dyDescent="0.35">
      <c r="A598" t="s">
        <v>8</v>
      </c>
      <c r="B598" t="s">
        <v>9</v>
      </c>
      <c r="C598" t="s">
        <v>33</v>
      </c>
      <c r="D598" t="str" cm="1">
        <f t="array" ref="D598">INDEX(_xlfn.TEXTSPLIT(C598,"_"),3)</f>
        <v>hydrasource</v>
      </c>
      <c r="E598" t="str">
        <f>VLOOKUP(D598,FranchiseMapping!$A$1:$B$15,2,FALSE)</f>
        <v>Hydrasource</v>
      </c>
      <c r="F598" s="1">
        <v>45292</v>
      </c>
      <c r="G598" t="s">
        <v>11</v>
      </c>
      <c r="H598" s="2">
        <v>45292</v>
      </c>
      <c r="I598" s="3">
        <v>45317</v>
      </c>
      <c r="J598" s="3">
        <f t="shared" si="9"/>
        <v>45318</v>
      </c>
      <c r="K598" s="4">
        <v>1427.730002</v>
      </c>
      <c r="L598">
        <v>301633</v>
      </c>
    </row>
    <row r="599" spans="1:12" x14ac:dyDescent="0.35">
      <c r="A599" t="s">
        <v>8</v>
      </c>
      <c r="B599" t="s">
        <v>14</v>
      </c>
      <c r="C599" t="s">
        <v>29</v>
      </c>
      <c r="D599" t="str" cm="1">
        <f t="array" ref="D599">INDEX(_xlfn.TEXTSPLIT(C599,"_"),3)</f>
        <v>bfr</v>
      </c>
      <c r="E599" t="str">
        <f>VLOOKUP(D599,FranchiseMapping!$A$1:$B$15,2,FALSE)</f>
        <v>Full Rescue</v>
      </c>
      <c r="F599" s="1">
        <v>45658</v>
      </c>
      <c r="G599" t="s">
        <v>10</v>
      </c>
      <c r="H599" s="2">
        <v>45809</v>
      </c>
      <c r="I599" s="3">
        <v>45825</v>
      </c>
      <c r="J599" s="3">
        <f t="shared" si="9"/>
        <v>45829</v>
      </c>
      <c r="K599" s="4">
        <v>1746.5300000000002</v>
      </c>
      <c r="L599">
        <v>236205</v>
      </c>
    </row>
    <row r="600" spans="1:12" x14ac:dyDescent="0.35">
      <c r="A600" t="s">
        <v>8</v>
      </c>
      <c r="B600" t="s">
        <v>9</v>
      </c>
      <c r="C600" t="s">
        <v>65</v>
      </c>
      <c r="D600" t="str" cm="1">
        <f t="array" ref="D600">INDEX(_xlfn.TEXTSPLIT(C600,"_"),3)</f>
        <v>prime-day</v>
      </c>
      <c r="E600" t="str">
        <f>VLOOKUP(D600,FranchiseMapping!$A$1:$B$15,2,FALSE)</f>
        <v>Prime Day</v>
      </c>
      <c r="F600" s="1">
        <v>45292</v>
      </c>
      <c r="G600" t="s">
        <v>10</v>
      </c>
      <c r="H600" s="2">
        <v>45474</v>
      </c>
      <c r="I600" s="3">
        <v>45480</v>
      </c>
      <c r="J600" s="3">
        <f t="shared" si="9"/>
        <v>45486</v>
      </c>
      <c r="K600" s="4">
        <v>2619.4600019999993</v>
      </c>
      <c r="L600">
        <v>305723</v>
      </c>
    </row>
    <row r="601" spans="1:12" x14ac:dyDescent="0.35">
      <c r="A601" t="s">
        <v>8</v>
      </c>
      <c r="B601" t="s">
        <v>13</v>
      </c>
      <c r="C601" t="s">
        <v>32</v>
      </c>
      <c r="D601" t="str" cm="1">
        <f t="array" ref="D601">INDEX(_xlfn.TEXTSPLIT(C601,"_"),3)</f>
        <v>na</v>
      </c>
      <c r="E601" t="str">
        <f>VLOOKUP(D601,FranchiseMapping!$A$1:$B$15,2,FALSE)</f>
        <v>Biolage</v>
      </c>
      <c r="F601" s="1">
        <v>44927</v>
      </c>
      <c r="G601" t="s">
        <v>11</v>
      </c>
      <c r="H601" s="2">
        <v>45139</v>
      </c>
      <c r="I601" s="3">
        <v>45163</v>
      </c>
      <c r="J601" s="3">
        <f t="shared" si="9"/>
        <v>45164</v>
      </c>
      <c r="K601" s="4">
        <v>1771.8369740000001</v>
      </c>
      <c r="L601">
        <v>536195</v>
      </c>
    </row>
    <row r="602" spans="1:12" x14ac:dyDescent="0.35">
      <c r="A602" t="s">
        <v>8</v>
      </c>
      <c r="B602" t="s">
        <v>9</v>
      </c>
      <c r="C602" t="s">
        <v>72</v>
      </c>
      <c r="D602" t="str" cm="1">
        <f t="array" ref="D602">INDEX(_xlfn.TEXTSPLIT(C602,"_"),3)</f>
        <v>mult</v>
      </c>
      <c r="E602" t="str">
        <f>VLOOKUP(D602,FranchiseMapping!$A$1:$B$15,2,FALSE)</f>
        <v>Biolage</v>
      </c>
      <c r="F602" s="1">
        <v>45658</v>
      </c>
      <c r="G602" t="s">
        <v>12</v>
      </c>
      <c r="H602" s="2">
        <v>45689</v>
      </c>
      <c r="I602" s="3">
        <v>45713</v>
      </c>
      <c r="J602" s="3">
        <f t="shared" si="9"/>
        <v>45717</v>
      </c>
      <c r="K602" s="4">
        <v>7284.8300029999991</v>
      </c>
      <c r="L602">
        <v>811028</v>
      </c>
    </row>
    <row r="603" spans="1:12" x14ac:dyDescent="0.35">
      <c r="A603" t="s">
        <v>8</v>
      </c>
      <c r="B603" t="s">
        <v>13</v>
      </c>
      <c r="C603" t="s">
        <v>59</v>
      </c>
      <c r="D603" t="str" cm="1">
        <f t="array" ref="D603">INDEX(_xlfn.TEXTSPLIT(C603,"_"),3)</f>
        <v>scalp-sync</v>
      </c>
      <c r="E603" t="str">
        <f>VLOOKUP(D603,FranchiseMapping!$A$1:$B$15,2,FALSE)</f>
        <v>Scalp Sync</v>
      </c>
      <c r="F603" s="1">
        <v>45292</v>
      </c>
      <c r="G603" t="s">
        <v>11</v>
      </c>
      <c r="H603" s="2">
        <v>45383</v>
      </c>
      <c r="I603" s="3">
        <v>45412</v>
      </c>
      <c r="J603" s="3">
        <f t="shared" si="9"/>
        <v>45416</v>
      </c>
      <c r="K603" s="4">
        <v>3362.0937419999996</v>
      </c>
      <c r="L603">
        <v>1564796</v>
      </c>
    </row>
    <row r="604" spans="1:12" x14ac:dyDescent="0.35">
      <c r="A604" t="s">
        <v>8</v>
      </c>
      <c r="B604" t="s">
        <v>9</v>
      </c>
      <c r="C604" t="s">
        <v>41</v>
      </c>
      <c r="D604" t="str" cm="1">
        <f t="array" ref="D604">INDEX(_xlfn.TEXTSPLIT(C604,"_"),3)</f>
        <v>hys</v>
      </c>
      <c r="E604" t="str">
        <f>VLOOKUP(D604,FranchiseMapping!$A$1:$B$15,2,FALSE)</f>
        <v>Hydrasource</v>
      </c>
      <c r="F604" s="1">
        <v>45658</v>
      </c>
      <c r="G604" t="s">
        <v>12</v>
      </c>
      <c r="H604" s="2">
        <v>45748</v>
      </c>
      <c r="I604" s="3">
        <v>45754</v>
      </c>
      <c r="J604" s="3">
        <f t="shared" si="9"/>
        <v>45759</v>
      </c>
      <c r="K604" s="4">
        <v>4031.6300049999995</v>
      </c>
      <c r="L604">
        <v>472173</v>
      </c>
    </row>
    <row r="605" spans="1:12" x14ac:dyDescent="0.35">
      <c r="A605" t="s">
        <v>8</v>
      </c>
      <c r="B605" t="s">
        <v>14</v>
      </c>
      <c r="C605" t="s">
        <v>47</v>
      </c>
      <c r="D605" t="str" cm="1">
        <f t="array" ref="D605">INDEX(_xlfn.TEXTSPLIT(C605,"_"),3)</f>
        <v>hys</v>
      </c>
      <c r="E605" t="str">
        <f>VLOOKUP(D605,FranchiseMapping!$A$1:$B$15,2,FALSE)</f>
        <v>Hydrasource</v>
      </c>
      <c r="F605" s="1">
        <v>45658</v>
      </c>
      <c r="G605" t="s">
        <v>12</v>
      </c>
      <c r="H605" s="2">
        <v>45748</v>
      </c>
      <c r="I605" s="3">
        <v>45755</v>
      </c>
      <c r="J605" s="3">
        <f t="shared" si="9"/>
        <v>45759</v>
      </c>
      <c r="K605" s="4">
        <v>1350.1499999999999</v>
      </c>
      <c r="L605">
        <v>244793</v>
      </c>
    </row>
    <row r="606" spans="1:12" x14ac:dyDescent="0.35">
      <c r="A606" t="s">
        <v>8</v>
      </c>
      <c r="B606" t="s">
        <v>9</v>
      </c>
      <c r="C606" t="s">
        <v>34</v>
      </c>
      <c r="D606" t="str" cm="1">
        <f t="array" ref="D606">INDEX(_xlfn.TEXTSPLIT(C606,"_"),3)</f>
        <v>hydrasource</v>
      </c>
      <c r="E606" t="str">
        <f>VLOOKUP(D606,FranchiseMapping!$A$1:$B$15,2,FALSE)</f>
        <v>Hydrasource</v>
      </c>
      <c r="F606" s="1">
        <v>45292</v>
      </c>
      <c r="G606" t="s">
        <v>12</v>
      </c>
      <c r="H606" s="2">
        <v>45292</v>
      </c>
      <c r="I606" s="3">
        <v>45322</v>
      </c>
      <c r="J606" s="3">
        <f t="shared" si="9"/>
        <v>45325</v>
      </c>
      <c r="K606" s="4">
        <v>640.93999900000006</v>
      </c>
      <c r="L606">
        <v>153021</v>
      </c>
    </row>
    <row r="607" spans="1:12" x14ac:dyDescent="0.35">
      <c r="A607" t="s">
        <v>8</v>
      </c>
      <c r="B607" t="s">
        <v>9</v>
      </c>
      <c r="C607" t="s">
        <v>54</v>
      </c>
      <c r="D607" t="str" cm="1">
        <f t="array" ref="D607">INDEX(_xlfn.TEXTSPLIT(C607,"_"),3)</f>
        <v>scalp</v>
      </c>
      <c r="E607" t="str">
        <f>VLOOKUP(D607,FranchiseMapping!$A$1:$B$15,2,FALSE)</f>
        <v>Scalp Sync</v>
      </c>
      <c r="F607" s="1">
        <v>45292</v>
      </c>
      <c r="G607" t="s">
        <v>10</v>
      </c>
      <c r="H607" s="2">
        <v>45352</v>
      </c>
      <c r="I607" s="3">
        <v>45355</v>
      </c>
      <c r="J607" s="3">
        <f t="shared" si="9"/>
        <v>45360</v>
      </c>
      <c r="K607" s="4">
        <v>1140.8999909999998</v>
      </c>
      <c r="L607">
        <v>239438</v>
      </c>
    </row>
    <row r="608" spans="1:12" x14ac:dyDescent="0.35">
      <c r="A608" t="s">
        <v>8</v>
      </c>
      <c r="B608" t="s">
        <v>13</v>
      </c>
      <c r="C608" t="s">
        <v>59</v>
      </c>
      <c r="D608" t="str" cm="1">
        <f t="array" ref="D608">INDEX(_xlfn.TEXTSPLIT(C608,"_"),3)</f>
        <v>scalp-sync</v>
      </c>
      <c r="E608" t="str">
        <f>VLOOKUP(D608,FranchiseMapping!$A$1:$B$15,2,FALSE)</f>
        <v>Scalp Sync</v>
      </c>
      <c r="F608" s="1">
        <v>45292</v>
      </c>
      <c r="G608" t="s">
        <v>11</v>
      </c>
      <c r="H608" s="2">
        <v>45413</v>
      </c>
      <c r="I608" s="3">
        <v>45415</v>
      </c>
      <c r="J608" s="3">
        <f t="shared" si="9"/>
        <v>45416</v>
      </c>
      <c r="K608" s="4">
        <v>3356.5777950000002</v>
      </c>
      <c r="L608">
        <v>1559358</v>
      </c>
    </row>
    <row r="609" spans="1:12" x14ac:dyDescent="0.35">
      <c r="A609" t="s">
        <v>8</v>
      </c>
      <c r="B609" t="s">
        <v>13</v>
      </c>
      <c r="C609" t="s">
        <v>42</v>
      </c>
      <c r="D609" t="str" cm="1">
        <f t="array" ref="D609">INDEX(_xlfn.TEXTSPLIT(C609,"_"),3)</f>
        <v>bfr</v>
      </c>
      <c r="E609" t="str">
        <f>VLOOKUP(D609,FranchiseMapping!$A$1:$B$15,2,FALSE)</f>
        <v>Full Rescue</v>
      </c>
      <c r="F609" s="1">
        <v>45658</v>
      </c>
      <c r="G609" t="s">
        <v>10</v>
      </c>
      <c r="H609" s="2">
        <v>45809</v>
      </c>
      <c r="I609" s="3">
        <v>45824</v>
      </c>
      <c r="J609" s="3">
        <f t="shared" si="9"/>
        <v>45829</v>
      </c>
      <c r="K609" s="4">
        <v>285.09910000000002</v>
      </c>
      <c r="L609">
        <v>135797</v>
      </c>
    </row>
    <row r="610" spans="1:12" x14ac:dyDescent="0.35">
      <c r="A610" t="s">
        <v>8</v>
      </c>
      <c r="B610" t="s">
        <v>14</v>
      </c>
      <c r="C610" t="s">
        <v>37</v>
      </c>
      <c r="D610" t="str" cm="1">
        <f t="array" ref="D610">INDEX(_xlfn.TEXTSPLIT(C610,"_"),3)</f>
        <v>mult</v>
      </c>
      <c r="E610" t="str">
        <f>VLOOKUP(D610,FranchiseMapping!$A$1:$B$15,2,FALSE)</f>
        <v>Biolage</v>
      </c>
      <c r="F610" s="1">
        <v>45658</v>
      </c>
      <c r="G610" t="s">
        <v>12</v>
      </c>
      <c r="H610" s="2">
        <v>45717</v>
      </c>
      <c r="I610" s="3">
        <v>45743</v>
      </c>
      <c r="J610" s="3">
        <f t="shared" si="9"/>
        <v>45745</v>
      </c>
      <c r="K610" s="4">
        <v>2153.25</v>
      </c>
      <c r="L610">
        <v>496235</v>
      </c>
    </row>
    <row r="611" spans="1:12" x14ac:dyDescent="0.35">
      <c r="A611" t="s">
        <v>8</v>
      </c>
      <c r="B611" t="s">
        <v>9</v>
      </c>
      <c r="C611" t="s">
        <v>53</v>
      </c>
      <c r="D611" t="str" cm="1">
        <f t="array" ref="D611">INDEX(_xlfn.TEXTSPLIT(C611,"_"),3)</f>
        <v>bond-therapy</v>
      </c>
      <c r="E611" t="str">
        <f>VLOOKUP(D611,FranchiseMapping!$A$1:$B$15,2,FALSE)</f>
        <v>Bond Therapy</v>
      </c>
      <c r="F611" s="1">
        <v>44927</v>
      </c>
      <c r="G611" t="s">
        <v>11</v>
      </c>
      <c r="H611" s="2">
        <v>45231</v>
      </c>
      <c r="I611" s="3">
        <v>45258</v>
      </c>
      <c r="J611" s="3">
        <f t="shared" si="9"/>
        <v>45262</v>
      </c>
      <c r="K611" s="4">
        <v>1268.4200010000002</v>
      </c>
      <c r="L611">
        <v>200083</v>
      </c>
    </row>
    <row r="612" spans="1:12" x14ac:dyDescent="0.35">
      <c r="A612" t="s">
        <v>8</v>
      </c>
      <c r="B612" t="s">
        <v>9</v>
      </c>
      <c r="C612" t="s">
        <v>67</v>
      </c>
      <c r="D612" t="str" cm="1">
        <f t="array" ref="D612">INDEX(_xlfn.TEXTSPLIT(C612,"_"),3)</f>
        <v>prime-day</v>
      </c>
      <c r="E612" t="str">
        <f>VLOOKUP(D612,FranchiseMapping!$A$1:$B$15,2,FALSE)</f>
        <v>Prime Day</v>
      </c>
      <c r="F612" s="1">
        <v>45292</v>
      </c>
      <c r="G612" t="s">
        <v>10</v>
      </c>
      <c r="H612" s="2">
        <v>45474</v>
      </c>
      <c r="I612" s="3">
        <v>45481</v>
      </c>
      <c r="J612" s="3">
        <f t="shared" si="9"/>
        <v>45486</v>
      </c>
      <c r="K612" s="4">
        <v>2436.0500030000003</v>
      </c>
      <c r="L612">
        <v>263473</v>
      </c>
    </row>
    <row r="613" spans="1:12" x14ac:dyDescent="0.35">
      <c r="A613" t="s">
        <v>8</v>
      </c>
      <c r="B613" t="s">
        <v>9</v>
      </c>
      <c r="C613" t="s">
        <v>40</v>
      </c>
      <c r="D613" t="str" cm="1">
        <f t="array" ref="D613">INDEX(_xlfn.TEXTSPLIT(C613,"_"),3)</f>
        <v>hydrasource</v>
      </c>
      <c r="E613" t="str">
        <f>VLOOKUP(D613,FranchiseMapping!$A$1:$B$15,2,FALSE)</f>
        <v>Hydrasource</v>
      </c>
      <c r="F613" s="1">
        <v>45292</v>
      </c>
      <c r="G613" t="s">
        <v>12</v>
      </c>
      <c r="H613" s="2">
        <v>45323</v>
      </c>
      <c r="I613" s="3">
        <v>45350</v>
      </c>
      <c r="J613" s="3">
        <f t="shared" si="9"/>
        <v>45353</v>
      </c>
      <c r="K613" s="4">
        <v>3131.6800020000001</v>
      </c>
      <c r="L613">
        <v>497738</v>
      </c>
    </row>
    <row r="614" spans="1:12" x14ac:dyDescent="0.35">
      <c r="A614" t="s">
        <v>8</v>
      </c>
      <c r="B614" t="s">
        <v>14</v>
      </c>
      <c r="C614" t="s">
        <v>37</v>
      </c>
      <c r="D614" t="str" cm="1">
        <f t="array" ref="D614">INDEX(_xlfn.TEXTSPLIT(C614,"_"),3)</f>
        <v>mult</v>
      </c>
      <c r="E614" t="str">
        <f>VLOOKUP(D614,FranchiseMapping!$A$1:$B$15,2,FALSE)</f>
        <v>Biolage</v>
      </c>
      <c r="F614" s="1">
        <v>45658</v>
      </c>
      <c r="G614" t="s">
        <v>12</v>
      </c>
      <c r="H614" s="2">
        <v>45748</v>
      </c>
      <c r="I614" s="3">
        <v>45770</v>
      </c>
      <c r="J614" s="3">
        <f t="shared" si="9"/>
        <v>45773</v>
      </c>
      <c r="K614" s="4">
        <v>2.81</v>
      </c>
      <c r="L614">
        <v>899</v>
      </c>
    </row>
    <row r="615" spans="1:12" x14ac:dyDescent="0.35">
      <c r="A615" t="s">
        <v>8</v>
      </c>
      <c r="B615" t="s">
        <v>9</v>
      </c>
      <c r="C615" t="s">
        <v>30</v>
      </c>
      <c r="D615" t="str" cm="1">
        <f t="array" ref="D615">INDEX(_xlfn.TEXTSPLIT(C615,"_"),3)</f>
        <v>q3-haca-colorlast</v>
      </c>
      <c r="E615" t="str">
        <f>VLOOKUP(D615,FranchiseMapping!$A$1:$B$15,2,FALSE)</f>
        <v>Color Last</v>
      </c>
      <c r="F615" s="1">
        <v>44927</v>
      </c>
      <c r="G615" t="s">
        <v>10</v>
      </c>
      <c r="H615" s="2">
        <v>45139</v>
      </c>
      <c r="I615" s="3">
        <v>45152</v>
      </c>
      <c r="J615" s="3">
        <f t="shared" si="9"/>
        <v>45157</v>
      </c>
      <c r="K615" s="4">
        <v>3886.1700059999998</v>
      </c>
      <c r="L615">
        <v>620153</v>
      </c>
    </row>
    <row r="616" spans="1:12" x14ac:dyDescent="0.35">
      <c r="A616" t="s">
        <v>8</v>
      </c>
      <c r="B616" t="s">
        <v>9</v>
      </c>
      <c r="C616" t="s">
        <v>35</v>
      </c>
      <c r="D616" t="str" cm="1">
        <f t="array" ref="D616">INDEX(_xlfn.TEXTSPLIT(C616,"_"),3)</f>
        <v>bfr</v>
      </c>
      <c r="E616" t="str">
        <f>VLOOKUP(D616,FranchiseMapping!$A$1:$B$15,2,FALSE)</f>
        <v>Full Rescue</v>
      </c>
      <c r="F616" s="1">
        <v>45658</v>
      </c>
      <c r="G616" t="s">
        <v>12</v>
      </c>
      <c r="H616" s="2">
        <v>45809</v>
      </c>
      <c r="I616" s="3">
        <v>45823</v>
      </c>
      <c r="J616" s="3">
        <f t="shared" si="9"/>
        <v>45829</v>
      </c>
      <c r="K616" s="4">
        <v>1741.1699999999998</v>
      </c>
      <c r="L616">
        <v>161810</v>
      </c>
    </row>
    <row r="617" spans="1:12" x14ac:dyDescent="0.35">
      <c r="A617" t="s">
        <v>8</v>
      </c>
      <c r="B617" t="s">
        <v>9</v>
      </c>
      <c r="C617" t="s">
        <v>40</v>
      </c>
      <c r="D617" t="str" cm="1">
        <f t="array" ref="D617">INDEX(_xlfn.TEXTSPLIT(C617,"_"),3)</f>
        <v>hydrasource</v>
      </c>
      <c r="E617" t="str">
        <f>VLOOKUP(D617,FranchiseMapping!$A$1:$B$15,2,FALSE)</f>
        <v>Hydrasource</v>
      </c>
      <c r="F617" s="1">
        <v>45292</v>
      </c>
      <c r="G617" t="s">
        <v>12</v>
      </c>
      <c r="H617" s="2">
        <v>45323</v>
      </c>
      <c r="I617" s="3">
        <v>45342</v>
      </c>
      <c r="J617" s="3">
        <f t="shared" si="9"/>
        <v>45346</v>
      </c>
      <c r="K617" s="4">
        <v>780.40999899999997</v>
      </c>
      <c r="L617">
        <v>141125</v>
      </c>
    </row>
    <row r="618" spans="1:12" x14ac:dyDescent="0.35">
      <c r="A618" t="s">
        <v>8</v>
      </c>
      <c r="B618" t="s">
        <v>13</v>
      </c>
      <c r="C618" t="s">
        <v>51</v>
      </c>
      <c r="D618" t="str" cm="1">
        <f t="array" ref="D618">INDEX(_xlfn.TEXTSPLIT(C618,"_"),3)</f>
        <v>na</v>
      </c>
      <c r="E618" t="str">
        <f>VLOOKUP(D618,FranchiseMapping!$A$1:$B$15,2,FALSE)</f>
        <v>Biolage</v>
      </c>
      <c r="F618" s="1">
        <v>44927</v>
      </c>
      <c r="G618" t="s">
        <v>11</v>
      </c>
      <c r="H618" s="2">
        <v>45108</v>
      </c>
      <c r="I618" s="3">
        <v>45132</v>
      </c>
      <c r="J618" s="3">
        <f t="shared" si="9"/>
        <v>45136</v>
      </c>
      <c r="K618" s="4">
        <v>637.35751899999991</v>
      </c>
      <c r="L618">
        <v>395299</v>
      </c>
    </row>
    <row r="619" spans="1:12" x14ac:dyDescent="0.35">
      <c r="A619" t="s">
        <v>8</v>
      </c>
      <c r="B619" t="s">
        <v>9</v>
      </c>
      <c r="C619" t="s">
        <v>56</v>
      </c>
      <c r="D619" t="str" cm="1">
        <f t="array" ref="D619">INDEX(_xlfn.TEXTSPLIT(C619,"_"),3)</f>
        <v>haca-colorlast-q3</v>
      </c>
      <c r="E619" t="str">
        <f>VLOOKUP(D619,FranchiseMapping!$A$1:$B$15,2,FALSE)</f>
        <v>Color Last</v>
      </c>
      <c r="F619" s="1">
        <v>44927</v>
      </c>
      <c r="G619" t="s">
        <v>10</v>
      </c>
      <c r="H619" s="2">
        <v>45139</v>
      </c>
      <c r="I619" s="3">
        <v>45145</v>
      </c>
      <c r="J619" s="3">
        <f t="shared" si="9"/>
        <v>45150</v>
      </c>
      <c r="K619" s="4">
        <v>819.4699999999998</v>
      </c>
      <c r="L619">
        <v>119356</v>
      </c>
    </row>
    <row r="620" spans="1:12" x14ac:dyDescent="0.35">
      <c r="A620" t="s">
        <v>8</v>
      </c>
      <c r="B620" t="s">
        <v>9</v>
      </c>
      <c r="C620" t="s">
        <v>30</v>
      </c>
      <c r="D620" t="str" cm="1">
        <f t="array" ref="D620">INDEX(_xlfn.TEXTSPLIT(C620,"_"),3)</f>
        <v>q3-haca-colorlast</v>
      </c>
      <c r="E620" t="str">
        <f>VLOOKUP(D620,FranchiseMapping!$A$1:$B$15,2,FALSE)</f>
        <v>Color Last</v>
      </c>
      <c r="F620" s="1">
        <v>44927</v>
      </c>
      <c r="G620" t="s">
        <v>10</v>
      </c>
      <c r="H620" s="2">
        <v>45139</v>
      </c>
      <c r="I620" s="3">
        <v>45145</v>
      </c>
      <c r="J620" s="3">
        <f t="shared" si="9"/>
        <v>45150</v>
      </c>
      <c r="K620" s="4">
        <v>3458.8199950000003</v>
      </c>
      <c r="L620">
        <v>593403</v>
      </c>
    </row>
    <row r="621" spans="1:12" x14ac:dyDescent="0.35">
      <c r="A621" t="s">
        <v>8</v>
      </c>
      <c r="B621" t="s">
        <v>9</v>
      </c>
      <c r="C621" t="s">
        <v>67</v>
      </c>
      <c r="D621" t="str" cm="1">
        <f t="array" ref="D621">INDEX(_xlfn.TEXTSPLIT(C621,"_"),3)</f>
        <v>prime-day</v>
      </c>
      <c r="E621" t="str">
        <f>VLOOKUP(D621,FranchiseMapping!$A$1:$B$15,2,FALSE)</f>
        <v>Prime Day</v>
      </c>
      <c r="F621" s="1">
        <v>45292</v>
      </c>
      <c r="G621" t="s">
        <v>10</v>
      </c>
      <c r="H621" s="2">
        <v>45474</v>
      </c>
      <c r="I621" s="3">
        <v>45483</v>
      </c>
      <c r="J621" s="3">
        <f t="shared" si="9"/>
        <v>45486</v>
      </c>
      <c r="K621" s="4">
        <v>2387.5200070000001</v>
      </c>
      <c r="L621">
        <v>216788</v>
      </c>
    </row>
    <row r="622" spans="1:12" x14ac:dyDescent="0.35">
      <c r="A622" t="s">
        <v>8</v>
      </c>
      <c r="B622" t="s">
        <v>9</v>
      </c>
      <c r="C622" t="s">
        <v>30</v>
      </c>
      <c r="D622" t="str" cm="1">
        <f t="array" ref="D622">INDEX(_xlfn.TEXTSPLIT(C622,"_"),3)</f>
        <v>q3-haca-colorlast</v>
      </c>
      <c r="E622" t="str">
        <f>VLOOKUP(D622,FranchiseMapping!$A$1:$B$15,2,FALSE)</f>
        <v>Color Last</v>
      </c>
      <c r="F622" s="1">
        <v>44927</v>
      </c>
      <c r="G622" t="s">
        <v>10</v>
      </c>
      <c r="H622" s="2">
        <v>45108</v>
      </c>
      <c r="I622" s="3">
        <v>45127</v>
      </c>
      <c r="J622" s="3">
        <f t="shared" si="9"/>
        <v>45129</v>
      </c>
      <c r="K622" s="4">
        <v>2547.6600000000003</v>
      </c>
      <c r="L622">
        <v>305508</v>
      </c>
    </row>
    <row r="623" spans="1:12" x14ac:dyDescent="0.35">
      <c r="A623" t="s">
        <v>8</v>
      </c>
      <c r="B623" t="s">
        <v>13</v>
      </c>
      <c r="C623" t="s">
        <v>39</v>
      </c>
      <c r="D623" t="str" cm="1">
        <f t="array" ref="D623">INDEX(_xlfn.TEXTSPLIT(C623,"_"),3)</f>
        <v>scalp-sync</v>
      </c>
      <c r="E623" t="str">
        <f>VLOOKUP(D623,FranchiseMapping!$A$1:$B$15,2,FALSE)</f>
        <v>Scalp Sync</v>
      </c>
      <c r="F623" s="1">
        <v>45292</v>
      </c>
      <c r="G623" t="s">
        <v>12</v>
      </c>
      <c r="H623" s="2">
        <v>45383</v>
      </c>
      <c r="I623" s="3">
        <v>45405</v>
      </c>
      <c r="J623" s="3">
        <f t="shared" si="9"/>
        <v>45409</v>
      </c>
      <c r="K623" s="4">
        <v>1860.247932</v>
      </c>
      <c r="L623">
        <v>398997</v>
      </c>
    </row>
    <row r="624" spans="1:12" x14ac:dyDescent="0.35">
      <c r="A624" t="s">
        <v>8</v>
      </c>
      <c r="B624" t="s">
        <v>9</v>
      </c>
      <c r="C624" t="s">
        <v>55</v>
      </c>
      <c r="D624" t="str" cm="1">
        <f t="array" ref="D624">INDEX(_xlfn.TEXTSPLIT(C624,"_"),3)</f>
        <v>hydrasource</v>
      </c>
      <c r="E624" t="str">
        <f>VLOOKUP(D624,FranchiseMapping!$A$1:$B$15,2,FALSE)</f>
        <v>Hydrasource</v>
      </c>
      <c r="F624" s="1">
        <v>45292</v>
      </c>
      <c r="G624" t="s">
        <v>12</v>
      </c>
      <c r="H624" s="2">
        <v>45536</v>
      </c>
      <c r="I624" s="3">
        <v>45561</v>
      </c>
      <c r="J624" s="3">
        <f t="shared" si="9"/>
        <v>45563</v>
      </c>
      <c r="K624" s="4">
        <v>3746.9099930000007</v>
      </c>
      <c r="L624">
        <v>628906</v>
      </c>
    </row>
    <row r="625" spans="1:12" x14ac:dyDescent="0.35">
      <c r="A625" t="s">
        <v>8</v>
      </c>
      <c r="B625" t="s">
        <v>13</v>
      </c>
      <c r="C625" t="s">
        <v>28</v>
      </c>
      <c r="D625" t="str" cm="1">
        <f t="array" ref="D625">INDEX(_xlfn.TEXTSPLIT(C625,"_"),3)</f>
        <v>na</v>
      </c>
      <c r="E625" t="str">
        <f>VLOOKUP(D625,FranchiseMapping!$A$1:$B$15,2,FALSE)</f>
        <v>Biolage</v>
      </c>
      <c r="F625" s="1">
        <v>44927</v>
      </c>
      <c r="G625" t="s">
        <v>10</v>
      </c>
      <c r="H625" s="2">
        <v>45139</v>
      </c>
      <c r="I625" s="3">
        <v>45150</v>
      </c>
      <c r="J625" s="3">
        <f t="shared" si="9"/>
        <v>45150</v>
      </c>
      <c r="K625" s="4">
        <v>1026.3521040000001</v>
      </c>
      <c r="L625">
        <v>161939</v>
      </c>
    </row>
    <row r="626" spans="1:12" x14ac:dyDescent="0.35">
      <c r="A626" t="s">
        <v>8</v>
      </c>
      <c r="B626" t="s">
        <v>14</v>
      </c>
      <c r="C626" t="s">
        <v>47</v>
      </c>
      <c r="D626" t="str" cm="1">
        <f t="array" ref="D626">INDEX(_xlfn.TEXTSPLIT(C626,"_"),3)</f>
        <v>hys</v>
      </c>
      <c r="E626" t="str">
        <f>VLOOKUP(D626,FranchiseMapping!$A$1:$B$15,2,FALSE)</f>
        <v>Hydrasource</v>
      </c>
      <c r="F626" s="1">
        <v>45658</v>
      </c>
      <c r="G626" t="s">
        <v>10</v>
      </c>
      <c r="H626" s="2">
        <v>45748</v>
      </c>
      <c r="I626" s="3">
        <v>45750</v>
      </c>
      <c r="J626" s="3">
        <f t="shared" si="9"/>
        <v>45752</v>
      </c>
      <c r="K626" s="4">
        <v>3669.52</v>
      </c>
      <c r="L626">
        <v>816505</v>
      </c>
    </row>
    <row r="627" spans="1:12" x14ac:dyDescent="0.35">
      <c r="A627" t="s">
        <v>8</v>
      </c>
      <c r="B627" t="s">
        <v>9</v>
      </c>
      <c r="C627" t="s">
        <v>36</v>
      </c>
      <c r="D627" t="str" cm="1">
        <f t="array" ref="D627">INDEX(_xlfn.TEXTSPLIT(C627,"_"),3)</f>
        <v>bfr</v>
      </c>
      <c r="E627" t="str">
        <f>VLOOKUP(D627,FranchiseMapping!$A$1:$B$15,2,FALSE)</f>
        <v>Full Rescue</v>
      </c>
      <c r="F627" s="1">
        <v>45658</v>
      </c>
      <c r="G627" t="s">
        <v>12</v>
      </c>
      <c r="H627" s="2">
        <v>45809</v>
      </c>
      <c r="I627" s="3">
        <v>45813</v>
      </c>
      <c r="J627" s="3">
        <f t="shared" si="9"/>
        <v>45815</v>
      </c>
      <c r="K627" s="4">
        <v>301.420005</v>
      </c>
      <c r="L627">
        <v>53943</v>
      </c>
    </row>
    <row r="628" spans="1:12" x14ac:dyDescent="0.35">
      <c r="A628" t="s">
        <v>8</v>
      </c>
      <c r="B628" t="s">
        <v>14</v>
      </c>
      <c r="C628" t="s">
        <v>57</v>
      </c>
      <c r="D628" t="str" cm="1">
        <f t="array" ref="D628">INDEX(_xlfn.TEXTSPLIT(C628,"_"),3)</f>
        <v>bfr</v>
      </c>
      <c r="E628" t="str">
        <f>VLOOKUP(D628,FranchiseMapping!$A$1:$B$15,2,FALSE)</f>
        <v>Full Rescue</v>
      </c>
      <c r="F628" s="1">
        <v>45658</v>
      </c>
      <c r="G628" t="s">
        <v>10</v>
      </c>
      <c r="H628" s="2">
        <v>45809</v>
      </c>
      <c r="I628" s="3">
        <v>45812</v>
      </c>
      <c r="J628" s="3">
        <f t="shared" si="9"/>
        <v>45815</v>
      </c>
      <c r="K628" s="4">
        <v>14446.36</v>
      </c>
      <c r="L628">
        <v>1046871</v>
      </c>
    </row>
    <row r="629" spans="1:12" x14ac:dyDescent="0.35">
      <c r="A629" t="s">
        <v>8</v>
      </c>
      <c r="B629" t="s">
        <v>9</v>
      </c>
      <c r="C629" t="s">
        <v>54</v>
      </c>
      <c r="D629" t="str" cm="1">
        <f t="array" ref="D629">INDEX(_xlfn.TEXTSPLIT(C629,"_"),3)</f>
        <v>scalp</v>
      </c>
      <c r="E629" t="str">
        <f>VLOOKUP(D629,FranchiseMapping!$A$1:$B$15,2,FALSE)</f>
        <v>Scalp Sync</v>
      </c>
      <c r="F629" s="1">
        <v>45292</v>
      </c>
      <c r="G629" t="s">
        <v>10</v>
      </c>
      <c r="H629" s="2">
        <v>45383</v>
      </c>
      <c r="I629" s="3">
        <v>45401</v>
      </c>
      <c r="J629" s="3">
        <f t="shared" si="9"/>
        <v>45402</v>
      </c>
      <c r="K629" s="4">
        <v>2278.9400010000004</v>
      </c>
      <c r="L629">
        <v>489212</v>
      </c>
    </row>
    <row r="630" spans="1:12" x14ac:dyDescent="0.35">
      <c r="A630" t="s">
        <v>8</v>
      </c>
      <c r="B630" t="s">
        <v>13</v>
      </c>
      <c r="C630" t="s">
        <v>62</v>
      </c>
      <c r="D630" t="str" cm="1">
        <f t="array" ref="D630">INDEX(_xlfn.TEXTSPLIT(C630,"_"),3)</f>
        <v>na</v>
      </c>
      <c r="E630" t="str">
        <f>VLOOKUP(D630,FranchiseMapping!$A$1:$B$15,2,FALSE)</f>
        <v>Biolage</v>
      </c>
      <c r="F630" s="1">
        <v>44927</v>
      </c>
      <c r="G630" t="s">
        <v>10</v>
      </c>
      <c r="H630" s="2">
        <v>45108</v>
      </c>
      <c r="I630" s="3">
        <v>45117</v>
      </c>
      <c r="J630" s="3">
        <f t="shared" si="9"/>
        <v>45122</v>
      </c>
      <c r="K630" s="4">
        <v>1162.324335</v>
      </c>
      <c r="L630">
        <v>273069</v>
      </c>
    </row>
    <row r="631" spans="1:12" x14ac:dyDescent="0.35">
      <c r="A631" t="s">
        <v>8</v>
      </c>
      <c r="B631" t="s">
        <v>9</v>
      </c>
      <c r="C631" t="s">
        <v>30</v>
      </c>
      <c r="D631" t="str" cm="1">
        <f t="array" ref="D631">INDEX(_xlfn.TEXTSPLIT(C631,"_"),3)</f>
        <v>q3-haca-colorlast</v>
      </c>
      <c r="E631" t="str">
        <f>VLOOKUP(D631,FranchiseMapping!$A$1:$B$15,2,FALSE)</f>
        <v>Color Last</v>
      </c>
      <c r="F631" s="1">
        <v>44927</v>
      </c>
      <c r="G631" t="s">
        <v>10</v>
      </c>
      <c r="H631" s="2">
        <v>45139</v>
      </c>
      <c r="I631" s="3">
        <v>45155</v>
      </c>
      <c r="J631" s="3">
        <f t="shared" si="9"/>
        <v>45157</v>
      </c>
      <c r="K631" s="4">
        <v>3896.0599930000003</v>
      </c>
      <c r="L631">
        <v>567592</v>
      </c>
    </row>
    <row r="632" spans="1:12" x14ac:dyDescent="0.35">
      <c r="A632" t="s">
        <v>8</v>
      </c>
      <c r="B632" t="s">
        <v>9</v>
      </c>
      <c r="C632" t="s">
        <v>46</v>
      </c>
      <c r="D632" t="str" cm="1">
        <f t="array" ref="D632">INDEX(_xlfn.TEXTSPLIT(C632,"_"),3)</f>
        <v>mult</v>
      </c>
      <c r="E632" t="str">
        <f>VLOOKUP(D632,FranchiseMapping!$A$1:$B$15,2,FALSE)</f>
        <v>Biolage</v>
      </c>
      <c r="F632" s="1">
        <v>45658</v>
      </c>
      <c r="G632" t="s">
        <v>12</v>
      </c>
      <c r="H632" s="2">
        <v>45717</v>
      </c>
      <c r="I632" s="3">
        <v>45735</v>
      </c>
      <c r="J632" s="3">
        <f t="shared" si="9"/>
        <v>45738</v>
      </c>
      <c r="K632" s="4">
        <v>2631.5400009999998</v>
      </c>
      <c r="L632">
        <v>482972</v>
      </c>
    </row>
    <row r="633" spans="1:12" x14ac:dyDescent="0.35">
      <c r="A633" t="s">
        <v>8</v>
      </c>
      <c r="B633" t="s">
        <v>9</v>
      </c>
      <c r="C633" t="s">
        <v>30</v>
      </c>
      <c r="D633" t="str" cm="1">
        <f t="array" ref="D633">INDEX(_xlfn.TEXTSPLIT(C633,"_"),3)</f>
        <v>q3-haca-colorlast</v>
      </c>
      <c r="E633" t="str">
        <f>VLOOKUP(D633,FranchiseMapping!$A$1:$B$15,2,FALSE)</f>
        <v>Color Last</v>
      </c>
      <c r="F633" s="1">
        <v>44927</v>
      </c>
      <c r="G633" t="s">
        <v>10</v>
      </c>
      <c r="H633" s="2">
        <v>45139</v>
      </c>
      <c r="I633" s="3">
        <v>45146</v>
      </c>
      <c r="J633" s="3">
        <f t="shared" si="9"/>
        <v>45150</v>
      </c>
      <c r="K633" s="4">
        <v>3935.3199999999988</v>
      </c>
      <c r="L633">
        <v>598677</v>
      </c>
    </row>
    <row r="634" spans="1:12" x14ac:dyDescent="0.35">
      <c r="A634" t="s">
        <v>8</v>
      </c>
      <c r="B634" t="s">
        <v>14</v>
      </c>
      <c r="C634" t="s">
        <v>49</v>
      </c>
      <c r="D634" t="str" cm="1">
        <f t="array" ref="D634">INDEX(_xlfn.TEXTSPLIT(C634,"_"),3)</f>
        <v>hys</v>
      </c>
      <c r="E634" t="str">
        <f>VLOOKUP(D634,FranchiseMapping!$A$1:$B$15,2,FALSE)</f>
        <v>Hydrasource</v>
      </c>
      <c r="F634" s="1">
        <v>45658</v>
      </c>
      <c r="G634" t="s">
        <v>10</v>
      </c>
      <c r="H634" s="2">
        <v>45748</v>
      </c>
      <c r="I634" s="3">
        <v>45757</v>
      </c>
      <c r="J634" s="3">
        <f t="shared" si="9"/>
        <v>45759</v>
      </c>
      <c r="K634" s="4">
        <v>114.98</v>
      </c>
      <c r="L634">
        <v>34964</v>
      </c>
    </row>
    <row r="635" spans="1:12" x14ac:dyDescent="0.35">
      <c r="A635" t="s">
        <v>8</v>
      </c>
      <c r="B635" t="s">
        <v>14</v>
      </c>
      <c r="C635" t="s">
        <v>29</v>
      </c>
      <c r="D635" t="str" cm="1">
        <f t="array" ref="D635">INDEX(_xlfn.TEXTSPLIT(C635,"_"),3)</f>
        <v>bfr</v>
      </c>
      <c r="E635" t="str">
        <f>VLOOKUP(D635,FranchiseMapping!$A$1:$B$15,2,FALSE)</f>
        <v>Full Rescue</v>
      </c>
      <c r="F635" s="1">
        <v>45658</v>
      </c>
      <c r="G635" t="s">
        <v>12</v>
      </c>
      <c r="H635" s="2">
        <v>45809</v>
      </c>
      <c r="I635" s="3">
        <v>45827</v>
      </c>
      <c r="J635" s="3">
        <f t="shared" si="9"/>
        <v>45829</v>
      </c>
      <c r="K635" s="4">
        <v>107.65999999999998</v>
      </c>
      <c r="L635">
        <v>19810</v>
      </c>
    </row>
    <row r="636" spans="1:12" x14ac:dyDescent="0.35">
      <c r="A636" t="s">
        <v>8</v>
      </c>
      <c r="B636" t="s">
        <v>9</v>
      </c>
      <c r="C636" t="s">
        <v>52</v>
      </c>
      <c r="D636" t="str" cm="1">
        <f t="array" ref="D636">INDEX(_xlfn.TEXTSPLIT(C636,"_"),3)</f>
        <v>bond-therapy</v>
      </c>
      <c r="E636" t="str">
        <f>VLOOKUP(D636,FranchiseMapping!$A$1:$B$15,2,FALSE)</f>
        <v>Bond Therapy</v>
      </c>
      <c r="F636" s="1">
        <v>44927</v>
      </c>
      <c r="G636" t="s">
        <v>11</v>
      </c>
      <c r="H636" s="2">
        <v>45231</v>
      </c>
      <c r="I636" s="3">
        <v>45246</v>
      </c>
      <c r="J636" s="3">
        <f t="shared" si="9"/>
        <v>45248</v>
      </c>
      <c r="K636" s="4">
        <v>2841.4199990000002</v>
      </c>
      <c r="L636">
        <v>439372</v>
      </c>
    </row>
    <row r="637" spans="1:12" x14ac:dyDescent="0.35">
      <c r="A637" t="s">
        <v>8</v>
      </c>
      <c r="B637" t="s">
        <v>9</v>
      </c>
      <c r="C637" t="s">
        <v>38</v>
      </c>
      <c r="D637" t="str" cm="1">
        <f t="array" ref="D637">INDEX(_xlfn.TEXTSPLIT(C637,"_"),3)</f>
        <v>hys</v>
      </c>
      <c r="E637" t="str">
        <f>VLOOKUP(D637,FranchiseMapping!$A$1:$B$15,2,FALSE)</f>
        <v>Hydrasource</v>
      </c>
      <c r="F637" s="1">
        <v>45658</v>
      </c>
      <c r="G637" t="s">
        <v>12</v>
      </c>
      <c r="H637" s="2">
        <v>45748</v>
      </c>
      <c r="I637" s="3">
        <v>45752</v>
      </c>
      <c r="J637" s="3">
        <f t="shared" si="9"/>
        <v>45752</v>
      </c>
      <c r="K637" s="4">
        <v>1549.9899999999998</v>
      </c>
      <c r="L637">
        <v>169346</v>
      </c>
    </row>
    <row r="638" spans="1:12" x14ac:dyDescent="0.35">
      <c r="A638" t="s">
        <v>8</v>
      </c>
      <c r="B638" t="s">
        <v>14</v>
      </c>
      <c r="C638" t="s">
        <v>29</v>
      </c>
      <c r="D638" t="str" cm="1">
        <f t="array" ref="D638">INDEX(_xlfn.TEXTSPLIT(C638,"_"),3)</f>
        <v>bfr</v>
      </c>
      <c r="E638" t="str">
        <f>VLOOKUP(D638,FranchiseMapping!$A$1:$B$15,2,FALSE)</f>
        <v>Full Rescue</v>
      </c>
      <c r="F638" s="1">
        <v>45658</v>
      </c>
      <c r="G638" t="s">
        <v>12</v>
      </c>
      <c r="H638" s="2">
        <v>45809</v>
      </c>
      <c r="I638" s="3">
        <v>45830</v>
      </c>
      <c r="J638" s="3">
        <f t="shared" si="9"/>
        <v>45836</v>
      </c>
      <c r="K638" s="4">
        <v>621.99</v>
      </c>
      <c r="L638">
        <v>82919</v>
      </c>
    </row>
    <row r="639" spans="1:12" x14ac:dyDescent="0.35">
      <c r="A639" t="s">
        <v>8</v>
      </c>
      <c r="B639" t="s">
        <v>9</v>
      </c>
      <c r="C639" t="s">
        <v>40</v>
      </c>
      <c r="D639" t="str" cm="1">
        <f t="array" ref="D639">INDEX(_xlfn.TEXTSPLIT(C639,"_"),3)</f>
        <v>hydrasource</v>
      </c>
      <c r="E639" t="str">
        <f>VLOOKUP(D639,FranchiseMapping!$A$1:$B$15,2,FALSE)</f>
        <v>Hydrasource</v>
      </c>
      <c r="F639" s="1">
        <v>45292</v>
      </c>
      <c r="G639" t="s">
        <v>12</v>
      </c>
      <c r="H639" s="2">
        <v>45323</v>
      </c>
      <c r="I639" s="3">
        <v>45351</v>
      </c>
      <c r="J639" s="3">
        <f t="shared" si="9"/>
        <v>45353</v>
      </c>
      <c r="K639" s="4">
        <v>3221.0900039999997</v>
      </c>
      <c r="L639">
        <v>458674</v>
      </c>
    </row>
    <row r="640" spans="1:12" x14ac:dyDescent="0.35">
      <c r="A640" t="s">
        <v>8</v>
      </c>
      <c r="B640" t="s">
        <v>9</v>
      </c>
      <c r="C640" t="s">
        <v>35</v>
      </c>
      <c r="D640" t="str" cm="1">
        <f t="array" ref="D640">INDEX(_xlfn.TEXTSPLIT(C640,"_"),3)</f>
        <v>bfr</v>
      </c>
      <c r="E640" t="str">
        <f>VLOOKUP(D640,FranchiseMapping!$A$1:$B$15,2,FALSE)</f>
        <v>Full Rescue</v>
      </c>
      <c r="F640" s="1">
        <v>45658</v>
      </c>
      <c r="G640" t="s">
        <v>12</v>
      </c>
      <c r="H640" s="2">
        <v>45809</v>
      </c>
      <c r="I640" s="3">
        <v>45809</v>
      </c>
      <c r="J640" s="3">
        <f t="shared" si="9"/>
        <v>45815</v>
      </c>
      <c r="K640" s="4">
        <v>1801.5699980000002</v>
      </c>
      <c r="L640">
        <v>152997</v>
      </c>
    </row>
    <row r="641" spans="1:12" x14ac:dyDescent="0.35">
      <c r="A641" t="s">
        <v>8</v>
      </c>
      <c r="B641" t="s">
        <v>9</v>
      </c>
      <c r="C641" t="s">
        <v>54</v>
      </c>
      <c r="D641" t="str" cm="1">
        <f t="array" ref="D641">INDEX(_xlfn.TEXTSPLIT(C641,"_"),3)</f>
        <v>scalp</v>
      </c>
      <c r="E641" t="str">
        <f>VLOOKUP(D641,FranchiseMapping!$A$1:$B$15,2,FALSE)</f>
        <v>Scalp Sync</v>
      </c>
      <c r="F641" s="1">
        <v>45292</v>
      </c>
      <c r="G641" t="s">
        <v>10</v>
      </c>
      <c r="H641" s="2">
        <v>45383</v>
      </c>
      <c r="I641" s="3">
        <v>45388</v>
      </c>
      <c r="J641" s="3">
        <f t="shared" si="9"/>
        <v>45388</v>
      </c>
      <c r="K641" s="4">
        <v>2331.3999990000002</v>
      </c>
      <c r="L641">
        <v>538114</v>
      </c>
    </row>
    <row r="642" spans="1:12" x14ac:dyDescent="0.35">
      <c r="A642" t="s">
        <v>8</v>
      </c>
      <c r="B642" t="s">
        <v>13</v>
      </c>
      <c r="C642" t="s">
        <v>28</v>
      </c>
      <c r="D642" t="str" cm="1">
        <f t="array" ref="D642">INDEX(_xlfn.TEXTSPLIT(C642,"_"),3)</f>
        <v>na</v>
      </c>
      <c r="E642" t="str">
        <f>VLOOKUP(D642,FranchiseMapping!$A$1:$B$15,2,FALSE)</f>
        <v>Biolage</v>
      </c>
      <c r="F642" s="1">
        <v>44927</v>
      </c>
      <c r="G642" t="s">
        <v>10</v>
      </c>
      <c r="H642" s="2">
        <v>45108</v>
      </c>
      <c r="I642" s="3">
        <v>45131</v>
      </c>
      <c r="J642" s="3">
        <f t="shared" si="9"/>
        <v>45136</v>
      </c>
      <c r="K642" s="4">
        <v>1250.5339349999999</v>
      </c>
      <c r="L642">
        <v>134905</v>
      </c>
    </row>
    <row r="643" spans="1:12" x14ac:dyDescent="0.35">
      <c r="A643" t="s">
        <v>8</v>
      </c>
      <c r="B643" t="s">
        <v>9</v>
      </c>
      <c r="C643" t="s">
        <v>45</v>
      </c>
      <c r="D643" t="str" cm="1">
        <f t="array" ref="D643">INDEX(_xlfn.TEXTSPLIT(C643,"_"),3)</f>
        <v>hydrasource</v>
      </c>
      <c r="E643" t="str">
        <f>VLOOKUP(D643,FranchiseMapping!$A$1:$B$15,2,FALSE)</f>
        <v>Hydrasource</v>
      </c>
      <c r="F643" s="1">
        <v>45292</v>
      </c>
      <c r="G643" t="s">
        <v>12</v>
      </c>
      <c r="H643" s="2">
        <v>45566</v>
      </c>
      <c r="I643" s="3">
        <v>45573</v>
      </c>
      <c r="J643" s="3">
        <f t="shared" ref="J643:J706" si="10">I643 + (7 - WEEKDAY(I643, 1))</f>
        <v>45577</v>
      </c>
      <c r="K643" s="4">
        <v>2393.1800000000003</v>
      </c>
      <c r="L643">
        <v>262207</v>
      </c>
    </row>
    <row r="644" spans="1:12" x14ac:dyDescent="0.35">
      <c r="A644" t="s">
        <v>8</v>
      </c>
      <c r="B644" t="s">
        <v>14</v>
      </c>
      <c r="C644" t="s">
        <v>49</v>
      </c>
      <c r="D644" t="str" cm="1">
        <f t="array" ref="D644">INDEX(_xlfn.TEXTSPLIT(C644,"_"),3)</f>
        <v>hys</v>
      </c>
      <c r="E644" t="str">
        <f>VLOOKUP(D644,FranchiseMapping!$A$1:$B$15,2,FALSE)</f>
        <v>Hydrasource</v>
      </c>
      <c r="F644" s="1">
        <v>45658</v>
      </c>
      <c r="G644" t="s">
        <v>12</v>
      </c>
      <c r="H644" s="2">
        <v>45748</v>
      </c>
      <c r="I644" s="3">
        <v>45768</v>
      </c>
      <c r="J644" s="3">
        <f t="shared" si="10"/>
        <v>45773</v>
      </c>
      <c r="K644" s="4">
        <v>5338.1900000000005</v>
      </c>
      <c r="L644">
        <v>1192654</v>
      </c>
    </row>
    <row r="645" spans="1:12" x14ac:dyDescent="0.35">
      <c r="A645" t="s">
        <v>8</v>
      </c>
      <c r="B645" t="s">
        <v>14</v>
      </c>
      <c r="C645" t="s">
        <v>37</v>
      </c>
      <c r="D645" t="str" cm="1">
        <f t="array" ref="D645">INDEX(_xlfn.TEXTSPLIT(C645,"_"),3)</f>
        <v>mult</v>
      </c>
      <c r="E645" t="str">
        <f>VLOOKUP(D645,FranchiseMapping!$A$1:$B$15,2,FALSE)</f>
        <v>Biolage</v>
      </c>
      <c r="F645" s="1">
        <v>45658</v>
      </c>
      <c r="G645" t="s">
        <v>12</v>
      </c>
      <c r="H645" s="2">
        <v>45778</v>
      </c>
      <c r="I645" s="3">
        <v>45790</v>
      </c>
      <c r="J645" s="3">
        <f t="shared" si="10"/>
        <v>45794</v>
      </c>
      <c r="K645" s="4">
        <v>2257.71</v>
      </c>
      <c r="L645">
        <v>618928</v>
      </c>
    </row>
    <row r="646" spans="1:12" x14ac:dyDescent="0.35">
      <c r="A646" t="s">
        <v>8</v>
      </c>
      <c r="B646" t="s">
        <v>13</v>
      </c>
      <c r="C646" t="s">
        <v>28</v>
      </c>
      <c r="D646" t="str" cm="1">
        <f t="array" ref="D646">INDEX(_xlfn.TEXTSPLIT(C646,"_"),3)</f>
        <v>na</v>
      </c>
      <c r="E646" t="str">
        <f>VLOOKUP(D646,FranchiseMapping!$A$1:$B$15,2,FALSE)</f>
        <v>Biolage</v>
      </c>
      <c r="F646" s="1">
        <v>44927</v>
      </c>
      <c r="G646" t="s">
        <v>12</v>
      </c>
      <c r="H646" s="2">
        <v>45108</v>
      </c>
      <c r="I646" s="3">
        <v>45137</v>
      </c>
      <c r="J646" s="3">
        <f t="shared" si="10"/>
        <v>45143</v>
      </c>
      <c r="K646" s="4">
        <v>241.23504399999999</v>
      </c>
      <c r="L646">
        <v>68119</v>
      </c>
    </row>
    <row r="647" spans="1:12" x14ac:dyDescent="0.35">
      <c r="A647" t="s">
        <v>8</v>
      </c>
      <c r="B647" t="s">
        <v>14</v>
      </c>
      <c r="C647" t="s">
        <v>49</v>
      </c>
      <c r="D647" t="str" cm="1">
        <f t="array" ref="D647">INDEX(_xlfn.TEXTSPLIT(C647,"_"),3)</f>
        <v>hys</v>
      </c>
      <c r="E647" t="str">
        <f>VLOOKUP(D647,FranchiseMapping!$A$1:$B$15,2,FALSE)</f>
        <v>Hydrasource</v>
      </c>
      <c r="F647" s="1">
        <v>45658</v>
      </c>
      <c r="G647" t="s">
        <v>10</v>
      </c>
      <c r="H647" s="2">
        <v>45748</v>
      </c>
      <c r="I647" s="3">
        <v>45765</v>
      </c>
      <c r="J647" s="3">
        <f t="shared" si="10"/>
        <v>45766</v>
      </c>
      <c r="K647" s="4">
        <v>155.02000000000001</v>
      </c>
      <c r="L647">
        <v>45202</v>
      </c>
    </row>
    <row r="648" spans="1:12" x14ac:dyDescent="0.35">
      <c r="A648" t="s">
        <v>8</v>
      </c>
      <c r="B648" t="s">
        <v>9</v>
      </c>
      <c r="C648" t="s">
        <v>36</v>
      </c>
      <c r="D648" t="str" cm="1">
        <f t="array" ref="D648">INDEX(_xlfn.TEXTSPLIT(C648,"_"),3)</f>
        <v>bfr</v>
      </c>
      <c r="E648" t="str">
        <f>VLOOKUP(D648,FranchiseMapping!$A$1:$B$15,2,FALSE)</f>
        <v>Full Rescue</v>
      </c>
      <c r="F648" s="1">
        <v>45658</v>
      </c>
      <c r="G648" t="s">
        <v>10</v>
      </c>
      <c r="H648" s="2">
        <v>45839</v>
      </c>
      <c r="I648" s="3">
        <v>45839</v>
      </c>
      <c r="J648" s="3">
        <f t="shared" si="10"/>
        <v>45843</v>
      </c>
      <c r="K648" s="4">
        <v>313.79000099999996</v>
      </c>
      <c r="L648">
        <v>33389</v>
      </c>
    </row>
    <row r="649" spans="1:12" x14ac:dyDescent="0.35">
      <c r="A649" t="s">
        <v>8</v>
      </c>
      <c r="B649" t="s">
        <v>9</v>
      </c>
      <c r="C649" t="s">
        <v>36</v>
      </c>
      <c r="D649" t="str" cm="1">
        <f t="array" ref="D649">INDEX(_xlfn.TEXTSPLIT(C649,"_"),3)</f>
        <v>bfr</v>
      </c>
      <c r="E649" t="str">
        <f>VLOOKUP(D649,FranchiseMapping!$A$1:$B$15,2,FALSE)</f>
        <v>Full Rescue</v>
      </c>
      <c r="F649" s="1">
        <v>45658</v>
      </c>
      <c r="G649" t="s">
        <v>10</v>
      </c>
      <c r="H649" s="2">
        <v>45778</v>
      </c>
      <c r="I649" s="3">
        <v>45793</v>
      </c>
      <c r="J649" s="3">
        <f t="shared" si="10"/>
        <v>45794</v>
      </c>
      <c r="K649" s="4">
        <v>2.92</v>
      </c>
      <c r="L649">
        <v>285</v>
      </c>
    </row>
    <row r="650" spans="1:12" x14ac:dyDescent="0.35">
      <c r="A650" t="s">
        <v>8</v>
      </c>
      <c r="B650" t="s">
        <v>14</v>
      </c>
      <c r="C650" t="s">
        <v>47</v>
      </c>
      <c r="D650" t="str" cm="1">
        <f t="array" ref="D650">INDEX(_xlfn.TEXTSPLIT(C650,"_"),3)</f>
        <v>hys</v>
      </c>
      <c r="E650" t="str">
        <f>VLOOKUP(D650,FranchiseMapping!$A$1:$B$15,2,FALSE)</f>
        <v>Hydrasource</v>
      </c>
      <c r="F650" s="1">
        <v>45658</v>
      </c>
      <c r="G650" t="s">
        <v>10</v>
      </c>
      <c r="H650" s="2">
        <v>45748</v>
      </c>
      <c r="I650" s="3">
        <v>45763</v>
      </c>
      <c r="J650" s="3">
        <f t="shared" si="10"/>
        <v>45766</v>
      </c>
      <c r="K650" s="4">
        <v>73.73</v>
      </c>
      <c r="L650">
        <v>18788</v>
      </c>
    </row>
    <row r="651" spans="1:12" x14ac:dyDescent="0.35">
      <c r="A651" t="s">
        <v>8</v>
      </c>
      <c r="B651" t="s">
        <v>9</v>
      </c>
      <c r="C651" t="s">
        <v>36</v>
      </c>
      <c r="D651" t="str" cm="1">
        <f t="array" ref="D651">INDEX(_xlfn.TEXTSPLIT(C651,"_"),3)</f>
        <v>bfr</v>
      </c>
      <c r="E651" t="str">
        <f>VLOOKUP(D651,FranchiseMapping!$A$1:$B$15,2,FALSE)</f>
        <v>Full Rescue</v>
      </c>
      <c r="F651" s="1">
        <v>45658</v>
      </c>
      <c r="G651" t="s">
        <v>12</v>
      </c>
      <c r="H651" s="2">
        <v>45809</v>
      </c>
      <c r="I651" s="3">
        <v>45818</v>
      </c>
      <c r="J651" s="3">
        <f t="shared" si="10"/>
        <v>45822</v>
      </c>
      <c r="K651" s="4">
        <v>1072.4700059999998</v>
      </c>
      <c r="L651">
        <v>166038</v>
      </c>
    </row>
    <row r="652" spans="1:12" x14ac:dyDescent="0.35">
      <c r="A652" t="s">
        <v>8</v>
      </c>
      <c r="B652" t="s">
        <v>9</v>
      </c>
      <c r="C652" t="s">
        <v>35</v>
      </c>
      <c r="D652" t="str" cm="1">
        <f t="array" ref="D652">INDEX(_xlfn.TEXTSPLIT(C652,"_"),3)</f>
        <v>bfr</v>
      </c>
      <c r="E652" t="str">
        <f>VLOOKUP(D652,FranchiseMapping!$A$1:$B$15,2,FALSE)</f>
        <v>Full Rescue</v>
      </c>
      <c r="F652" s="1">
        <v>45658</v>
      </c>
      <c r="G652" t="s">
        <v>12</v>
      </c>
      <c r="H652" s="2">
        <v>45809</v>
      </c>
      <c r="I652" s="3">
        <v>45835</v>
      </c>
      <c r="J652" s="3">
        <f t="shared" si="10"/>
        <v>45836</v>
      </c>
      <c r="K652" s="4">
        <v>1394.010002</v>
      </c>
      <c r="L652">
        <v>107383</v>
      </c>
    </row>
    <row r="653" spans="1:12" x14ac:dyDescent="0.35">
      <c r="A653" t="s">
        <v>8</v>
      </c>
      <c r="B653" t="s">
        <v>9</v>
      </c>
      <c r="C653" t="s">
        <v>30</v>
      </c>
      <c r="D653" t="str" cm="1">
        <f t="array" ref="D653">INDEX(_xlfn.TEXTSPLIT(C653,"_"),3)</f>
        <v>q3-haca-colorlast</v>
      </c>
      <c r="E653" t="str">
        <f>VLOOKUP(D653,FranchiseMapping!$A$1:$B$15,2,FALSE)</f>
        <v>Color Last</v>
      </c>
      <c r="F653" s="1">
        <v>44927</v>
      </c>
      <c r="G653" t="s">
        <v>10</v>
      </c>
      <c r="H653" s="2">
        <v>45139</v>
      </c>
      <c r="I653" s="3">
        <v>45150</v>
      </c>
      <c r="J653" s="3">
        <f t="shared" si="10"/>
        <v>45150</v>
      </c>
      <c r="K653" s="4">
        <v>3909.6899999999991</v>
      </c>
      <c r="L653">
        <v>587890</v>
      </c>
    </row>
    <row r="654" spans="1:12" x14ac:dyDescent="0.35">
      <c r="A654" t="s">
        <v>8</v>
      </c>
      <c r="B654" t="s">
        <v>9</v>
      </c>
      <c r="C654" t="s">
        <v>34</v>
      </c>
      <c r="D654" t="str" cm="1">
        <f t="array" ref="D654">INDEX(_xlfn.TEXTSPLIT(C654,"_"),3)</f>
        <v>hydrasource</v>
      </c>
      <c r="E654" t="str">
        <f>VLOOKUP(D654,FranchiseMapping!$A$1:$B$15,2,FALSE)</f>
        <v>Hydrasource</v>
      </c>
      <c r="F654" s="1">
        <v>45292</v>
      </c>
      <c r="G654" t="s">
        <v>12</v>
      </c>
      <c r="H654" s="2">
        <v>45323</v>
      </c>
      <c r="I654" s="3">
        <v>45324</v>
      </c>
      <c r="J654" s="3">
        <f t="shared" si="10"/>
        <v>45325</v>
      </c>
      <c r="K654" s="4">
        <v>520.92999799999996</v>
      </c>
      <c r="L654">
        <v>119644</v>
      </c>
    </row>
    <row r="655" spans="1:12" x14ac:dyDescent="0.35">
      <c r="A655" t="s">
        <v>8</v>
      </c>
      <c r="B655" t="s">
        <v>9</v>
      </c>
      <c r="C655" t="s">
        <v>35</v>
      </c>
      <c r="D655" t="str" cm="1">
        <f t="array" ref="D655">INDEX(_xlfn.TEXTSPLIT(C655,"_"),3)</f>
        <v>bfr</v>
      </c>
      <c r="E655" t="str">
        <f>VLOOKUP(D655,FranchiseMapping!$A$1:$B$15,2,FALSE)</f>
        <v>Full Rescue</v>
      </c>
      <c r="F655" s="1">
        <v>45658</v>
      </c>
      <c r="G655" t="s">
        <v>10</v>
      </c>
      <c r="H655" s="2">
        <v>45809</v>
      </c>
      <c r="I655" s="3">
        <v>45838</v>
      </c>
      <c r="J655" s="3">
        <f t="shared" si="10"/>
        <v>45843</v>
      </c>
      <c r="K655" s="4">
        <v>380.88000000000005</v>
      </c>
      <c r="L655">
        <v>38865</v>
      </c>
    </row>
    <row r="656" spans="1:12" x14ac:dyDescent="0.35">
      <c r="A656" t="s">
        <v>8</v>
      </c>
      <c r="B656" t="s">
        <v>13</v>
      </c>
      <c r="C656" t="s">
        <v>32</v>
      </c>
      <c r="D656" t="str" cm="1">
        <f t="array" ref="D656">INDEX(_xlfn.TEXTSPLIT(C656,"_"),3)</f>
        <v>na</v>
      </c>
      <c r="E656" t="str">
        <f>VLOOKUP(D656,FranchiseMapping!$A$1:$B$15,2,FALSE)</f>
        <v>Biolage</v>
      </c>
      <c r="F656" s="1">
        <v>44927</v>
      </c>
      <c r="G656" t="s">
        <v>11</v>
      </c>
      <c r="H656" s="2">
        <v>45170</v>
      </c>
      <c r="I656" s="3">
        <v>45173</v>
      </c>
      <c r="J656" s="3">
        <f t="shared" si="10"/>
        <v>45178</v>
      </c>
      <c r="K656" s="4">
        <v>1724.83474</v>
      </c>
      <c r="L656">
        <v>512021</v>
      </c>
    </row>
    <row r="657" spans="1:12" x14ac:dyDescent="0.35">
      <c r="A657" t="s">
        <v>8</v>
      </c>
      <c r="B657" t="s">
        <v>9</v>
      </c>
      <c r="C657" t="s">
        <v>31</v>
      </c>
      <c r="D657" t="str" cm="1">
        <f t="array" ref="D657">INDEX(_xlfn.TEXTSPLIT(C657,"_"),3)</f>
        <v>scalp</v>
      </c>
      <c r="E657" t="str">
        <f>VLOOKUP(D657,FranchiseMapping!$A$1:$B$15,2,FALSE)</f>
        <v>Scalp Sync</v>
      </c>
      <c r="F657" s="1">
        <v>45292</v>
      </c>
      <c r="G657" t="s">
        <v>12</v>
      </c>
      <c r="H657" s="2">
        <v>45383</v>
      </c>
      <c r="I657" s="3">
        <v>45403</v>
      </c>
      <c r="J657" s="3">
        <f t="shared" si="10"/>
        <v>45409</v>
      </c>
      <c r="K657" s="4">
        <v>1598.2400040000002</v>
      </c>
      <c r="L657">
        <v>261087</v>
      </c>
    </row>
    <row r="658" spans="1:12" x14ac:dyDescent="0.35">
      <c r="A658" t="s">
        <v>8</v>
      </c>
      <c r="B658" t="s">
        <v>14</v>
      </c>
      <c r="C658" t="s">
        <v>49</v>
      </c>
      <c r="D658" t="str" cm="1">
        <f t="array" ref="D658">INDEX(_xlfn.TEXTSPLIT(C658,"_"),3)</f>
        <v>hys</v>
      </c>
      <c r="E658" t="str">
        <f>VLOOKUP(D658,FranchiseMapping!$A$1:$B$15,2,FALSE)</f>
        <v>Hydrasource</v>
      </c>
      <c r="F658" s="1">
        <v>45658</v>
      </c>
      <c r="G658" t="s">
        <v>10</v>
      </c>
      <c r="H658" s="2">
        <v>45748</v>
      </c>
      <c r="I658" s="3">
        <v>45754</v>
      </c>
      <c r="J658" s="3">
        <f t="shared" si="10"/>
        <v>45759</v>
      </c>
      <c r="K658" s="4">
        <v>193.17000000000002</v>
      </c>
      <c r="L658">
        <v>58833</v>
      </c>
    </row>
    <row r="659" spans="1:12" x14ac:dyDescent="0.35">
      <c r="A659" t="s">
        <v>8</v>
      </c>
      <c r="B659" t="s">
        <v>13</v>
      </c>
      <c r="C659" t="s">
        <v>28</v>
      </c>
      <c r="D659" t="str" cm="1">
        <f t="array" ref="D659">INDEX(_xlfn.TEXTSPLIT(C659,"_"),3)</f>
        <v>na</v>
      </c>
      <c r="E659" t="str">
        <f>VLOOKUP(D659,FranchiseMapping!$A$1:$B$15,2,FALSE)</f>
        <v>Biolage</v>
      </c>
      <c r="F659" s="1">
        <v>44927</v>
      </c>
      <c r="G659" t="s">
        <v>12</v>
      </c>
      <c r="H659" s="2">
        <v>45139</v>
      </c>
      <c r="I659" s="3">
        <v>45157</v>
      </c>
      <c r="J659" s="3">
        <f t="shared" si="10"/>
        <v>45157</v>
      </c>
      <c r="K659" s="4">
        <v>322.03589399999998</v>
      </c>
      <c r="L659">
        <v>92143</v>
      </c>
    </row>
    <row r="660" spans="1:12" x14ac:dyDescent="0.35">
      <c r="A660" t="s">
        <v>8</v>
      </c>
      <c r="B660" t="s">
        <v>9</v>
      </c>
      <c r="C660" t="s">
        <v>34</v>
      </c>
      <c r="D660" t="str" cm="1">
        <f t="array" ref="D660">INDEX(_xlfn.TEXTSPLIT(C660,"_"),3)</f>
        <v>hydrasource</v>
      </c>
      <c r="E660" t="str">
        <f>VLOOKUP(D660,FranchiseMapping!$A$1:$B$15,2,FALSE)</f>
        <v>Hydrasource</v>
      </c>
      <c r="F660" s="1">
        <v>45292</v>
      </c>
      <c r="G660" t="s">
        <v>12</v>
      </c>
      <c r="H660" s="2">
        <v>45323</v>
      </c>
      <c r="I660" s="3">
        <v>45330</v>
      </c>
      <c r="J660" s="3">
        <f t="shared" si="10"/>
        <v>45332</v>
      </c>
      <c r="K660" s="4">
        <v>859.93000000000006</v>
      </c>
      <c r="L660">
        <v>183654</v>
      </c>
    </row>
    <row r="661" spans="1:12" x14ac:dyDescent="0.35">
      <c r="A661" t="s">
        <v>8</v>
      </c>
      <c r="B661" t="s">
        <v>9</v>
      </c>
      <c r="C661" t="s">
        <v>45</v>
      </c>
      <c r="D661" t="str" cm="1">
        <f t="array" ref="D661">INDEX(_xlfn.TEXTSPLIT(C661,"_"),3)</f>
        <v>hydrasource</v>
      </c>
      <c r="E661" t="str">
        <f>VLOOKUP(D661,FranchiseMapping!$A$1:$B$15,2,FALSE)</f>
        <v>Hydrasource</v>
      </c>
      <c r="F661" s="1">
        <v>45292</v>
      </c>
      <c r="G661" t="s">
        <v>12</v>
      </c>
      <c r="H661" s="2">
        <v>45566</v>
      </c>
      <c r="I661" s="3">
        <v>45585</v>
      </c>
      <c r="J661" s="3">
        <f t="shared" si="10"/>
        <v>45591</v>
      </c>
      <c r="K661" s="4">
        <v>2748.9000089999995</v>
      </c>
      <c r="L661">
        <v>294647</v>
      </c>
    </row>
    <row r="662" spans="1:12" x14ac:dyDescent="0.35">
      <c r="A662" t="s">
        <v>8</v>
      </c>
      <c r="B662" t="s">
        <v>9</v>
      </c>
      <c r="C662" t="s">
        <v>35</v>
      </c>
      <c r="D662" t="str" cm="1">
        <f t="array" ref="D662">INDEX(_xlfn.TEXTSPLIT(C662,"_"),3)</f>
        <v>bfr</v>
      </c>
      <c r="E662" t="str">
        <f>VLOOKUP(D662,FranchiseMapping!$A$1:$B$15,2,FALSE)</f>
        <v>Full Rescue</v>
      </c>
      <c r="F662" s="1">
        <v>45658</v>
      </c>
      <c r="G662" t="s">
        <v>10</v>
      </c>
      <c r="H662" s="2">
        <v>45778</v>
      </c>
      <c r="I662" s="3">
        <v>45791</v>
      </c>
      <c r="J662" s="3">
        <f t="shared" si="10"/>
        <v>45794</v>
      </c>
      <c r="K662" s="4">
        <v>6.9200000000000008</v>
      </c>
      <c r="L662">
        <v>764</v>
      </c>
    </row>
    <row r="663" spans="1:12" x14ac:dyDescent="0.35">
      <c r="A663" t="s">
        <v>8</v>
      </c>
      <c r="B663" t="s">
        <v>9</v>
      </c>
      <c r="C663" t="s">
        <v>46</v>
      </c>
      <c r="D663" t="str" cm="1">
        <f t="array" ref="D663">INDEX(_xlfn.TEXTSPLIT(C663,"_"),3)</f>
        <v>mult</v>
      </c>
      <c r="E663" t="str">
        <f>VLOOKUP(D663,FranchiseMapping!$A$1:$B$15,2,FALSE)</f>
        <v>Biolage</v>
      </c>
      <c r="F663" s="1">
        <v>45658</v>
      </c>
      <c r="G663" t="s">
        <v>10</v>
      </c>
      <c r="H663" s="2">
        <v>45778</v>
      </c>
      <c r="I663" s="3">
        <v>45804</v>
      </c>
      <c r="J663" s="3">
        <f t="shared" si="10"/>
        <v>45808</v>
      </c>
      <c r="K663" s="4">
        <v>1258.18</v>
      </c>
      <c r="L663">
        <v>207786</v>
      </c>
    </row>
    <row r="664" spans="1:12" x14ac:dyDescent="0.35">
      <c r="A664" t="s">
        <v>8</v>
      </c>
      <c r="B664" t="s">
        <v>9</v>
      </c>
      <c r="C664" t="s">
        <v>45</v>
      </c>
      <c r="D664" t="str" cm="1">
        <f t="array" ref="D664">INDEX(_xlfn.TEXTSPLIT(C664,"_"),3)</f>
        <v>hydrasource</v>
      </c>
      <c r="E664" t="str">
        <f>VLOOKUP(D664,FranchiseMapping!$A$1:$B$15,2,FALSE)</f>
        <v>Hydrasource</v>
      </c>
      <c r="F664" s="1">
        <v>45292</v>
      </c>
      <c r="G664" t="s">
        <v>12</v>
      </c>
      <c r="H664" s="2">
        <v>45566</v>
      </c>
      <c r="I664" s="3">
        <v>45578</v>
      </c>
      <c r="J664" s="3">
        <f t="shared" si="10"/>
        <v>45584</v>
      </c>
      <c r="K664" s="4">
        <v>2784.2699990000001</v>
      </c>
      <c r="L664">
        <v>293845</v>
      </c>
    </row>
    <row r="665" spans="1:12" x14ac:dyDescent="0.35">
      <c r="A665" t="s">
        <v>8</v>
      </c>
      <c r="B665" t="s">
        <v>9</v>
      </c>
      <c r="C665" t="s">
        <v>34</v>
      </c>
      <c r="D665" t="str" cm="1">
        <f t="array" ref="D665">INDEX(_xlfn.TEXTSPLIT(C665,"_"),3)</f>
        <v>hydrasource</v>
      </c>
      <c r="E665" t="str">
        <f>VLOOKUP(D665,FranchiseMapping!$A$1:$B$15,2,FALSE)</f>
        <v>Hydrasource</v>
      </c>
      <c r="F665" s="1">
        <v>45292</v>
      </c>
      <c r="G665" t="s">
        <v>12</v>
      </c>
      <c r="H665" s="2">
        <v>45292</v>
      </c>
      <c r="I665" s="3">
        <v>45319</v>
      </c>
      <c r="J665" s="3">
        <f t="shared" si="10"/>
        <v>45325</v>
      </c>
      <c r="K665" s="4">
        <v>688.36000000000013</v>
      </c>
      <c r="L665">
        <v>176011</v>
      </c>
    </row>
    <row r="666" spans="1:12" x14ac:dyDescent="0.35">
      <c r="A666" t="s">
        <v>8</v>
      </c>
      <c r="B666" t="s">
        <v>13</v>
      </c>
      <c r="C666" t="s">
        <v>28</v>
      </c>
      <c r="D666" t="str" cm="1">
        <f t="array" ref="D666">INDEX(_xlfn.TEXTSPLIT(C666,"_"),3)</f>
        <v>na</v>
      </c>
      <c r="E666" t="str">
        <f>VLOOKUP(D666,FranchiseMapping!$A$1:$B$15,2,FALSE)</f>
        <v>Biolage</v>
      </c>
      <c r="F666" s="1">
        <v>44927</v>
      </c>
      <c r="G666" t="s">
        <v>10</v>
      </c>
      <c r="H666" s="2">
        <v>45139</v>
      </c>
      <c r="I666" s="3">
        <v>45142</v>
      </c>
      <c r="J666" s="3">
        <f t="shared" si="10"/>
        <v>45143</v>
      </c>
      <c r="K666" s="4">
        <v>1245.3138369999999</v>
      </c>
      <c r="L666">
        <v>142829</v>
      </c>
    </row>
    <row r="667" spans="1:12" x14ac:dyDescent="0.35">
      <c r="A667" t="s">
        <v>8</v>
      </c>
      <c r="B667" t="s">
        <v>14</v>
      </c>
      <c r="C667" t="s">
        <v>49</v>
      </c>
      <c r="D667" t="str" cm="1">
        <f t="array" ref="D667">INDEX(_xlfn.TEXTSPLIT(C667,"_"),3)</f>
        <v>hys</v>
      </c>
      <c r="E667" t="str">
        <f>VLOOKUP(D667,FranchiseMapping!$A$1:$B$15,2,FALSE)</f>
        <v>Hydrasource</v>
      </c>
      <c r="F667" s="1">
        <v>45658</v>
      </c>
      <c r="G667" t="s">
        <v>10</v>
      </c>
      <c r="H667" s="2">
        <v>45748</v>
      </c>
      <c r="I667" s="3">
        <v>45751</v>
      </c>
      <c r="J667" s="3">
        <f t="shared" si="10"/>
        <v>45752</v>
      </c>
      <c r="K667" s="4">
        <v>310.14</v>
      </c>
      <c r="L667">
        <v>102096</v>
      </c>
    </row>
    <row r="668" spans="1:12" x14ac:dyDescent="0.35">
      <c r="A668" t="s">
        <v>8</v>
      </c>
      <c r="B668" t="s">
        <v>9</v>
      </c>
      <c r="C668" t="s">
        <v>53</v>
      </c>
      <c r="D668" t="str" cm="1">
        <f t="array" ref="D668">INDEX(_xlfn.TEXTSPLIT(C668,"_"),3)</f>
        <v>bond-therapy</v>
      </c>
      <c r="E668" t="str">
        <f>VLOOKUP(D668,FranchiseMapping!$A$1:$B$15,2,FALSE)</f>
        <v>Bond Therapy</v>
      </c>
      <c r="F668" s="1">
        <v>44927</v>
      </c>
      <c r="G668" t="s">
        <v>11</v>
      </c>
      <c r="H668" s="2">
        <v>45261</v>
      </c>
      <c r="I668" s="3">
        <v>45273</v>
      </c>
      <c r="J668" s="3">
        <f t="shared" si="10"/>
        <v>45276</v>
      </c>
      <c r="K668" s="4">
        <v>1203.3000000000002</v>
      </c>
      <c r="L668">
        <v>195250</v>
      </c>
    </row>
    <row r="669" spans="1:12" x14ac:dyDescent="0.35">
      <c r="A669" t="s">
        <v>8</v>
      </c>
      <c r="B669" t="s">
        <v>13</v>
      </c>
      <c r="C669" t="s">
        <v>39</v>
      </c>
      <c r="D669" t="str" cm="1">
        <f t="array" ref="D669">INDEX(_xlfn.TEXTSPLIT(C669,"_"),3)</f>
        <v>scalp-sync</v>
      </c>
      <c r="E669" t="str">
        <f>VLOOKUP(D669,FranchiseMapping!$A$1:$B$15,2,FALSE)</f>
        <v>Scalp Sync</v>
      </c>
      <c r="F669" s="1">
        <v>45292</v>
      </c>
      <c r="G669" t="s">
        <v>12</v>
      </c>
      <c r="H669" s="2">
        <v>45413</v>
      </c>
      <c r="I669" s="3">
        <v>45413</v>
      </c>
      <c r="J669" s="3">
        <f t="shared" si="10"/>
        <v>45416</v>
      </c>
      <c r="K669" s="4">
        <v>1711.2981670000001</v>
      </c>
      <c r="L669">
        <v>476663</v>
      </c>
    </row>
    <row r="670" spans="1:12" x14ac:dyDescent="0.35">
      <c r="A670" t="s">
        <v>8</v>
      </c>
      <c r="B670" t="s">
        <v>9</v>
      </c>
      <c r="C670" t="s">
        <v>31</v>
      </c>
      <c r="D670" t="str" cm="1">
        <f t="array" ref="D670">INDEX(_xlfn.TEXTSPLIT(C670,"_"),3)</f>
        <v>scalp</v>
      </c>
      <c r="E670" t="str">
        <f>VLOOKUP(D670,FranchiseMapping!$A$1:$B$15,2,FALSE)</f>
        <v>Scalp Sync</v>
      </c>
      <c r="F670" s="1">
        <v>45292</v>
      </c>
      <c r="G670" t="s">
        <v>12</v>
      </c>
      <c r="H670" s="2">
        <v>45383</v>
      </c>
      <c r="I670" s="3">
        <v>45386</v>
      </c>
      <c r="J670" s="3">
        <f t="shared" si="10"/>
        <v>45388</v>
      </c>
      <c r="K670" s="4">
        <v>1388.9499959999998</v>
      </c>
      <c r="L670">
        <v>240439</v>
      </c>
    </row>
    <row r="671" spans="1:12" x14ac:dyDescent="0.35">
      <c r="A671" t="s">
        <v>8</v>
      </c>
      <c r="B671" t="s">
        <v>9</v>
      </c>
      <c r="C671" t="s">
        <v>54</v>
      </c>
      <c r="D671" t="str" cm="1">
        <f t="array" ref="D671">INDEX(_xlfn.TEXTSPLIT(C671,"_"),3)</f>
        <v>scalp</v>
      </c>
      <c r="E671" t="str">
        <f>VLOOKUP(D671,FranchiseMapping!$A$1:$B$15,2,FALSE)</f>
        <v>Scalp Sync</v>
      </c>
      <c r="F671" s="1">
        <v>45292</v>
      </c>
      <c r="G671" t="s">
        <v>10</v>
      </c>
      <c r="H671" s="2">
        <v>45352</v>
      </c>
      <c r="I671" s="3">
        <v>45370</v>
      </c>
      <c r="J671" s="3">
        <f t="shared" si="10"/>
        <v>45374</v>
      </c>
      <c r="K671" s="4">
        <v>2232.1400049999997</v>
      </c>
      <c r="L671">
        <v>538456</v>
      </c>
    </row>
    <row r="672" spans="1:12" x14ac:dyDescent="0.35">
      <c r="A672" t="s">
        <v>8</v>
      </c>
      <c r="B672" t="s">
        <v>14</v>
      </c>
      <c r="C672" t="s">
        <v>43</v>
      </c>
      <c r="D672" t="str" cm="1">
        <f t="array" ref="D672">INDEX(_xlfn.TEXTSPLIT(C672,"_"),3)</f>
        <v>bfr</v>
      </c>
      <c r="E672" t="str">
        <f>VLOOKUP(D672,FranchiseMapping!$A$1:$B$15,2,FALSE)</f>
        <v>Full Rescue</v>
      </c>
      <c r="F672" s="1">
        <v>45658</v>
      </c>
      <c r="G672" t="s">
        <v>12</v>
      </c>
      <c r="H672" s="2">
        <v>45809</v>
      </c>
      <c r="I672" s="3">
        <v>45815</v>
      </c>
      <c r="J672" s="3">
        <f t="shared" si="10"/>
        <v>45815</v>
      </c>
      <c r="K672" s="4">
        <v>5493.5099999999993</v>
      </c>
      <c r="L672">
        <v>1157790</v>
      </c>
    </row>
    <row r="673" spans="1:12" x14ac:dyDescent="0.35">
      <c r="A673" t="s">
        <v>8</v>
      </c>
      <c r="B673" t="s">
        <v>14</v>
      </c>
      <c r="C673" t="s">
        <v>29</v>
      </c>
      <c r="D673" t="str" cm="1">
        <f t="array" ref="D673">INDEX(_xlfn.TEXTSPLIT(C673,"_"),3)</f>
        <v>bfr</v>
      </c>
      <c r="E673" t="str">
        <f>VLOOKUP(D673,FranchiseMapping!$A$1:$B$15,2,FALSE)</f>
        <v>Full Rescue</v>
      </c>
      <c r="F673" s="1">
        <v>45658</v>
      </c>
      <c r="G673" t="s">
        <v>10</v>
      </c>
      <c r="H673" s="2">
        <v>45809</v>
      </c>
      <c r="I673" s="3">
        <v>45826</v>
      </c>
      <c r="J673" s="3">
        <f t="shared" si="10"/>
        <v>45829</v>
      </c>
      <c r="K673" s="4">
        <v>1730.08</v>
      </c>
      <c r="L673">
        <v>304348</v>
      </c>
    </row>
    <row r="674" spans="1:12" x14ac:dyDescent="0.35">
      <c r="A674" t="s">
        <v>8</v>
      </c>
      <c r="B674" t="s">
        <v>9</v>
      </c>
      <c r="C674" t="s">
        <v>68</v>
      </c>
      <c r="D674" t="str" cm="1">
        <f t="array" ref="D674">INDEX(_xlfn.TEXTSPLIT(C674,"_"),3)</f>
        <v>na</v>
      </c>
      <c r="E674" t="str">
        <f>VLOOKUP(D674,FranchiseMapping!$A$1:$B$15,2,FALSE)</f>
        <v>Biolage</v>
      </c>
      <c r="F674" s="1">
        <v>44927</v>
      </c>
      <c r="G674" t="s">
        <v>11</v>
      </c>
      <c r="H674" s="2">
        <v>45200</v>
      </c>
      <c r="I674" s="3">
        <v>45226</v>
      </c>
      <c r="J674" s="3">
        <f t="shared" si="10"/>
        <v>45227</v>
      </c>
      <c r="K674" s="4">
        <v>237.21000100000003</v>
      </c>
      <c r="L674">
        <v>19493</v>
      </c>
    </row>
    <row r="675" spans="1:12" x14ac:dyDescent="0.35">
      <c r="A675" t="s">
        <v>8</v>
      </c>
      <c r="B675" t="s">
        <v>9</v>
      </c>
      <c r="C675" t="s">
        <v>48</v>
      </c>
      <c r="D675" t="str" cm="1">
        <f t="array" ref="D675">INDEX(_xlfn.TEXTSPLIT(C675,"_"),3)</f>
        <v>scalp</v>
      </c>
      <c r="E675" t="str">
        <f>VLOOKUP(D675,FranchiseMapping!$A$1:$B$15,2,FALSE)</f>
        <v>Scalp Sync</v>
      </c>
      <c r="F675" s="1">
        <v>45292</v>
      </c>
      <c r="G675" t="s">
        <v>10</v>
      </c>
      <c r="H675" s="2">
        <v>45352</v>
      </c>
      <c r="I675" s="3">
        <v>45356</v>
      </c>
      <c r="J675" s="3">
        <f t="shared" si="10"/>
        <v>45360</v>
      </c>
      <c r="K675" s="4">
        <v>1081.839999</v>
      </c>
      <c r="L675">
        <v>231414</v>
      </c>
    </row>
    <row r="676" spans="1:12" x14ac:dyDescent="0.35">
      <c r="A676" t="s">
        <v>8</v>
      </c>
      <c r="B676" t="s">
        <v>13</v>
      </c>
      <c r="C676" t="s">
        <v>39</v>
      </c>
      <c r="D676" t="str" cm="1">
        <f t="array" ref="D676">INDEX(_xlfn.TEXTSPLIT(C676,"_"),3)</f>
        <v>scalp-sync</v>
      </c>
      <c r="E676" t="str">
        <f>VLOOKUP(D676,FranchiseMapping!$A$1:$B$15,2,FALSE)</f>
        <v>Scalp Sync</v>
      </c>
      <c r="F676" s="1">
        <v>45292</v>
      </c>
      <c r="G676" t="s">
        <v>12</v>
      </c>
      <c r="H676" s="2">
        <v>45383</v>
      </c>
      <c r="I676" s="3">
        <v>45406</v>
      </c>
      <c r="J676" s="3">
        <f t="shared" si="10"/>
        <v>45409</v>
      </c>
      <c r="K676" s="4">
        <v>1836.2906110000001</v>
      </c>
      <c r="L676">
        <v>435839</v>
      </c>
    </row>
    <row r="677" spans="1:12" x14ac:dyDescent="0.35">
      <c r="A677" t="s">
        <v>8</v>
      </c>
      <c r="B677" t="s">
        <v>9</v>
      </c>
      <c r="C677" t="s">
        <v>52</v>
      </c>
      <c r="D677" t="str" cm="1">
        <f t="array" ref="D677">INDEX(_xlfn.TEXTSPLIT(C677,"_"),3)</f>
        <v>bond-therapy</v>
      </c>
      <c r="E677" t="str">
        <f>VLOOKUP(D677,FranchiseMapping!$A$1:$B$15,2,FALSE)</f>
        <v>Bond Therapy</v>
      </c>
      <c r="F677" s="1">
        <v>44927</v>
      </c>
      <c r="G677" t="s">
        <v>11</v>
      </c>
      <c r="H677" s="2">
        <v>45231</v>
      </c>
      <c r="I677" s="3">
        <v>45251</v>
      </c>
      <c r="J677" s="3">
        <f t="shared" si="10"/>
        <v>45255</v>
      </c>
      <c r="K677" s="4">
        <v>2790.9200000000005</v>
      </c>
      <c r="L677">
        <v>462900</v>
      </c>
    </row>
    <row r="678" spans="1:12" x14ac:dyDescent="0.35">
      <c r="A678" t="s">
        <v>8</v>
      </c>
      <c r="B678" t="s">
        <v>9</v>
      </c>
      <c r="C678" t="s">
        <v>35</v>
      </c>
      <c r="D678" t="str" cm="1">
        <f t="array" ref="D678">INDEX(_xlfn.TEXTSPLIT(C678,"_"),3)</f>
        <v>bfr</v>
      </c>
      <c r="E678" t="str">
        <f>VLOOKUP(D678,FranchiseMapping!$A$1:$B$15,2,FALSE)</f>
        <v>Full Rescue</v>
      </c>
      <c r="F678" s="1">
        <v>45658</v>
      </c>
      <c r="G678" t="s">
        <v>12</v>
      </c>
      <c r="H678" s="2">
        <v>45809</v>
      </c>
      <c r="I678" s="3">
        <v>45834</v>
      </c>
      <c r="J678" s="3">
        <f t="shared" si="10"/>
        <v>45836</v>
      </c>
      <c r="K678" s="4">
        <v>1335.1299980000001</v>
      </c>
      <c r="L678">
        <v>119035</v>
      </c>
    </row>
    <row r="679" spans="1:12" x14ac:dyDescent="0.35">
      <c r="A679" t="s">
        <v>8</v>
      </c>
      <c r="B679" t="s">
        <v>9</v>
      </c>
      <c r="C679" t="s">
        <v>31</v>
      </c>
      <c r="D679" t="str" cm="1">
        <f t="array" ref="D679">INDEX(_xlfn.TEXTSPLIT(C679,"_"),3)</f>
        <v>scalp</v>
      </c>
      <c r="E679" t="str">
        <f>VLOOKUP(D679,FranchiseMapping!$A$1:$B$15,2,FALSE)</f>
        <v>Scalp Sync</v>
      </c>
      <c r="F679" s="1">
        <v>45292</v>
      </c>
      <c r="G679" t="s">
        <v>12</v>
      </c>
      <c r="H679" s="2">
        <v>45383</v>
      </c>
      <c r="I679" s="3">
        <v>45402</v>
      </c>
      <c r="J679" s="3">
        <f t="shared" si="10"/>
        <v>45402</v>
      </c>
      <c r="K679" s="4">
        <v>1583.399997</v>
      </c>
      <c r="L679">
        <v>245299</v>
      </c>
    </row>
    <row r="680" spans="1:12" x14ac:dyDescent="0.35">
      <c r="A680" t="s">
        <v>8</v>
      </c>
      <c r="B680" t="s">
        <v>9</v>
      </c>
      <c r="C680" t="s">
        <v>48</v>
      </c>
      <c r="D680" t="str" cm="1">
        <f t="array" ref="D680">INDEX(_xlfn.TEXTSPLIT(C680,"_"),3)</f>
        <v>scalp</v>
      </c>
      <c r="E680" t="str">
        <f>VLOOKUP(D680,FranchiseMapping!$A$1:$B$15,2,FALSE)</f>
        <v>Scalp Sync</v>
      </c>
      <c r="F680" s="1">
        <v>45292</v>
      </c>
      <c r="G680" t="s">
        <v>12</v>
      </c>
      <c r="H680" s="2">
        <v>45383</v>
      </c>
      <c r="I680" s="3">
        <v>45387</v>
      </c>
      <c r="J680" s="3">
        <f t="shared" si="10"/>
        <v>45388</v>
      </c>
      <c r="K680" s="4">
        <v>744.16999799999996</v>
      </c>
      <c r="L680">
        <v>181507</v>
      </c>
    </row>
    <row r="681" spans="1:12" x14ac:dyDescent="0.35">
      <c r="A681" t="s">
        <v>8</v>
      </c>
      <c r="B681" t="s">
        <v>13</v>
      </c>
      <c r="C681" t="s">
        <v>42</v>
      </c>
      <c r="D681" t="str" cm="1">
        <f t="array" ref="D681">INDEX(_xlfn.TEXTSPLIT(C681,"_"),3)</f>
        <v>bfr</v>
      </c>
      <c r="E681" t="str">
        <f>VLOOKUP(D681,FranchiseMapping!$A$1:$B$15,2,FALSE)</f>
        <v>Full Rescue</v>
      </c>
      <c r="F681" s="1">
        <v>45658</v>
      </c>
      <c r="G681" t="s">
        <v>12</v>
      </c>
      <c r="H681" s="2">
        <v>45809</v>
      </c>
      <c r="I681" s="3">
        <v>45827</v>
      </c>
      <c r="J681" s="3">
        <f t="shared" si="10"/>
        <v>45829</v>
      </c>
      <c r="K681" s="4">
        <v>1437.107289</v>
      </c>
      <c r="L681">
        <v>677709</v>
      </c>
    </row>
    <row r="682" spans="1:12" x14ac:dyDescent="0.35">
      <c r="A682" t="s">
        <v>8</v>
      </c>
      <c r="B682" t="s">
        <v>9</v>
      </c>
      <c r="C682" t="s">
        <v>48</v>
      </c>
      <c r="D682" t="str" cm="1">
        <f t="array" ref="D682">INDEX(_xlfn.TEXTSPLIT(C682,"_"),3)</f>
        <v>scalp</v>
      </c>
      <c r="E682" t="str">
        <f>VLOOKUP(D682,FranchiseMapping!$A$1:$B$15,2,FALSE)</f>
        <v>Scalp Sync</v>
      </c>
      <c r="F682" s="1">
        <v>45292</v>
      </c>
      <c r="G682" t="s">
        <v>10</v>
      </c>
      <c r="H682" s="2">
        <v>45352</v>
      </c>
      <c r="I682" s="3">
        <v>45375</v>
      </c>
      <c r="J682" s="3">
        <f t="shared" si="10"/>
        <v>45381</v>
      </c>
      <c r="K682" s="4">
        <v>1058.3400009999998</v>
      </c>
      <c r="L682">
        <v>240543</v>
      </c>
    </row>
    <row r="683" spans="1:12" x14ac:dyDescent="0.35">
      <c r="A683" t="s">
        <v>8</v>
      </c>
      <c r="B683" t="s">
        <v>14</v>
      </c>
      <c r="C683" t="s">
        <v>47</v>
      </c>
      <c r="D683" t="str" cm="1">
        <f t="array" ref="D683">INDEX(_xlfn.TEXTSPLIT(C683,"_"),3)</f>
        <v>hys</v>
      </c>
      <c r="E683" t="str">
        <f>VLOOKUP(D683,FranchiseMapping!$A$1:$B$15,2,FALSE)</f>
        <v>Hydrasource</v>
      </c>
      <c r="F683" s="1">
        <v>45658</v>
      </c>
      <c r="G683" t="s">
        <v>10</v>
      </c>
      <c r="H683" s="2">
        <v>45748</v>
      </c>
      <c r="I683" s="3">
        <v>45748</v>
      </c>
      <c r="J683" s="3">
        <f t="shared" si="10"/>
        <v>45752</v>
      </c>
      <c r="K683" s="4">
        <v>2422.0199999999995</v>
      </c>
      <c r="L683">
        <v>632767</v>
      </c>
    </row>
    <row r="684" spans="1:12" x14ac:dyDescent="0.35">
      <c r="A684" t="s">
        <v>8</v>
      </c>
      <c r="B684" t="s">
        <v>9</v>
      </c>
      <c r="C684" t="s">
        <v>35</v>
      </c>
      <c r="D684" t="str" cm="1">
        <f t="array" ref="D684">INDEX(_xlfn.TEXTSPLIT(C684,"_"),3)</f>
        <v>bfr</v>
      </c>
      <c r="E684" t="str">
        <f>VLOOKUP(D684,FranchiseMapping!$A$1:$B$15,2,FALSE)</f>
        <v>Full Rescue</v>
      </c>
      <c r="F684" s="1">
        <v>45658</v>
      </c>
      <c r="G684" t="s">
        <v>10</v>
      </c>
      <c r="H684" s="2">
        <v>45778</v>
      </c>
      <c r="I684" s="3">
        <v>45782</v>
      </c>
      <c r="J684" s="3">
        <f t="shared" si="10"/>
        <v>45787</v>
      </c>
      <c r="K684" s="4">
        <v>8.370000000000001</v>
      </c>
      <c r="L684">
        <v>1038</v>
      </c>
    </row>
    <row r="685" spans="1:12" x14ac:dyDescent="0.35">
      <c r="A685" t="s">
        <v>8</v>
      </c>
      <c r="B685" t="s">
        <v>9</v>
      </c>
      <c r="C685" t="s">
        <v>34</v>
      </c>
      <c r="D685" t="str" cm="1">
        <f t="array" ref="D685">INDEX(_xlfn.TEXTSPLIT(C685,"_"),3)</f>
        <v>hydrasource</v>
      </c>
      <c r="E685" t="str">
        <f>VLOOKUP(D685,FranchiseMapping!$A$1:$B$15,2,FALSE)</f>
        <v>Hydrasource</v>
      </c>
      <c r="F685" s="1">
        <v>45292</v>
      </c>
      <c r="G685" t="s">
        <v>12</v>
      </c>
      <c r="H685" s="2">
        <v>45292</v>
      </c>
      <c r="I685" s="3">
        <v>45314</v>
      </c>
      <c r="J685" s="3">
        <f t="shared" si="10"/>
        <v>45318</v>
      </c>
      <c r="K685" s="4">
        <v>659.73000100000002</v>
      </c>
      <c r="L685">
        <v>162480</v>
      </c>
    </row>
    <row r="686" spans="1:12" x14ac:dyDescent="0.35">
      <c r="A686" t="s">
        <v>8</v>
      </c>
      <c r="B686" t="s">
        <v>9</v>
      </c>
      <c r="C686" t="s">
        <v>53</v>
      </c>
      <c r="D686" t="str" cm="1">
        <f t="array" ref="D686">INDEX(_xlfn.TEXTSPLIT(C686,"_"),3)</f>
        <v>bond-therapy</v>
      </c>
      <c r="E686" t="str">
        <f>VLOOKUP(D686,FranchiseMapping!$A$1:$B$15,2,FALSE)</f>
        <v>Bond Therapy</v>
      </c>
      <c r="F686" s="1">
        <v>44927</v>
      </c>
      <c r="G686" t="s">
        <v>11</v>
      </c>
      <c r="H686" s="2">
        <v>45261</v>
      </c>
      <c r="I686" s="3">
        <v>45268</v>
      </c>
      <c r="J686" s="3">
        <f t="shared" si="10"/>
        <v>45269</v>
      </c>
      <c r="K686" s="4">
        <v>1184.8900010000002</v>
      </c>
      <c r="L686">
        <v>193210</v>
      </c>
    </row>
    <row r="687" spans="1:12" x14ac:dyDescent="0.35">
      <c r="A687" t="s">
        <v>8</v>
      </c>
      <c r="B687" t="s">
        <v>9</v>
      </c>
      <c r="C687" t="s">
        <v>34</v>
      </c>
      <c r="D687" t="str" cm="1">
        <f t="array" ref="D687">INDEX(_xlfn.TEXTSPLIT(C687,"_"),3)</f>
        <v>hydrasource</v>
      </c>
      <c r="E687" t="str">
        <f>VLOOKUP(D687,FranchiseMapping!$A$1:$B$15,2,FALSE)</f>
        <v>Hydrasource</v>
      </c>
      <c r="F687" s="1">
        <v>45292</v>
      </c>
      <c r="G687" t="s">
        <v>12</v>
      </c>
      <c r="H687" s="2">
        <v>45292</v>
      </c>
      <c r="I687" s="3">
        <v>45320</v>
      </c>
      <c r="J687" s="3">
        <f t="shared" si="10"/>
        <v>45325</v>
      </c>
      <c r="K687" s="4">
        <v>639.38000199999988</v>
      </c>
      <c r="L687">
        <v>160851</v>
      </c>
    </row>
    <row r="688" spans="1:12" x14ac:dyDescent="0.35">
      <c r="A688" t="s">
        <v>8</v>
      </c>
      <c r="B688" t="s">
        <v>14</v>
      </c>
      <c r="C688" t="s">
        <v>29</v>
      </c>
      <c r="D688" t="str" cm="1">
        <f t="array" ref="D688">INDEX(_xlfn.TEXTSPLIT(C688,"_"),3)</f>
        <v>bfr</v>
      </c>
      <c r="E688" t="str">
        <f>VLOOKUP(D688,FranchiseMapping!$A$1:$B$15,2,FALSE)</f>
        <v>Full Rescue</v>
      </c>
      <c r="F688" s="1">
        <v>45658</v>
      </c>
      <c r="G688" t="s">
        <v>10</v>
      </c>
      <c r="H688" s="2">
        <v>45809</v>
      </c>
      <c r="I688" s="3">
        <v>45836</v>
      </c>
      <c r="J688" s="3">
        <f t="shared" si="10"/>
        <v>45836</v>
      </c>
      <c r="K688" s="4">
        <v>1470.8700000000001</v>
      </c>
      <c r="L688">
        <v>229349</v>
      </c>
    </row>
    <row r="689" spans="1:12" x14ac:dyDescent="0.35">
      <c r="A689" t="s">
        <v>8</v>
      </c>
      <c r="B689" t="s">
        <v>14</v>
      </c>
      <c r="C689" t="s">
        <v>29</v>
      </c>
      <c r="D689" t="str" cm="1">
        <f t="array" ref="D689">INDEX(_xlfn.TEXTSPLIT(C689,"_"),3)</f>
        <v>bfr</v>
      </c>
      <c r="E689" t="str">
        <f>VLOOKUP(D689,FranchiseMapping!$A$1:$B$15,2,FALSE)</f>
        <v>Full Rescue</v>
      </c>
      <c r="F689" s="1">
        <v>45658</v>
      </c>
      <c r="G689" t="s">
        <v>12</v>
      </c>
      <c r="H689" s="2">
        <v>45809</v>
      </c>
      <c r="I689" s="3">
        <v>45837</v>
      </c>
      <c r="J689" s="3">
        <f t="shared" si="10"/>
        <v>45843</v>
      </c>
      <c r="K689" s="4">
        <v>78.91</v>
      </c>
      <c r="L689">
        <v>15352</v>
      </c>
    </row>
    <row r="690" spans="1:12" x14ac:dyDescent="0.35">
      <c r="A690" t="s">
        <v>8</v>
      </c>
      <c r="B690" t="s">
        <v>9</v>
      </c>
      <c r="C690" t="s">
        <v>41</v>
      </c>
      <c r="D690" t="str" cm="1">
        <f t="array" ref="D690">INDEX(_xlfn.TEXTSPLIT(C690,"_"),3)</f>
        <v>hys</v>
      </c>
      <c r="E690" t="str">
        <f>VLOOKUP(D690,FranchiseMapping!$A$1:$B$15,2,FALSE)</f>
        <v>Hydrasource</v>
      </c>
      <c r="F690" s="1">
        <v>45658</v>
      </c>
      <c r="G690" t="s">
        <v>12</v>
      </c>
      <c r="H690" s="2">
        <v>45748</v>
      </c>
      <c r="I690" s="3">
        <v>45767</v>
      </c>
      <c r="J690" s="3">
        <f t="shared" si="10"/>
        <v>45773</v>
      </c>
      <c r="K690" s="4">
        <v>4092.2200010000006</v>
      </c>
      <c r="L690">
        <v>426250</v>
      </c>
    </row>
    <row r="691" spans="1:12" x14ac:dyDescent="0.35">
      <c r="A691" t="s">
        <v>8</v>
      </c>
      <c r="B691" t="s">
        <v>14</v>
      </c>
      <c r="C691" t="s">
        <v>57</v>
      </c>
      <c r="D691" t="str" cm="1">
        <f t="array" ref="D691">INDEX(_xlfn.TEXTSPLIT(C691,"_"),3)</f>
        <v>bfr</v>
      </c>
      <c r="E691" t="str">
        <f>VLOOKUP(D691,FranchiseMapping!$A$1:$B$15,2,FALSE)</f>
        <v>Full Rescue</v>
      </c>
      <c r="F691" s="1">
        <v>45658</v>
      </c>
      <c r="G691" t="s">
        <v>10</v>
      </c>
      <c r="H691" s="2">
        <v>45809</v>
      </c>
      <c r="I691" s="3">
        <v>45811</v>
      </c>
      <c r="J691" s="3">
        <f t="shared" si="10"/>
        <v>45815</v>
      </c>
      <c r="K691" s="4">
        <v>14348.18</v>
      </c>
      <c r="L691">
        <v>1039672</v>
      </c>
    </row>
    <row r="692" spans="1:12" x14ac:dyDescent="0.35">
      <c r="A692" t="s">
        <v>8</v>
      </c>
      <c r="B692" t="s">
        <v>9</v>
      </c>
      <c r="C692" t="s">
        <v>50</v>
      </c>
      <c r="D692" t="str" cm="1">
        <f t="array" ref="D692">INDEX(_xlfn.TEXTSPLIT(C692,"_"),3)</f>
        <v>bond-therapy</v>
      </c>
      <c r="E692" t="str">
        <f>VLOOKUP(D692,FranchiseMapping!$A$1:$B$15,2,FALSE)</f>
        <v>Bond Therapy</v>
      </c>
      <c r="F692" s="1">
        <v>44927</v>
      </c>
      <c r="G692" t="s">
        <v>12</v>
      </c>
      <c r="H692" s="2">
        <v>45261</v>
      </c>
      <c r="I692" s="3">
        <v>45281</v>
      </c>
      <c r="J692" s="3">
        <f t="shared" si="10"/>
        <v>45283</v>
      </c>
      <c r="K692" s="4">
        <v>2909.5299960000007</v>
      </c>
      <c r="L692">
        <v>252200</v>
      </c>
    </row>
    <row r="693" spans="1:12" x14ac:dyDescent="0.35">
      <c r="A693" t="s">
        <v>8</v>
      </c>
      <c r="B693" t="s">
        <v>9</v>
      </c>
      <c r="C693" t="s">
        <v>33</v>
      </c>
      <c r="D693" t="str" cm="1">
        <f t="array" ref="D693">INDEX(_xlfn.TEXTSPLIT(C693,"_"),3)</f>
        <v>hydrasource</v>
      </c>
      <c r="E693" t="str">
        <f>VLOOKUP(D693,FranchiseMapping!$A$1:$B$15,2,FALSE)</f>
        <v>Hydrasource</v>
      </c>
      <c r="F693" s="1">
        <v>45292</v>
      </c>
      <c r="G693" t="s">
        <v>11</v>
      </c>
      <c r="H693" s="2">
        <v>45323</v>
      </c>
      <c r="I693" s="3">
        <v>45342</v>
      </c>
      <c r="J693" s="3">
        <f t="shared" si="10"/>
        <v>45346</v>
      </c>
      <c r="K693" s="4">
        <v>312.09999699999997</v>
      </c>
      <c r="L693">
        <v>43014</v>
      </c>
    </row>
    <row r="694" spans="1:12" x14ac:dyDescent="0.35">
      <c r="A694" t="s">
        <v>8</v>
      </c>
      <c r="B694" t="s">
        <v>9</v>
      </c>
      <c r="C694" t="s">
        <v>38</v>
      </c>
      <c r="D694" t="str" cm="1">
        <f t="array" ref="D694">INDEX(_xlfn.TEXTSPLIT(C694,"_"),3)</f>
        <v>hys</v>
      </c>
      <c r="E694" t="str">
        <f>VLOOKUP(D694,FranchiseMapping!$A$1:$B$15,2,FALSE)</f>
        <v>Hydrasource</v>
      </c>
      <c r="F694" s="1">
        <v>45658</v>
      </c>
      <c r="G694" t="s">
        <v>10</v>
      </c>
      <c r="H694" s="2">
        <v>45778</v>
      </c>
      <c r="I694" s="3">
        <v>45778</v>
      </c>
      <c r="J694" s="3">
        <f t="shared" si="10"/>
        <v>45780</v>
      </c>
      <c r="K694" s="4">
        <v>430.43999999999994</v>
      </c>
      <c r="L694">
        <v>18869</v>
      </c>
    </row>
    <row r="695" spans="1:12" x14ac:dyDescent="0.35">
      <c r="A695" t="s">
        <v>8</v>
      </c>
      <c r="B695" t="s">
        <v>9</v>
      </c>
      <c r="C695" t="s">
        <v>33</v>
      </c>
      <c r="D695" t="str" cm="1">
        <f t="array" ref="D695">INDEX(_xlfn.TEXTSPLIT(C695,"_"),3)</f>
        <v>hydrasource</v>
      </c>
      <c r="E695" t="str">
        <f>VLOOKUP(D695,FranchiseMapping!$A$1:$B$15,2,FALSE)</f>
        <v>Hydrasource</v>
      </c>
      <c r="F695" s="1">
        <v>45292</v>
      </c>
      <c r="G695" t="s">
        <v>11</v>
      </c>
      <c r="H695" s="2">
        <v>45323</v>
      </c>
      <c r="I695" s="3">
        <v>45344</v>
      </c>
      <c r="J695" s="3">
        <f t="shared" si="10"/>
        <v>45346</v>
      </c>
      <c r="K695" s="4">
        <v>1208.6599970000002</v>
      </c>
      <c r="L695">
        <v>179298</v>
      </c>
    </row>
    <row r="696" spans="1:12" x14ac:dyDescent="0.35">
      <c r="A696" t="s">
        <v>8</v>
      </c>
      <c r="B696" t="s">
        <v>9</v>
      </c>
      <c r="C696" t="s">
        <v>46</v>
      </c>
      <c r="D696" t="str" cm="1">
        <f t="array" ref="D696">INDEX(_xlfn.TEXTSPLIT(C696,"_"),3)</f>
        <v>mult</v>
      </c>
      <c r="E696" t="str">
        <f>VLOOKUP(D696,FranchiseMapping!$A$1:$B$15,2,FALSE)</f>
        <v>Biolage</v>
      </c>
      <c r="F696" s="1">
        <v>45658</v>
      </c>
      <c r="G696" t="s">
        <v>12</v>
      </c>
      <c r="H696" s="2">
        <v>45748</v>
      </c>
      <c r="I696" s="3">
        <v>45777</v>
      </c>
      <c r="J696" s="3">
        <f t="shared" si="10"/>
        <v>45780</v>
      </c>
      <c r="K696" s="4">
        <v>696.62000300000022</v>
      </c>
      <c r="L696">
        <v>154365</v>
      </c>
    </row>
    <row r="697" spans="1:12" x14ac:dyDescent="0.35">
      <c r="A697" t="s">
        <v>8</v>
      </c>
      <c r="B697" t="s">
        <v>13</v>
      </c>
      <c r="C697" t="s">
        <v>39</v>
      </c>
      <c r="D697" t="str" cm="1">
        <f t="array" ref="D697">INDEX(_xlfn.TEXTSPLIT(C697,"_"),3)</f>
        <v>scalp-sync</v>
      </c>
      <c r="E697" t="str">
        <f>VLOOKUP(D697,FranchiseMapping!$A$1:$B$15,2,FALSE)</f>
        <v>Scalp Sync</v>
      </c>
      <c r="F697" s="1">
        <v>45292</v>
      </c>
      <c r="G697" t="s">
        <v>12</v>
      </c>
      <c r="H697" s="2">
        <v>45383</v>
      </c>
      <c r="I697" s="3">
        <v>45408</v>
      </c>
      <c r="J697" s="3">
        <f t="shared" si="10"/>
        <v>45409</v>
      </c>
      <c r="K697" s="4">
        <v>1770.9294709999999</v>
      </c>
      <c r="L697">
        <v>455770</v>
      </c>
    </row>
    <row r="698" spans="1:12" x14ac:dyDescent="0.35">
      <c r="A698" t="s">
        <v>8</v>
      </c>
      <c r="B698" t="s">
        <v>14</v>
      </c>
      <c r="C698" t="s">
        <v>43</v>
      </c>
      <c r="D698" t="str" cm="1">
        <f t="array" ref="D698">INDEX(_xlfn.TEXTSPLIT(C698,"_"),3)</f>
        <v>bfr</v>
      </c>
      <c r="E698" t="str">
        <f>VLOOKUP(D698,FranchiseMapping!$A$1:$B$15,2,FALSE)</f>
        <v>Full Rescue</v>
      </c>
      <c r="F698" s="1">
        <v>45658</v>
      </c>
      <c r="G698" t="s">
        <v>10</v>
      </c>
      <c r="H698" s="2">
        <v>45809</v>
      </c>
      <c r="I698" s="3">
        <v>45835</v>
      </c>
      <c r="J698" s="3">
        <f t="shared" si="10"/>
        <v>45836</v>
      </c>
      <c r="K698" s="4">
        <v>5898.33</v>
      </c>
      <c r="L698">
        <v>831881</v>
      </c>
    </row>
    <row r="699" spans="1:12" x14ac:dyDescent="0.35">
      <c r="A699" t="s">
        <v>8</v>
      </c>
      <c r="B699" t="s">
        <v>13</v>
      </c>
      <c r="C699" t="s">
        <v>42</v>
      </c>
      <c r="D699" t="str" cm="1">
        <f t="array" ref="D699">INDEX(_xlfn.TEXTSPLIT(C699,"_"),3)</f>
        <v>bfr</v>
      </c>
      <c r="E699" t="str">
        <f>VLOOKUP(D699,FranchiseMapping!$A$1:$B$15,2,FALSE)</f>
        <v>Full Rescue</v>
      </c>
      <c r="F699" s="1">
        <v>45658</v>
      </c>
      <c r="G699" t="s">
        <v>10</v>
      </c>
      <c r="H699" s="2">
        <v>45809</v>
      </c>
      <c r="I699" s="3">
        <v>45812</v>
      </c>
      <c r="J699" s="3">
        <f t="shared" si="10"/>
        <v>45815</v>
      </c>
      <c r="K699" s="4">
        <v>415.88184800000005</v>
      </c>
      <c r="L699">
        <v>204232</v>
      </c>
    </row>
    <row r="700" spans="1:12" x14ac:dyDescent="0.35">
      <c r="A700" t="s">
        <v>8</v>
      </c>
      <c r="B700" t="s">
        <v>13</v>
      </c>
      <c r="C700" t="s">
        <v>62</v>
      </c>
      <c r="D700" t="str" cm="1">
        <f t="array" ref="D700">INDEX(_xlfn.TEXTSPLIT(C700,"_"),3)</f>
        <v>na</v>
      </c>
      <c r="E700" t="str">
        <f>VLOOKUP(D700,FranchiseMapping!$A$1:$B$15,2,FALSE)</f>
        <v>Biolage</v>
      </c>
      <c r="F700" s="1">
        <v>44927</v>
      </c>
      <c r="G700" t="s">
        <v>10</v>
      </c>
      <c r="H700" s="2">
        <v>45108</v>
      </c>
      <c r="I700" s="3">
        <v>45112</v>
      </c>
      <c r="J700" s="3">
        <f t="shared" si="10"/>
        <v>45115</v>
      </c>
      <c r="K700" s="4">
        <v>80.122946999999996</v>
      </c>
      <c r="L700">
        <v>59290</v>
      </c>
    </row>
    <row r="701" spans="1:12" x14ac:dyDescent="0.35">
      <c r="A701" t="s">
        <v>8</v>
      </c>
      <c r="B701" t="s">
        <v>9</v>
      </c>
      <c r="C701" t="s">
        <v>48</v>
      </c>
      <c r="D701" t="str" cm="1">
        <f t="array" ref="D701">INDEX(_xlfn.TEXTSPLIT(C701,"_"),3)</f>
        <v>scalp</v>
      </c>
      <c r="E701" t="str">
        <f>VLOOKUP(D701,FranchiseMapping!$A$1:$B$15,2,FALSE)</f>
        <v>Scalp Sync</v>
      </c>
      <c r="F701" s="1">
        <v>45292</v>
      </c>
      <c r="G701" t="s">
        <v>10</v>
      </c>
      <c r="H701" s="2">
        <v>45383</v>
      </c>
      <c r="I701" s="3">
        <v>45403</v>
      </c>
      <c r="J701" s="3">
        <f t="shared" si="10"/>
        <v>45409</v>
      </c>
      <c r="K701" s="4">
        <v>195.22999899999999</v>
      </c>
      <c r="L701">
        <v>50071</v>
      </c>
    </row>
    <row r="702" spans="1:12" x14ac:dyDescent="0.35">
      <c r="A702" t="s">
        <v>8</v>
      </c>
      <c r="B702" t="s">
        <v>14</v>
      </c>
      <c r="C702" t="s">
        <v>47</v>
      </c>
      <c r="D702" t="str" cm="1">
        <f t="array" ref="D702">INDEX(_xlfn.TEXTSPLIT(C702,"_"),3)</f>
        <v>hys</v>
      </c>
      <c r="E702" t="str">
        <f>VLOOKUP(D702,FranchiseMapping!$A$1:$B$15,2,FALSE)</f>
        <v>Hydrasource</v>
      </c>
      <c r="F702" s="1">
        <v>45658</v>
      </c>
      <c r="G702" t="s">
        <v>10</v>
      </c>
      <c r="H702" s="2">
        <v>45748</v>
      </c>
      <c r="I702" s="3">
        <v>45752</v>
      </c>
      <c r="J702" s="3">
        <f t="shared" si="10"/>
        <v>45752</v>
      </c>
      <c r="K702" s="4">
        <v>2097.4199999999996</v>
      </c>
      <c r="L702">
        <v>508138</v>
      </c>
    </row>
    <row r="703" spans="1:12" x14ac:dyDescent="0.35">
      <c r="A703" t="s">
        <v>8</v>
      </c>
      <c r="B703" t="s">
        <v>14</v>
      </c>
      <c r="C703" t="s">
        <v>47</v>
      </c>
      <c r="D703" t="str" cm="1">
        <f t="array" ref="D703">INDEX(_xlfn.TEXTSPLIT(C703,"_"),3)</f>
        <v>hys</v>
      </c>
      <c r="E703" t="str">
        <f>VLOOKUP(D703,FranchiseMapping!$A$1:$B$15,2,FALSE)</f>
        <v>Hydrasource</v>
      </c>
      <c r="F703" s="1">
        <v>45658</v>
      </c>
      <c r="G703" t="s">
        <v>12</v>
      </c>
      <c r="H703" s="2">
        <v>45748</v>
      </c>
      <c r="I703" s="3">
        <v>45752</v>
      </c>
      <c r="J703" s="3">
        <f t="shared" si="10"/>
        <v>45752</v>
      </c>
      <c r="K703" s="4">
        <v>1581.27</v>
      </c>
      <c r="L703">
        <v>345674</v>
      </c>
    </row>
    <row r="704" spans="1:12" x14ac:dyDescent="0.35">
      <c r="A704" t="s">
        <v>8</v>
      </c>
      <c r="B704" t="s">
        <v>14</v>
      </c>
      <c r="C704" t="s">
        <v>37</v>
      </c>
      <c r="D704" t="str" cm="1">
        <f t="array" ref="D704">INDEX(_xlfn.TEXTSPLIT(C704,"_"),3)</f>
        <v>mult</v>
      </c>
      <c r="E704" t="str">
        <f>VLOOKUP(D704,FranchiseMapping!$A$1:$B$15,2,FALSE)</f>
        <v>Biolage</v>
      </c>
      <c r="F704" s="1">
        <v>45658</v>
      </c>
      <c r="G704" t="s">
        <v>12</v>
      </c>
      <c r="H704" s="2">
        <v>45748</v>
      </c>
      <c r="I704" s="3">
        <v>45769</v>
      </c>
      <c r="J704" s="3">
        <f t="shared" si="10"/>
        <v>45773</v>
      </c>
      <c r="K704" s="4">
        <v>0.6</v>
      </c>
      <c r="L704">
        <v>144</v>
      </c>
    </row>
    <row r="705" spans="1:12" x14ac:dyDescent="0.35">
      <c r="A705" t="s">
        <v>8</v>
      </c>
      <c r="B705" t="s">
        <v>9</v>
      </c>
      <c r="C705" t="s">
        <v>56</v>
      </c>
      <c r="D705" t="str" cm="1">
        <f t="array" ref="D705">INDEX(_xlfn.TEXTSPLIT(C705,"_"),3)</f>
        <v>haca-colorlast-q3</v>
      </c>
      <c r="E705" t="str">
        <f>VLOOKUP(D705,FranchiseMapping!$A$1:$B$15,2,FALSE)</f>
        <v>Color Last</v>
      </c>
      <c r="F705" s="1">
        <v>44927</v>
      </c>
      <c r="G705" t="s">
        <v>10</v>
      </c>
      <c r="H705" s="2">
        <v>45139</v>
      </c>
      <c r="I705" s="3">
        <v>45148</v>
      </c>
      <c r="J705" s="3">
        <f t="shared" si="10"/>
        <v>45150</v>
      </c>
      <c r="K705" s="4">
        <v>652.05999999999995</v>
      </c>
      <c r="L705">
        <v>100464</v>
      </c>
    </row>
    <row r="706" spans="1:12" x14ac:dyDescent="0.35">
      <c r="A706" t="s">
        <v>8</v>
      </c>
      <c r="B706" t="s">
        <v>9</v>
      </c>
      <c r="C706" t="s">
        <v>36</v>
      </c>
      <c r="D706" t="str" cm="1">
        <f t="array" ref="D706">INDEX(_xlfn.TEXTSPLIT(C706,"_"),3)</f>
        <v>bfr</v>
      </c>
      <c r="E706" t="str">
        <f>VLOOKUP(D706,FranchiseMapping!$A$1:$B$15,2,FALSE)</f>
        <v>Full Rescue</v>
      </c>
      <c r="F706" s="1">
        <v>45658</v>
      </c>
      <c r="G706" t="s">
        <v>10</v>
      </c>
      <c r="H706" s="2">
        <v>45778</v>
      </c>
      <c r="I706" s="3">
        <v>45806</v>
      </c>
      <c r="J706" s="3">
        <f t="shared" si="10"/>
        <v>45808</v>
      </c>
      <c r="K706" s="4">
        <v>29.919999999999995</v>
      </c>
      <c r="L706">
        <v>1111</v>
      </c>
    </row>
    <row r="707" spans="1:12" x14ac:dyDescent="0.35">
      <c r="A707" t="s">
        <v>8</v>
      </c>
      <c r="B707" t="s">
        <v>9</v>
      </c>
      <c r="C707" t="s">
        <v>52</v>
      </c>
      <c r="D707" t="str" cm="1">
        <f t="array" ref="D707">INDEX(_xlfn.TEXTSPLIT(C707,"_"),3)</f>
        <v>bond-therapy</v>
      </c>
      <c r="E707" t="str">
        <f>VLOOKUP(D707,FranchiseMapping!$A$1:$B$15,2,FALSE)</f>
        <v>Bond Therapy</v>
      </c>
      <c r="F707" s="1">
        <v>44927</v>
      </c>
      <c r="G707" t="s">
        <v>11</v>
      </c>
      <c r="H707" s="2">
        <v>45261</v>
      </c>
      <c r="I707" s="3">
        <v>45267</v>
      </c>
      <c r="J707" s="3">
        <f t="shared" ref="J707:J770" si="11">I707 + (7 - WEEKDAY(I707, 1))</f>
        <v>45269</v>
      </c>
      <c r="K707" s="4">
        <v>2800.399394</v>
      </c>
      <c r="L707">
        <v>495537</v>
      </c>
    </row>
    <row r="708" spans="1:12" x14ac:dyDescent="0.35">
      <c r="A708" t="s">
        <v>8</v>
      </c>
      <c r="B708" t="s">
        <v>9</v>
      </c>
      <c r="C708" t="s">
        <v>48</v>
      </c>
      <c r="D708" t="str" cm="1">
        <f t="array" ref="D708">INDEX(_xlfn.TEXTSPLIT(C708,"_"),3)</f>
        <v>scalp</v>
      </c>
      <c r="E708" t="str">
        <f>VLOOKUP(D708,FranchiseMapping!$A$1:$B$15,2,FALSE)</f>
        <v>Scalp Sync</v>
      </c>
      <c r="F708" s="1">
        <v>45292</v>
      </c>
      <c r="G708" t="s">
        <v>12</v>
      </c>
      <c r="H708" s="2">
        <v>45383</v>
      </c>
      <c r="I708" s="3">
        <v>45384</v>
      </c>
      <c r="J708" s="3">
        <f t="shared" si="11"/>
        <v>45388</v>
      </c>
      <c r="K708" s="4">
        <v>761.80000099999995</v>
      </c>
      <c r="L708">
        <v>208702</v>
      </c>
    </row>
    <row r="709" spans="1:12" x14ac:dyDescent="0.35">
      <c r="A709" t="s">
        <v>8</v>
      </c>
      <c r="B709" t="s">
        <v>13</v>
      </c>
      <c r="C709" t="s">
        <v>28</v>
      </c>
      <c r="D709" t="str" cm="1">
        <f t="array" ref="D709">INDEX(_xlfn.TEXTSPLIT(C709,"_"),3)</f>
        <v>na</v>
      </c>
      <c r="E709" t="str">
        <f>VLOOKUP(D709,FranchiseMapping!$A$1:$B$15,2,FALSE)</f>
        <v>Biolage</v>
      </c>
      <c r="F709" s="1">
        <v>44927</v>
      </c>
      <c r="G709" t="s">
        <v>12</v>
      </c>
      <c r="H709" s="2">
        <v>45108</v>
      </c>
      <c r="I709" s="3">
        <v>45131</v>
      </c>
      <c r="J709" s="3">
        <f t="shared" si="11"/>
        <v>45136</v>
      </c>
      <c r="K709" s="4">
        <v>184.29165</v>
      </c>
      <c r="L709">
        <v>63850</v>
      </c>
    </row>
    <row r="710" spans="1:12" x14ac:dyDescent="0.35">
      <c r="A710" t="s">
        <v>8</v>
      </c>
      <c r="B710" t="s">
        <v>9</v>
      </c>
      <c r="C710" t="s">
        <v>45</v>
      </c>
      <c r="D710" t="str" cm="1">
        <f t="array" ref="D710">INDEX(_xlfn.TEXTSPLIT(C710,"_"),3)</f>
        <v>hydrasource</v>
      </c>
      <c r="E710" t="str">
        <f>VLOOKUP(D710,FranchiseMapping!$A$1:$B$15,2,FALSE)</f>
        <v>Hydrasource</v>
      </c>
      <c r="F710" s="1">
        <v>45292</v>
      </c>
      <c r="G710" t="s">
        <v>12</v>
      </c>
      <c r="H710" s="2">
        <v>45536</v>
      </c>
      <c r="I710" s="3">
        <v>45562</v>
      </c>
      <c r="J710" s="3">
        <f t="shared" si="11"/>
        <v>45563</v>
      </c>
      <c r="K710" s="4">
        <v>2547.2699970000003</v>
      </c>
      <c r="L710">
        <v>266410</v>
      </c>
    </row>
    <row r="711" spans="1:12" x14ac:dyDescent="0.35">
      <c r="A711" t="s">
        <v>8</v>
      </c>
      <c r="B711" t="s">
        <v>9</v>
      </c>
      <c r="C711" t="s">
        <v>55</v>
      </c>
      <c r="D711" t="str" cm="1">
        <f t="array" ref="D711">INDEX(_xlfn.TEXTSPLIT(C711,"_"),3)</f>
        <v>hydrasource</v>
      </c>
      <c r="E711" t="str">
        <f>VLOOKUP(D711,FranchiseMapping!$A$1:$B$15,2,FALSE)</f>
        <v>Hydrasource</v>
      </c>
      <c r="F711" s="1">
        <v>45292</v>
      </c>
      <c r="G711" t="s">
        <v>12</v>
      </c>
      <c r="H711" s="2">
        <v>45566</v>
      </c>
      <c r="I711" s="3">
        <v>45582</v>
      </c>
      <c r="J711" s="3">
        <f t="shared" si="11"/>
        <v>45584</v>
      </c>
      <c r="K711" s="4">
        <v>3492.2900129999998</v>
      </c>
      <c r="L711">
        <v>754062</v>
      </c>
    </row>
    <row r="712" spans="1:12" x14ac:dyDescent="0.35">
      <c r="A712" t="s">
        <v>8</v>
      </c>
      <c r="B712" t="s">
        <v>13</v>
      </c>
      <c r="C712" t="s">
        <v>28</v>
      </c>
      <c r="D712" t="str" cm="1">
        <f t="array" ref="D712">INDEX(_xlfn.TEXTSPLIT(C712,"_"),3)</f>
        <v>na</v>
      </c>
      <c r="E712" t="str">
        <f>VLOOKUP(D712,FranchiseMapping!$A$1:$B$15,2,FALSE)</f>
        <v>Biolage</v>
      </c>
      <c r="F712" s="1">
        <v>44927</v>
      </c>
      <c r="G712" t="s">
        <v>10</v>
      </c>
      <c r="H712" s="2">
        <v>45139</v>
      </c>
      <c r="I712" s="3">
        <v>45156</v>
      </c>
      <c r="J712" s="3">
        <f t="shared" si="11"/>
        <v>45157</v>
      </c>
      <c r="K712" s="4">
        <v>1152.482178</v>
      </c>
      <c r="L712">
        <v>129855</v>
      </c>
    </row>
    <row r="713" spans="1:12" x14ac:dyDescent="0.35">
      <c r="A713" t="s">
        <v>8</v>
      </c>
      <c r="B713" t="s">
        <v>9</v>
      </c>
      <c r="C713" t="s">
        <v>66</v>
      </c>
      <c r="D713" t="str" cm="1">
        <f t="array" ref="D713">INDEX(_xlfn.TEXTSPLIT(C713,"_"),3)</f>
        <v>mult</v>
      </c>
      <c r="E713" t="str">
        <f>VLOOKUP(D713,FranchiseMapping!$A$1:$B$15,2,FALSE)</f>
        <v>Biolage</v>
      </c>
      <c r="F713" s="1">
        <v>45292</v>
      </c>
      <c r="G713" t="s">
        <v>11</v>
      </c>
      <c r="H713" s="2">
        <v>45597</v>
      </c>
      <c r="I713" s="3">
        <v>45616</v>
      </c>
      <c r="J713" s="3">
        <f t="shared" si="11"/>
        <v>45619</v>
      </c>
      <c r="K713" s="4">
        <v>9893.4299960000008</v>
      </c>
      <c r="L713">
        <v>1034688</v>
      </c>
    </row>
    <row r="714" spans="1:12" x14ac:dyDescent="0.35">
      <c r="A714" t="s">
        <v>8</v>
      </c>
      <c r="B714" t="s">
        <v>13</v>
      </c>
      <c r="C714" t="s">
        <v>42</v>
      </c>
      <c r="D714" t="str" cm="1">
        <f t="array" ref="D714">INDEX(_xlfn.TEXTSPLIT(C714,"_"),3)</f>
        <v>bfr</v>
      </c>
      <c r="E714" t="str">
        <f>VLOOKUP(D714,FranchiseMapping!$A$1:$B$15,2,FALSE)</f>
        <v>Full Rescue</v>
      </c>
      <c r="F714" s="1">
        <v>45658</v>
      </c>
      <c r="G714" t="s">
        <v>12</v>
      </c>
      <c r="H714" s="2">
        <v>45809</v>
      </c>
      <c r="I714" s="3">
        <v>45816</v>
      </c>
      <c r="J714" s="3">
        <f t="shared" si="11"/>
        <v>45822</v>
      </c>
      <c r="K714" s="4">
        <v>1296.8246750000001</v>
      </c>
      <c r="L714">
        <v>570690</v>
      </c>
    </row>
    <row r="715" spans="1:12" x14ac:dyDescent="0.35">
      <c r="A715" t="s">
        <v>8</v>
      </c>
      <c r="B715" t="s">
        <v>9</v>
      </c>
      <c r="C715" t="s">
        <v>36</v>
      </c>
      <c r="D715" t="str" cm="1">
        <f t="array" ref="D715">INDEX(_xlfn.TEXTSPLIT(C715,"_"),3)</f>
        <v>bfr</v>
      </c>
      <c r="E715" t="str">
        <f>VLOOKUP(D715,FranchiseMapping!$A$1:$B$15,2,FALSE)</f>
        <v>Full Rescue</v>
      </c>
      <c r="F715" s="1">
        <v>45658</v>
      </c>
      <c r="G715" t="s">
        <v>10</v>
      </c>
      <c r="H715" s="2">
        <v>45809</v>
      </c>
      <c r="I715" s="3">
        <v>45826</v>
      </c>
      <c r="J715" s="3">
        <f t="shared" si="11"/>
        <v>45829</v>
      </c>
      <c r="K715" s="4">
        <v>1065.9499999999998</v>
      </c>
      <c r="L715">
        <v>188716</v>
      </c>
    </row>
    <row r="716" spans="1:12" x14ac:dyDescent="0.35">
      <c r="A716" t="s">
        <v>8</v>
      </c>
      <c r="B716" t="s">
        <v>13</v>
      </c>
      <c r="C716" t="s">
        <v>51</v>
      </c>
      <c r="D716" t="str" cm="1">
        <f t="array" ref="D716">INDEX(_xlfn.TEXTSPLIT(C716,"_"),3)</f>
        <v>na</v>
      </c>
      <c r="E716" t="str">
        <f>VLOOKUP(D716,FranchiseMapping!$A$1:$B$15,2,FALSE)</f>
        <v>Biolage</v>
      </c>
      <c r="F716" s="1">
        <v>44927</v>
      </c>
      <c r="G716" t="s">
        <v>11</v>
      </c>
      <c r="H716" s="2">
        <v>45108</v>
      </c>
      <c r="I716" s="3">
        <v>45128</v>
      </c>
      <c r="J716" s="3">
        <f t="shared" si="11"/>
        <v>45129</v>
      </c>
      <c r="K716" s="4">
        <v>637.018685</v>
      </c>
      <c r="L716">
        <v>372556</v>
      </c>
    </row>
    <row r="717" spans="1:12" x14ac:dyDescent="0.35">
      <c r="A717" t="s">
        <v>8</v>
      </c>
      <c r="B717" t="s">
        <v>9</v>
      </c>
      <c r="C717" t="s">
        <v>67</v>
      </c>
      <c r="D717" t="str" cm="1">
        <f t="array" ref="D717">INDEX(_xlfn.TEXTSPLIT(C717,"_"),3)</f>
        <v>prime-day</v>
      </c>
      <c r="E717" t="str">
        <f>VLOOKUP(D717,FranchiseMapping!$A$1:$B$15,2,FALSE)</f>
        <v>Prime Day</v>
      </c>
      <c r="F717" s="1">
        <v>45292</v>
      </c>
      <c r="G717" t="s">
        <v>10</v>
      </c>
      <c r="H717" s="2">
        <v>45474</v>
      </c>
      <c r="I717" s="3">
        <v>45482</v>
      </c>
      <c r="J717" s="3">
        <f t="shared" si="11"/>
        <v>45486</v>
      </c>
      <c r="K717" s="4">
        <v>2535.6900119999996</v>
      </c>
      <c r="L717">
        <v>259817</v>
      </c>
    </row>
    <row r="718" spans="1:12" x14ac:dyDescent="0.35">
      <c r="A718" t="s">
        <v>8</v>
      </c>
      <c r="B718" t="s">
        <v>13</v>
      </c>
      <c r="C718" t="s">
        <v>42</v>
      </c>
      <c r="D718" t="str" cm="1">
        <f t="array" ref="D718">INDEX(_xlfn.TEXTSPLIT(C718,"_"),3)</f>
        <v>bfr</v>
      </c>
      <c r="E718" t="str">
        <f>VLOOKUP(D718,FranchiseMapping!$A$1:$B$15,2,FALSE)</f>
        <v>Full Rescue</v>
      </c>
      <c r="F718" s="1">
        <v>45658</v>
      </c>
      <c r="G718" t="s">
        <v>10</v>
      </c>
      <c r="H718" s="2">
        <v>45809</v>
      </c>
      <c r="I718" s="3">
        <v>45835</v>
      </c>
      <c r="J718" s="3">
        <f t="shared" si="11"/>
        <v>45836</v>
      </c>
      <c r="K718" s="4">
        <v>351.59647600000005</v>
      </c>
      <c r="L718">
        <v>162640</v>
      </c>
    </row>
    <row r="719" spans="1:12" x14ac:dyDescent="0.35">
      <c r="A719" t="s">
        <v>8</v>
      </c>
      <c r="B719" t="s">
        <v>13</v>
      </c>
      <c r="C719" t="s">
        <v>51</v>
      </c>
      <c r="D719" t="str" cm="1">
        <f t="array" ref="D719">INDEX(_xlfn.TEXTSPLIT(C719,"_"),3)</f>
        <v>na</v>
      </c>
      <c r="E719" t="str">
        <f>VLOOKUP(D719,FranchiseMapping!$A$1:$B$15,2,FALSE)</f>
        <v>Biolage</v>
      </c>
      <c r="F719" s="1">
        <v>44927</v>
      </c>
      <c r="G719" t="s">
        <v>11</v>
      </c>
      <c r="H719" s="2">
        <v>45108</v>
      </c>
      <c r="I719" s="3">
        <v>45126</v>
      </c>
      <c r="J719" s="3">
        <f t="shared" si="11"/>
        <v>45129</v>
      </c>
      <c r="K719" s="4">
        <v>531.45557800000006</v>
      </c>
      <c r="L719">
        <v>343888</v>
      </c>
    </row>
    <row r="720" spans="1:12" x14ac:dyDescent="0.35">
      <c r="A720" t="s">
        <v>8</v>
      </c>
      <c r="B720" t="s">
        <v>9</v>
      </c>
      <c r="C720" t="s">
        <v>48</v>
      </c>
      <c r="D720" t="str" cm="1">
        <f t="array" ref="D720">INDEX(_xlfn.TEXTSPLIT(C720,"_"),3)</f>
        <v>scalp</v>
      </c>
      <c r="E720" t="str">
        <f>VLOOKUP(D720,FranchiseMapping!$A$1:$B$15,2,FALSE)</f>
        <v>Scalp Sync</v>
      </c>
      <c r="F720" s="1">
        <v>45292</v>
      </c>
      <c r="G720" t="s">
        <v>10</v>
      </c>
      <c r="H720" s="2">
        <v>45352</v>
      </c>
      <c r="I720" s="3">
        <v>45358</v>
      </c>
      <c r="J720" s="3">
        <f t="shared" si="11"/>
        <v>45360</v>
      </c>
      <c r="K720" s="4">
        <v>979.56000099999994</v>
      </c>
      <c r="L720">
        <v>218932</v>
      </c>
    </row>
    <row r="721" spans="1:12" x14ac:dyDescent="0.35">
      <c r="A721" t="s">
        <v>8</v>
      </c>
      <c r="B721" t="s">
        <v>13</v>
      </c>
      <c r="C721" t="s">
        <v>42</v>
      </c>
      <c r="D721" t="str" cm="1">
        <f t="array" ref="D721">INDEX(_xlfn.TEXTSPLIT(C721,"_"),3)</f>
        <v>bfr</v>
      </c>
      <c r="E721" t="str">
        <f>VLOOKUP(D721,FranchiseMapping!$A$1:$B$15,2,FALSE)</f>
        <v>Full Rescue</v>
      </c>
      <c r="F721" s="1">
        <v>45658</v>
      </c>
      <c r="G721" t="s">
        <v>12</v>
      </c>
      <c r="H721" s="2">
        <v>45809</v>
      </c>
      <c r="I721" s="3">
        <v>45829</v>
      </c>
      <c r="J721" s="3">
        <f t="shared" si="11"/>
        <v>45829</v>
      </c>
      <c r="K721" s="4">
        <v>1377.2909340000001</v>
      </c>
      <c r="L721">
        <v>595572</v>
      </c>
    </row>
    <row r="722" spans="1:12" x14ac:dyDescent="0.35">
      <c r="A722" t="s">
        <v>8</v>
      </c>
      <c r="B722" t="s">
        <v>14</v>
      </c>
      <c r="C722" t="s">
        <v>43</v>
      </c>
      <c r="D722" t="str" cm="1">
        <f t="array" ref="D722">INDEX(_xlfn.TEXTSPLIT(C722,"_"),3)</f>
        <v>bfr</v>
      </c>
      <c r="E722" t="str">
        <f>VLOOKUP(D722,FranchiseMapping!$A$1:$B$15,2,FALSE)</f>
        <v>Full Rescue</v>
      </c>
      <c r="F722" s="1">
        <v>45658</v>
      </c>
      <c r="G722" t="s">
        <v>10</v>
      </c>
      <c r="H722" s="2">
        <v>45809</v>
      </c>
      <c r="I722" s="3">
        <v>45831</v>
      </c>
      <c r="J722" s="3">
        <f t="shared" si="11"/>
        <v>45836</v>
      </c>
      <c r="K722" s="4">
        <v>981.67999999999984</v>
      </c>
      <c r="L722">
        <v>181655</v>
      </c>
    </row>
    <row r="723" spans="1:12" x14ac:dyDescent="0.35">
      <c r="A723" t="s">
        <v>8</v>
      </c>
      <c r="B723" t="s">
        <v>9</v>
      </c>
      <c r="C723" t="s">
        <v>56</v>
      </c>
      <c r="D723" t="str" cm="1">
        <f t="array" ref="D723">INDEX(_xlfn.TEXTSPLIT(C723,"_"),3)</f>
        <v>haca-colorlast-q3</v>
      </c>
      <c r="E723" t="str">
        <f>VLOOKUP(D723,FranchiseMapping!$A$1:$B$15,2,FALSE)</f>
        <v>Color Last</v>
      </c>
      <c r="F723" s="1">
        <v>44927</v>
      </c>
      <c r="G723" t="s">
        <v>10</v>
      </c>
      <c r="H723" s="2">
        <v>45139</v>
      </c>
      <c r="I723" s="3">
        <v>45158</v>
      </c>
      <c r="J723" s="3">
        <f t="shared" si="11"/>
        <v>45164</v>
      </c>
      <c r="K723" s="4">
        <v>807.77999700000009</v>
      </c>
      <c r="L723">
        <v>132173</v>
      </c>
    </row>
    <row r="724" spans="1:12" x14ac:dyDescent="0.35">
      <c r="A724" t="s">
        <v>8</v>
      </c>
      <c r="B724" t="s">
        <v>14</v>
      </c>
      <c r="C724" t="s">
        <v>49</v>
      </c>
      <c r="D724" t="str" cm="1">
        <f t="array" ref="D724">INDEX(_xlfn.TEXTSPLIT(C724,"_"),3)</f>
        <v>hys</v>
      </c>
      <c r="E724" t="str">
        <f>VLOOKUP(D724,FranchiseMapping!$A$1:$B$15,2,FALSE)</f>
        <v>Hydrasource</v>
      </c>
      <c r="F724" s="1">
        <v>45658</v>
      </c>
      <c r="G724" t="s">
        <v>12</v>
      </c>
      <c r="H724" s="2">
        <v>45748</v>
      </c>
      <c r="I724" s="3">
        <v>45756</v>
      </c>
      <c r="J724" s="3">
        <f t="shared" si="11"/>
        <v>45759</v>
      </c>
      <c r="K724" s="4">
        <v>5510.24</v>
      </c>
      <c r="L724">
        <v>1216442</v>
      </c>
    </row>
    <row r="725" spans="1:12" x14ac:dyDescent="0.35">
      <c r="A725" t="s">
        <v>8</v>
      </c>
      <c r="B725" t="s">
        <v>14</v>
      </c>
      <c r="C725" t="s">
        <v>37</v>
      </c>
      <c r="D725" t="str" cm="1">
        <f t="array" ref="D725">INDEX(_xlfn.TEXTSPLIT(C725,"_"),3)</f>
        <v>mult</v>
      </c>
      <c r="E725" t="str">
        <f>VLOOKUP(D725,FranchiseMapping!$A$1:$B$15,2,FALSE)</f>
        <v>Biolage</v>
      </c>
      <c r="F725" s="1">
        <v>45658</v>
      </c>
      <c r="G725" t="s">
        <v>12</v>
      </c>
      <c r="H725" s="2">
        <v>45717</v>
      </c>
      <c r="I725" s="3">
        <v>45737</v>
      </c>
      <c r="J725" s="3">
        <f t="shared" si="11"/>
        <v>45738</v>
      </c>
      <c r="K725" s="4">
        <v>2074.5800000000004</v>
      </c>
      <c r="L725">
        <v>522973</v>
      </c>
    </row>
    <row r="726" spans="1:12" x14ac:dyDescent="0.35">
      <c r="A726" t="s">
        <v>8</v>
      </c>
      <c r="B726" t="s">
        <v>13</v>
      </c>
      <c r="C726" t="s">
        <v>28</v>
      </c>
      <c r="D726" t="str" cm="1">
        <f t="array" ref="D726">INDEX(_xlfn.TEXTSPLIT(C726,"_"),3)</f>
        <v>na</v>
      </c>
      <c r="E726" t="str">
        <f>VLOOKUP(D726,FranchiseMapping!$A$1:$B$15,2,FALSE)</f>
        <v>Biolage</v>
      </c>
      <c r="F726" s="1">
        <v>44927</v>
      </c>
      <c r="G726" t="s">
        <v>12</v>
      </c>
      <c r="H726" s="2">
        <v>45108</v>
      </c>
      <c r="I726" s="3">
        <v>45136</v>
      </c>
      <c r="J726" s="3">
        <f t="shared" si="11"/>
        <v>45136</v>
      </c>
      <c r="K726" s="4">
        <v>192.952651</v>
      </c>
      <c r="L726">
        <v>64392</v>
      </c>
    </row>
    <row r="727" spans="1:12" x14ac:dyDescent="0.35">
      <c r="A727" t="s">
        <v>8</v>
      </c>
      <c r="B727" t="s">
        <v>9</v>
      </c>
      <c r="C727" t="s">
        <v>36</v>
      </c>
      <c r="D727" t="str" cm="1">
        <f t="array" ref="D727">INDEX(_xlfn.TEXTSPLIT(C727,"_"),3)</f>
        <v>bfr</v>
      </c>
      <c r="E727" t="str">
        <f>VLOOKUP(D727,FranchiseMapping!$A$1:$B$15,2,FALSE)</f>
        <v>Full Rescue</v>
      </c>
      <c r="F727" s="1">
        <v>45658</v>
      </c>
      <c r="G727" t="s">
        <v>10</v>
      </c>
      <c r="H727" s="2">
        <v>45809</v>
      </c>
      <c r="I727" s="3">
        <v>45817</v>
      </c>
      <c r="J727" s="3">
        <f t="shared" si="11"/>
        <v>45822</v>
      </c>
      <c r="K727" s="4">
        <v>1596.2899989999994</v>
      </c>
      <c r="L727">
        <v>230296</v>
      </c>
    </row>
    <row r="728" spans="1:12" x14ac:dyDescent="0.35">
      <c r="A728" t="s">
        <v>8</v>
      </c>
      <c r="B728" t="s">
        <v>9</v>
      </c>
      <c r="C728" t="s">
        <v>55</v>
      </c>
      <c r="D728" t="str" cm="1">
        <f t="array" ref="D728">INDEX(_xlfn.TEXTSPLIT(C728,"_"),3)</f>
        <v>hydrasource</v>
      </c>
      <c r="E728" t="str">
        <f>VLOOKUP(D728,FranchiseMapping!$A$1:$B$15,2,FALSE)</f>
        <v>Hydrasource</v>
      </c>
      <c r="F728" s="1">
        <v>45292</v>
      </c>
      <c r="G728" t="s">
        <v>12</v>
      </c>
      <c r="H728" s="2">
        <v>45566</v>
      </c>
      <c r="I728" s="3">
        <v>45589</v>
      </c>
      <c r="J728" s="3">
        <f t="shared" si="11"/>
        <v>45591</v>
      </c>
      <c r="K728" s="4">
        <v>3128.5400029999996</v>
      </c>
      <c r="L728">
        <v>659005</v>
      </c>
    </row>
    <row r="729" spans="1:12" x14ac:dyDescent="0.35">
      <c r="A729" t="s">
        <v>8</v>
      </c>
      <c r="B729" t="s">
        <v>9</v>
      </c>
      <c r="C729" t="s">
        <v>46</v>
      </c>
      <c r="D729" t="str" cm="1">
        <f t="array" ref="D729">INDEX(_xlfn.TEXTSPLIT(C729,"_"),3)</f>
        <v>mult</v>
      </c>
      <c r="E729" t="str">
        <f>VLOOKUP(D729,FranchiseMapping!$A$1:$B$15,2,FALSE)</f>
        <v>Biolage</v>
      </c>
      <c r="F729" s="1">
        <v>45658</v>
      </c>
      <c r="G729" t="s">
        <v>12</v>
      </c>
      <c r="H729" s="2">
        <v>45778</v>
      </c>
      <c r="I729" s="3">
        <v>45784</v>
      </c>
      <c r="J729" s="3">
        <f t="shared" si="11"/>
        <v>45787</v>
      </c>
      <c r="K729" s="4">
        <v>15.180003000000001</v>
      </c>
      <c r="L729">
        <v>3423</v>
      </c>
    </row>
    <row r="730" spans="1:12" x14ac:dyDescent="0.35">
      <c r="A730" t="s">
        <v>8</v>
      </c>
      <c r="B730" t="s">
        <v>9</v>
      </c>
      <c r="C730" t="s">
        <v>55</v>
      </c>
      <c r="D730" t="str" cm="1">
        <f t="array" ref="D730">INDEX(_xlfn.TEXTSPLIT(C730,"_"),3)</f>
        <v>hydrasource</v>
      </c>
      <c r="E730" t="str">
        <f>VLOOKUP(D730,FranchiseMapping!$A$1:$B$15,2,FALSE)</f>
        <v>Hydrasource</v>
      </c>
      <c r="F730" s="1">
        <v>45292</v>
      </c>
      <c r="G730" t="s">
        <v>12</v>
      </c>
      <c r="H730" s="2">
        <v>45566</v>
      </c>
      <c r="I730" s="3">
        <v>45592</v>
      </c>
      <c r="J730" s="3">
        <f t="shared" si="11"/>
        <v>45598</v>
      </c>
      <c r="K730" s="4">
        <v>3955.129996000001</v>
      </c>
      <c r="L730">
        <v>817939</v>
      </c>
    </row>
    <row r="731" spans="1:12" x14ac:dyDescent="0.35">
      <c r="A731" t="s">
        <v>8</v>
      </c>
      <c r="B731" t="s">
        <v>9</v>
      </c>
      <c r="C731" t="s">
        <v>41</v>
      </c>
      <c r="D731" t="str" cm="1">
        <f t="array" ref="D731">INDEX(_xlfn.TEXTSPLIT(C731,"_"),3)</f>
        <v>hys</v>
      </c>
      <c r="E731" t="str">
        <f>VLOOKUP(D731,FranchiseMapping!$A$1:$B$15,2,FALSE)</f>
        <v>Hydrasource</v>
      </c>
      <c r="F731" s="1">
        <v>45658</v>
      </c>
      <c r="G731" t="s">
        <v>12</v>
      </c>
      <c r="H731" s="2">
        <v>45748</v>
      </c>
      <c r="I731" s="3">
        <v>45760</v>
      </c>
      <c r="J731" s="3">
        <f t="shared" si="11"/>
        <v>45766</v>
      </c>
      <c r="K731" s="4">
        <v>4057.0199979999993</v>
      </c>
      <c r="L731">
        <v>428796</v>
      </c>
    </row>
    <row r="732" spans="1:12" x14ac:dyDescent="0.35">
      <c r="A732" t="s">
        <v>8</v>
      </c>
      <c r="B732" t="s">
        <v>14</v>
      </c>
      <c r="C732" t="s">
        <v>37</v>
      </c>
      <c r="D732" t="str" cm="1">
        <f t="array" ref="D732">INDEX(_xlfn.TEXTSPLIT(C732,"_"),3)</f>
        <v>mult</v>
      </c>
      <c r="E732" t="str">
        <f>VLOOKUP(D732,FranchiseMapping!$A$1:$B$15,2,FALSE)</f>
        <v>Biolage</v>
      </c>
      <c r="F732" s="1">
        <v>45658</v>
      </c>
      <c r="G732" t="s">
        <v>12</v>
      </c>
      <c r="H732" s="2">
        <v>45748</v>
      </c>
      <c r="I732" s="3">
        <v>45760</v>
      </c>
      <c r="J732" s="3">
        <f t="shared" si="11"/>
        <v>45766</v>
      </c>
      <c r="K732" s="4">
        <v>0.64999999999999991</v>
      </c>
      <c r="L732">
        <v>172</v>
      </c>
    </row>
    <row r="733" spans="1:12" x14ac:dyDescent="0.35">
      <c r="A733" t="s">
        <v>8</v>
      </c>
      <c r="B733" t="s">
        <v>13</v>
      </c>
      <c r="C733" t="s">
        <v>28</v>
      </c>
      <c r="D733" t="str" cm="1">
        <f t="array" ref="D733">INDEX(_xlfn.TEXTSPLIT(C733,"_"),3)</f>
        <v>na</v>
      </c>
      <c r="E733" t="str">
        <f>VLOOKUP(D733,FranchiseMapping!$A$1:$B$15,2,FALSE)</f>
        <v>Biolage</v>
      </c>
      <c r="F733" s="1">
        <v>44927</v>
      </c>
      <c r="G733" t="s">
        <v>10</v>
      </c>
      <c r="H733" s="2">
        <v>45139</v>
      </c>
      <c r="I733" s="3">
        <v>45148</v>
      </c>
      <c r="J733" s="3">
        <f t="shared" si="11"/>
        <v>45150</v>
      </c>
      <c r="K733" s="4">
        <v>1134.8998649999999</v>
      </c>
      <c r="L733">
        <v>169047</v>
      </c>
    </row>
    <row r="734" spans="1:12" x14ac:dyDescent="0.35">
      <c r="A734" t="s">
        <v>8</v>
      </c>
      <c r="B734" t="s">
        <v>9</v>
      </c>
      <c r="C734" t="s">
        <v>36</v>
      </c>
      <c r="D734" t="str" cm="1">
        <f t="array" ref="D734">INDEX(_xlfn.TEXTSPLIT(C734,"_"),3)</f>
        <v>bfr</v>
      </c>
      <c r="E734" t="str">
        <f>VLOOKUP(D734,FranchiseMapping!$A$1:$B$15,2,FALSE)</f>
        <v>Full Rescue</v>
      </c>
      <c r="F734" s="1">
        <v>45658</v>
      </c>
      <c r="G734" t="s">
        <v>10</v>
      </c>
      <c r="H734" s="2">
        <v>45809</v>
      </c>
      <c r="I734" s="3">
        <v>45821</v>
      </c>
      <c r="J734" s="3">
        <f t="shared" si="11"/>
        <v>45822</v>
      </c>
      <c r="K734" s="4">
        <v>1400.55</v>
      </c>
      <c r="L734">
        <v>186059</v>
      </c>
    </row>
    <row r="735" spans="1:12" x14ac:dyDescent="0.35">
      <c r="A735" t="s">
        <v>8</v>
      </c>
      <c r="B735" t="s">
        <v>9</v>
      </c>
      <c r="C735" t="s">
        <v>38</v>
      </c>
      <c r="D735" t="str" cm="1">
        <f t="array" ref="D735">INDEX(_xlfn.TEXTSPLIT(C735,"_"),3)</f>
        <v>hys</v>
      </c>
      <c r="E735" t="str">
        <f>VLOOKUP(D735,FranchiseMapping!$A$1:$B$15,2,FALSE)</f>
        <v>Hydrasource</v>
      </c>
      <c r="F735" s="1">
        <v>45658</v>
      </c>
      <c r="G735" t="s">
        <v>12</v>
      </c>
      <c r="H735" s="2">
        <v>45748</v>
      </c>
      <c r="I735" s="3">
        <v>45762</v>
      </c>
      <c r="J735" s="3">
        <f t="shared" si="11"/>
        <v>45766</v>
      </c>
      <c r="K735" s="4">
        <v>2229.5499999999997</v>
      </c>
      <c r="L735">
        <v>320252</v>
      </c>
    </row>
    <row r="736" spans="1:12" x14ac:dyDescent="0.35">
      <c r="A736" t="s">
        <v>8</v>
      </c>
      <c r="B736" t="s">
        <v>9</v>
      </c>
      <c r="C736" t="s">
        <v>46</v>
      </c>
      <c r="D736" t="str" cm="1">
        <f t="array" ref="D736">INDEX(_xlfn.TEXTSPLIT(C736,"_"),3)</f>
        <v>mult</v>
      </c>
      <c r="E736" t="str">
        <f>VLOOKUP(D736,FranchiseMapping!$A$1:$B$15,2,FALSE)</f>
        <v>Biolage</v>
      </c>
      <c r="F736" s="1">
        <v>45658</v>
      </c>
      <c r="G736" t="s">
        <v>10</v>
      </c>
      <c r="H736" s="2">
        <v>45778</v>
      </c>
      <c r="I736" s="3">
        <v>45791</v>
      </c>
      <c r="J736" s="3">
        <f t="shared" si="11"/>
        <v>45794</v>
      </c>
      <c r="K736" s="4">
        <v>1345.7500010000001</v>
      </c>
      <c r="L736">
        <v>223158</v>
      </c>
    </row>
    <row r="737" spans="1:12" x14ac:dyDescent="0.35">
      <c r="A737" t="s">
        <v>8</v>
      </c>
      <c r="B737" t="s">
        <v>9</v>
      </c>
      <c r="C737" t="s">
        <v>36</v>
      </c>
      <c r="D737" t="str" cm="1">
        <f t="array" ref="D737">INDEX(_xlfn.TEXTSPLIT(C737,"_"),3)</f>
        <v>bfr</v>
      </c>
      <c r="E737" t="str">
        <f>VLOOKUP(D737,FranchiseMapping!$A$1:$B$15,2,FALSE)</f>
        <v>Full Rescue</v>
      </c>
      <c r="F737" s="1">
        <v>45658</v>
      </c>
      <c r="G737" t="s">
        <v>12</v>
      </c>
      <c r="H737" s="2">
        <v>45809</v>
      </c>
      <c r="I737" s="3">
        <v>45836</v>
      </c>
      <c r="J737" s="3">
        <f t="shared" si="11"/>
        <v>45836</v>
      </c>
      <c r="K737" s="4">
        <v>1512.1000019999999</v>
      </c>
      <c r="L737">
        <v>221775</v>
      </c>
    </row>
    <row r="738" spans="1:12" x14ac:dyDescent="0.35">
      <c r="A738" t="s">
        <v>8</v>
      </c>
      <c r="B738" t="s">
        <v>9</v>
      </c>
      <c r="C738" t="s">
        <v>74</v>
      </c>
      <c r="D738" t="str" cm="1">
        <f t="array" ref="D738">INDEX(_xlfn.TEXTSPLIT(C738,"_"),3)</f>
        <v>mult</v>
      </c>
      <c r="E738" t="str">
        <f>VLOOKUP(D738,FranchiseMapping!$A$1:$B$15,2,FALSE)</f>
        <v>Biolage</v>
      </c>
      <c r="F738" s="1">
        <v>45658</v>
      </c>
      <c r="G738" t="s">
        <v>12</v>
      </c>
      <c r="H738" s="2">
        <v>45658</v>
      </c>
      <c r="I738" s="3">
        <v>45682</v>
      </c>
      <c r="J738" s="3">
        <f t="shared" si="11"/>
        <v>45682</v>
      </c>
      <c r="K738" s="4">
        <v>1320.7500010000008</v>
      </c>
      <c r="L738">
        <v>162013</v>
      </c>
    </row>
    <row r="739" spans="1:12" x14ac:dyDescent="0.35">
      <c r="A739" t="s">
        <v>8</v>
      </c>
      <c r="B739" t="s">
        <v>9</v>
      </c>
      <c r="C739" t="s">
        <v>40</v>
      </c>
      <c r="D739" t="str" cm="1">
        <f t="array" ref="D739">INDEX(_xlfn.TEXTSPLIT(C739,"_"),3)</f>
        <v>hydrasource</v>
      </c>
      <c r="E739" t="str">
        <f>VLOOKUP(D739,FranchiseMapping!$A$1:$B$15,2,FALSE)</f>
        <v>Hydrasource</v>
      </c>
      <c r="F739" s="1">
        <v>45292</v>
      </c>
      <c r="G739" t="s">
        <v>12</v>
      </c>
      <c r="H739" s="2">
        <v>45323</v>
      </c>
      <c r="I739" s="3">
        <v>45332</v>
      </c>
      <c r="J739" s="3">
        <f t="shared" si="11"/>
        <v>45332</v>
      </c>
      <c r="K739" s="4">
        <v>3266.7000029999999</v>
      </c>
      <c r="L739">
        <v>521515</v>
      </c>
    </row>
    <row r="740" spans="1:12" x14ac:dyDescent="0.35">
      <c r="A740" t="s">
        <v>8</v>
      </c>
      <c r="B740" t="s">
        <v>13</v>
      </c>
      <c r="C740" t="s">
        <v>44</v>
      </c>
      <c r="D740" t="str" cm="1">
        <f t="array" ref="D740">INDEX(_xlfn.TEXTSPLIT(C740,"_"),3)</f>
        <v>na</v>
      </c>
      <c r="E740" t="str">
        <f>VLOOKUP(D740,FranchiseMapping!$A$1:$B$15,2,FALSE)</f>
        <v>Biolage</v>
      </c>
      <c r="F740" s="1">
        <v>44927</v>
      </c>
      <c r="G740" t="s">
        <v>11</v>
      </c>
      <c r="H740" s="2">
        <v>45108</v>
      </c>
      <c r="I740" s="3">
        <v>45113</v>
      </c>
      <c r="J740" s="3">
        <f t="shared" si="11"/>
        <v>45115</v>
      </c>
      <c r="K740" s="4">
        <v>678.37560899999994</v>
      </c>
      <c r="L740">
        <v>370621</v>
      </c>
    </row>
    <row r="741" spans="1:12" x14ac:dyDescent="0.35">
      <c r="A741" t="s">
        <v>8</v>
      </c>
      <c r="B741" t="s">
        <v>9</v>
      </c>
      <c r="C741" t="s">
        <v>33</v>
      </c>
      <c r="D741" t="str" cm="1">
        <f t="array" ref="D741">INDEX(_xlfn.TEXTSPLIT(C741,"_"),3)</f>
        <v>hydrasource</v>
      </c>
      <c r="E741" t="str">
        <f>VLOOKUP(D741,FranchiseMapping!$A$1:$B$15,2,FALSE)</f>
        <v>Hydrasource</v>
      </c>
      <c r="F741" s="1">
        <v>45292</v>
      </c>
      <c r="G741" t="s">
        <v>11</v>
      </c>
      <c r="H741" s="2">
        <v>45323</v>
      </c>
      <c r="I741" s="3">
        <v>45350</v>
      </c>
      <c r="J741" s="3">
        <f t="shared" si="11"/>
        <v>45353</v>
      </c>
      <c r="K741" s="4">
        <v>1241.1400100000001</v>
      </c>
      <c r="L741">
        <v>170941</v>
      </c>
    </row>
    <row r="742" spans="1:12" x14ac:dyDescent="0.35">
      <c r="A742" t="s">
        <v>8</v>
      </c>
      <c r="B742" t="s">
        <v>14</v>
      </c>
      <c r="C742" t="s">
        <v>47</v>
      </c>
      <c r="D742" t="str" cm="1">
        <f t="array" ref="D742">INDEX(_xlfn.TEXTSPLIT(C742,"_"),3)</f>
        <v>hys</v>
      </c>
      <c r="E742" t="str">
        <f>VLOOKUP(D742,FranchiseMapping!$A$1:$B$15,2,FALSE)</f>
        <v>Hydrasource</v>
      </c>
      <c r="F742" s="1">
        <v>45658</v>
      </c>
      <c r="G742" t="s">
        <v>12</v>
      </c>
      <c r="H742" s="2">
        <v>45748</v>
      </c>
      <c r="I742" s="3">
        <v>45767</v>
      </c>
      <c r="J742" s="3">
        <f t="shared" si="11"/>
        <v>45773</v>
      </c>
      <c r="K742" s="4">
        <v>3725.54</v>
      </c>
      <c r="L742">
        <v>1060989</v>
      </c>
    </row>
    <row r="743" spans="1:12" x14ac:dyDescent="0.35">
      <c r="A743" t="s">
        <v>8</v>
      </c>
      <c r="B743" t="s">
        <v>14</v>
      </c>
      <c r="C743" t="s">
        <v>37</v>
      </c>
      <c r="D743" t="str" cm="1">
        <f t="array" ref="D743">INDEX(_xlfn.TEXTSPLIT(C743,"_"),3)</f>
        <v>mult</v>
      </c>
      <c r="E743" t="str">
        <f>VLOOKUP(D743,FranchiseMapping!$A$1:$B$15,2,FALSE)</f>
        <v>Biolage</v>
      </c>
      <c r="F743" s="1">
        <v>45658</v>
      </c>
      <c r="G743" t="s">
        <v>12</v>
      </c>
      <c r="H743" s="2">
        <v>45748</v>
      </c>
      <c r="I743" s="3">
        <v>45768</v>
      </c>
      <c r="J743" s="3">
        <f t="shared" si="11"/>
        <v>45773</v>
      </c>
      <c r="K743" s="4">
        <v>0.11</v>
      </c>
      <c r="L743">
        <v>70</v>
      </c>
    </row>
    <row r="744" spans="1:12" x14ac:dyDescent="0.35">
      <c r="A744" t="s">
        <v>8</v>
      </c>
      <c r="B744" t="s">
        <v>9</v>
      </c>
      <c r="C744" t="s">
        <v>35</v>
      </c>
      <c r="D744" t="str" cm="1">
        <f t="array" ref="D744">INDEX(_xlfn.TEXTSPLIT(C744,"_"),3)</f>
        <v>bfr</v>
      </c>
      <c r="E744" t="str">
        <f>VLOOKUP(D744,FranchiseMapping!$A$1:$B$15,2,FALSE)</f>
        <v>Full Rescue</v>
      </c>
      <c r="F744" s="1">
        <v>45658</v>
      </c>
      <c r="G744" t="s">
        <v>10</v>
      </c>
      <c r="H744" s="2">
        <v>45778</v>
      </c>
      <c r="I744" s="3">
        <v>45796</v>
      </c>
      <c r="J744" s="3">
        <f t="shared" si="11"/>
        <v>45801</v>
      </c>
      <c r="K744" s="4">
        <v>10.52</v>
      </c>
      <c r="L744">
        <v>1232</v>
      </c>
    </row>
    <row r="745" spans="1:12" x14ac:dyDescent="0.35">
      <c r="A745" t="s">
        <v>8</v>
      </c>
      <c r="B745" t="s">
        <v>9</v>
      </c>
      <c r="C745" t="s">
        <v>46</v>
      </c>
      <c r="D745" t="str" cm="1">
        <f t="array" ref="D745">INDEX(_xlfn.TEXTSPLIT(C745,"_"),3)</f>
        <v>mult</v>
      </c>
      <c r="E745" t="str">
        <f>VLOOKUP(D745,FranchiseMapping!$A$1:$B$15,2,FALSE)</f>
        <v>Biolage</v>
      </c>
      <c r="F745" s="1">
        <v>45658</v>
      </c>
      <c r="G745" t="s">
        <v>10</v>
      </c>
      <c r="H745" s="2">
        <v>45809</v>
      </c>
      <c r="I745" s="3">
        <v>45811</v>
      </c>
      <c r="J745" s="3">
        <f t="shared" si="11"/>
        <v>45815</v>
      </c>
      <c r="K745" s="4">
        <v>916.25999799999977</v>
      </c>
      <c r="L745">
        <v>182111</v>
      </c>
    </row>
    <row r="746" spans="1:12" x14ac:dyDescent="0.35">
      <c r="A746" t="s">
        <v>8</v>
      </c>
      <c r="B746" t="s">
        <v>13</v>
      </c>
      <c r="C746" t="s">
        <v>42</v>
      </c>
      <c r="D746" t="str" cm="1">
        <f t="array" ref="D746">INDEX(_xlfn.TEXTSPLIT(C746,"_"),3)</f>
        <v>bfr</v>
      </c>
      <c r="E746" t="str">
        <f>VLOOKUP(D746,FranchiseMapping!$A$1:$B$15,2,FALSE)</f>
        <v>Full Rescue</v>
      </c>
      <c r="F746" s="1">
        <v>45658</v>
      </c>
      <c r="G746" t="s">
        <v>12</v>
      </c>
      <c r="H746" s="2">
        <v>45809</v>
      </c>
      <c r="I746" s="3">
        <v>45811</v>
      </c>
      <c r="J746" s="3">
        <f t="shared" si="11"/>
        <v>45815</v>
      </c>
      <c r="K746" s="4">
        <v>1228.889934</v>
      </c>
      <c r="L746">
        <v>598816</v>
      </c>
    </row>
    <row r="747" spans="1:12" x14ac:dyDescent="0.35">
      <c r="A747" t="s">
        <v>8</v>
      </c>
      <c r="B747" t="s">
        <v>14</v>
      </c>
      <c r="C747" t="s">
        <v>29</v>
      </c>
      <c r="D747" t="str" cm="1">
        <f t="array" ref="D747">INDEX(_xlfn.TEXTSPLIT(C747,"_"),3)</f>
        <v>bfr</v>
      </c>
      <c r="E747" t="str">
        <f>VLOOKUP(D747,FranchiseMapping!$A$1:$B$15,2,FALSE)</f>
        <v>Full Rescue</v>
      </c>
      <c r="F747" s="1">
        <v>45658</v>
      </c>
      <c r="G747" t="s">
        <v>12</v>
      </c>
      <c r="H747" s="2">
        <v>45809</v>
      </c>
      <c r="I747" s="3">
        <v>45811</v>
      </c>
      <c r="J747" s="3">
        <f t="shared" si="11"/>
        <v>45815</v>
      </c>
      <c r="K747" s="4">
        <v>0.87000000000000011</v>
      </c>
      <c r="L747">
        <v>191</v>
      </c>
    </row>
    <row r="748" spans="1:12" x14ac:dyDescent="0.35">
      <c r="A748" t="s">
        <v>8</v>
      </c>
      <c r="B748" t="s">
        <v>9</v>
      </c>
      <c r="C748" t="s">
        <v>50</v>
      </c>
      <c r="D748" t="str" cm="1">
        <f t="array" ref="D748">INDEX(_xlfn.TEXTSPLIT(C748,"_"),3)</f>
        <v>bond-therapy</v>
      </c>
      <c r="E748" t="str">
        <f>VLOOKUP(D748,FranchiseMapping!$A$1:$B$15,2,FALSE)</f>
        <v>Bond Therapy</v>
      </c>
      <c r="F748" s="1">
        <v>44927</v>
      </c>
      <c r="G748" t="s">
        <v>12</v>
      </c>
      <c r="H748" s="2">
        <v>45261</v>
      </c>
      <c r="I748" s="3">
        <v>45276</v>
      </c>
      <c r="J748" s="3">
        <f t="shared" si="11"/>
        <v>45276</v>
      </c>
      <c r="K748" s="4">
        <v>3113.8900009999998</v>
      </c>
      <c r="L748">
        <v>233388</v>
      </c>
    </row>
    <row r="749" spans="1:12" x14ac:dyDescent="0.35">
      <c r="A749" t="s">
        <v>8</v>
      </c>
      <c r="B749" t="s">
        <v>14</v>
      </c>
      <c r="C749" t="s">
        <v>37</v>
      </c>
      <c r="D749" t="str" cm="1">
        <f t="array" ref="D749">INDEX(_xlfn.TEXTSPLIT(C749,"_"),3)</f>
        <v>mult</v>
      </c>
      <c r="E749" t="str">
        <f>VLOOKUP(D749,FranchiseMapping!$A$1:$B$15,2,FALSE)</f>
        <v>Biolage</v>
      </c>
      <c r="F749" s="1">
        <v>45658</v>
      </c>
      <c r="G749" t="s">
        <v>12</v>
      </c>
      <c r="H749" s="2">
        <v>45809</v>
      </c>
      <c r="I749" s="3">
        <v>45823</v>
      </c>
      <c r="J749" s="3">
        <f t="shared" si="11"/>
        <v>45829</v>
      </c>
      <c r="K749" s="4">
        <v>1700.33</v>
      </c>
      <c r="L749">
        <v>344231</v>
      </c>
    </row>
    <row r="750" spans="1:12" x14ac:dyDescent="0.35">
      <c r="A750" t="s">
        <v>8</v>
      </c>
      <c r="B750" t="s">
        <v>9</v>
      </c>
      <c r="C750" t="s">
        <v>48</v>
      </c>
      <c r="D750" t="str" cm="1">
        <f t="array" ref="D750">INDEX(_xlfn.TEXTSPLIT(C750,"_"),3)</f>
        <v>scalp</v>
      </c>
      <c r="E750" t="str">
        <f>VLOOKUP(D750,FranchiseMapping!$A$1:$B$15,2,FALSE)</f>
        <v>Scalp Sync</v>
      </c>
      <c r="F750" s="1">
        <v>45292</v>
      </c>
      <c r="G750" t="s">
        <v>12</v>
      </c>
      <c r="H750" s="2">
        <v>45352</v>
      </c>
      <c r="I750" s="3">
        <v>45379</v>
      </c>
      <c r="J750" s="3">
        <f t="shared" si="11"/>
        <v>45381</v>
      </c>
      <c r="K750" s="4">
        <v>891.54</v>
      </c>
      <c r="L750">
        <v>189628</v>
      </c>
    </row>
    <row r="751" spans="1:12" x14ac:dyDescent="0.35">
      <c r="A751" t="s">
        <v>8</v>
      </c>
      <c r="B751" t="s">
        <v>9</v>
      </c>
      <c r="C751" t="s">
        <v>55</v>
      </c>
      <c r="D751" t="str" cm="1">
        <f t="array" ref="D751">INDEX(_xlfn.TEXTSPLIT(C751,"_"),3)</f>
        <v>hydrasource</v>
      </c>
      <c r="E751" t="str">
        <f>VLOOKUP(D751,FranchiseMapping!$A$1:$B$15,2,FALSE)</f>
        <v>Hydrasource</v>
      </c>
      <c r="F751" s="1">
        <v>45292</v>
      </c>
      <c r="G751" t="s">
        <v>12</v>
      </c>
      <c r="H751" s="2">
        <v>45536</v>
      </c>
      <c r="I751" s="3">
        <v>45564</v>
      </c>
      <c r="J751" s="3">
        <f t="shared" si="11"/>
        <v>45570</v>
      </c>
      <c r="K751" s="4">
        <v>4008.1400020000001</v>
      </c>
      <c r="L751">
        <v>691281</v>
      </c>
    </row>
    <row r="752" spans="1:12" x14ac:dyDescent="0.35">
      <c r="A752" t="s">
        <v>8</v>
      </c>
      <c r="B752" t="s">
        <v>9</v>
      </c>
      <c r="C752" t="s">
        <v>38</v>
      </c>
      <c r="D752" t="str" cm="1">
        <f t="array" ref="D752">INDEX(_xlfn.TEXTSPLIT(C752,"_"),3)</f>
        <v>hys</v>
      </c>
      <c r="E752" t="str">
        <f>VLOOKUP(D752,FranchiseMapping!$A$1:$B$15,2,FALSE)</f>
        <v>Hydrasource</v>
      </c>
      <c r="F752" s="1">
        <v>45658</v>
      </c>
      <c r="G752" t="s">
        <v>10</v>
      </c>
      <c r="H752" s="2">
        <v>45748</v>
      </c>
      <c r="I752" s="3">
        <v>45749</v>
      </c>
      <c r="J752" s="3">
        <f t="shared" si="11"/>
        <v>45752</v>
      </c>
      <c r="K752" s="4">
        <v>707.34999999999991</v>
      </c>
      <c r="L752">
        <v>37334</v>
      </c>
    </row>
    <row r="753" spans="1:12" x14ac:dyDescent="0.35">
      <c r="A753" t="s">
        <v>8</v>
      </c>
      <c r="B753" t="s">
        <v>9</v>
      </c>
      <c r="C753" t="s">
        <v>34</v>
      </c>
      <c r="D753" t="str" cm="1">
        <f t="array" ref="D753">INDEX(_xlfn.TEXTSPLIT(C753,"_"),3)</f>
        <v>hydrasource</v>
      </c>
      <c r="E753" t="str">
        <f>VLOOKUP(D753,FranchiseMapping!$A$1:$B$15,2,FALSE)</f>
        <v>Hydrasource</v>
      </c>
      <c r="F753" s="1">
        <v>45292</v>
      </c>
      <c r="G753" t="s">
        <v>12</v>
      </c>
      <c r="H753" s="2">
        <v>45323</v>
      </c>
      <c r="I753" s="3">
        <v>45323</v>
      </c>
      <c r="J753" s="3">
        <f t="shared" si="11"/>
        <v>45325</v>
      </c>
      <c r="K753" s="4">
        <v>630.05999900000018</v>
      </c>
      <c r="L753">
        <v>154726</v>
      </c>
    </row>
    <row r="754" spans="1:12" x14ac:dyDescent="0.35">
      <c r="A754" t="s">
        <v>8</v>
      </c>
      <c r="B754" t="s">
        <v>9</v>
      </c>
      <c r="C754" t="s">
        <v>34</v>
      </c>
      <c r="D754" t="str" cm="1">
        <f t="array" ref="D754">INDEX(_xlfn.TEXTSPLIT(C754,"_"),3)</f>
        <v>hydrasource</v>
      </c>
      <c r="E754" t="str">
        <f>VLOOKUP(D754,FranchiseMapping!$A$1:$B$15,2,FALSE)</f>
        <v>Hydrasource</v>
      </c>
      <c r="F754" s="1">
        <v>45292</v>
      </c>
      <c r="G754" t="s">
        <v>12</v>
      </c>
      <c r="H754" s="2">
        <v>45323</v>
      </c>
      <c r="I754" s="3">
        <v>45344</v>
      </c>
      <c r="J754" s="3">
        <f t="shared" si="11"/>
        <v>45346</v>
      </c>
      <c r="K754" s="4">
        <v>924.57999900000016</v>
      </c>
      <c r="L754">
        <v>192078</v>
      </c>
    </row>
    <row r="755" spans="1:12" x14ac:dyDescent="0.35">
      <c r="A755" t="s">
        <v>8</v>
      </c>
      <c r="B755" t="s">
        <v>9</v>
      </c>
      <c r="C755" t="s">
        <v>54</v>
      </c>
      <c r="D755" t="str" cm="1">
        <f t="array" ref="D755">INDEX(_xlfn.TEXTSPLIT(C755,"_"),3)</f>
        <v>scalp</v>
      </c>
      <c r="E755" t="str">
        <f>VLOOKUP(D755,FranchiseMapping!$A$1:$B$15,2,FALSE)</f>
        <v>Scalp Sync</v>
      </c>
      <c r="F755" s="1">
        <v>45292</v>
      </c>
      <c r="G755" t="s">
        <v>10</v>
      </c>
      <c r="H755" s="2">
        <v>45383</v>
      </c>
      <c r="I755" s="3">
        <v>45398</v>
      </c>
      <c r="J755" s="3">
        <f t="shared" si="11"/>
        <v>45402</v>
      </c>
      <c r="K755" s="4">
        <v>1801.3100030000001</v>
      </c>
      <c r="L755">
        <v>407071</v>
      </c>
    </row>
    <row r="756" spans="1:12" x14ac:dyDescent="0.35">
      <c r="A756" t="s">
        <v>8</v>
      </c>
      <c r="B756" t="s">
        <v>9</v>
      </c>
      <c r="C756" t="s">
        <v>76</v>
      </c>
      <c r="D756" t="str" cm="1">
        <f t="array" ref="D756">INDEX(_xlfn.TEXTSPLIT(C756,"_"),3)</f>
        <v>mult</v>
      </c>
      <c r="E756" t="str">
        <f>VLOOKUP(D756,FranchiseMapping!$A$1:$B$15,2,FALSE)</f>
        <v>Biolage</v>
      </c>
      <c r="F756" s="1">
        <v>45292</v>
      </c>
      <c r="G756" t="s">
        <v>12</v>
      </c>
      <c r="H756" s="2">
        <v>45627</v>
      </c>
      <c r="I756" s="3">
        <v>45627</v>
      </c>
      <c r="J756" s="3">
        <f t="shared" si="11"/>
        <v>45633</v>
      </c>
      <c r="K756" s="4">
        <v>18711.170005999997</v>
      </c>
      <c r="L756">
        <v>2516604</v>
      </c>
    </row>
    <row r="757" spans="1:12" x14ac:dyDescent="0.35">
      <c r="A757" t="s">
        <v>8</v>
      </c>
      <c r="B757" t="s">
        <v>13</v>
      </c>
      <c r="C757" t="s">
        <v>59</v>
      </c>
      <c r="D757" t="str" cm="1">
        <f t="array" ref="D757">INDEX(_xlfn.TEXTSPLIT(C757,"_"),3)</f>
        <v>scalp-sync</v>
      </c>
      <c r="E757" t="str">
        <f>VLOOKUP(D757,FranchiseMapping!$A$1:$B$15,2,FALSE)</f>
        <v>Scalp Sync</v>
      </c>
      <c r="F757" s="1">
        <v>45292</v>
      </c>
      <c r="G757" t="s">
        <v>11</v>
      </c>
      <c r="H757" s="2">
        <v>45383</v>
      </c>
      <c r="I757" s="3">
        <v>45407</v>
      </c>
      <c r="J757" s="3">
        <f t="shared" si="11"/>
        <v>45409</v>
      </c>
      <c r="K757" s="4">
        <v>3363.5460489999996</v>
      </c>
      <c r="L757">
        <v>1577714</v>
      </c>
    </row>
    <row r="758" spans="1:12" x14ac:dyDescent="0.35">
      <c r="A758" t="s">
        <v>8</v>
      </c>
      <c r="B758" t="s">
        <v>9</v>
      </c>
      <c r="C758" t="s">
        <v>71</v>
      </c>
      <c r="D758" t="str" cm="1">
        <f t="array" ref="D758">INDEX(_xlfn.TEXTSPLIT(C758,"_"),3)</f>
        <v>bondtherapy</v>
      </c>
      <c r="E758" t="str">
        <f>VLOOKUP(D758,FranchiseMapping!$A$1:$B$15,2,FALSE)</f>
        <v>Bond Therapy</v>
      </c>
      <c r="F758" s="1">
        <v>44927</v>
      </c>
      <c r="G758" t="s">
        <v>11</v>
      </c>
      <c r="H758" s="2">
        <v>45261</v>
      </c>
      <c r="I758" s="3">
        <v>45279</v>
      </c>
      <c r="J758" s="3">
        <f t="shared" si="11"/>
        <v>45283</v>
      </c>
      <c r="K758" s="4">
        <v>1959.1000019999999</v>
      </c>
      <c r="L758">
        <v>118752</v>
      </c>
    </row>
    <row r="759" spans="1:12" x14ac:dyDescent="0.35">
      <c r="A759" t="s">
        <v>8</v>
      </c>
      <c r="B759" t="s">
        <v>9</v>
      </c>
      <c r="C759" t="s">
        <v>46</v>
      </c>
      <c r="D759" t="str" cm="1">
        <f t="array" ref="D759">INDEX(_xlfn.TEXTSPLIT(C759,"_"),3)</f>
        <v>mult</v>
      </c>
      <c r="E759" t="str">
        <f>VLOOKUP(D759,FranchiseMapping!$A$1:$B$15,2,FALSE)</f>
        <v>Biolage</v>
      </c>
      <c r="F759" s="1">
        <v>45658</v>
      </c>
      <c r="G759" t="s">
        <v>12</v>
      </c>
      <c r="H759" s="2">
        <v>45778</v>
      </c>
      <c r="I759" s="3">
        <v>45786</v>
      </c>
      <c r="J759" s="3">
        <f t="shared" si="11"/>
        <v>45787</v>
      </c>
      <c r="K759" s="4">
        <v>207.89999999999998</v>
      </c>
      <c r="L759">
        <v>42338</v>
      </c>
    </row>
    <row r="760" spans="1:12" x14ac:dyDescent="0.35">
      <c r="A760" t="s">
        <v>8</v>
      </c>
      <c r="B760" t="s">
        <v>9</v>
      </c>
      <c r="C760" t="s">
        <v>34</v>
      </c>
      <c r="D760" t="str" cm="1">
        <f t="array" ref="D760">INDEX(_xlfn.TEXTSPLIT(C760,"_"),3)</f>
        <v>hydrasource</v>
      </c>
      <c r="E760" t="str">
        <f>VLOOKUP(D760,FranchiseMapping!$A$1:$B$15,2,FALSE)</f>
        <v>Hydrasource</v>
      </c>
      <c r="F760" s="1">
        <v>45292</v>
      </c>
      <c r="G760" t="s">
        <v>12</v>
      </c>
      <c r="H760" s="2">
        <v>45323</v>
      </c>
      <c r="I760" s="3">
        <v>45347</v>
      </c>
      <c r="J760" s="3">
        <f t="shared" si="11"/>
        <v>45353</v>
      </c>
      <c r="K760" s="4">
        <v>1011.2</v>
      </c>
      <c r="L760">
        <v>214223</v>
      </c>
    </row>
    <row r="761" spans="1:12" x14ac:dyDescent="0.35">
      <c r="A761" t="s">
        <v>8</v>
      </c>
      <c r="B761" t="s">
        <v>9</v>
      </c>
      <c r="C761" t="s">
        <v>38</v>
      </c>
      <c r="D761" t="str" cm="1">
        <f t="array" ref="D761">INDEX(_xlfn.TEXTSPLIT(C761,"_"),3)</f>
        <v>hys</v>
      </c>
      <c r="E761" t="str">
        <f>VLOOKUP(D761,FranchiseMapping!$A$1:$B$15,2,FALSE)</f>
        <v>Hydrasource</v>
      </c>
      <c r="F761" s="1">
        <v>45658</v>
      </c>
      <c r="G761" t="s">
        <v>10</v>
      </c>
      <c r="H761" s="2">
        <v>45748</v>
      </c>
      <c r="I761" s="3">
        <v>45761</v>
      </c>
      <c r="J761" s="3">
        <f t="shared" si="11"/>
        <v>45766</v>
      </c>
      <c r="K761" s="4">
        <v>253.65</v>
      </c>
      <c r="L761">
        <v>11541</v>
      </c>
    </row>
    <row r="762" spans="1:12" x14ac:dyDescent="0.35">
      <c r="A762" t="s">
        <v>8</v>
      </c>
      <c r="B762" t="s">
        <v>9</v>
      </c>
      <c r="C762" t="s">
        <v>70</v>
      </c>
      <c r="D762" t="str" cm="1">
        <f t="array" ref="D762">INDEX(_xlfn.TEXTSPLIT(C762,"_"),3)</f>
        <v>mult</v>
      </c>
      <c r="E762" t="str">
        <f>VLOOKUP(D762,FranchiseMapping!$A$1:$B$15,2,FALSE)</f>
        <v>Biolage</v>
      </c>
      <c r="F762" s="1">
        <v>45292</v>
      </c>
      <c r="G762" t="s">
        <v>12</v>
      </c>
      <c r="H762" s="2">
        <v>45597</v>
      </c>
      <c r="I762" s="3">
        <v>45624</v>
      </c>
      <c r="J762" s="3">
        <f t="shared" si="11"/>
        <v>45626</v>
      </c>
      <c r="K762" s="4">
        <v>14360.810003000002</v>
      </c>
      <c r="L762">
        <v>1618541</v>
      </c>
    </row>
    <row r="763" spans="1:12" x14ac:dyDescent="0.35">
      <c r="A763" t="s">
        <v>8</v>
      </c>
      <c r="B763" t="s">
        <v>14</v>
      </c>
      <c r="C763" t="s">
        <v>29</v>
      </c>
      <c r="D763" t="str" cm="1">
        <f t="array" ref="D763">INDEX(_xlfn.TEXTSPLIT(C763,"_"),3)</f>
        <v>bfr</v>
      </c>
      <c r="E763" t="str">
        <f>VLOOKUP(D763,FranchiseMapping!$A$1:$B$15,2,FALSE)</f>
        <v>Full Rescue</v>
      </c>
      <c r="F763" s="1">
        <v>45658</v>
      </c>
      <c r="G763" t="s">
        <v>12</v>
      </c>
      <c r="H763" s="2">
        <v>45809</v>
      </c>
      <c r="I763" s="3">
        <v>45831</v>
      </c>
      <c r="J763" s="3">
        <f t="shared" si="11"/>
        <v>45836</v>
      </c>
      <c r="K763" s="4">
        <v>542.13</v>
      </c>
      <c r="L763">
        <v>83579</v>
      </c>
    </row>
    <row r="764" spans="1:12" x14ac:dyDescent="0.35">
      <c r="A764" t="s">
        <v>8</v>
      </c>
      <c r="B764" t="s">
        <v>9</v>
      </c>
      <c r="C764" t="s">
        <v>65</v>
      </c>
      <c r="D764" t="str" cm="1">
        <f t="array" ref="D764">INDEX(_xlfn.TEXTSPLIT(C764,"_"),3)</f>
        <v>prime-day</v>
      </c>
      <c r="E764" t="str">
        <f>VLOOKUP(D764,FranchiseMapping!$A$1:$B$15,2,FALSE)</f>
        <v>Prime Day</v>
      </c>
      <c r="F764" s="1">
        <v>45292</v>
      </c>
      <c r="G764" t="s">
        <v>10</v>
      </c>
      <c r="H764" s="2">
        <v>45474</v>
      </c>
      <c r="I764" s="3">
        <v>45488</v>
      </c>
      <c r="J764" s="3">
        <f t="shared" si="11"/>
        <v>45493</v>
      </c>
      <c r="K764" s="4">
        <v>2506.7099939999994</v>
      </c>
      <c r="L764">
        <v>229346</v>
      </c>
    </row>
    <row r="765" spans="1:12" x14ac:dyDescent="0.35">
      <c r="A765" t="s">
        <v>8</v>
      </c>
      <c r="B765" t="s">
        <v>9</v>
      </c>
      <c r="C765" t="s">
        <v>35</v>
      </c>
      <c r="D765" t="str" cm="1">
        <f t="array" ref="D765">INDEX(_xlfn.TEXTSPLIT(C765,"_"),3)</f>
        <v>bfr</v>
      </c>
      <c r="E765" t="str">
        <f>VLOOKUP(D765,FranchiseMapping!$A$1:$B$15,2,FALSE)</f>
        <v>Full Rescue</v>
      </c>
      <c r="F765" s="1">
        <v>45658</v>
      </c>
      <c r="G765" t="s">
        <v>12</v>
      </c>
      <c r="H765" s="2">
        <v>45778</v>
      </c>
      <c r="I765" s="3">
        <v>45808</v>
      </c>
      <c r="J765" s="3">
        <f t="shared" si="11"/>
        <v>45808</v>
      </c>
      <c r="K765" s="4">
        <v>1851.8400030000003</v>
      </c>
      <c r="L765">
        <v>146484</v>
      </c>
    </row>
    <row r="766" spans="1:12" x14ac:dyDescent="0.35">
      <c r="A766" t="s">
        <v>8</v>
      </c>
      <c r="B766" t="s">
        <v>9</v>
      </c>
      <c r="C766" t="s">
        <v>76</v>
      </c>
      <c r="D766" t="str" cm="1">
        <f t="array" ref="D766">INDEX(_xlfn.TEXTSPLIT(C766,"_"),3)</f>
        <v>mult</v>
      </c>
      <c r="E766" t="str">
        <f>VLOOKUP(D766,FranchiseMapping!$A$1:$B$15,2,FALSE)</f>
        <v>Biolage</v>
      </c>
      <c r="F766" s="1">
        <v>45292</v>
      </c>
      <c r="G766" t="s">
        <v>12</v>
      </c>
      <c r="H766" s="2">
        <v>45627</v>
      </c>
      <c r="I766" s="3">
        <v>45628</v>
      </c>
      <c r="J766" s="3">
        <f t="shared" si="11"/>
        <v>45633</v>
      </c>
      <c r="K766" s="4">
        <v>21288.829995999997</v>
      </c>
      <c r="L766">
        <v>2684988</v>
      </c>
    </row>
    <row r="767" spans="1:12" x14ac:dyDescent="0.35">
      <c r="A767" t="s">
        <v>8</v>
      </c>
      <c r="B767" t="s">
        <v>9</v>
      </c>
      <c r="C767" t="s">
        <v>54</v>
      </c>
      <c r="D767" t="str" cm="1">
        <f t="array" ref="D767">INDEX(_xlfn.TEXTSPLIT(C767,"_"),3)</f>
        <v>scalp</v>
      </c>
      <c r="E767" t="str">
        <f>VLOOKUP(D767,FranchiseMapping!$A$1:$B$15,2,FALSE)</f>
        <v>Scalp Sync</v>
      </c>
      <c r="F767" s="1">
        <v>45292</v>
      </c>
      <c r="G767" t="s">
        <v>10</v>
      </c>
      <c r="H767" s="2">
        <v>45352</v>
      </c>
      <c r="I767" s="3">
        <v>45374</v>
      </c>
      <c r="J767" s="3">
        <f t="shared" si="11"/>
        <v>45374</v>
      </c>
      <c r="K767" s="4">
        <v>2283.8999990000002</v>
      </c>
      <c r="L767">
        <v>505415</v>
      </c>
    </row>
    <row r="768" spans="1:12" x14ac:dyDescent="0.35">
      <c r="A768" t="s">
        <v>8</v>
      </c>
      <c r="B768" t="s">
        <v>9</v>
      </c>
      <c r="C768" t="s">
        <v>35</v>
      </c>
      <c r="D768" t="str" cm="1">
        <f t="array" ref="D768">INDEX(_xlfn.TEXTSPLIT(C768,"_"),3)</f>
        <v>bfr</v>
      </c>
      <c r="E768" t="str">
        <f>VLOOKUP(D768,FranchiseMapping!$A$1:$B$15,2,FALSE)</f>
        <v>Full Rescue</v>
      </c>
      <c r="F768" s="1">
        <v>45658</v>
      </c>
      <c r="G768" t="s">
        <v>12</v>
      </c>
      <c r="H768" s="2">
        <v>45778</v>
      </c>
      <c r="I768" s="3">
        <v>45783</v>
      </c>
      <c r="J768" s="3">
        <f t="shared" si="11"/>
        <v>45787</v>
      </c>
      <c r="K768" s="4">
        <v>1705.5800020000001</v>
      </c>
      <c r="L768">
        <v>116561</v>
      </c>
    </row>
    <row r="769" spans="1:12" x14ac:dyDescent="0.35">
      <c r="A769" t="s">
        <v>8</v>
      </c>
      <c r="B769" t="s">
        <v>9</v>
      </c>
      <c r="C769" t="s">
        <v>65</v>
      </c>
      <c r="D769" t="str" cm="1">
        <f t="array" ref="D769">INDEX(_xlfn.TEXTSPLIT(C769,"_"),3)</f>
        <v>prime-day</v>
      </c>
      <c r="E769" t="str">
        <f>VLOOKUP(D769,FranchiseMapping!$A$1:$B$15,2,FALSE)</f>
        <v>Prime Day</v>
      </c>
      <c r="F769" s="1">
        <v>45292</v>
      </c>
      <c r="G769" t="s">
        <v>10</v>
      </c>
      <c r="H769" s="2">
        <v>45474</v>
      </c>
      <c r="I769" s="3">
        <v>45479</v>
      </c>
      <c r="J769" s="3">
        <f t="shared" si="11"/>
        <v>45479</v>
      </c>
      <c r="K769" s="4">
        <v>2603.5200000000004</v>
      </c>
      <c r="L769">
        <v>310196</v>
      </c>
    </row>
    <row r="770" spans="1:12" x14ac:dyDescent="0.35">
      <c r="A770" t="s">
        <v>8</v>
      </c>
      <c r="B770" t="s">
        <v>9</v>
      </c>
      <c r="C770" t="s">
        <v>69</v>
      </c>
      <c r="D770" t="str" cm="1">
        <f t="array" ref="D770">INDEX(_xlfn.TEXTSPLIT(C770,"_"),3)</f>
        <v>prime-day</v>
      </c>
      <c r="E770" t="str">
        <f>VLOOKUP(D770,FranchiseMapping!$A$1:$B$15,2,FALSE)</f>
        <v>Prime Day</v>
      </c>
      <c r="F770" s="1">
        <v>45292</v>
      </c>
      <c r="G770" t="s">
        <v>10</v>
      </c>
      <c r="H770" s="2">
        <v>45474</v>
      </c>
      <c r="I770" s="3">
        <v>45479</v>
      </c>
      <c r="J770" s="3">
        <f t="shared" si="11"/>
        <v>45479</v>
      </c>
      <c r="K770" s="4">
        <v>3827.8000049999996</v>
      </c>
      <c r="L770">
        <v>527839</v>
      </c>
    </row>
    <row r="771" spans="1:12" x14ac:dyDescent="0.35">
      <c r="A771" t="s">
        <v>8</v>
      </c>
      <c r="B771" t="s">
        <v>9</v>
      </c>
      <c r="C771" t="s">
        <v>48</v>
      </c>
      <c r="D771" t="str" cm="1">
        <f t="array" ref="D771">INDEX(_xlfn.TEXTSPLIT(C771,"_"),3)</f>
        <v>scalp</v>
      </c>
      <c r="E771" t="str">
        <f>VLOOKUP(D771,FranchiseMapping!$A$1:$B$15,2,FALSE)</f>
        <v>Scalp Sync</v>
      </c>
      <c r="F771" s="1">
        <v>45292</v>
      </c>
      <c r="G771" t="s">
        <v>10</v>
      </c>
      <c r="H771" s="2">
        <v>45383</v>
      </c>
      <c r="I771" s="3">
        <v>45400</v>
      </c>
      <c r="J771" s="3">
        <f t="shared" ref="J771:J834" si="12">I771 + (7 - WEEKDAY(I771, 1))</f>
        <v>45402</v>
      </c>
      <c r="K771" s="4">
        <v>268.35000099999996</v>
      </c>
      <c r="L771">
        <v>67367</v>
      </c>
    </row>
    <row r="772" spans="1:12" x14ac:dyDescent="0.35">
      <c r="A772" t="s">
        <v>8</v>
      </c>
      <c r="B772" t="s">
        <v>9</v>
      </c>
      <c r="C772" t="s">
        <v>48</v>
      </c>
      <c r="D772" t="str" cm="1">
        <f t="array" ref="D772">INDEX(_xlfn.TEXTSPLIT(C772,"_"),3)</f>
        <v>scalp</v>
      </c>
      <c r="E772" t="str">
        <f>VLOOKUP(D772,FranchiseMapping!$A$1:$B$15,2,FALSE)</f>
        <v>Scalp Sync</v>
      </c>
      <c r="F772" s="1">
        <v>45292</v>
      </c>
      <c r="G772" t="s">
        <v>10</v>
      </c>
      <c r="H772" s="2">
        <v>45352</v>
      </c>
      <c r="I772" s="3">
        <v>45355</v>
      </c>
      <c r="J772" s="3">
        <f t="shared" si="12"/>
        <v>45360</v>
      </c>
      <c r="K772" s="4">
        <v>473.9800019999999</v>
      </c>
      <c r="L772">
        <v>98062</v>
      </c>
    </row>
    <row r="773" spans="1:12" x14ac:dyDescent="0.35">
      <c r="A773" t="s">
        <v>8</v>
      </c>
      <c r="B773" t="s">
        <v>9</v>
      </c>
      <c r="C773" t="s">
        <v>54</v>
      </c>
      <c r="D773" t="str" cm="1">
        <f t="array" ref="D773">INDEX(_xlfn.TEXTSPLIT(C773,"_"),3)</f>
        <v>scalp</v>
      </c>
      <c r="E773" t="str">
        <f>VLOOKUP(D773,FranchiseMapping!$A$1:$B$15,2,FALSE)</f>
        <v>Scalp Sync</v>
      </c>
      <c r="F773" s="1">
        <v>45292</v>
      </c>
      <c r="G773" t="s">
        <v>10</v>
      </c>
      <c r="H773" s="2">
        <v>45383</v>
      </c>
      <c r="I773" s="3">
        <v>45383</v>
      </c>
      <c r="J773" s="3">
        <f t="shared" si="12"/>
        <v>45388</v>
      </c>
      <c r="K773" s="4">
        <v>2293.3799989999998</v>
      </c>
      <c r="L773">
        <v>535529</v>
      </c>
    </row>
    <row r="774" spans="1:12" x14ac:dyDescent="0.35">
      <c r="A774" t="s">
        <v>8</v>
      </c>
      <c r="B774" t="s">
        <v>14</v>
      </c>
      <c r="C774" t="s">
        <v>29</v>
      </c>
      <c r="D774" t="str" cm="1">
        <f t="array" ref="D774">INDEX(_xlfn.TEXTSPLIT(C774,"_"),3)</f>
        <v>bfr</v>
      </c>
      <c r="E774" t="str">
        <f>VLOOKUP(D774,FranchiseMapping!$A$1:$B$15,2,FALSE)</f>
        <v>Full Rescue</v>
      </c>
      <c r="F774" s="1">
        <v>45658</v>
      </c>
      <c r="G774" t="s">
        <v>12</v>
      </c>
      <c r="H774" s="2">
        <v>45809</v>
      </c>
      <c r="I774" s="3">
        <v>45824</v>
      </c>
      <c r="J774" s="3">
        <f t="shared" si="12"/>
        <v>45829</v>
      </c>
      <c r="K774" s="4">
        <v>41.26</v>
      </c>
      <c r="L774">
        <v>8278</v>
      </c>
    </row>
    <row r="775" spans="1:12" x14ac:dyDescent="0.35">
      <c r="A775" t="s">
        <v>8</v>
      </c>
      <c r="B775" t="s">
        <v>9</v>
      </c>
      <c r="C775" t="s">
        <v>55</v>
      </c>
      <c r="D775" t="str" cm="1">
        <f t="array" ref="D775">INDEX(_xlfn.TEXTSPLIT(C775,"_"),3)</f>
        <v>hydrasource</v>
      </c>
      <c r="E775" t="str">
        <f>VLOOKUP(D775,FranchiseMapping!$A$1:$B$15,2,FALSE)</f>
        <v>Hydrasource</v>
      </c>
      <c r="F775" s="1">
        <v>45292</v>
      </c>
      <c r="G775" t="s">
        <v>12</v>
      </c>
      <c r="H775" s="2">
        <v>45566</v>
      </c>
      <c r="I775" s="3">
        <v>45583</v>
      </c>
      <c r="J775" s="3">
        <f t="shared" si="12"/>
        <v>45584</v>
      </c>
      <c r="K775" s="4">
        <v>3473.4800099999998</v>
      </c>
      <c r="L775">
        <v>747356</v>
      </c>
    </row>
    <row r="776" spans="1:12" x14ac:dyDescent="0.35">
      <c r="A776" t="s">
        <v>8</v>
      </c>
      <c r="B776" t="s">
        <v>9</v>
      </c>
      <c r="C776" t="s">
        <v>46</v>
      </c>
      <c r="D776" t="str" cm="1">
        <f t="array" ref="D776">INDEX(_xlfn.TEXTSPLIT(C776,"_"),3)</f>
        <v>mult</v>
      </c>
      <c r="E776" t="str">
        <f>VLOOKUP(D776,FranchiseMapping!$A$1:$B$15,2,FALSE)</f>
        <v>Biolage</v>
      </c>
      <c r="F776" s="1">
        <v>45658</v>
      </c>
      <c r="G776" t="s">
        <v>10</v>
      </c>
      <c r="H776" s="2">
        <v>45748</v>
      </c>
      <c r="I776" s="3">
        <v>45772</v>
      </c>
      <c r="J776" s="3">
        <f t="shared" si="12"/>
        <v>45773</v>
      </c>
      <c r="K776" s="4">
        <v>765.27999900000009</v>
      </c>
      <c r="L776">
        <v>153300</v>
      </c>
    </row>
    <row r="777" spans="1:12" x14ac:dyDescent="0.35">
      <c r="A777" t="s">
        <v>8</v>
      </c>
      <c r="B777" t="s">
        <v>13</v>
      </c>
      <c r="C777" t="s">
        <v>42</v>
      </c>
      <c r="D777" t="str" cm="1">
        <f t="array" ref="D777">INDEX(_xlfn.TEXTSPLIT(C777,"_"),3)</f>
        <v>bfr</v>
      </c>
      <c r="E777" t="str">
        <f>VLOOKUP(D777,FranchiseMapping!$A$1:$B$15,2,FALSE)</f>
        <v>Full Rescue</v>
      </c>
      <c r="F777" s="1">
        <v>45658</v>
      </c>
      <c r="G777" t="s">
        <v>10</v>
      </c>
      <c r="H777" s="2">
        <v>45809</v>
      </c>
      <c r="I777" s="3">
        <v>45836</v>
      </c>
      <c r="J777" s="3">
        <f t="shared" si="12"/>
        <v>45836</v>
      </c>
      <c r="K777" s="4">
        <v>372.36905100000001</v>
      </c>
      <c r="L777">
        <v>167296</v>
      </c>
    </row>
    <row r="778" spans="1:12" x14ac:dyDescent="0.35">
      <c r="A778" t="s">
        <v>8</v>
      </c>
      <c r="B778" t="s">
        <v>13</v>
      </c>
      <c r="C778" t="s">
        <v>62</v>
      </c>
      <c r="D778" t="str" cm="1">
        <f t="array" ref="D778">INDEX(_xlfn.TEXTSPLIT(C778,"_"),3)</f>
        <v>na</v>
      </c>
      <c r="E778" t="str">
        <f>VLOOKUP(D778,FranchiseMapping!$A$1:$B$15,2,FALSE)</f>
        <v>Biolage</v>
      </c>
      <c r="F778" s="1">
        <v>44927</v>
      </c>
      <c r="G778" t="s">
        <v>12</v>
      </c>
      <c r="H778" s="2">
        <v>45108</v>
      </c>
      <c r="I778" s="3">
        <v>45120</v>
      </c>
      <c r="J778" s="3">
        <f t="shared" si="12"/>
        <v>45122</v>
      </c>
      <c r="K778" s="4">
        <v>1045.3530759999999</v>
      </c>
      <c r="L778">
        <v>168752</v>
      </c>
    </row>
    <row r="779" spans="1:12" x14ac:dyDescent="0.35">
      <c r="A779" t="s">
        <v>8</v>
      </c>
      <c r="B779" t="s">
        <v>13</v>
      </c>
      <c r="C779" t="s">
        <v>39</v>
      </c>
      <c r="D779" t="str" cm="1">
        <f t="array" ref="D779">INDEX(_xlfn.TEXTSPLIT(C779,"_"),3)</f>
        <v>scalp-sync</v>
      </c>
      <c r="E779" t="str">
        <f>VLOOKUP(D779,FranchiseMapping!$A$1:$B$15,2,FALSE)</f>
        <v>Scalp Sync</v>
      </c>
      <c r="F779" s="1">
        <v>45292</v>
      </c>
      <c r="G779" t="s">
        <v>12</v>
      </c>
      <c r="H779" s="2">
        <v>45413</v>
      </c>
      <c r="I779" s="3">
        <v>45435</v>
      </c>
      <c r="J779" s="3">
        <f t="shared" si="12"/>
        <v>45437</v>
      </c>
      <c r="K779" s="4">
        <v>1651.387645</v>
      </c>
      <c r="L779">
        <v>417332</v>
      </c>
    </row>
    <row r="780" spans="1:12" x14ac:dyDescent="0.35">
      <c r="A780" t="s">
        <v>8</v>
      </c>
      <c r="B780" t="s">
        <v>9</v>
      </c>
      <c r="C780" t="s">
        <v>46</v>
      </c>
      <c r="D780" t="str" cm="1">
        <f t="array" ref="D780">INDEX(_xlfn.TEXTSPLIT(C780,"_"),3)</f>
        <v>mult</v>
      </c>
      <c r="E780" t="str">
        <f>VLOOKUP(D780,FranchiseMapping!$A$1:$B$15,2,FALSE)</f>
        <v>Biolage</v>
      </c>
      <c r="F780" s="1">
        <v>45658</v>
      </c>
      <c r="G780" t="s">
        <v>10</v>
      </c>
      <c r="H780" s="2">
        <v>45809</v>
      </c>
      <c r="I780" s="3">
        <v>45814</v>
      </c>
      <c r="J780" s="3">
        <f t="shared" si="12"/>
        <v>45815</v>
      </c>
      <c r="K780" s="4">
        <v>1636.1699990000002</v>
      </c>
      <c r="L780">
        <v>198069</v>
      </c>
    </row>
    <row r="781" spans="1:12" x14ac:dyDescent="0.35">
      <c r="A781" t="s">
        <v>8</v>
      </c>
      <c r="B781" t="s">
        <v>9</v>
      </c>
      <c r="C781" t="s">
        <v>71</v>
      </c>
      <c r="D781" t="str" cm="1">
        <f t="array" ref="D781">INDEX(_xlfn.TEXTSPLIT(C781,"_"),3)</f>
        <v>bondtherapy</v>
      </c>
      <c r="E781" t="str">
        <f>VLOOKUP(D781,FranchiseMapping!$A$1:$B$15,2,FALSE)</f>
        <v>Bond Therapy</v>
      </c>
      <c r="F781" s="1">
        <v>44927</v>
      </c>
      <c r="G781" t="s">
        <v>11</v>
      </c>
      <c r="H781" s="2">
        <v>45261</v>
      </c>
      <c r="I781" s="3">
        <v>45276</v>
      </c>
      <c r="J781" s="3">
        <f t="shared" si="12"/>
        <v>45276</v>
      </c>
      <c r="K781" s="4">
        <v>1936.289998</v>
      </c>
      <c r="L781">
        <v>135697</v>
      </c>
    </row>
    <row r="782" spans="1:12" x14ac:dyDescent="0.35">
      <c r="A782" t="s">
        <v>8</v>
      </c>
      <c r="B782" t="s">
        <v>9</v>
      </c>
      <c r="C782" t="s">
        <v>46</v>
      </c>
      <c r="D782" t="str" cm="1">
        <f t="array" ref="D782">INDEX(_xlfn.TEXTSPLIT(C782,"_"),3)</f>
        <v>mult</v>
      </c>
      <c r="E782" t="str">
        <f>VLOOKUP(D782,FranchiseMapping!$A$1:$B$15,2,FALSE)</f>
        <v>Biolage</v>
      </c>
      <c r="F782" s="1">
        <v>45658</v>
      </c>
      <c r="G782" t="s">
        <v>12</v>
      </c>
      <c r="H782" s="2">
        <v>45717</v>
      </c>
      <c r="I782" s="3">
        <v>45736</v>
      </c>
      <c r="J782" s="3">
        <f t="shared" si="12"/>
        <v>45738</v>
      </c>
      <c r="K782" s="4">
        <v>2665.6900020000003</v>
      </c>
      <c r="L782">
        <v>477336</v>
      </c>
    </row>
    <row r="783" spans="1:12" x14ac:dyDescent="0.35">
      <c r="A783" t="s">
        <v>8</v>
      </c>
      <c r="B783" t="s">
        <v>9</v>
      </c>
      <c r="C783" t="s">
        <v>40</v>
      </c>
      <c r="D783" t="str" cm="1">
        <f t="array" ref="D783">INDEX(_xlfn.TEXTSPLIT(C783,"_"),3)</f>
        <v>hydrasource</v>
      </c>
      <c r="E783" t="str">
        <f>VLOOKUP(D783,FranchiseMapping!$A$1:$B$15,2,FALSE)</f>
        <v>Hydrasource</v>
      </c>
      <c r="F783" s="1">
        <v>45292</v>
      </c>
      <c r="G783" t="s">
        <v>12</v>
      </c>
      <c r="H783" s="2">
        <v>45323</v>
      </c>
      <c r="I783" s="3">
        <v>45327</v>
      </c>
      <c r="J783" s="3">
        <f t="shared" si="12"/>
        <v>45332</v>
      </c>
      <c r="K783" s="4">
        <v>3198.4400049999999</v>
      </c>
      <c r="L783">
        <v>531385</v>
      </c>
    </row>
    <row r="784" spans="1:12" x14ac:dyDescent="0.35">
      <c r="A784" t="s">
        <v>8</v>
      </c>
      <c r="B784" t="s">
        <v>14</v>
      </c>
      <c r="C784" t="s">
        <v>37</v>
      </c>
      <c r="D784" t="str" cm="1">
        <f t="array" ref="D784">INDEX(_xlfn.TEXTSPLIT(C784,"_"),3)</f>
        <v>mult</v>
      </c>
      <c r="E784" t="str">
        <f>VLOOKUP(D784,FranchiseMapping!$A$1:$B$15,2,FALSE)</f>
        <v>Biolage</v>
      </c>
      <c r="F784" s="1">
        <v>45658</v>
      </c>
      <c r="G784" t="s">
        <v>12</v>
      </c>
      <c r="H784" s="2">
        <v>45748</v>
      </c>
      <c r="I784" s="3">
        <v>45764</v>
      </c>
      <c r="J784" s="3">
        <f t="shared" si="12"/>
        <v>45766</v>
      </c>
      <c r="K784" s="4">
        <v>0.16999999999999998</v>
      </c>
      <c r="L784">
        <v>39</v>
      </c>
    </row>
    <row r="785" spans="1:12" x14ac:dyDescent="0.35">
      <c r="A785" t="s">
        <v>8</v>
      </c>
      <c r="B785" t="s">
        <v>9</v>
      </c>
      <c r="C785" t="s">
        <v>46</v>
      </c>
      <c r="D785" t="str" cm="1">
        <f t="array" ref="D785">INDEX(_xlfn.TEXTSPLIT(C785,"_"),3)</f>
        <v>mult</v>
      </c>
      <c r="E785" t="str">
        <f>VLOOKUP(D785,FranchiseMapping!$A$1:$B$15,2,FALSE)</f>
        <v>Biolage</v>
      </c>
      <c r="F785" s="1">
        <v>45658</v>
      </c>
      <c r="G785" t="s">
        <v>10</v>
      </c>
      <c r="H785" s="2">
        <v>45809</v>
      </c>
      <c r="I785" s="3">
        <v>45816</v>
      </c>
      <c r="J785" s="3">
        <f t="shared" si="12"/>
        <v>45822</v>
      </c>
      <c r="K785" s="4">
        <v>1796.7700020000002</v>
      </c>
      <c r="L785">
        <v>215785</v>
      </c>
    </row>
    <row r="786" spans="1:12" x14ac:dyDescent="0.35">
      <c r="A786" t="s">
        <v>8</v>
      </c>
      <c r="B786" t="s">
        <v>13</v>
      </c>
      <c r="C786" t="s">
        <v>28</v>
      </c>
      <c r="D786" t="str" cm="1">
        <f t="array" ref="D786">INDEX(_xlfn.TEXTSPLIT(C786,"_"),3)</f>
        <v>na</v>
      </c>
      <c r="E786" t="str">
        <f>VLOOKUP(D786,FranchiseMapping!$A$1:$B$15,2,FALSE)</f>
        <v>Biolage</v>
      </c>
      <c r="F786" s="1">
        <v>44927</v>
      </c>
      <c r="G786" t="s">
        <v>12</v>
      </c>
      <c r="H786" s="2">
        <v>45108</v>
      </c>
      <c r="I786" s="3">
        <v>45128</v>
      </c>
      <c r="J786" s="3">
        <f t="shared" si="12"/>
        <v>45129</v>
      </c>
      <c r="K786" s="4">
        <v>127.83571500000001</v>
      </c>
      <c r="L786">
        <v>46810</v>
      </c>
    </row>
    <row r="787" spans="1:12" x14ac:dyDescent="0.35">
      <c r="A787" t="s">
        <v>8</v>
      </c>
      <c r="B787" t="s">
        <v>13</v>
      </c>
      <c r="C787" t="s">
        <v>42</v>
      </c>
      <c r="D787" t="str" cm="1">
        <f t="array" ref="D787">INDEX(_xlfn.TEXTSPLIT(C787,"_"),3)</f>
        <v>bfr</v>
      </c>
      <c r="E787" t="str">
        <f>VLOOKUP(D787,FranchiseMapping!$A$1:$B$15,2,FALSE)</f>
        <v>Full Rescue</v>
      </c>
      <c r="F787" s="1">
        <v>45658</v>
      </c>
      <c r="G787" t="s">
        <v>12</v>
      </c>
      <c r="H787" s="2">
        <v>45809</v>
      </c>
      <c r="I787" s="3">
        <v>45822</v>
      </c>
      <c r="J787" s="3">
        <f t="shared" si="12"/>
        <v>45822</v>
      </c>
      <c r="K787" s="4">
        <v>1333.3134250000001</v>
      </c>
      <c r="L787">
        <v>615740</v>
      </c>
    </row>
    <row r="788" spans="1:12" x14ac:dyDescent="0.35">
      <c r="A788" t="s">
        <v>8</v>
      </c>
      <c r="B788" t="s">
        <v>9</v>
      </c>
      <c r="C788" t="s">
        <v>53</v>
      </c>
      <c r="D788" t="str" cm="1">
        <f t="array" ref="D788">INDEX(_xlfn.TEXTSPLIT(C788,"_"),3)</f>
        <v>bond-therapy</v>
      </c>
      <c r="E788" t="str">
        <f>VLOOKUP(D788,FranchiseMapping!$A$1:$B$15,2,FALSE)</f>
        <v>Bond Therapy</v>
      </c>
      <c r="F788" s="1">
        <v>44927</v>
      </c>
      <c r="G788" t="s">
        <v>11</v>
      </c>
      <c r="H788" s="2">
        <v>45231</v>
      </c>
      <c r="I788" s="3">
        <v>45256</v>
      </c>
      <c r="J788" s="3">
        <f t="shared" si="12"/>
        <v>45262</v>
      </c>
      <c r="K788" s="4">
        <v>1334.9399999999998</v>
      </c>
      <c r="L788">
        <v>221478</v>
      </c>
    </row>
    <row r="789" spans="1:12" x14ac:dyDescent="0.35">
      <c r="A789" t="s">
        <v>8</v>
      </c>
      <c r="B789" t="s">
        <v>9</v>
      </c>
      <c r="C789" t="s">
        <v>31</v>
      </c>
      <c r="D789" t="str" cm="1">
        <f t="array" ref="D789">INDEX(_xlfn.TEXTSPLIT(C789,"_"),3)</f>
        <v>scalp</v>
      </c>
      <c r="E789" t="str">
        <f>VLOOKUP(D789,FranchiseMapping!$A$1:$B$15,2,FALSE)</f>
        <v>Scalp Sync</v>
      </c>
      <c r="F789" s="1">
        <v>45292</v>
      </c>
      <c r="G789" t="s">
        <v>10</v>
      </c>
      <c r="H789" s="2">
        <v>45352</v>
      </c>
      <c r="I789" s="3">
        <v>45371</v>
      </c>
      <c r="J789" s="3">
        <f t="shared" si="12"/>
        <v>45374</v>
      </c>
      <c r="K789" s="4">
        <v>1530.4800060000005</v>
      </c>
      <c r="L789">
        <v>221844</v>
      </c>
    </row>
    <row r="790" spans="1:12" x14ac:dyDescent="0.35">
      <c r="A790" t="s">
        <v>8</v>
      </c>
      <c r="B790" t="s">
        <v>9</v>
      </c>
      <c r="C790" t="s">
        <v>55</v>
      </c>
      <c r="D790" t="str" cm="1">
        <f t="array" ref="D790">INDEX(_xlfn.TEXTSPLIT(C790,"_"),3)</f>
        <v>hydrasource</v>
      </c>
      <c r="E790" t="str">
        <f>VLOOKUP(D790,FranchiseMapping!$A$1:$B$15,2,FALSE)</f>
        <v>Hydrasource</v>
      </c>
      <c r="F790" s="1">
        <v>45292</v>
      </c>
      <c r="G790" t="s">
        <v>12</v>
      </c>
      <c r="H790" s="2">
        <v>45566</v>
      </c>
      <c r="I790" s="3">
        <v>45586</v>
      </c>
      <c r="J790" s="3">
        <f t="shared" si="12"/>
        <v>45591</v>
      </c>
      <c r="K790" s="4">
        <v>3552.1600019999992</v>
      </c>
      <c r="L790">
        <v>815622</v>
      </c>
    </row>
    <row r="791" spans="1:12" x14ac:dyDescent="0.35">
      <c r="A791" t="s">
        <v>8</v>
      </c>
      <c r="B791" t="s">
        <v>14</v>
      </c>
      <c r="C791" t="s">
        <v>43</v>
      </c>
      <c r="D791" t="str" cm="1">
        <f t="array" ref="D791">INDEX(_xlfn.TEXTSPLIT(C791,"_"),3)</f>
        <v>bfr</v>
      </c>
      <c r="E791" t="str">
        <f>VLOOKUP(D791,FranchiseMapping!$A$1:$B$15,2,FALSE)</f>
        <v>Full Rescue</v>
      </c>
      <c r="F791" s="1">
        <v>45658</v>
      </c>
      <c r="G791" t="s">
        <v>12</v>
      </c>
      <c r="H791" s="2">
        <v>45809</v>
      </c>
      <c r="I791" s="3">
        <v>45833</v>
      </c>
      <c r="J791" s="3">
        <f t="shared" si="12"/>
        <v>45836</v>
      </c>
      <c r="K791" s="4">
        <v>333.39</v>
      </c>
      <c r="L791">
        <v>80656</v>
      </c>
    </row>
    <row r="792" spans="1:12" x14ac:dyDescent="0.35">
      <c r="A792" t="s">
        <v>8</v>
      </c>
      <c r="B792" t="s">
        <v>9</v>
      </c>
      <c r="C792" t="s">
        <v>35</v>
      </c>
      <c r="D792" t="str" cm="1">
        <f t="array" ref="D792">INDEX(_xlfn.TEXTSPLIT(C792,"_"),3)</f>
        <v>bfr</v>
      </c>
      <c r="E792" t="str">
        <f>VLOOKUP(D792,FranchiseMapping!$A$1:$B$15,2,FALSE)</f>
        <v>Full Rescue</v>
      </c>
      <c r="F792" s="1">
        <v>45658</v>
      </c>
      <c r="G792" t="s">
        <v>10</v>
      </c>
      <c r="H792" s="2">
        <v>45809</v>
      </c>
      <c r="I792" s="3">
        <v>45829</v>
      </c>
      <c r="J792" s="3">
        <f t="shared" si="12"/>
        <v>45829</v>
      </c>
      <c r="K792" s="4">
        <v>39.889999999999993</v>
      </c>
      <c r="L792">
        <v>5083</v>
      </c>
    </row>
    <row r="793" spans="1:12" x14ac:dyDescent="0.35">
      <c r="A793" t="s">
        <v>8</v>
      </c>
      <c r="B793" t="s">
        <v>14</v>
      </c>
      <c r="C793" t="s">
        <v>37</v>
      </c>
      <c r="D793" t="str" cm="1">
        <f t="array" ref="D793">INDEX(_xlfn.TEXTSPLIT(C793,"_"),3)</f>
        <v>mult</v>
      </c>
      <c r="E793" t="str">
        <f>VLOOKUP(D793,FranchiseMapping!$A$1:$B$15,2,FALSE)</f>
        <v>Biolage</v>
      </c>
      <c r="F793" s="1">
        <v>45658</v>
      </c>
      <c r="G793" t="s">
        <v>10</v>
      </c>
      <c r="H793" s="2">
        <v>45748</v>
      </c>
      <c r="I793" s="3">
        <v>45761</v>
      </c>
      <c r="J793" s="3">
        <f t="shared" si="12"/>
        <v>45766</v>
      </c>
      <c r="K793" s="4">
        <v>1396.69</v>
      </c>
      <c r="L793">
        <v>401348</v>
      </c>
    </row>
    <row r="794" spans="1:12" x14ac:dyDescent="0.35">
      <c r="A794" t="s">
        <v>8</v>
      </c>
      <c r="B794" t="s">
        <v>9</v>
      </c>
      <c r="C794" t="s">
        <v>67</v>
      </c>
      <c r="D794" t="str" cm="1">
        <f t="array" ref="D794">INDEX(_xlfn.TEXTSPLIT(C794,"_"),3)</f>
        <v>prime-day</v>
      </c>
      <c r="E794" t="str">
        <f>VLOOKUP(D794,FranchiseMapping!$A$1:$B$15,2,FALSE)</f>
        <v>Prime Day</v>
      </c>
      <c r="F794" s="1">
        <v>45292</v>
      </c>
      <c r="G794" t="s">
        <v>10</v>
      </c>
      <c r="H794" s="2">
        <v>45474</v>
      </c>
      <c r="I794" s="3">
        <v>45487</v>
      </c>
      <c r="J794" s="3">
        <f t="shared" si="12"/>
        <v>45493</v>
      </c>
      <c r="K794" s="4">
        <v>2670.6799960000003</v>
      </c>
      <c r="L794">
        <v>230644</v>
      </c>
    </row>
    <row r="795" spans="1:12" x14ac:dyDescent="0.35">
      <c r="A795" t="s">
        <v>8</v>
      </c>
      <c r="B795" t="s">
        <v>9</v>
      </c>
      <c r="C795" t="s">
        <v>38</v>
      </c>
      <c r="D795" t="str" cm="1">
        <f t="array" ref="D795">INDEX(_xlfn.TEXTSPLIT(C795,"_"),3)</f>
        <v>hys</v>
      </c>
      <c r="E795" t="str">
        <f>VLOOKUP(D795,FranchiseMapping!$A$1:$B$15,2,FALSE)</f>
        <v>Hydrasource</v>
      </c>
      <c r="F795" s="1">
        <v>45658</v>
      </c>
      <c r="G795" t="s">
        <v>12</v>
      </c>
      <c r="H795" s="2">
        <v>45748</v>
      </c>
      <c r="I795" s="3">
        <v>45756</v>
      </c>
      <c r="J795" s="3">
        <f t="shared" si="12"/>
        <v>45759</v>
      </c>
      <c r="K795" s="4">
        <v>1781.6800020000001</v>
      </c>
      <c r="L795">
        <v>232358</v>
      </c>
    </row>
    <row r="796" spans="1:12" x14ac:dyDescent="0.35">
      <c r="A796" t="s">
        <v>8</v>
      </c>
      <c r="B796" t="s">
        <v>13</v>
      </c>
      <c r="C796" t="s">
        <v>51</v>
      </c>
      <c r="D796" t="str" cm="1">
        <f t="array" ref="D796">INDEX(_xlfn.TEXTSPLIT(C796,"_"),3)</f>
        <v>na</v>
      </c>
      <c r="E796" t="str">
        <f>VLOOKUP(D796,FranchiseMapping!$A$1:$B$15,2,FALSE)</f>
        <v>Biolage</v>
      </c>
      <c r="F796" s="1">
        <v>44927</v>
      </c>
      <c r="G796" t="s">
        <v>11</v>
      </c>
      <c r="H796" s="2">
        <v>45108</v>
      </c>
      <c r="I796" s="3">
        <v>45136</v>
      </c>
      <c r="J796" s="3">
        <f t="shared" si="12"/>
        <v>45136</v>
      </c>
      <c r="K796" s="4">
        <v>735.71066199999996</v>
      </c>
      <c r="L796">
        <v>372005</v>
      </c>
    </row>
    <row r="797" spans="1:12" x14ac:dyDescent="0.35">
      <c r="A797" t="s">
        <v>8</v>
      </c>
      <c r="B797" t="s">
        <v>14</v>
      </c>
      <c r="C797" t="s">
        <v>37</v>
      </c>
      <c r="D797" t="str" cm="1">
        <f t="array" ref="D797">INDEX(_xlfn.TEXTSPLIT(C797,"_"),3)</f>
        <v>mult</v>
      </c>
      <c r="E797" t="str">
        <f>VLOOKUP(D797,FranchiseMapping!$A$1:$B$15,2,FALSE)</f>
        <v>Biolage</v>
      </c>
      <c r="F797" s="1">
        <v>45658</v>
      </c>
      <c r="G797" t="s">
        <v>10</v>
      </c>
      <c r="H797" s="2">
        <v>45748</v>
      </c>
      <c r="I797" s="3">
        <v>45758</v>
      </c>
      <c r="J797" s="3">
        <f t="shared" si="12"/>
        <v>45759</v>
      </c>
      <c r="K797" s="4">
        <v>1299.9000000000001</v>
      </c>
      <c r="L797">
        <v>353676</v>
      </c>
    </row>
    <row r="798" spans="1:12" x14ac:dyDescent="0.35">
      <c r="A798" t="s">
        <v>8</v>
      </c>
      <c r="B798" t="s">
        <v>13</v>
      </c>
      <c r="C798" t="s">
        <v>28</v>
      </c>
      <c r="D798" t="str" cm="1">
        <f t="array" ref="D798">INDEX(_xlfn.TEXTSPLIT(C798,"_"),3)</f>
        <v>na</v>
      </c>
      <c r="E798" t="str">
        <f>VLOOKUP(D798,FranchiseMapping!$A$1:$B$15,2,FALSE)</f>
        <v>Biolage</v>
      </c>
      <c r="F798" s="1">
        <v>44927</v>
      </c>
      <c r="G798" t="s">
        <v>12</v>
      </c>
      <c r="H798" s="2">
        <v>45108</v>
      </c>
      <c r="I798" s="3">
        <v>45134</v>
      </c>
      <c r="J798" s="3">
        <f t="shared" si="12"/>
        <v>45136</v>
      </c>
      <c r="K798" s="4">
        <v>196.86830700000002</v>
      </c>
      <c r="L798">
        <v>57469</v>
      </c>
    </row>
    <row r="799" spans="1:12" x14ac:dyDescent="0.35">
      <c r="A799" t="s">
        <v>8</v>
      </c>
      <c r="B799" t="s">
        <v>9</v>
      </c>
      <c r="C799" t="s">
        <v>46</v>
      </c>
      <c r="D799" t="str" cm="1">
        <f t="array" ref="D799">INDEX(_xlfn.TEXTSPLIT(C799,"_"),3)</f>
        <v>mult</v>
      </c>
      <c r="E799" t="str">
        <f>VLOOKUP(D799,FranchiseMapping!$A$1:$B$15,2,FALSE)</f>
        <v>Biolage</v>
      </c>
      <c r="F799" s="1">
        <v>45658</v>
      </c>
      <c r="G799" t="s">
        <v>10</v>
      </c>
      <c r="H799" s="2">
        <v>45778</v>
      </c>
      <c r="I799" s="3">
        <v>45807</v>
      </c>
      <c r="J799" s="3">
        <f t="shared" si="12"/>
        <v>45808</v>
      </c>
      <c r="K799" s="4">
        <v>926.77000300000009</v>
      </c>
      <c r="L799">
        <v>148725</v>
      </c>
    </row>
    <row r="800" spans="1:12" x14ac:dyDescent="0.35">
      <c r="A800" t="s">
        <v>8</v>
      </c>
      <c r="B800" t="s">
        <v>14</v>
      </c>
      <c r="C800" t="s">
        <v>47</v>
      </c>
      <c r="D800" t="str" cm="1">
        <f t="array" ref="D800">INDEX(_xlfn.TEXTSPLIT(C800,"_"),3)</f>
        <v>hys</v>
      </c>
      <c r="E800" t="str">
        <f>VLOOKUP(D800,FranchiseMapping!$A$1:$B$15,2,FALSE)</f>
        <v>Hydrasource</v>
      </c>
      <c r="F800" s="1">
        <v>45658</v>
      </c>
      <c r="G800" t="s">
        <v>12</v>
      </c>
      <c r="H800" s="2">
        <v>45748</v>
      </c>
      <c r="I800" s="3">
        <v>45760</v>
      </c>
      <c r="J800" s="3">
        <f t="shared" si="12"/>
        <v>45766</v>
      </c>
      <c r="K800" s="4">
        <v>2094.54</v>
      </c>
      <c r="L800">
        <v>549583</v>
      </c>
    </row>
    <row r="801" spans="1:12" x14ac:dyDescent="0.35">
      <c r="A801" t="s">
        <v>8</v>
      </c>
      <c r="B801" t="s">
        <v>14</v>
      </c>
      <c r="C801" t="s">
        <v>49</v>
      </c>
      <c r="D801" t="str" cm="1">
        <f t="array" ref="D801">INDEX(_xlfn.TEXTSPLIT(C801,"_"),3)</f>
        <v>hys</v>
      </c>
      <c r="E801" t="str">
        <f>VLOOKUP(D801,FranchiseMapping!$A$1:$B$15,2,FALSE)</f>
        <v>Hydrasource</v>
      </c>
      <c r="F801" s="1">
        <v>45658</v>
      </c>
      <c r="G801" t="s">
        <v>12</v>
      </c>
      <c r="H801" s="2">
        <v>45748</v>
      </c>
      <c r="I801" s="3">
        <v>45760</v>
      </c>
      <c r="J801" s="3">
        <f t="shared" si="12"/>
        <v>45766</v>
      </c>
      <c r="K801" s="4">
        <v>5388.59</v>
      </c>
      <c r="L801">
        <v>1238866</v>
      </c>
    </row>
    <row r="802" spans="1:12" x14ac:dyDescent="0.35">
      <c r="A802" t="s">
        <v>8</v>
      </c>
      <c r="B802" t="s">
        <v>9</v>
      </c>
      <c r="C802" t="s">
        <v>50</v>
      </c>
      <c r="D802" t="str" cm="1">
        <f t="array" ref="D802">INDEX(_xlfn.TEXTSPLIT(C802,"_"),3)</f>
        <v>bond-therapy</v>
      </c>
      <c r="E802" t="str">
        <f>VLOOKUP(D802,FranchiseMapping!$A$1:$B$15,2,FALSE)</f>
        <v>Bond Therapy</v>
      </c>
      <c r="F802" s="1">
        <v>44927</v>
      </c>
      <c r="G802" t="s">
        <v>12</v>
      </c>
      <c r="H802" s="2">
        <v>45231</v>
      </c>
      <c r="I802" s="3">
        <v>45260</v>
      </c>
      <c r="J802" s="3">
        <f t="shared" si="12"/>
        <v>45262</v>
      </c>
      <c r="K802" s="4">
        <v>3104.9700040000002</v>
      </c>
      <c r="L802">
        <v>273355</v>
      </c>
    </row>
    <row r="803" spans="1:12" x14ac:dyDescent="0.35">
      <c r="A803" t="s">
        <v>8</v>
      </c>
      <c r="B803" t="s">
        <v>9</v>
      </c>
      <c r="C803" t="s">
        <v>48</v>
      </c>
      <c r="D803" t="str" cm="1">
        <f t="array" ref="D803">INDEX(_xlfn.TEXTSPLIT(C803,"_"),3)</f>
        <v>scalp</v>
      </c>
      <c r="E803" t="str">
        <f>VLOOKUP(D803,FranchiseMapping!$A$1:$B$15,2,FALSE)</f>
        <v>Scalp Sync</v>
      </c>
      <c r="F803" s="1">
        <v>45292</v>
      </c>
      <c r="G803" t="s">
        <v>10</v>
      </c>
      <c r="H803" s="2">
        <v>45352</v>
      </c>
      <c r="I803" s="3">
        <v>45367</v>
      </c>
      <c r="J803" s="3">
        <f t="shared" si="12"/>
        <v>45367</v>
      </c>
      <c r="K803" s="4">
        <v>1010.8599969999998</v>
      </c>
      <c r="L803">
        <v>244617</v>
      </c>
    </row>
    <row r="804" spans="1:12" x14ac:dyDescent="0.35">
      <c r="A804" t="s">
        <v>8</v>
      </c>
      <c r="B804" t="s">
        <v>9</v>
      </c>
      <c r="C804" t="s">
        <v>74</v>
      </c>
      <c r="D804" t="str" cm="1">
        <f t="array" ref="D804">INDEX(_xlfn.TEXTSPLIT(C804,"_"),3)</f>
        <v>mult</v>
      </c>
      <c r="E804" t="str">
        <f>VLOOKUP(D804,FranchiseMapping!$A$1:$B$15,2,FALSE)</f>
        <v>Biolage</v>
      </c>
      <c r="F804" s="1">
        <v>45658</v>
      </c>
      <c r="G804" t="s">
        <v>12</v>
      </c>
      <c r="H804" s="2">
        <v>45658</v>
      </c>
      <c r="I804" s="3">
        <v>45681</v>
      </c>
      <c r="J804" s="3">
        <f t="shared" si="12"/>
        <v>45682</v>
      </c>
      <c r="K804" s="4">
        <v>3674.0099989999994</v>
      </c>
      <c r="L804">
        <v>439349</v>
      </c>
    </row>
    <row r="805" spans="1:12" x14ac:dyDescent="0.35">
      <c r="A805" t="s">
        <v>8</v>
      </c>
      <c r="B805" t="s">
        <v>9</v>
      </c>
      <c r="C805" t="s">
        <v>40</v>
      </c>
      <c r="D805" t="str" cm="1">
        <f t="array" ref="D805">INDEX(_xlfn.TEXTSPLIT(C805,"_"),3)</f>
        <v>hydrasource</v>
      </c>
      <c r="E805" t="str">
        <f>VLOOKUP(D805,FranchiseMapping!$A$1:$B$15,2,FALSE)</f>
        <v>Hydrasource</v>
      </c>
      <c r="F805" s="1">
        <v>45292</v>
      </c>
      <c r="G805" t="s">
        <v>12</v>
      </c>
      <c r="H805" s="2">
        <v>45292</v>
      </c>
      <c r="I805" s="3">
        <v>45322</v>
      </c>
      <c r="J805" s="3">
        <f t="shared" si="12"/>
        <v>45325</v>
      </c>
      <c r="K805" s="4">
        <v>3229.1699930000004</v>
      </c>
      <c r="L805">
        <v>491711</v>
      </c>
    </row>
    <row r="806" spans="1:12" x14ac:dyDescent="0.35">
      <c r="A806" t="s">
        <v>8</v>
      </c>
      <c r="B806" t="s">
        <v>9</v>
      </c>
      <c r="C806" t="s">
        <v>35</v>
      </c>
      <c r="D806" t="str" cm="1">
        <f t="array" ref="D806">INDEX(_xlfn.TEXTSPLIT(C806,"_"),3)</f>
        <v>bfr</v>
      </c>
      <c r="E806" t="str">
        <f>VLOOKUP(D806,FranchiseMapping!$A$1:$B$15,2,FALSE)</f>
        <v>Full Rescue</v>
      </c>
      <c r="F806" s="1">
        <v>45658</v>
      </c>
      <c r="G806" t="s">
        <v>12</v>
      </c>
      <c r="H806" s="2">
        <v>45809</v>
      </c>
      <c r="I806" s="3">
        <v>45824</v>
      </c>
      <c r="J806" s="3">
        <f t="shared" si="12"/>
        <v>45829</v>
      </c>
      <c r="K806" s="4">
        <v>1803.1599969999997</v>
      </c>
      <c r="L806">
        <v>153366</v>
      </c>
    </row>
    <row r="807" spans="1:12" x14ac:dyDescent="0.35">
      <c r="A807" t="s">
        <v>8</v>
      </c>
      <c r="B807" t="s">
        <v>13</v>
      </c>
      <c r="C807" t="s">
        <v>32</v>
      </c>
      <c r="D807" t="str" cm="1">
        <f t="array" ref="D807">INDEX(_xlfn.TEXTSPLIT(C807,"_"),3)</f>
        <v>na</v>
      </c>
      <c r="E807" t="str">
        <f>VLOOKUP(D807,FranchiseMapping!$A$1:$B$15,2,FALSE)</f>
        <v>Biolage</v>
      </c>
      <c r="F807" s="1">
        <v>44927</v>
      </c>
      <c r="G807" t="s">
        <v>11</v>
      </c>
      <c r="H807" s="2">
        <v>45139</v>
      </c>
      <c r="I807" s="3">
        <v>45162</v>
      </c>
      <c r="J807" s="3">
        <f t="shared" si="12"/>
        <v>45164</v>
      </c>
      <c r="K807" s="4">
        <v>1778.5509970000001</v>
      </c>
      <c r="L807">
        <v>537050</v>
      </c>
    </row>
    <row r="808" spans="1:12" x14ac:dyDescent="0.35">
      <c r="A808" t="s">
        <v>8</v>
      </c>
      <c r="B808" t="s">
        <v>9</v>
      </c>
      <c r="C808" t="s">
        <v>48</v>
      </c>
      <c r="D808" t="str" cm="1">
        <f t="array" ref="D808">INDEX(_xlfn.TEXTSPLIT(C808,"_"),3)</f>
        <v>scalp</v>
      </c>
      <c r="E808" t="str">
        <f>VLOOKUP(D808,FranchiseMapping!$A$1:$B$15,2,FALSE)</f>
        <v>Scalp Sync</v>
      </c>
      <c r="F808" s="1">
        <v>45292</v>
      </c>
      <c r="G808" t="s">
        <v>10</v>
      </c>
      <c r="H808" s="2">
        <v>45352</v>
      </c>
      <c r="I808" s="3">
        <v>45377</v>
      </c>
      <c r="J808" s="3">
        <f t="shared" si="12"/>
        <v>45381</v>
      </c>
      <c r="K808" s="4">
        <v>950.990002</v>
      </c>
      <c r="L808">
        <v>217698</v>
      </c>
    </row>
    <row r="809" spans="1:12" x14ac:dyDescent="0.35">
      <c r="A809" t="s">
        <v>8</v>
      </c>
      <c r="B809" t="s">
        <v>14</v>
      </c>
      <c r="C809" t="s">
        <v>57</v>
      </c>
      <c r="D809" t="str" cm="1">
        <f t="array" ref="D809">INDEX(_xlfn.TEXTSPLIT(C809,"_"),3)</f>
        <v>bfr</v>
      </c>
      <c r="E809" t="str">
        <f>VLOOKUP(D809,FranchiseMapping!$A$1:$B$15,2,FALSE)</f>
        <v>Full Rescue</v>
      </c>
      <c r="F809" s="1">
        <v>45658</v>
      </c>
      <c r="G809" t="s">
        <v>12</v>
      </c>
      <c r="H809" s="2">
        <v>45809</v>
      </c>
      <c r="I809" s="3">
        <v>45810</v>
      </c>
      <c r="J809" s="3">
        <f t="shared" si="12"/>
        <v>45815</v>
      </c>
      <c r="K809" s="4">
        <v>6950</v>
      </c>
      <c r="L809">
        <v>503611</v>
      </c>
    </row>
    <row r="810" spans="1:12" x14ac:dyDescent="0.35">
      <c r="A810" t="s">
        <v>8</v>
      </c>
      <c r="B810" t="s">
        <v>9</v>
      </c>
      <c r="C810" t="s">
        <v>40</v>
      </c>
      <c r="D810" t="str" cm="1">
        <f t="array" ref="D810">INDEX(_xlfn.TEXTSPLIT(C810,"_"),3)</f>
        <v>hydrasource</v>
      </c>
      <c r="E810" t="str">
        <f>VLOOKUP(D810,FranchiseMapping!$A$1:$B$15,2,FALSE)</f>
        <v>Hydrasource</v>
      </c>
      <c r="F810" s="1">
        <v>45292</v>
      </c>
      <c r="G810" t="s">
        <v>12</v>
      </c>
      <c r="H810" s="2">
        <v>45292</v>
      </c>
      <c r="I810" s="3">
        <v>45310</v>
      </c>
      <c r="J810" s="3">
        <f t="shared" si="12"/>
        <v>45311</v>
      </c>
      <c r="K810" s="4">
        <v>3085.1899880000001</v>
      </c>
      <c r="L810">
        <v>557504</v>
      </c>
    </row>
    <row r="811" spans="1:12" x14ac:dyDescent="0.35">
      <c r="A811" t="s">
        <v>8</v>
      </c>
      <c r="B811" t="s">
        <v>9</v>
      </c>
      <c r="C811" t="s">
        <v>34</v>
      </c>
      <c r="D811" t="str" cm="1">
        <f t="array" ref="D811">INDEX(_xlfn.TEXTSPLIT(C811,"_"),3)</f>
        <v>hydrasource</v>
      </c>
      <c r="E811" t="str">
        <f>VLOOKUP(D811,FranchiseMapping!$A$1:$B$15,2,FALSE)</f>
        <v>Hydrasource</v>
      </c>
      <c r="F811" s="1">
        <v>45292</v>
      </c>
      <c r="G811" t="s">
        <v>12</v>
      </c>
      <c r="H811" s="2">
        <v>45323</v>
      </c>
      <c r="I811" s="3">
        <v>45350</v>
      </c>
      <c r="J811" s="3">
        <f t="shared" si="12"/>
        <v>45353</v>
      </c>
      <c r="K811" s="4">
        <v>909.19000099999994</v>
      </c>
      <c r="L811">
        <v>176872</v>
      </c>
    </row>
    <row r="812" spans="1:12" x14ac:dyDescent="0.35">
      <c r="A812" t="s">
        <v>8</v>
      </c>
      <c r="B812" t="s">
        <v>14</v>
      </c>
      <c r="C812" t="s">
        <v>49</v>
      </c>
      <c r="D812" t="str" cm="1">
        <f t="array" ref="D812">INDEX(_xlfn.TEXTSPLIT(C812,"_"),3)</f>
        <v>hys</v>
      </c>
      <c r="E812" t="str">
        <f>VLOOKUP(D812,FranchiseMapping!$A$1:$B$15,2,FALSE)</f>
        <v>Hydrasource</v>
      </c>
      <c r="F812" s="1">
        <v>45658</v>
      </c>
      <c r="G812" t="s">
        <v>10</v>
      </c>
      <c r="H812" s="2">
        <v>45748</v>
      </c>
      <c r="I812" s="3">
        <v>45768</v>
      </c>
      <c r="J812" s="3">
        <f t="shared" si="12"/>
        <v>45773</v>
      </c>
      <c r="K812" s="4">
        <v>194.62</v>
      </c>
      <c r="L812">
        <v>52948</v>
      </c>
    </row>
    <row r="813" spans="1:12" x14ac:dyDescent="0.35">
      <c r="A813" t="s">
        <v>8</v>
      </c>
      <c r="B813" t="s">
        <v>14</v>
      </c>
      <c r="C813" t="s">
        <v>37</v>
      </c>
      <c r="D813" t="str" cm="1">
        <f t="array" ref="D813">INDEX(_xlfn.TEXTSPLIT(C813,"_"),3)</f>
        <v>mult</v>
      </c>
      <c r="E813" t="str">
        <f>VLOOKUP(D813,FranchiseMapping!$A$1:$B$15,2,FALSE)</f>
        <v>Biolage</v>
      </c>
      <c r="F813" s="1">
        <v>45658</v>
      </c>
      <c r="G813" t="s">
        <v>12</v>
      </c>
      <c r="H813" s="2">
        <v>45809</v>
      </c>
      <c r="I813" s="3">
        <v>45814</v>
      </c>
      <c r="J813" s="3">
        <f t="shared" si="12"/>
        <v>45815</v>
      </c>
      <c r="K813" s="4">
        <v>1598.0300000000002</v>
      </c>
      <c r="L813">
        <v>376817</v>
      </c>
    </row>
    <row r="814" spans="1:12" x14ac:dyDescent="0.35">
      <c r="A814" t="s">
        <v>8</v>
      </c>
      <c r="B814" t="s">
        <v>9</v>
      </c>
      <c r="C814" t="s">
        <v>45</v>
      </c>
      <c r="D814" t="str" cm="1">
        <f t="array" ref="D814">INDEX(_xlfn.TEXTSPLIT(C814,"_"),3)</f>
        <v>hydrasource</v>
      </c>
      <c r="E814" t="str">
        <f>VLOOKUP(D814,FranchiseMapping!$A$1:$B$15,2,FALSE)</f>
        <v>Hydrasource</v>
      </c>
      <c r="F814" s="1">
        <v>45292</v>
      </c>
      <c r="G814" t="s">
        <v>12</v>
      </c>
      <c r="H814" s="2">
        <v>45536</v>
      </c>
      <c r="I814" s="3">
        <v>45560</v>
      </c>
      <c r="J814" s="3">
        <f t="shared" si="12"/>
        <v>45563</v>
      </c>
      <c r="K814" s="4">
        <v>2478.610005</v>
      </c>
      <c r="L814">
        <v>262811</v>
      </c>
    </row>
    <row r="815" spans="1:12" x14ac:dyDescent="0.35">
      <c r="A815" t="s">
        <v>8</v>
      </c>
      <c r="B815" t="s">
        <v>9</v>
      </c>
      <c r="C815" t="s">
        <v>38</v>
      </c>
      <c r="D815" t="str" cm="1">
        <f t="array" ref="D815">INDEX(_xlfn.TEXTSPLIT(C815,"_"),3)</f>
        <v>hys</v>
      </c>
      <c r="E815" t="str">
        <f>VLOOKUP(D815,FranchiseMapping!$A$1:$B$15,2,FALSE)</f>
        <v>Hydrasource</v>
      </c>
      <c r="F815" s="1">
        <v>45658</v>
      </c>
      <c r="G815" t="s">
        <v>12</v>
      </c>
      <c r="H815" s="2">
        <v>45748</v>
      </c>
      <c r="I815" s="3">
        <v>45749</v>
      </c>
      <c r="J815" s="3">
        <f t="shared" si="12"/>
        <v>45752</v>
      </c>
      <c r="K815" s="4">
        <v>1746.5699999999997</v>
      </c>
      <c r="L815">
        <v>245494</v>
      </c>
    </row>
    <row r="816" spans="1:12" x14ac:dyDescent="0.35">
      <c r="A816" t="s">
        <v>8</v>
      </c>
      <c r="B816" t="s">
        <v>9</v>
      </c>
      <c r="C816" t="s">
        <v>69</v>
      </c>
      <c r="D816" t="str" cm="1">
        <f t="array" ref="D816">INDEX(_xlfn.TEXTSPLIT(C816,"_"),3)</f>
        <v>prime-day</v>
      </c>
      <c r="E816" t="str">
        <f>VLOOKUP(D816,FranchiseMapping!$A$1:$B$15,2,FALSE)</f>
        <v>Prime Day</v>
      </c>
      <c r="F816" s="1">
        <v>45292</v>
      </c>
      <c r="G816" t="s">
        <v>10</v>
      </c>
      <c r="H816" s="2">
        <v>45474</v>
      </c>
      <c r="I816" s="3">
        <v>45483</v>
      </c>
      <c r="J816" s="3">
        <f t="shared" si="12"/>
        <v>45486</v>
      </c>
      <c r="K816" s="4">
        <v>3278.0300050000014</v>
      </c>
      <c r="L816">
        <v>530770</v>
      </c>
    </row>
    <row r="817" spans="1:12" x14ac:dyDescent="0.35">
      <c r="A817" t="s">
        <v>8</v>
      </c>
      <c r="B817" t="s">
        <v>14</v>
      </c>
      <c r="C817" t="s">
        <v>29</v>
      </c>
      <c r="D817" t="str" cm="1">
        <f t="array" ref="D817">INDEX(_xlfn.TEXTSPLIT(C817,"_"),3)</f>
        <v>bfr</v>
      </c>
      <c r="E817" t="str">
        <f>VLOOKUP(D817,FranchiseMapping!$A$1:$B$15,2,FALSE)</f>
        <v>Full Rescue</v>
      </c>
      <c r="F817" s="1">
        <v>45658</v>
      </c>
      <c r="G817" t="s">
        <v>10</v>
      </c>
      <c r="H817" s="2">
        <v>45809</v>
      </c>
      <c r="I817" s="3">
        <v>45835</v>
      </c>
      <c r="J817" s="3">
        <f t="shared" si="12"/>
        <v>45836</v>
      </c>
      <c r="K817" s="4">
        <v>1389.4299999999998</v>
      </c>
      <c r="L817">
        <v>190722</v>
      </c>
    </row>
    <row r="818" spans="1:12" x14ac:dyDescent="0.35">
      <c r="A818" t="s">
        <v>8</v>
      </c>
      <c r="B818" t="s">
        <v>9</v>
      </c>
      <c r="C818" t="s">
        <v>36</v>
      </c>
      <c r="D818" t="str" cm="1">
        <f t="array" ref="D818">INDEX(_xlfn.TEXTSPLIT(C818,"_"),3)</f>
        <v>bfr</v>
      </c>
      <c r="E818" t="str">
        <f>VLOOKUP(D818,FranchiseMapping!$A$1:$B$15,2,FALSE)</f>
        <v>Full Rescue</v>
      </c>
      <c r="F818" s="1">
        <v>45658</v>
      </c>
      <c r="G818" t="s">
        <v>10</v>
      </c>
      <c r="H818" s="2">
        <v>45809</v>
      </c>
      <c r="I818" s="3">
        <v>45835</v>
      </c>
      <c r="J818" s="3">
        <f t="shared" si="12"/>
        <v>45836</v>
      </c>
      <c r="K818" s="4">
        <v>1116.510004</v>
      </c>
      <c r="L818">
        <v>177068</v>
      </c>
    </row>
    <row r="819" spans="1:12" x14ac:dyDescent="0.35">
      <c r="A819" t="s">
        <v>8</v>
      </c>
      <c r="B819" t="s">
        <v>13</v>
      </c>
      <c r="C819" t="s">
        <v>28</v>
      </c>
      <c r="D819" t="str" cm="1">
        <f t="array" ref="D819">INDEX(_xlfn.TEXTSPLIT(C819,"_"),3)</f>
        <v>na</v>
      </c>
      <c r="E819" t="str">
        <f>VLOOKUP(D819,FranchiseMapping!$A$1:$B$15,2,FALSE)</f>
        <v>Biolage</v>
      </c>
      <c r="F819" s="1">
        <v>44927</v>
      </c>
      <c r="G819" t="s">
        <v>12</v>
      </c>
      <c r="H819" s="2">
        <v>45108</v>
      </c>
      <c r="I819" s="3">
        <v>45122</v>
      </c>
      <c r="J819" s="3">
        <f t="shared" si="12"/>
        <v>45122</v>
      </c>
      <c r="K819" s="4">
        <v>550.05917199999999</v>
      </c>
      <c r="L819">
        <v>160606</v>
      </c>
    </row>
    <row r="820" spans="1:12" x14ac:dyDescent="0.35">
      <c r="A820" t="s">
        <v>8</v>
      </c>
      <c r="B820" t="s">
        <v>9</v>
      </c>
      <c r="C820" t="s">
        <v>54</v>
      </c>
      <c r="D820" t="str" cm="1">
        <f t="array" ref="D820">INDEX(_xlfn.TEXTSPLIT(C820,"_"),3)</f>
        <v>scalp</v>
      </c>
      <c r="E820" t="str">
        <f>VLOOKUP(D820,FranchiseMapping!$A$1:$B$15,2,FALSE)</f>
        <v>Scalp Sync</v>
      </c>
      <c r="F820" s="1">
        <v>45292</v>
      </c>
      <c r="G820" t="s">
        <v>10</v>
      </c>
      <c r="H820" s="2">
        <v>45352</v>
      </c>
      <c r="I820" s="3">
        <v>45361</v>
      </c>
      <c r="J820" s="3">
        <f t="shared" si="12"/>
        <v>45367</v>
      </c>
      <c r="K820" s="4">
        <v>2269.0299999999997</v>
      </c>
      <c r="L820">
        <v>551400</v>
      </c>
    </row>
    <row r="821" spans="1:12" x14ac:dyDescent="0.35">
      <c r="A821" t="s">
        <v>8</v>
      </c>
      <c r="B821" t="s">
        <v>9</v>
      </c>
      <c r="C821" t="s">
        <v>36</v>
      </c>
      <c r="D821" t="str" cm="1">
        <f t="array" ref="D821">INDEX(_xlfn.TEXTSPLIT(C821,"_"),3)</f>
        <v>bfr</v>
      </c>
      <c r="E821" t="str">
        <f>VLOOKUP(D821,FranchiseMapping!$A$1:$B$15,2,FALSE)</f>
        <v>Full Rescue</v>
      </c>
      <c r="F821" s="1">
        <v>45658</v>
      </c>
      <c r="G821" t="s">
        <v>12</v>
      </c>
      <c r="H821" s="2">
        <v>45809</v>
      </c>
      <c r="I821" s="3">
        <v>45833</v>
      </c>
      <c r="J821" s="3">
        <f t="shared" si="12"/>
        <v>45836</v>
      </c>
      <c r="K821" s="4">
        <v>1202.3000000000002</v>
      </c>
      <c r="L821">
        <v>183116</v>
      </c>
    </row>
    <row r="822" spans="1:12" x14ac:dyDescent="0.35">
      <c r="A822" t="s">
        <v>8</v>
      </c>
      <c r="B822" t="s">
        <v>9</v>
      </c>
      <c r="C822" t="s">
        <v>65</v>
      </c>
      <c r="D822" t="str" cm="1">
        <f t="array" ref="D822">INDEX(_xlfn.TEXTSPLIT(C822,"_"),3)</f>
        <v>prime-day</v>
      </c>
      <c r="E822" t="str">
        <f>VLOOKUP(D822,FranchiseMapping!$A$1:$B$15,2,FALSE)</f>
        <v>Prime Day</v>
      </c>
      <c r="F822" s="1">
        <v>45292</v>
      </c>
      <c r="G822" t="s">
        <v>10</v>
      </c>
      <c r="H822" s="2">
        <v>45474</v>
      </c>
      <c r="I822" s="3">
        <v>45487</v>
      </c>
      <c r="J822" s="3">
        <f t="shared" si="12"/>
        <v>45493</v>
      </c>
      <c r="K822" s="4">
        <v>2646.3300050000003</v>
      </c>
      <c r="L822">
        <v>236759</v>
      </c>
    </row>
    <row r="823" spans="1:12" x14ac:dyDescent="0.35">
      <c r="A823" t="s">
        <v>8</v>
      </c>
      <c r="B823" t="s">
        <v>14</v>
      </c>
      <c r="C823" t="s">
        <v>43</v>
      </c>
      <c r="D823" t="str" cm="1">
        <f t="array" ref="D823">INDEX(_xlfn.TEXTSPLIT(C823,"_"),3)</f>
        <v>bfr</v>
      </c>
      <c r="E823" t="str">
        <f>VLOOKUP(D823,FranchiseMapping!$A$1:$B$15,2,FALSE)</f>
        <v>Full Rescue</v>
      </c>
      <c r="F823" s="1">
        <v>45658</v>
      </c>
      <c r="G823" t="s">
        <v>10</v>
      </c>
      <c r="H823" s="2">
        <v>45809</v>
      </c>
      <c r="I823" s="3">
        <v>45834</v>
      </c>
      <c r="J823" s="3">
        <f t="shared" si="12"/>
        <v>45836</v>
      </c>
      <c r="K823" s="4">
        <v>5498.0999999999985</v>
      </c>
      <c r="L823">
        <v>886471</v>
      </c>
    </row>
    <row r="824" spans="1:12" x14ac:dyDescent="0.35">
      <c r="A824" t="s">
        <v>8</v>
      </c>
      <c r="B824" t="s">
        <v>13</v>
      </c>
      <c r="C824" t="s">
        <v>59</v>
      </c>
      <c r="D824" t="str" cm="1">
        <f t="array" ref="D824">INDEX(_xlfn.TEXTSPLIT(C824,"_"),3)</f>
        <v>scalp-sync</v>
      </c>
      <c r="E824" t="str">
        <f>VLOOKUP(D824,FranchiseMapping!$A$1:$B$15,2,FALSE)</f>
        <v>Scalp Sync</v>
      </c>
      <c r="F824" s="1">
        <v>45292</v>
      </c>
      <c r="G824" t="s">
        <v>11</v>
      </c>
      <c r="H824" s="2">
        <v>45383</v>
      </c>
      <c r="I824" s="3">
        <v>45401</v>
      </c>
      <c r="J824" s="3">
        <f t="shared" si="12"/>
        <v>45402</v>
      </c>
      <c r="K824" s="4">
        <v>3362.0229929999996</v>
      </c>
      <c r="L824">
        <v>1538703</v>
      </c>
    </row>
    <row r="825" spans="1:12" x14ac:dyDescent="0.35">
      <c r="A825" t="s">
        <v>8</v>
      </c>
      <c r="B825" t="s">
        <v>9</v>
      </c>
      <c r="C825" t="s">
        <v>64</v>
      </c>
      <c r="D825" t="str" cm="1">
        <f t="array" ref="D825">INDEX(_xlfn.TEXTSPLIT(C825,"_"),3)</f>
        <v>mult</v>
      </c>
      <c r="E825" t="str">
        <f>VLOOKUP(D825,FranchiseMapping!$A$1:$B$15,2,FALSE)</f>
        <v>Biolage</v>
      </c>
      <c r="F825" s="1">
        <v>45292</v>
      </c>
      <c r="G825" t="s">
        <v>12</v>
      </c>
      <c r="H825" s="2">
        <v>45627</v>
      </c>
      <c r="I825" s="3">
        <v>45628</v>
      </c>
      <c r="J825" s="3">
        <f t="shared" si="12"/>
        <v>45633</v>
      </c>
      <c r="K825" s="4">
        <v>5665.500003000001</v>
      </c>
      <c r="L825">
        <v>323656</v>
      </c>
    </row>
    <row r="826" spans="1:12" x14ac:dyDescent="0.35">
      <c r="A826" t="s">
        <v>8</v>
      </c>
      <c r="B826" t="s">
        <v>9</v>
      </c>
      <c r="C826" t="s">
        <v>72</v>
      </c>
      <c r="D826" t="str" cm="1">
        <f t="array" ref="D826">INDEX(_xlfn.TEXTSPLIT(C826,"_"),3)</f>
        <v>mult</v>
      </c>
      <c r="E826" t="str">
        <f>VLOOKUP(D826,FranchiseMapping!$A$1:$B$15,2,FALSE)</f>
        <v>Biolage</v>
      </c>
      <c r="F826" s="1">
        <v>45658</v>
      </c>
      <c r="G826" t="s">
        <v>12</v>
      </c>
      <c r="H826" s="2">
        <v>45689</v>
      </c>
      <c r="I826" s="3">
        <v>45709</v>
      </c>
      <c r="J826" s="3">
        <f t="shared" si="12"/>
        <v>45710</v>
      </c>
      <c r="K826" s="4">
        <v>7168.1500010000018</v>
      </c>
      <c r="L826">
        <v>965490</v>
      </c>
    </row>
    <row r="827" spans="1:12" x14ac:dyDescent="0.35">
      <c r="A827" t="s">
        <v>8</v>
      </c>
      <c r="B827" t="s">
        <v>14</v>
      </c>
      <c r="C827" t="s">
        <v>43</v>
      </c>
      <c r="D827" t="str" cm="1">
        <f t="array" ref="D827">INDEX(_xlfn.TEXTSPLIT(C827,"_"),3)</f>
        <v>bfr</v>
      </c>
      <c r="E827" t="str">
        <f>VLOOKUP(D827,FranchiseMapping!$A$1:$B$15,2,FALSE)</f>
        <v>Full Rescue</v>
      </c>
      <c r="F827" s="1">
        <v>45658</v>
      </c>
      <c r="G827" t="s">
        <v>10</v>
      </c>
      <c r="H827" s="2">
        <v>45809</v>
      </c>
      <c r="I827" s="3">
        <v>45821</v>
      </c>
      <c r="J827" s="3">
        <f t="shared" si="12"/>
        <v>45822</v>
      </c>
      <c r="K827" s="4">
        <v>759.11</v>
      </c>
      <c r="L827">
        <v>152633</v>
      </c>
    </row>
    <row r="828" spans="1:12" x14ac:dyDescent="0.35">
      <c r="A828" t="s">
        <v>8</v>
      </c>
      <c r="B828" t="s">
        <v>14</v>
      </c>
      <c r="C828" t="s">
        <v>37</v>
      </c>
      <c r="D828" t="str" cm="1">
        <f t="array" ref="D828">INDEX(_xlfn.TEXTSPLIT(C828,"_"),3)</f>
        <v>mult</v>
      </c>
      <c r="E828" t="str">
        <f>VLOOKUP(D828,FranchiseMapping!$A$1:$B$15,2,FALSE)</f>
        <v>Biolage</v>
      </c>
      <c r="F828" s="1">
        <v>45658</v>
      </c>
      <c r="G828" t="s">
        <v>10</v>
      </c>
      <c r="H828" s="2">
        <v>45748</v>
      </c>
      <c r="I828" s="3">
        <v>45762</v>
      </c>
      <c r="J828" s="3">
        <f t="shared" si="12"/>
        <v>45766</v>
      </c>
      <c r="K828" s="4">
        <v>1266.6699999999998</v>
      </c>
      <c r="L828">
        <v>326121</v>
      </c>
    </row>
    <row r="829" spans="1:12" x14ac:dyDescent="0.35">
      <c r="A829" t="s">
        <v>8</v>
      </c>
      <c r="B829" t="s">
        <v>9</v>
      </c>
      <c r="C829" t="s">
        <v>53</v>
      </c>
      <c r="D829" t="str" cm="1">
        <f t="array" ref="D829">INDEX(_xlfn.TEXTSPLIT(C829,"_"),3)</f>
        <v>bond-therapy</v>
      </c>
      <c r="E829" t="str">
        <f>VLOOKUP(D829,FranchiseMapping!$A$1:$B$15,2,FALSE)</f>
        <v>Bond Therapy</v>
      </c>
      <c r="F829" s="1">
        <v>44927</v>
      </c>
      <c r="G829" t="s">
        <v>11</v>
      </c>
      <c r="H829" s="2">
        <v>45231</v>
      </c>
      <c r="I829" s="3">
        <v>45257</v>
      </c>
      <c r="J829" s="3">
        <f t="shared" si="12"/>
        <v>45262</v>
      </c>
      <c r="K829" s="4">
        <v>1270.22</v>
      </c>
      <c r="L829">
        <v>197051</v>
      </c>
    </row>
    <row r="830" spans="1:12" x14ac:dyDescent="0.35">
      <c r="A830" t="s">
        <v>8</v>
      </c>
      <c r="B830" t="s">
        <v>9</v>
      </c>
      <c r="C830" t="s">
        <v>38</v>
      </c>
      <c r="D830" t="str" cm="1">
        <f t="array" ref="D830">INDEX(_xlfn.TEXTSPLIT(C830,"_"),3)</f>
        <v>hys</v>
      </c>
      <c r="E830" t="str">
        <f>VLOOKUP(D830,FranchiseMapping!$A$1:$B$15,2,FALSE)</f>
        <v>Hydrasource</v>
      </c>
      <c r="F830" s="1">
        <v>45658</v>
      </c>
      <c r="G830" t="s">
        <v>12</v>
      </c>
      <c r="H830" s="2">
        <v>45748</v>
      </c>
      <c r="I830" s="3">
        <v>45759</v>
      </c>
      <c r="J830" s="3">
        <f t="shared" si="12"/>
        <v>45759</v>
      </c>
      <c r="K830" s="4">
        <v>2293.0699999999997</v>
      </c>
      <c r="L830">
        <v>274426</v>
      </c>
    </row>
    <row r="831" spans="1:12" x14ac:dyDescent="0.35">
      <c r="A831" t="s">
        <v>8</v>
      </c>
      <c r="B831" t="s">
        <v>9</v>
      </c>
      <c r="C831" t="s">
        <v>36</v>
      </c>
      <c r="D831" t="str" cm="1">
        <f t="array" ref="D831">INDEX(_xlfn.TEXTSPLIT(C831,"_"),3)</f>
        <v>bfr</v>
      </c>
      <c r="E831" t="str">
        <f>VLOOKUP(D831,FranchiseMapping!$A$1:$B$15,2,FALSE)</f>
        <v>Full Rescue</v>
      </c>
      <c r="F831" s="1">
        <v>45658</v>
      </c>
      <c r="G831" t="s">
        <v>12</v>
      </c>
      <c r="H831" s="2">
        <v>45809</v>
      </c>
      <c r="I831" s="3">
        <v>45823</v>
      </c>
      <c r="J831" s="3">
        <f t="shared" si="12"/>
        <v>45829</v>
      </c>
      <c r="K831" s="4">
        <v>1628.4799999999996</v>
      </c>
      <c r="L831">
        <v>264272</v>
      </c>
    </row>
    <row r="832" spans="1:12" x14ac:dyDescent="0.35">
      <c r="A832" t="s">
        <v>8</v>
      </c>
      <c r="B832" t="s">
        <v>9</v>
      </c>
      <c r="C832" t="s">
        <v>46</v>
      </c>
      <c r="D832" t="str" cm="1">
        <f t="array" ref="D832">INDEX(_xlfn.TEXTSPLIT(C832,"_"),3)</f>
        <v>mult</v>
      </c>
      <c r="E832" t="str">
        <f>VLOOKUP(D832,FranchiseMapping!$A$1:$B$15,2,FALSE)</f>
        <v>Biolage</v>
      </c>
      <c r="F832" s="1">
        <v>45658</v>
      </c>
      <c r="G832" t="s">
        <v>10</v>
      </c>
      <c r="H832" s="2">
        <v>45748</v>
      </c>
      <c r="I832" s="3">
        <v>45765</v>
      </c>
      <c r="J832" s="3">
        <f t="shared" si="12"/>
        <v>45766</v>
      </c>
      <c r="K832" s="4">
        <v>661.22000000000014</v>
      </c>
      <c r="L832">
        <v>140381</v>
      </c>
    </row>
    <row r="833" spans="1:12" x14ac:dyDescent="0.35">
      <c r="A833" t="s">
        <v>8</v>
      </c>
      <c r="B833" t="s">
        <v>9</v>
      </c>
      <c r="C833" t="s">
        <v>60</v>
      </c>
      <c r="D833" t="str" cm="1">
        <f t="array" ref="D833">INDEX(_xlfn.TEXTSPLIT(C833,"_"),3)</f>
        <v>blowdrycream</v>
      </c>
      <c r="E833" t="str">
        <f>VLOOKUP(D833,FranchiseMapping!$A$1:$B$15,2,FALSE)</f>
        <v>Blowdry Cream</v>
      </c>
      <c r="F833" s="1">
        <v>44927</v>
      </c>
      <c r="G833" t="s">
        <v>11</v>
      </c>
      <c r="H833" s="2">
        <v>45170</v>
      </c>
      <c r="I833" s="3">
        <v>45192</v>
      </c>
      <c r="J833" s="3">
        <f t="shared" si="12"/>
        <v>45192</v>
      </c>
      <c r="K833" s="4">
        <v>2056.6400010000002</v>
      </c>
      <c r="L833">
        <v>113210</v>
      </c>
    </row>
    <row r="834" spans="1:12" x14ac:dyDescent="0.35">
      <c r="A834" t="s">
        <v>8</v>
      </c>
      <c r="B834" t="s">
        <v>9</v>
      </c>
      <c r="C834" t="s">
        <v>46</v>
      </c>
      <c r="D834" t="str" cm="1">
        <f t="array" ref="D834">INDEX(_xlfn.TEXTSPLIT(C834,"_"),3)</f>
        <v>mult</v>
      </c>
      <c r="E834" t="str">
        <f>VLOOKUP(D834,FranchiseMapping!$A$1:$B$15,2,FALSE)</f>
        <v>Biolage</v>
      </c>
      <c r="F834" s="1">
        <v>45658</v>
      </c>
      <c r="G834" t="s">
        <v>10</v>
      </c>
      <c r="H834" s="2">
        <v>45748</v>
      </c>
      <c r="I834" s="3">
        <v>45764</v>
      </c>
      <c r="J834" s="3">
        <f t="shared" si="12"/>
        <v>45766</v>
      </c>
      <c r="K834" s="4">
        <v>740.02</v>
      </c>
      <c r="L834">
        <v>156573</v>
      </c>
    </row>
    <row r="835" spans="1:12" x14ac:dyDescent="0.35">
      <c r="A835" t="s">
        <v>8</v>
      </c>
      <c r="B835" t="s">
        <v>13</v>
      </c>
      <c r="C835" t="s">
        <v>59</v>
      </c>
      <c r="D835" t="str" cm="1">
        <f t="array" ref="D835">INDEX(_xlfn.TEXTSPLIT(C835,"_"),3)</f>
        <v>scalp-sync</v>
      </c>
      <c r="E835" t="str">
        <f>VLOOKUP(D835,FranchiseMapping!$A$1:$B$15,2,FALSE)</f>
        <v>Scalp Sync</v>
      </c>
      <c r="F835" s="1">
        <v>45292</v>
      </c>
      <c r="G835" t="s">
        <v>11</v>
      </c>
      <c r="H835" s="2">
        <v>45413</v>
      </c>
      <c r="I835" s="3">
        <v>45433</v>
      </c>
      <c r="J835" s="3">
        <f t="shared" ref="J835:J898" si="13">I835 + (7 - WEEKDAY(I835, 1))</f>
        <v>45437</v>
      </c>
      <c r="K835" s="4">
        <v>3362.0748070000004</v>
      </c>
      <c r="L835">
        <v>1373195</v>
      </c>
    </row>
    <row r="836" spans="1:12" x14ac:dyDescent="0.35">
      <c r="A836" t="s">
        <v>8</v>
      </c>
      <c r="B836" t="s">
        <v>9</v>
      </c>
      <c r="C836" t="s">
        <v>61</v>
      </c>
      <c r="D836" t="str" cm="1">
        <f t="array" ref="D836">INDEX(_xlfn.TEXTSPLIT(C836,"_"),3)</f>
        <v>prime-day</v>
      </c>
      <c r="E836" t="str">
        <f>VLOOKUP(D836,FranchiseMapping!$A$1:$B$15,2,FALSE)</f>
        <v>Prime Day</v>
      </c>
      <c r="F836" s="1">
        <v>45292</v>
      </c>
      <c r="G836" t="s">
        <v>10</v>
      </c>
      <c r="H836" s="2">
        <v>45474</v>
      </c>
      <c r="I836" s="3">
        <v>45483</v>
      </c>
      <c r="J836" s="3">
        <f t="shared" si="13"/>
        <v>45486</v>
      </c>
      <c r="K836" s="4">
        <v>3324.6500160000001</v>
      </c>
      <c r="L836">
        <v>548667</v>
      </c>
    </row>
    <row r="837" spans="1:12" x14ac:dyDescent="0.35">
      <c r="A837" t="s">
        <v>8</v>
      </c>
      <c r="B837" t="s">
        <v>9</v>
      </c>
      <c r="C837" t="s">
        <v>38</v>
      </c>
      <c r="D837" t="str" cm="1">
        <f t="array" ref="D837">INDEX(_xlfn.TEXTSPLIT(C837,"_"),3)</f>
        <v>hys</v>
      </c>
      <c r="E837" t="str">
        <f>VLOOKUP(D837,FranchiseMapping!$A$1:$B$15,2,FALSE)</f>
        <v>Hydrasource</v>
      </c>
      <c r="F837" s="1">
        <v>45658</v>
      </c>
      <c r="G837" t="s">
        <v>10</v>
      </c>
      <c r="H837" s="2">
        <v>45748</v>
      </c>
      <c r="I837" s="3">
        <v>45763</v>
      </c>
      <c r="J837" s="3">
        <f t="shared" si="13"/>
        <v>45766</v>
      </c>
      <c r="K837" s="4">
        <v>293.95999999999998</v>
      </c>
      <c r="L837">
        <v>14189</v>
      </c>
    </row>
    <row r="838" spans="1:12" x14ac:dyDescent="0.35">
      <c r="A838" t="s">
        <v>8</v>
      </c>
      <c r="B838" t="s">
        <v>9</v>
      </c>
      <c r="C838" t="s">
        <v>30</v>
      </c>
      <c r="D838" t="str" cm="1">
        <f t="array" ref="D838">INDEX(_xlfn.TEXTSPLIT(C838,"_"),3)</f>
        <v>q3-haca-colorlast</v>
      </c>
      <c r="E838" t="str">
        <f>VLOOKUP(D838,FranchiseMapping!$A$1:$B$15,2,FALSE)</f>
        <v>Color Last</v>
      </c>
      <c r="F838" s="1">
        <v>44927</v>
      </c>
      <c r="G838" t="s">
        <v>10</v>
      </c>
      <c r="H838" s="2">
        <v>45108</v>
      </c>
      <c r="I838" s="3">
        <v>45138</v>
      </c>
      <c r="J838" s="3">
        <f t="shared" si="13"/>
        <v>45143</v>
      </c>
      <c r="K838" s="4">
        <v>2641.7999999999997</v>
      </c>
      <c r="L838">
        <v>427655</v>
      </c>
    </row>
    <row r="839" spans="1:12" x14ac:dyDescent="0.35">
      <c r="A839" t="s">
        <v>8</v>
      </c>
      <c r="B839" t="s">
        <v>14</v>
      </c>
      <c r="C839" t="s">
        <v>29</v>
      </c>
      <c r="D839" t="str" cm="1">
        <f t="array" ref="D839">INDEX(_xlfn.TEXTSPLIT(C839,"_"),3)</f>
        <v>bfr</v>
      </c>
      <c r="E839" t="str">
        <f>VLOOKUP(D839,FranchiseMapping!$A$1:$B$15,2,FALSE)</f>
        <v>Full Rescue</v>
      </c>
      <c r="F839" s="1">
        <v>45658</v>
      </c>
      <c r="G839" t="s">
        <v>12</v>
      </c>
      <c r="H839" s="2">
        <v>45809</v>
      </c>
      <c r="I839" s="3">
        <v>45818</v>
      </c>
      <c r="J839" s="3">
        <f t="shared" si="13"/>
        <v>45822</v>
      </c>
      <c r="K839" s="4">
        <v>18.43</v>
      </c>
      <c r="L839">
        <v>3303</v>
      </c>
    </row>
    <row r="840" spans="1:12" x14ac:dyDescent="0.35">
      <c r="A840" t="s">
        <v>8</v>
      </c>
      <c r="B840" t="s">
        <v>9</v>
      </c>
      <c r="C840" t="s">
        <v>35</v>
      </c>
      <c r="D840" t="str" cm="1">
        <f t="array" ref="D840">INDEX(_xlfn.TEXTSPLIT(C840,"_"),3)</f>
        <v>bfr</v>
      </c>
      <c r="E840" t="str">
        <f>VLOOKUP(D840,FranchiseMapping!$A$1:$B$15,2,FALSE)</f>
        <v>Full Rescue</v>
      </c>
      <c r="F840" s="1">
        <v>45658</v>
      </c>
      <c r="G840" t="s">
        <v>10</v>
      </c>
      <c r="H840" s="2">
        <v>45809</v>
      </c>
      <c r="I840" s="3">
        <v>45835</v>
      </c>
      <c r="J840" s="3">
        <f t="shared" si="13"/>
        <v>45836</v>
      </c>
      <c r="K840" s="4">
        <v>336.110005</v>
      </c>
      <c r="L840">
        <v>32761</v>
      </c>
    </row>
    <row r="841" spans="1:12" x14ac:dyDescent="0.35">
      <c r="A841" t="s">
        <v>8</v>
      </c>
      <c r="B841" t="s">
        <v>9</v>
      </c>
      <c r="C841" t="s">
        <v>34</v>
      </c>
      <c r="D841" t="str" cm="1">
        <f t="array" ref="D841">INDEX(_xlfn.TEXTSPLIT(C841,"_"),3)</f>
        <v>hydrasource</v>
      </c>
      <c r="E841" t="str">
        <f>VLOOKUP(D841,FranchiseMapping!$A$1:$B$15,2,FALSE)</f>
        <v>Hydrasource</v>
      </c>
      <c r="F841" s="1">
        <v>45292</v>
      </c>
      <c r="G841" t="s">
        <v>12</v>
      </c>
      <c r="H841" s="2">
        <v>45292</v>
      </c>
      <c r="I841" s="3">
        <v>45308</v>
      </c>
      <c r="J841" s="3">
        <f t="shared" si="13"/>
        <v>45311</v>
      </c>
      <c r="K841" s="4">
        <v>650.20000000000005</v>
      </c>
      <c r="L841">
        <v>170316</v>
      </c>
    </row>
    <row r="842" spans="1:12" x14ac:dyDescent="0.35">
      <c r="A842" t="s">
        <v>8</v>
      </c>
      <c r="B842" t="s">
        <v>14</v>
      </c>
      <c r="C842" t="s">
        <v>37</v>
      </c>
      <c r="D842" t="str" cm="1">
        <f t="array" ref="D842">INDEX(_xlfn.TEXTSPLIT(C842,"_"),3)</f>
        <v>mult</v>
      </c>
      <c r="E842" t="str">
        <f>VLOOKUP(D842,FranchiseMapping!$A$1:$B$15,2,FALSE)</f>
        <v>Biolage</v>
      </c>
      <c r="F842" s="1">
        <v>45658</v>
      </c>
      <c r="G842" t="s">
        <v>12</v>
      </c>
      <c r="H842" s="2">
        <v>45748</v>
      </c>
      <c r="I842" s="3">
        <v>45761</v>
      </c>
      <c r="J842" s="3">
        <f t="shared" si="13"/>
        <v>45766</v>
      </c>
      <c r="K842" s="4">
        <v>0.62</v>
      </c>
      <c r="L842">
        <v>153</v>
      </c>
    </row>
    <row r="843" spans="1:12" x14ac:dyDescent="0.35">
      <c r="A843" t="s">
        <v>8</v>
      </c>
      <c r="B843" t="s">
        <v>9</v>
      </c>
      <c r="C843" t="s">
        <v>46</v>
      </c>
      <c r="D843" t="str" cm="1">
        <f t="array" ref="D843">INDEX(_xlfn.TEXTSPLIT(C843,"_"),3)</f>
        <v>mult</v>
      </c>
      <c r="E843" t="str">
        <f>VLOOKUP(D843,FranchiseMapping!$A$1:$B$15,2,FALSE)</f>
        <v>Biolage</v>
      </c>
      <c r="F843" s="1">
        <v>45658</v>
      </c>
      <c r="G843" t="s">
        <v>12</v>
      </c>
      <c r="H843" s="2">
        <v>45717</v>
      </c>
      <c r="I843" s="3">
        <v>45734</v>
      </c>
      <c r="J843" s="3">
        <f t="shared" si="13"/>
        <v>45738</v>
      </c>
      <c r="K843" s="4">
        <v>2638.25</v>
      </c>
      <c r="L843">
        <v>494525</v>
      </c>
    </row>
    <row r="844" spans="1:12" x14ac:dyDescent="0.35">
      <c r="A844" t="s">
        <v>8</v>
      </c>
      <c r="B844" t="s">
        <v>14</v>
      </c>
      <c r="C844" t="s">
        <v>29</v>
      </c>
      <c r="D844" t="str" cm="1">
        <f t="array" ref="D844">INDEX(_xlfn.TEXTSPLIT(C844,"_"),3)</f>
        <v>bfr</v>
      </c>
      <c r="E844" t="str">
        <f>VLOOKUP(D844,FranchiseMapping!$A$1:$B$15,2,FALSE)</f>
        <v>Full Rescue</v>
      </c>
      <c r="F844" s="1">
        <v>45658</v>
      </c>
      <c r="G844" t="s">
        <v>12</v>
      </c>
      <c r="H844" s="2">
        <v>45809</v>
      </c>
      <c r="I844" s="3">
        <v>45813</v>
      </c>
      <c r="J844" s="3">
        <f t="shared" si="13"/>
        <v>45815</v>
      </c>
      <c r="K844" s="4">
        <v>1.6600000000000001</v>
      </c>
      <c r="L844">
        <v>261</v>
      </c>
    </row>
    <row r="845" spans="1:12" x14ac:dyDescent="0.35">
      <c r="A845" t="s">
        <v>8</v>
      </c>
      <c r="B845" t="s">
        <v>9</v>
      </c>
      <c r="C845" t="s">
        <v>53</v>
      </c>
      <c r="D845" t="str" cm="1">
        <f t="array" ref="D845">INDEX(_xlfn.TEXTSPLIT(C845,"_"),3)</f>
        <v>bond-therapy</v>
      </c>
      <c r="E845" t="str">
        <f>VLOOKUP(D845,FranchiseMapping!$A$1:$B$15,2,FALSE)</f>
        <v>Bond Therapy</v>
      </c>
      <c r="F845" s="1">
        <v>44927</v>
      </c>
      <c r="G845" t="s">
        <v>11</v>
      </c>
      <c r="H845" s="2">
        <v>45231</v>
      </c>
      <c r="I845" s="3">
        <v>45250</v>
      </c>
      <c r="J845" s="3">
        <f t="shared" si="13"/>
        <v>45255</v>
      </c>
      <c r="K845" s="4">
        <v>1289.3500000000001</v>
      </c>
      <c r="L845">
        <v>228111</v>
      </c>
    </row>
    <row r="846" spans="1:12" x14ac:dyDescent="0.35">
      <c r="A846" t="s">
        <v>8</v>
      </c>
      <c r="B846" t="s">
        <v>9</v>
      </c>
      <c r="C846" t="s">
        <v>36</v>
      </c>
      <c r="D846" t="str" cm="1">
        <f t="array" ref="D846">INDEX(_xlfn.TEXTSPLIT(C846,"_"),3)</f>
        <v>bfr</v>
      </c>
      <c r="E846" t="str">
        <f>VLOOKUP(D846,FranchiseMapping!$A$1:$B$15,2,FALSE)</f>
        <v>Full Rescue</v>
      </c>
      <c r="F846" s="1">
        <v>45658</v>
      </c>
      <c r="G846" t="s">
        <v>10</v>
      </c>
      <c r="H846" s="2">
        <v>45809</v>
      </c>
      <c r="I846" s="3">
        <v>45838</v>
      </c>
      <c r="J846" s="3">
        <f t="shared" si="13"/>
        <v>45843</v>
      </c>
      <c r="K846" s="4">
        <v>853.86079299999994</v>
      </c>
      <c r="L846">
        <v>121249</v>
      </c>
    </row>
    <row r="847" spans="1:12" x14ac:dyDescent="0.35">
      <c r="A847" t="s">
        <v>8</v>
      </c>
      <c r="B847" t="s">
        <v>9</v>
      </c>
      <c r="C847" t="s">
        <v>50</v>
      </c>
      <c r="D847" t="str" cm="1">
        <f t="array" ref="D847">INDEX(_xlfn.TEXTSPLIT(C847,"_"),3)</f>
        <v>bond-therapy</v>
      </c>
      <c r="E847" t="str">
        <f>VLOOKUP(D847,FranchiseMapping!$A$1:$B$15,2,FALSE)</f>
        <v>Bond Therapy</v>
      </c>
      <c r="F847" s="1">
        <v>44927</v>
      </c>
      <c r="G847" t="s">
        <v>12</v>
      </c>
      <c r="H847" s="2">
        <v>45231</v>
      </c>
      <c r="I847" s="3">
        <v>45246</v>
      </c>
      <c r="J847" s="3">
        <f t="shared" si="13"/>
        <v>45248</v>
      </c>
      <c r="K847" s="4">
        <v>3194.4799979999998</v>
      </c>
      <c r="L847">
        <v>245170</v>
      </c>
    </row>
    <row r="848" spans="1:12" x14ac:dyDescent="0.35">
      <c r="A848" t="s">
        <v>8</v>
      </c>
      <c r="B848" t="s">
        <v>9</v>
      </c>
      <c r="C848" t="s">
        <v>34</v>
      </c>
      <c r="D848" t="str" cm="1">
        <f t="array" ref="D848">INDEX(_xlfn.TEXTSPLIT(C848,"_"),3)</f>
        <v>hydrasource</v>
      </c>
      <c r="E848" t="str">
        <f>VLOOKUP(D848,FranchiseMapping!$A$1:$B$15,2,FALSE)</f>
        <v>Hydrasource</v>
      </c>
      <c r="F848" s="1">
        <v>45292</v>
      </c>
      <c r="G848" t="s">
        <v>12</v>
      </c>
      <c r="H848" s="2">
        <v>45323</v>
      </c>
      <c r="I848" s="3">
        <v>45336</v>
      </c>
      <c r="J848" s="3">
        <f t="shared" si="13"/>
        <v>45339</v>
      </c>
      <c r="K848" s="4">
        <v>922.38000099999999</v>
      </c>
      <c r="L848">
        <v>200073</v>
      </c>
    </row>
    <row r="849" spans="1:12" x14ac:dyDescent="0.35">
      <c r="A849" t="s">
        <v>8</v>
      </c>
      <c r="B849" t="s">
        <v>9</v>
      </c>
      <c r="C849" t="s">
        <v>38</v>
      </c>
      <c r="D849" t="str" cm="1">
        <f t="array" ref="D849">INDEX(_xlfn.TEXTSPLIT(C849,"_"),3)</f>
        <v>hys</v>
      </c>
      <c r="E849" t="str">
        <f>VLOOKUP(D849,FranchiseMapping!$A$1:$B$15,2,FALSE)</f>
        <v>Hydrasource</v>
      </c>
      <c r="F849" s="1">
        <v>45658</v>
      </c>
      <c r="G849" t="s">
        <v>12</v>
      </c>
      <c r="H849" s="2">
        <v>45748</v>
      </c>
      <c r="I849" s="3">
        <v>45776</v>
      </c>
      <c r="J849" s="3">
        <f t="shared" si="13"/>
        <v>45780</v>
      </c>
      <c r="K849" s="4">
        <v>2003.35</v>
      </c>
      <c r="L849">
        <v>287441</v>
      </c>
    </row>
    <row r="850" spans="1:12" x14ac:dyDescent="0.35">
      <c r="A850" t="s">
        <v>8</v>
      </c>
      <c r="B850" t="s">
        <v>9</v>
      </c>
      <c r="C850" t="s">
        <v>36</v>
      </c>
      <c r="D850" t="str" cm="1">
        <f t="array" ref="D850">INDEX(_xlfn.TEXTSPLIT(C850,"_"),3)</f>
        <v>bfr</v>
      </c>
      <c r="E850" t="str">
        <f>VLOOKUP(D850,FranchiseMapping!$A$1:$B$15,2,FALSE)</f>
        <v>Full Rescue</v>
      </c>
      <c r="F850" s="1">
        <v>45658</v>
      </c>
      <c r="G850" t="s">
        <v>10</v>
      </c>
      <c r="H850" s="2">
        <v>45778</v>
      </c>
      <c r="I850" s="3">
        <v>45789</v>
      </c>
      <c r="J850" s="3">
        <f t="shared" si="13"/>
        <v>45794</v>
      </c>
      <c r="K850" s="4">
        <v>2122.4299999999998</v>
      </c>
      <c r="L850">
        <v>478377</v>
      </c>
    </row>
    <row r="851" spans="1:12" x14ac:dyDescent="0.35">
      <c r="A851" t="s">
        <v>8</v>
      </c>
      <c r="B851" t="s">
        <v>9</v>
      </c>
      <c r="C851" t="s">
        <v>64</v>
      </c>
      <c r="D851" t="str" cm="1">
        <f t="array" ref="D851">INDEX(_xlfn.TEXTSPLIT(C851,"_"),3)</f>
        <v>mult</v>
      </c>
      <c r="E851" t="str">
        <f>VLOOKUP(D851,FranchiseMapping!$A$1:$B$15,2,FALSE)</f>
        <v>Biolage</v>
      </c>
      <c r="F851" s="1">
        <v>45292</v>
      </c>
      <c r="G851" t="s">
        <v>12</v>
      </c>
      <c r="H851" s="2">
        <v>45597</v>
      </c>
      <c r="I851" s="3">
        <v>45622</v>
      </c>
      <c r="J851" s="3">
        <f t="shared" si="13"/>
        <v>45626</v>
      </c>
      <c r="K851" s="4">
        <v>6161.2599970000001</v>
      </c>
      <c r="L851">
        <v>420147</v>
      </c>
    </row>
    <row r="852" spans="1:12" x14ac:dyDescent="0.35">
      <c r="A852" t="s">
        <v>8</v>
      </c>
      <c r="B852" t="s">
        <v>14</v>
      </c>
      <c r="C852" t="s">
        <v>47</v>
      </c>
      <c r="D852" t="str" cm="1">
        <f t="array" ref="D852">INDEX(_xlfn.TEXTSPLIT(C852,"_"),3)</f>
        <v>hys</v>
      </c>
      <c r="E852" t="str">
        <f>VLOOKUP(D852,FranchiseMapping!$A$1:$B$15,2,FALSE)</f>
        <v>Hydrasource</v>
      </c>
      <c r="F852" s="1">
        <v>45658</v>
      </c>
      <c r="G852" t="s">
        <v>10</v>
      </c>
      <c r="H852" s="2">
        <v>45748</v>
      </c>
      <c r="I852" s="3">
        <v>45754</v>
      </c>
      <c r="J852" s="3">
        <f t="shared" si="13"/>
        <v>45759</v>
      </c>
      <c r="K852" s="4">
        <v>2147.3500000000004</v>
      </c>
      <c r="L852">
        <v>510653</v>
      </c>
    </row>
    <row r="853" spans="1:12" x14ac:dyDescent="0.35">
      <c r="A853" t="s">
        <v>8</v>
      </c>
      <c r="B853" t="s">
        <v>9</v>
      </c>
      <c r="C853" t="s">
        <v>52</v>
      </c>
      <c r="D853" t="str" cm="1">
        <f t="array" ref="D853">INDEX(_xlfn.TEXTSPLIT(C853,"_"),3)</f>
        <v>bond-therapy</v>
      </c>
      <c r="E853" t="str">
        <f>VLOOKUP(D853,FranchiseMapping!$A$1:$B$15,2,FALSE)</f>
        <v>Bond Therapy</v>
      </c>
      <c r="F853" s="1">
        <v>44927</v>
      </c>
      <c r="G853" t="s">
        <v>11</v>
      </c>
      <c r="H853" s="2">
        <v>45231</v>
      </c>
      <c r="I853" s="3">
        <v>45260</v>
      </c>
      <c r="J853" s="3">
        <f t="shared" si="13"/>
        <v>45262</v>
      </c>
      <c r="K853" s="4">
        <v>2771.2500000000009</v>
      </c>
      <c r="L853">
        <v>444708</v>
      </c>
    </row>
    <row r="854" spans="1:12" x14ac:dyDescent="0.35">
      <c r="A854" t="s">
        <v>8</v>
      </c>
      <c r="B854" t="s">
        <v>14</v>
      </c>
      <c r="C854" t="s">
        <v>29</v>
      </c>
      <c r="D854" t="str" cm="1">
        <f t="array" ref="D854">INDEX(_xlfn.TEXTSPLIT(C854,"_"),3)</f>
        <v>bfr</v>
      </c>
      <c r="E854" t="str">
        <f>VLOOKUP(D854,FranchiseMapping!$A$1:$B$15,2,FALSE)</f>
        <v>Full Rescue</v>
      </c>
      <c r="F854" s="1">
        <v>45658</v>
      </c>
      <c r="G854" t="s">
        <v>12</v>
      </c>
      <c r="H854" s="2">
        <v>45809</v>
      </c>
      <c r="I854" s="3">
        <v>45821</v>
      </c>
      <c r="J854" s="3">
        <f t="shared" si="13"/>
        <v>45822</v>
      </c>
      <c r="K854" s="4">
        <v>42.629999999999995</v>
      </c>
      <c r="L854">
        <v>7490</v>
      </c>
    </row>
    <row r="855" spans="1:12" x14ac:dyDescent="0.35">
      <c r="A855" t="s">
        <v>8</v>
      </c>
      <c r="B855" t="s">
        <v>9</v>
      </c>
      <c r="C855" t="s">
        <v>41</v>
      </c>
      <c r="D855" t="str" cm="1">
        <f t="array" ref="D855">INDEX(_xlfn.TEXTSPLIT(C855,"_"),3)</f>
        <v>hys</v>
      </c>
      <c r="E855" t="str">
        <f>VLOOKUP(D855,FranchiseMapping!$A$1:$B$15,2,FALSE)</f>
        <v>Hydrasource</v>
      </c>
      <c r="F855" s="1">
        <v>45658</v>
      </c>
      <c r="G855" t="s">
        <v>12</v>
      </c>
      <c r="H855" s="2">
        <v>45748</v>
      </c>
      <c r="I855" s="3">
        <v>45762</v>
      </c>
      <c r="J855" s="3">
        <f t="shared" si="13"/>
        <v>45766</v>
      </c>
      <c r="K855" s="4">
        <v>3259.44</v>
      </c>
      <c r="L855">
        <v>251226</v>
      </c>
    </row>
    <row r="856" spans="1:12" x14ac:dyDescent="0.35">
      <c r="A856" t="s">
        <v>8</v>
      </c>
      <c r="B856" t="s">
        <v>9</v>
      </c>
      <c r="C856" t="s">
        <v>50</v>
      </c>
      <c r="D856" t="str" cm="1">
        <f t="array" ref="D856">INDEX(_xlfn.TEXTSPLIT(C856,"_"),3)</f>
        <v>bond-therapy</v>
      </c>
      <c r="E856" t="str">
        <f>VLOOKUP(D856,FranchiseMapping!$A$1:$B$15,2,FALSE)</f>
        <v>Bond Therapy</v>
      </c>
      <c r="F856" s="1">
        <v>44927</v>
      </c>
      <c r="G856" t="s">
        <v>12</v>
      </c>
      <c r="H856" s="2">
        <v>45261</v>
      </c>
      <c r="I856" s="3">
        <v>45265</v>
      </c>
      <c r="J856" s="3">
        <f t="shared" si="13"/>
        <v>45269</v>
      </c>
      <c r="K856" s="4">
        <v>3121.3799960000006</v>
      </c>
      <c r="L856">
        <v>342411</v>
      </c>
    </row>
    <row r="857" spans="1:12" x14ac:dyDescent="0.35">
      <c r="A857" t="s">
        <v>8</v>
      </c>
      <c r="B857" t="s">
        <v>9</v>
      </c>
      <c r="C857" t="s">
        <v>35</v>
      </c>
      <c r="D857" t="str" cm="1">
        <f t="array" ref="D857">INDEX(_xlfn.TEXTSPLIT(C857,"_"),3)</f>
        <v>bfr</v>
      </c>
      <c r="E857" t="str">
        <f>VLOOKUP(D857,FranchiseMapping!$A$1:$B$15,2,FALSE)</f>
        <v>Full Rescue</v>
      </c>
      <c r="F857" s="1">
        <v>45658</v>
      </c>
      <c r="G857" t="s">
        <v>12</v>
      </c>
      <c r="H857" s="2">
        <v>45778</v>
      </c>
      <c r="I857" s="3">
        <v>45803</v>
      </c>
      <c r="J857" s="3">
        <f t="shared" si="13"/>
        <v>45808</v>
      </c>
      <c r="K857" s="4">
        <v>1765.77</v>
      </c>
      <c r="L857">
        <v>147946</v>
      </c>
    </row>
    <row r="858" spans="1:12" x14ac:dyDescent="0.35">
      <c r="A858" t="s">
        <v>8</v>
      </c>
      <c r="B858" t="s">
        <v>9</v>
      </c>
      <c r="C858" t="s">
        <v>48</v>
      </c>
      <c r="D858" t="str" cm="1">
        <f t="array" ref="D858">INDEX(_xlfn.TEXTSPLIT(C858,"_"),3)</f>
        <v>scalp</v>
      </c>
      <c r="E858" t="str">
        <f>VLOOKUP(D858,FranchiseMapping!$A$1:$B$15,2,FALSE)</f>
        <v>Scalp Sync</v>
      </c>
      <c r="F858" s="1">
        <v>45292</v>
      </c>
      <c r="G858" t="s">
        <v>12</v>
      </c>
      <c r="H858" s="2">
        <v>45383</v>
      </c>
      <c r="I858" s="3">
        <v>45388</v>
      </c>
      <c r="J858" s="3">
        <f t="shared" si="13"/>
        <v>45388</v>
      </c>
      <c r="K858" s="4">
        <v>766.27000299999986</v>
      </c>
      <c r="L858">
        <v>187582</v>
      </c>
    </row>
    <row r="859" spans="1:12" x14ac:dyDescent="0.35">
      <c r="A859" t="s">
        <v>8</v>
      </c>
      <c r="B859" t="s">
        <v>9</v>
      </c>
      <c r="C859" t="s">
        <v>36</v>
      </c>
      <c r="D859" t="str" cm="1">
        <f t="array" ref="D859">INDEX(_xlfn.TEXTSPLIT(C859,"_"),3)</f>
        <v>bfr</v>
      </c>
      <c r="E859" t="str">
        <f>VLOOKUP(D859,FranchiseMapping!$A$1:$B$15,2,FALSE)</f>
        <v>Full Rescue</v>
      </c>
      <c r="F859" s="1">
        <v>45658</v>
      </c>
      <c r="G859" t="s">
        <v>12</v>
      </c>
      <c r="H859" s="2">
        <v>45778</v>
      </c>
      <c r="I859" s="3">
        <v>45797</v>
      </c>
      <c r="J859" s="3">
        <f t="shared" si="13"/>
        <v>45801</v>
      </c>
      <c r="K859" s="4">
        <v>2447.6400030000004</v>
      </c>
      <c r="L859">
        <v>404751</v>
      </c>
    </row>
    <row r="860" spans="1:12" x14ac:dyDescent="0.35">
      <c r="A860" t="s">
        <v>8</v>
      </c>
      <c r="B860" t="s">
        <v>9</v>
      </c>
      <c r="C860" t="s">
        <v>46</v>
      </c>
      <c r="D860" t="str" cm="1">
        <f t="array" ref="D860">INDEX(_xlfn.TEXTSPLIT(C860,"_"),3)</f>
        <v>mult</v>
      </c>
      <c r="E860" t="str">
        <f>VLOOKUP(D860,FranchiseMapping!$A$1:$B$15,2,FALSE)</f>
        <v>Biolage</v>
      </c>
      <c r="F860" s="1">
        <v>45658</v>
      </c>
      <c r="G860" t="s">
        <v>12</v>
      </c>
      <c r="H860" s="2">
        <v>45717</v>
      </c>
      <c r="I860" s="3">
        <v>45729</v>
      </c>
      <c r="J860" s="3">
        <f t="shared" si="13"/>
        <v>45731</v>
      </c>
      <c r="K860" s="4">
        <v>2146.0899999999997</v>
      </c>
      <c r="L860">
        <v>389847</v>
      </c>
    </row>
    <row r="861" spans="1:12" x14ac:dyDescent="0.35">
      <c r="A861" t="s">
        <v>8</v>
      </c>
      <c r="B861" t="s">
        <v>9</v>
      </c>
      <c r="C861" t="s">
        <v>50</v>
      </c>
      <c r="D861" t="str" cm="1">
        <f t="array" ref="D861">INDEX(_xlfn.TEXTSPLIT(C861,"_"),3)</f>
        <v>bond-therapy</v>
      </c>
      <c r="E861" t="str">
        <f>VLOOKUP(D861,FranchiseMapping!$A$1:$B$15,2,FALSE)</f>
        <v>Bond Therapy</v>
      </c>
      <c r="F861" s="1">
        <v>44927</v>
      </c>
      <c r="G861" t="s">
        <v>12</v>
      </c>
      <c r="H861" s="2">
        <v>45261</v>
      </c>
      <c r="I861" s="3">
        <v>45279</v>
      </c>
      <c r="J861" s="3">
        <f t="shared" si="13"/>
        <v>45283</v>
      </c>
      <c r="K861" s="4">
        <v>3035.78</v>
      </c>
      <c r="L861">
        <v>267045</v>
      </c>
    </row>
    <row r="862" spans="1:12" x14ac:dyDescent="0.35">
      <c r="A862" t="s">
        <v>8</v>
      </c>
      <c r="B862" t="s">
        <v>9</v>
      </c>
      <c r="C862" t="s">
        <v>53</v>
      </c>
      <c r="D862" t="str" cm="1">
        <f t="array" ref="D862">INDEX(_xlfn.TEXTSPLIT(C862,"_"),3)</f>
        <v>bond-therapy</v>
      </c>
      <c r="E862" t="str">
        <f>VLOOKUP(D862,FranchiseMapping!$A$1:$B$15,2,FALSE)</f>
        <v>Bond Therapy</v>
      </c>
      <c r="F862" s="1">
        <v>44927</v>
      </c>
      <c r="G862" t="s">
        <v>11</v>
      </c>
      <c r="H862" s="2">
        <v>45261</v>
      </c>
      <c r="I862" s="3">
        <v>45279</v>
      </c>
      <c r="J862" s="3">
        <f t="shared" si="13"/>
        <v>45283</v>
      </c>
      <c r="K862" s="4">
        <v>1196.18</v>
      </c>
      <c r="L862">
        <v>201439</v>
      </c>
    </row>
    <row r="863" spans="1:12" x14ac:dyDescent="0.35">
      <c r="A863" t="s">
        <v>8</v>
      </c>
      <c r="B863" t="s">
        <v>13</v>
      </c>
      <c r="C863" t="s">
        <v>39</v>
      </c>
      <c r="D863" t="str" cm="1">
        <f t="array" ref="D863">INDEX(_xlfn.TEXTSPLIT(C863,"_"),3)</f>
        <v>scalp-sync</v>
      </c>
      <c r="E863" t="str">
        <f>VLOOKUP(D863,FranchiseMapping!$A$1:$B$15,2,FALSE)</f>
        <v>Scalp Sync</v>
      </c>
      <c r="F863" s="1">
        <v>45292</v>
      </c>
      <c r="G863" t="s">
        <v>12</v>
      </c>
      <c r="H863" s="2">
        <v>45383</v>
      </c>
      <c r="I863" s="3">
        <v>45404</v>
      </c>
      <c r="J863" s="3">
        <f t="shared" si="13"/>
        <v>45409</v>
      </c>
      <c r="K863" s="4">
        <v>1350.6144469999997</v>
      </c>
      <c r="L863">
        <v>192578</v>
      </c>
    </row>
    <row r="864" spans="1:12" x14ac:dyDescent="0.35">
      <c r="A864" t="s">
        <v>8</v>
      </c>
      <c r="B864" t="s">
        <v>14</v>
      </c>
      <c r="C864" t="s">
        <v>43</v>
      </c>
      <c r="D864" t="str" cm="1">
        <f t="array" ref="D864">INDEX(_xlfn.TEXTSPLIT(C864,"_"),3)</f>
        <v>bfr</v>
      </c>
      <c r="E864" t="str">
        <f>VLOOKUP(D864,FranchiseMapping!$A$1:$B$15,2,FALSE)</f>
        <v>Full Rescue</v>
      </c>
      <c r="F864" s="1">
        <v>45658</v>
      </c>
      <c r="G864" t="s">
        <v>10</v>
      </c>
      <c r="H864" s="2">
        <v>45809</v>
      </c>
      <c r="I864" s="3">
        <v>45825</v>
      </c>
      <c r="J864" s="3">
        <f t="shared" si="13"/>
        <v>45829</v>
      </c>
      <c r="K864" s="4">
        <v>1168.3499999999999</v>
      </c>
      <c r="L864">
        <v>225718</v>
      </c>
    </row>
    <row r="865" spans="1:12" x14ac:dyDescent="0.35">
      <c r="A865" t="s">
        <v>8</v>
      </c>
      <c r="B865" t="s">
        <v>9</v>
      </c>
      <c r="C865" t="s">
        <v>33</v>
      </c>
      <c r="D865" t="str" cm="1">
        <f t="array" ref="D865">INDEX(_xlfn.TEXTSPLIT(C865,"_"),3)</f>
        <v>hydrasource</v>
      </c>
      <c r="E865" t="str">
        <f>VLOOKUP(D865,FranchiseMapping!$A$1:$B$15,2,FALSE)</f>
        <v>Hydrasource</v>
      </c>
      <c r="F865" s="1">
        <v>45292</v>
      </c>
      <c r="G865" t="s">
        <v>11</v>
      </c>
      <c r="H865" s="2">
        <v>45323</v>
      </c>
      <c r="I865" s="3">
        <v>45337</v>
      </c>
      <c r="J865" s="3">
        <f t="shared" si="13"/>
        <v>45339</v>
      </c>
      <c r="K865" s="4">
        <v>1130.3600049999998</v>
      </c>
      <c r="L865">
        <v>177434</v>
      </c>
    </row>
    <row r="866" spans="1:12" x14ac:dyDescent="0.35">
      <c r="A866" t="s">
        <v>8</v>
      </c>
      <c r="B866" t="s">
        <v>9</v>
      </c>
      <c r="C866" t="s">
        <v>34</v>
      </c>
      <c r="D866" t="str" cm="1">
        <f t="array" ref="D866">INDEX(_xlfn.TEXTSPLIT(C866,"_"),3)</f>
        <v>hydrasource</v>
      </c>
      <c r="E866" t="str">
        <f>VLOOKUP(D866,FranchiseMapping!$A$1:$B$15,2,FALSE)</f>
        <v>Hydrasource</v>
      </c>
      <c r="F866" s="1">
        <v>45292</v>
      </c>
      <c r="G866" t="s">
        <v>12</v>
      </c>
      <c r="H866" s="2">
        <v>45323</v>
      </c>
      <c r="I866" s="3">
        <v>45337</v>
      </c>
      <c r="J866" s="3">
        <f t="shared" si="13"/>
        <v>45339</v>
      </c>
      <c r="K866" s="4">
        <v>946.67000300000007</v>
      </c>
      <c r="L866">
        <v>214779</v>
      </c>
    </row>
    <row r="867" spans="1:12" x14ac:dyDescent="0.35">
      <c r="A867" t="s">
        <v>8</v>
      </c>
      <c r="B867" t="s">
        <v>14</v>
      </c>
      <c r="C867" t="s">
        <v>29</v>
      </c>
      <c r="D867" t="str" cm="1">
        <f t="array" ref="D867">INDEX(_xlfn.TEXTSPLIT(C867,"_"),3)</f>
        <v>bfr</v>
      </c>
      <c r="E867" t="str">
        <f>VLOOKUP(D867,FranchiseMapping!$A$1:$B$15,2,FALSE)</f>
        <v>Full Rescue</v>
      </c>
      <c r="F867" s="1">
        <v>45658</v>
      </c>
      <c r="G867" t="s">
        <v>12</v>
      </c>
      <c r="H867" s="2">
        <v>45809</v>
      </c>
      <c r="I867" s="3">
        <v>45812</v>
      </c>
      <c r="J867" s="3">
        <f t="shared" si="13"/>
        <v>45815</v>
      </c>
      <c r="K867" s="4">
        <v>0.71</v>
      </c>
      <c r="L867">
        <v>204</v>
      </c>
    </row>
    <row r="868" spans="1:12" x14ac:dyDescent="0.35">
      <c r="A868" t="s">
        <v>8</v>
      </c>
      <c r="B868" t="s">
        <v>9</v>
      </c>
      <c r="C868" t="s">
        <v>38</v>
      </c>
      <c r="D868" t="str" cm="1">
        <f t="array" ref="D868">INDEX(_xlfn.TEXTSPLIT(C868,"_"),3)</f>
        <v>hys</v>
      </c>
      <c r="E868" t="str">
        <f>VLOOKUP(D868,FranchiseMapping!$A$1:$B$15,2,FALSE)</f>
        <v>Hydrasource</v>
      </c>
      <c r="F868" s="1">
        <v>45658</v>
      </c>
      <c r="G868" t="s">
        <v>10</v>
      </c>
      <c r="H868" s="2">
        <v>45748</v>
      </c>
      <c r="I868" s="3">
        <v>45758</v>
      </c>
      <c r="J868" s="3">
        <f t="shared" si="13"/>
        <v>45759</v>
      </c>
      <c r="K868" s="4">
        <v>348.96</v>
      </c>
      <c r="L868">
        <v>18322</v>
      </c>
    </row>
    <row r="869" spans="1:12" x14ac:dyDescent="0.35">
      <c r="A869" t="s">
        <v>8</v>
      </c>
      <c r="B869" t="s">
        <v>9</v>
      </c>
      <c r="C869" t="s">
        <v>36</v>
      </c>
      <c r="D869" t="str" cm="1">
        <f t="array" ref="D869">INDEX(_xlfn.TEXTSPLIT(C869,"_"),3)</f>
        <v>bfr</v>
      </c>
      <c r="E869" t="str">
        <f>VLOOKUP(D869,FranchiseMapping!$A$1:$B$15,2,FALSE)</f>
        <v>Full Rescue</v>
      </c>
      <c r="F869" s="1">
        <v>45658</v>
      </c>
      <c r="G869" t="s">
        <v>10</v>
      </c>
      <c r="H869" s="2">
        <v>45778</v>
      </c>
      <c r="I869" s="3">
        <v>45794</v>
      </c>
      <c r="J869" s="3">
        <f t="shared" si="13"/>
        <v>45794</v>
      </c>
      <c r="K869" s="4">
        <v>5.05</v>
      </c>
      <c r="L869">
        <v>565</v>
      </c>
    </row>
    <row r="870" spans="1:12" x14ac:dyDescent="0.35">
      <c r="A870" t="s">
        <v>8</v>
      </c>
      <c r="B870" t="s">
        <v>9</v>
      </c>
      <c r="C870" t="s">
        <v>36</v>
      </c>
      <c r="D870" t="str" cm="1">
        <f t="array" ref="D870">INDEX(_xlfn.TEXTSPLIT(C870,"_"),3)</f>
        <v>bfr</v>
      </c>
      <c r="E870" t="str">
        <f>VLOOKUP(D870,FranchiseMapping!$A$1:$B$15,2,FALSE)</f>
        <v>Full Rescue</v>
      </c>
      <c r="F870" s="1">
        <v>45658</v>
      </c>
      <c r="G870" t="s">
        <v>12</v>
      </c>
      <c r="H870" s="2">
        <v>45778</v>
      </c>
      <c r="I870" s="3">
        <v>45807</v>
      </c>
      <c r="J870" s="3">
        <f t="shared" si="13"/>
        <v>45808</v>
      </c>
      <c r="K870" s="4">
        <v>2439.0099970000001</v>
      </c>
      <c r="L870">
        <v>378081</v>
      </c>
    </row>
    <row r="871" spans="1:12" x14ac:dyDescent="0.35">
      <c r="A871" t="s">
        <v>8</v>
      </c>
      <c r="B871" t="s">
        <v>14</v>
      </c>
      <c r="C871" t="s">
        <v>37</v>
      </c>
      <c r="D871" t="str" cm="1">
        <f t="array" ref="D871">INDEX(_xlfn.TEXTSPLIT(C871,"_"),3)</f>
        <v>mult</v>
      </c>
      <c r="E871" t="str">
        <f>VLOOKUP(D871,FranchiseMapping!$A$1:$B$15,2,FALSE)</f>
        <v>Biolage</v>
      </c>
      <c r="F871" s="1">
        <v>45658</v>
      </c>
      <c r="G871" t="s">
        <v>12</v>
      </c>
      <c r="H871" s="2">
        <v>45778</v>
      </c>
      <c r="I871" s="3">
        <v>45784</v>
      </c>
      <c r="J871" s="3">
        <f t="shared" si="13"/>
        <v>45787</v>
      </c>
      <c r="K871" s="4">
        <v>749.84</v>
      </c>
      <c r="L871">
        <v>264850</v>
      </c>
    </row>
    <row r="872" spans="1:12" x14ac:dyDescent="0.35">
      <c r="A872" t="s">
        <v>8</v>
      </c>
      <c r="B872" t="s">
        <v>9</v>
      </c>
      <c r="C872" t="s">
        <v>38</v>
      </c>
      <c r="D872" t="str" cm="1">
        <f t="array" ref="D872">INDEX(_xlfn.TEXTSPLIT(C872,"_"),3)</f>
        <v>hys</v>
      </c>
      <c r="E872" t="str">
        <f>VLOOKUP(D872,FranchiseMapping!$A$1:$B$15,2,FALSE)</f>
        <v>Hydrasource</v>
      </c>
      <c r="F872" s="1">
        <v>45658</v>
      </c>
      <c r="G872" t="s">
        <v>10</v>
      </c>
      <c r="H872" s="2">
        <v>45748</v>
      </c>
      <c r="I872" s="3">
        <v>45753</v>
      </c>
      <c r="J872" s="3">
        <f t="shared" si="13"/>
        <v>45759</v>
      </c>
      <c r="K872" s="4">
        <v>1089.3999999999999</v>
      </c>
      <c r="L872">
        <v>49502</v>
      </c>
    </row>
    <row r="873" spans="1:12" x14ac:dyDescent="0.35">
      <c r="A873" t="s">
        <v>8</v>
      </c>
      <c r="B873" t="s">
        <v>9</v>
      </c>
      <c r="C873" t="s">
        <v>38</v>
      </c>
      <c r="D873" t="str" cm="1">
        <f t="array" ref="D873">INDEX(_xlfn.TEXTSPLIT(C873,"_"),3)</f>
        <v>hys</v>
      </c>
      <c r="E873" t="str">
        <f>VLOOKUP(D873,FranchiseMapping!$A$1:$B$15,2,FALSE)</f>
        <v>Hydrasource</v>
      </c>
      <c r="F873" s="1">
        <v>45658</v>
      </c>
      <c r="G873" t="s">
        <v>12</v>
      </c>
      <c r="H873" s="2">
        <v>45748</v>
      </c>
      <c r="I873" s="3">
        <v>45769</v>
      </c>
      <c r="J873" s="3">
        <f t="shared" si="13"/>
        <v>45773</v>
      </c>
      <c r="K873" s="4">
        <v>2094.4000009999995</v>
      </c>
      <c r="L873">
        <v>331252</v>
      </c>
    </row>
    <row r="874" spans="1:12" x14ac:dyDescent="0.35">
      <c r="A874" t="s">
        <v>8</v>
      </c>
      <c r="B874" t="s">
        <v>14</v>
      </c>
      <c r="C874" t="s">
        <v>43</v>
      </c>
      <c r="D874" t="str" cm="1">
        <f t="array" ref="D874">INDEX(_xlfn.TEXTSPLIT(C874,"_"),3)</f>
        <v>bfr</v>
      </c>
      <c r="E874" t="str">
        <f>VLOOKUP(D874,FranchiseMapping!$A$1:$B$15,2,FALSE)</f>
        <v>Full Rescue</v>
      </c>
      <c r="F874" s="1">
        <v>45658</v>
      </c>
      <c r="G874" t="s">
        <v>10</v>
      </c>
      <c r="H874" s="2">
        <v>45809</v>
      </c>
      <c r="I874" s="3">
        <v>45830</v>
      </c>
      <c r="J874" s="3">
        <f t="shared" si="13"/>
        <v>45836</v>
      </c>
      <c r="K874" s="4">
        <v>2715.33</v>
      </c>
      <c r="L874">
        <v>536663</v>
      </c>
    </row>
    <row r="875" spans="1:12" x14ac:dyDescent="0.35">
      <c r="A875" t="s">
        <v>8</v>
      </c>
      <c r="B875" t="s">
        <v>9</v>
      </c>
      <c r="C875" t="s">
        <v>46</v>
      </c>
      <c r="D875" t="str" cm="1">
        <f t="array" ref="D875">INDEX(_xlfn.TEXTSPLIT(C875,"_"),3)</f>
        <v>mult</v>
      </c>
      <c r="E875" t="str">
        <f>VLOOKUP(D875,FranchiseMapping!$A$1:$B$15,2,FALSE)</f>
        <v>Biolage</v>
      </c>
      <c r="F875" s="1">
        <v>45658</v>
      </c>
      <c r="G875" t="s">
        <v>12</v>
      </c>
      <c r="H875" s="2">
        <v>45748</v>
      </c>
      <c r="I875" s="3">
        <v>45775</v>
      </c>
      <c r="J875" s="3">
        <f t="shared" si="13"/>
        <v>45780</v>
      </c>
      <c r="K875" s="4">
        <v>964.37000100000012</v>
      </c>
      <c r="L875">
        <v>217143</v>
      </c>
    </row>
    <row r="876" spans="1:12" x14ac:dyDescent="0.35">
      <c r="A876" t="s">
        <v>8</v>
      </c>
      <c r="B876" t="s">
        <v>14</v>
      </c>
      <c r="C876" t="s">
        <v>57</v>
      </c>
      <c r="D876" t="str" cm="1">
        <f t="array" ref="D876">INDEX(_xlfn.TEXTSPLIT(C876,"_"),3)</f>
        <v>bfr</v>
      </c>
      <c r="E876" t="str">
        <f>VLOOKUP(D876,FranchiseMapping!$A$1:$B$15,2,FALSE)</f>
        <v>Full Rescue</v>
      </c>
      <c r="F876" s="1">
        <v>45658</v>
      </c>
      <c r="G876" t="s">
        <v>10</v>
      </c>
      <c r="H876" s="2">
        <v>45809</v>
      </c>
      <c r="I876" s="3">
        <v>45810</v>
      </c>
      <c r="J876" s="3">
        <f t="shared" si="13"/>
        <v>45815</v>
      </c>
      <c r="K876" s="4">
        <v>13867.7</v>
      </c>
      <c r="L876">
        <v>1004918</v>
      </c>
    </row>
    <row r="877" spans="1:12" x14ac:dyDescent="0.35">
      <c r="A877" t="s">
        <v>8</v>
      </c>
      <c r="B877" t="s">
        <v>14</v>
      </c>
      <c r="C877" t="s">
        <v>43</v>
      </c>
      <c r="D877" t="str" cm="1">
        <f t="array" ref="D877">INDEX(_xlfn.TEXTSPLIT(C877,"_"),3)</f>
        <v>bfr</v>
      </c>
      <c r="E877" t="str">
        <f>VLOOKUP(D877,FranchiseMapping!$A$1:$B$15,2,FALSE)</f>
        <v>Full Rescue</v>
      </c>
      <c r="F877" s="1">
        <v>45658</v>
      </c>
      <c r="G877" t="s">
        <v>10</v>
      </c>
      <c r="H877" s="2">
        <v>45809</v>
      </c>
      <c r="I877" s="3">
        <v>45836</v>
      </c>
      <c r="J877" s="3">
        <f t="shared" si="13"/>
        <v>45836</v>
      </c>
      <c r="K877" s="4">
        <v>5848.34</v>
      </c>
      <c r="L877">
        <v>839859</v>
      </c>
    </row>
    <row r="878" spans="1:12" x14ac:dyDescent="0.35">
      <c r="A878" t="s">
        <v>8</v>
      </c>
      <c r="B878" t="s">
        <v>14</v>
      </c>
      <c r="C878" t="s">
        <v>47</v>
      </c>
      <c r="D878" t="str" cm="1">
        <f t="array" ref="D878">INDEX(_xlfn.TEXTSPLIT(C878,"_"),3)</f>
        <v>hys</v>
      </c>
      <c r="E878" t="str">
        <f>VLOOKUP(D878,FranchiseMapping!$A$1:$B$15,2,FALSE)</f>
        <v>Hydrasource</v>
      </c>
      <c r="F878" s="1">
        <v>45658</v>
      </c>
      <c r="G878" t="s">
        <v>12</v>
      </c>
      <c r="H878" s="2">
        <v>45748</v>
      </c>
      <c r="I878" s="3">
        <v>45751</v>
      </c>
      <c r="J878" s="3">
        <f t="shared" si="13"/>
        <v>45752</v>
      </c>
      <c r="K878" s="4">
        <v>1366.02</v>
      </c>
      <c r="L878">
        <v>321104</v>
      </c>
    </row>
    <row r="879" spans="1:12" x14ac:dyDescent="0.35">
      <c r="A879" t="s">
        <v>8</v>
      </c>
      <c r="B879" t="s">
        <v>9</v>
      </c>
      <c r="C879" t="s">
        <v>46</v>
      </c>
      <c r="D879" t="str" cm="1">
        <f t="array" ref="D879">INDEX(_xlfn.TEXTSPLIT(C879,"_"),3)</f>
        <v>mult</v>
      </c>
      <c r="E879" t="str">
        <f>VLOOKUP(D879,FranchiseMapping!$A$1:$B$15,2,FALSE)</f>
        <v>Biolage</v>
      </c>
      <c r="F879" s="1">
        <v>45658</v>
      </c>
      <c r="G879" t="s">
        <v>12</v>
      </c>
      <c r="H879" s="2">
        <v>45717</v>
      </c>
      <c r="I879" s="3">
        <v>45739</v>
      </c>
      <c r="J879" s="3">
        <f t="shared" si="13"/>
        <v>45745</v>
      </c>
      <c r="K879" s="4">
        <v>2861.8</v>
      </c>
      <c r="L879">
        <v>524986</v>
      </c>
    </row>
    <row r="880" spans="1:12" x14ac:dyDescent="0.35">
      <c r="A880" t="s">
        <v>8</v>
      </c>
      <c r="B880" t="s">
        <v>9</v>
      </c>
      <c r="C880" t="s">
        <v>30</v>
      </c>
      <c r="D880" t="str" cm="1">
        <f t="array" ref="D880">INDEX(_xlfn.TEXTSPLIT(C880,"_"),3)</f>
        <v>q3-haca-colorlast</v>
      </c>
      <c r="E880" t="str">
        <f>VLOOKUP(D880,FranchiseMapping!$A$1:$B$15,2,FALSE)</f>
        <v>Color Last</v>
      </c>
      <c r="F880" s="1">
        <v>44927</v>
      </c>
      <c r="G880" t="s">
        <v>10</v>
      </c>
      <c r="H880" s="2">
        <v>45108</v>
      </c>
      <c r="I880" s="3">
        <v>45135</v>
      </c>
      <c r="J880" s="3">
        <f t="shared" si="13"/>
        <v>45136</v>
      </c>
      <c r="K880" s="4">
        <v>2506.1999999999998</v>
      </c>
      <c r="L880">
        <v>360989</v>
      </c>
    </row>
    <row r="881" spans="1:12" x14ac:dyDescent="0.35">
      <c r="A881" t="s">
        <v>8</v>
      </c>
      <c r="B881" t="s">
        <v>9</v>
      </c>
      <c r="C881" t="s">
        <v>46</v>
      </c>
      <c r="D881" t="str" cm="1">
        <f t="array" ref="D881">INDEX(_xlfn.TEXTSPLIT(C881,"_"),3)</f>
        <v>mult</v>
      </c>
      <c r="E881" t="str">
        <f>VLOOKUP(D881,FranchiseMapping!$A$1:$B$15,2,FALSE)</f>
        <v>Biolage</v>
      </c>
      <c r="F881" s="1">
        <v>45658</v>
      </c>
      <c r="G881" t="s">
        <v>10</v>
      </c>
      <c r="H881" s="2">
        <v>45778</v>
      </c>
      <c r="I881" s="3">
        <v>45787</v>
      </c>
      <c r="J881" s="3">
        <f t="shared" si="13"/>
        <v>45787</v>
      </c>
      <c r="K881" s="4">
        <v>1436.1799999999992</v>
      </c>
      <c r="L881">
        <v>275589</v>
      </c>
    </row>
    <row r="882" spans="1:12" x14ac:dyDescent="0.35">
      <c r="A882" t="s">
        <v>8</v>
      </c>
      <c r="B882" t="s">
        <v>14</v>
      </c>
      <c r="C882" t="s">
        <v>37</v>
      </c>
      <c r="D882" t="str" cm="1">
        <f t="array" ref="D882">INDEX(_xlfn.TEXTSPLIT(C882,"_"),3)</f>
        <v>mult</v>
      </c>
      <c r="E882" t="str">
        <f>VLOOKUP(D882,FranchiseMapping!$A$1:$B$15,2,FALSE)</f>
        <v>Biolage</v>
      </c>
      <c r="F882" s="1">
        <v>45658</v>
      </c>
      <c r="G882" t="s">
        <v>12</v>
      </c>
      <c r="H882" s="2">
        <v>45748</v>
      </c>
      <c r="I882" s="3">
        <v>45759</v>
      </c>
      <c r="J882" s="3">
        <f t="shared" si="13"/>
        <v>45759</v>
      </c>
      <c r="K882" s="4">
        <v>0.94000000000000017</v>
      </c>
      <c r="L882">
        <v>203</v>
      </c>
    </row>
    <row r="883" spans="1:12" x14ac:dyDescent="0.35">
      <c r="A883" t="s">
        <v>8</v>
      </c>
      <c r="B883" t="s">
        <v>13</v>
      </c>
      <c r="C883" t="s">
        <v>51</v>
      </c>
      <c r="D883" t="str" cm="1">
        <f t="array" ref="D883">INDEX(_xlfn.TEXTSPLIT(C883,"_"),3)</f>
        <v>na</v>
      </c>
      <c r="E883" t="str">
        <f>VLOOKUP(D883,FranchiseMapping!$A$1:$B$15,2,FALSE)</f>
        <v>Biolage</v>
      </c>
      <c r="F883" s="1">
        <v>44927</v>
      </c>
      <c r="G883" t="s">
        <v>11</v>
      </c>
      <c r="H883" s="2">
        <v>45108</v>
      </c>
      <c r="I883" s="3">
        <v>45121</v>
      </c>
      <c r="J883" s="3">
        <f t="shared" si="13"/>
        <v>45122</v>
      </c>
      <c r="K883" s="4">
        <v>633.96938399999999</v>
      </c>
      <c r="L883">
        <v>296837</v>
      </c>
    </row>
    <row r="884" spans="1:12" x14ac:dyDescent="0.35">
      <c r="A884" t="s">
        <v>8</v>
      </c>
      <c r="B884" t="s">
        <v>9</v>
      </c>
      <c r="C884" t="s">
        <v>30</v>
      </c>
      <c r="D884" t="str" cm="1">
        <f t="array" ref="D884">INDEX(_xlfn.TEXTSPLIT(C884,"_"),3)</f>
        <v>q3-haca-colorlast</v>
      </c>
      <c r="E884" t="str">
        <f>VLOOKUP(D884,FranchiseMapping!$A$1:$B$15,2,FALSE)</f>
        <v>Color Last</v>
      </c>
      <c r="F884" s="1">
        <v>44927</v>
      </c>
      <c r="G884" t="s">
        <v>10</v>
      </c>
      <c r="H884" s="2">
        <v>45108</v>
      </c>
      <c r="I884" s="3">
        <v>45132</v>
      </c>
      <c r="J884" s="3">
        <f t="shared" si="13"/>
        <v>45136</v>
      </c>
      <c r="K884" s="4">
        <v>2659.3899970000002</v>
      </c>
      <c r="L884">
        <v>398449</v>
      </c>
    </row>
    <row r="885" spans="1:12" x14ac:dyDescent="0.35">
      <c r="A885" t="s">
        <v>8</v>
      </c>
      <c r="B885" t="s">
        <v>14</v>
      </c>
      <c r="C885" t="s">
        <v>47</v>
      </c>
      <c r="D885" t="str" cm="1">
        <f t="array" ref="D885">INDEX(_xlfn.TEXTSPLIT(C885,"_"),3)</f>
        <v>hys</v>
      </c>
      <c r="E885" t="str">
        <f>VLOOKUP(D885,FranchiseMapping!$A$1:$B$15,2,FALSE)</f>
        <v>Hydrasource</v>
      </c>
      <c r="F885" s="1">
        <v>45658</v>
      </c>
      <c r="G885" t="s">
        <v>12</v>
      </c>
      <c r="H885" s="2">
        <v>45748</v>
      </c>
      <c r="I885" s="3">
        <v>45765</v>
      </c>
      <c r="J885" s="3">
        <f t="shared" si="13"/>
        <v>45766</v>
      </c>
      <c r="K885" s="4">
        <v>3683.94</v>
      </c>
      <c r="L885">
        <v>869907</v>
      </c>
    </row>
    <row r="886" spans="1:12" x14ac:dyDescent="0.35">
      <c r="A886" t="s">
        <v>8</v>
      </c>
      <c r="B886" t="s">
        <v>14</v>
      </c>
      <c r="C886" t="s">
        <v>37</v>
      </c>
      <c r="D886" t="str" cm="1">
        <f t="array" ref="D886">INDEX(_xlfn.TEXTSPLIT(C886,"_"),3)</f>
        <v>mult</v>
      </c>
      <c r="E886" t="str">
        <f>VLOOKUP(D886,FranchiseMapping!$A$1:$B$15,2,FALSE)</f>
        <v>Biolage</v>
      </c>
      <c r="F886" s="1">
        <v>45658</v>
      </c>
      <c r="G886" t="s">
        <v>12</v>
      </c>
      <c r="H886" s="2">
        <v>45748</v>
      </c>
      <c r="I886" s="3">
        <v>45765</v>
      </c>
      <c r="J886" s="3">
        <f t="shared" si="13"/>
        <v>45766</v>
      </c>
      <c r="K886" s="4">
        <v>0.3</v>
      </c>
      <c r="L886">
        <v>77</v>
      </c>
    </row>
    <row r="887" spans="1:12" x14ac:dyDescent="0.35">
      <c r="A887" t="s">
        <v>8</v>
      </c>
      <c r="B887" t="s">
        <v>13</v>
      </c>
      <c r="C887" t="s">
        <v>62</v>
      </c>
      <c r="D887" t="str" cm="1">
        <f t="array" ref="D887">INDEX(_xlfn.TEXTSPLIT(C887,"_"),3)</f>
        <v>na</v>
      </c>
      <c r="E887" t="str">
        <f>VLOOKUP(D887,FranchiseMapping!$A$1:$B$15,2,FALSE)</f>
        <v>Biolage</v>
      </c>
      <c r="F887" s="1">
        <v>44927</v>
      </c>
      <c r="G887" t="s">
        <v>10</v>
      </c>
      <c r="H887" s="2">
        <v>45108</v>
      </c>
      <c r="I887" s="3">
        <v>45118</v>
      </c>
      <c r="J887" s="3">
        <f t="shared" si="13"/>
        <v>45122</v>
      </c>
      <c r="K887" s="4">
        <v>770.90634499999999</v>
      </c>
      <c r="L887">
        <v>186189</v>
      </c>
    </row>
    <row r="888" spans="1:12" x14ac:dyDescent="0.35">
      <c r="A888" t="s">
        <v>8</v>
      </c>
      <c r="B888" t="s">
        <v>9</v>
      </c>
      <c r="C888" t="s">
        <v>40</v>
      </c>
      <c r="D888" t="str" cm="1">
        <f t="array" ref="D888">INDEX(_xlfn.TEXTSPLIT(C888,"_"),3)</f>
        <v>hydrasource</v>
      </c>
      <c r="E888" t="str">
        <f>VLOOKUP(D888,FranchiseMapping!$A$1:$B$15,2,FALSE)</f>
        <v>Hydrasource</v>
      </c>
      <c r="F888" s="1">
        <v>45292</v>
      </c>
      <c r="G888" t="s">
        <v>12</v>
      </c>
      <c r="H888" s="2">
        <v>45323</v>
      </c>
      <c r="I888" s="3">
        <v>45328</v>
      </c>
      <c r="J888" s="3">
        <f t="shared" si="13"/>
        <v>45332</v>
      </c>
      <c r="K888" s="4">
        <v>3116.7900030000001</v>
      </c>
      <c r="L888">
        <v>501168</v>
      </c>
    </row>
    <row r="889" spans="1:12" x14ac:dyDescent="0.35">
      <c r="A889" t="s">
        <v>8</v>
      </c>
      <c r="B889" t="s">
        <v>13</v>
      </c>
      <c r="C889" t="s">
        <v>42</v>
      </c>
      <c r="D889" t="str" cm="1">
        <f t="array" ref="D889">INDEX(_xlfn.TEXTSPLIT(C889,"_"),3)</f>
        <v>bfr</v>
      </c>
      <c r="E889" t="str">
        <f>VLOOKUP(D889,FranchiseMapping!$A$1:$B$15,2,FALSE)</f>
        <v>Full Rescue</v>
      </c>
      <c r="F889" s="1">
        <v>45658</v>
      </c>
      <c r="G889" t="s">
        <v>10</v>
      </c>
      <c r="H889" s="2">
        <v>45809</v>
      </c>
      <c r="I889" s="3">
        <v>45816</v>
      </c>
      <c r="J889" s="3">
        <f t="shared" si="13"/>
        <v>45822</v>
      </c>
      <c r="K889" s="4">
        <v>449.41908900000004</v>
      </c>
      <c r="L889">
        <v>199986</v>
      </c>
    </row>
    <row r="890" spans="1:12" x14ac:dyDescent="0.35">
      <c r="A890" t="s">
        <v>8</v>
      </c>
      <c r="B890" t="s">
        <v>14</v>
      </c>
      <c r="C890" t="s">
        <v>29</v>
      </c>
      <c r="D890" t="str" cm="1">
        <f t="array" ref="D890">INDEX(_xlfn.TEXTSPLIT(C890,"_"),3)</f>
        <v>bfr</v>
      </c>
      <c r="E890" t="str">
        <f>VLOOKUP(D890,FranchiseMapping!$A$1:$B$15,2,FALSE)</f>
        <v>Full Rescue</v>
      </c>
      <c r="F890" s="1">
        <v>45658</v>
      </c>
      <c r="G890" t="s">
        <v>12</v>
      </c>
      <c r="H890" s="2">
        <v>45809</v>
      </c>
      <c r="I890" s="3">
        <v>45816</v>
      </c>
      <c r="J890" s="3">
        <f t="shared" si="13"/>
        <v>45822</v>
      </c>
      <c r="K890" s="4">
        <v>6.6199999999999992</v>
      </c>
      <c r="L890">
        <v>1033</v>
      </c>
    </row>
    <row r="891" spans="1:12" x14ac:dyDescent="0.35">
      <c r="A891" t="s">
        <v>8</v>
      </c>
      <c r="B891" t="s">
        <v>9</v>
      </c>
      <c r="C891" t="s">
        <v>36</v>
      </c>
      <c r="D891" t="str" cm="1">
        <f t="array" ref="D891">INDEX(_xlfn.TEXTSPLIT(C891,"_"),3)</f>
        <v>bfr</v>
      </c>
      <c r="E891" t="str">
        <f>VLOOKUP(D891,FranchiseMapping!$A$1:$B$15,2,FALSE)</f>
        <v>Full Rescue</v>
      </c>
      <c r="F891" s="1">
        <v>45658</v>
      </c>
      <c r="G891" t="s">
        <v>12</v>
      </c>
      <c r="H891" s="2">
        <v>45778</v>
      </c>
      <c r="I891" s="3">
        <v>45793</v>
      </c>
      <c r="J891" s="3">
        <f t="shared" si="13"/>
        <v>45794</v>
      </c>
      <c r="K891" s="4">
        <v>2336.7499999999991</v>
      </c>
      <c r="L891">
        <v>409379</v>
      </c>
    </row>
    <row r="892" spans="1:12" x14ac:dyDescent="0.35">
      <c r="A892" t="s">
        <v>8</v>
      </c>
      <c r="B892" t="s">
        <v>13</v>
      </c>
      <c r="C892" t="s">
        <v>28</v>
      </c>
      <c r="D892" t="str" cm="1">
        <f t="array" ref="D892">INDEX(_xlfn.TEXTSPLIT(C892,"_"),3)</f>
        <v>na</v>
      </c>
      <c r="E892" t="str">
        <f>VLOOKUP(D892,FranchiseMapping!$A$1:$B$15,2,FALSE)</f>
        <v>Biolage</v>
      </c>
      <c r="F892" s="1">
        <v>44927</v>
      </c>
      <c r="G892" t="s">
        <v>10</v>
      </c>
      <c r="H892" s="2">
        <v>45108</v>
      </c>
      <c r="I892" s="3">
        <v>45138</v>
      </c>
      <c r="J892" s="3">
        <f t="shared" si="13"/>
        <v>45143</v>
      </c>
      <c r="K892" s="4">
        <v>1188.176301</v>
      </c>
      <c r="L892">
        <v>116645</v>
      </c>
    </row>
    <row r="893" spans="1:12" x14ac:dyDescent="0.35">
      <c r="A893" t="s">
        <v>8</v>
      </c>
      <c r="B893" t="s">
        <v>14</v>
      </c>
      <c r="C893" t="s">
        <v>43</v>
      </c>
      <c r="D893" t="str" cm="1">
        <f t="array" ref="D893">INDEX(_xlfn.TEXTSPLIT(C893,"_"),3)</f>
        <v>bfr</v>
      </c>
      <c r="E893" t="str">
        <f>VLOOKUP(D893,FranchiseMapping!$A$1:$B$15,2,FALSE)</f>
        <v>Full Rescue</v>
      </c>
      <c r="F893" s="1">
        <v>45658</v>
      </c>
      <c r="G893" t="s">
        <v>12</v>
      </c>
      <c r="H893" s="2">
        <v>45809</v>
      </c>
      <c r="I893" s="3">
        <v>45818</v>
      </c>
      <c r="J893" s="3">
        <f t="shared" si="13"/>
        <v>45822</v>
      </c>
      <c r="K893" s="4">
        <v>5643.7600000000011</v>
      </c>
      <c r="L893">
        <v>1191610</v>
      </c>
    </row>
    <row r="894" spans="1:12" x14ac:dyDescent="0.35">
      <c r="A894" t="s">
        <v>8</v>
      </c>
      <c r="B894" t="s">
        <v>9</v>
      </c>
      <c r="C894" t="s">
        <v>69</v>
      </c>
      <c r="D894" t="str" cm="1">
        <f t="array" ref="D894">INDEX(_xlfn.TEXTSPLIT(C894,"_"),3)</f>
        <v>prime-day</v>
      </c>
      <c r="E894" t="str">
        <f>VLOOKUP(D894,FranchiseMapping!$A$1:$B$15,2,FALSE)</f>
        <v>Prime Day</v>
      </c>
      <c r="F894" s="1">
        <v>45292</v>
      </c>
      <c r="G894" t="s">
        <v>10</v>
      </c>
      <c r="H894" s="2">
        <v>45474</v>
      </c>
      <c r="I894" s="3">
        <v>45478</v>
      </c>
      <c r="J894" s="3">
        <f t="shared" si="13"/>
        <v>45479</v>
      </c>
      <c r="K894" s="4">
        <v>3460.3099919999995</v>
      </c>
      <c r="L894">
        <v>567138</v>
      </c>
    </row>
    <row r="895" spans="1:12" x14ac:dyDescent="0.35">
      <c r="A895" t="s">
        <v>8</v>
      </c>
      <c r="B895" t="s">
        <v>9</v>
      </c>
      <c r="C895" t="s">
        <v>46</v>
      </c>
      <c r="D895" t="str" cm="1">
        <f t="array" ref="D895">INDEX(_xlfn.TEXTSPLIT(C895,"_"),3)</f>
        <v>mult</v>
      </c>
      <c r="E895" t="str">
        <f>VLOOKUP(D895,FranchiseMapping!$A$1:$B$15,2,FALSE)</f>
        <v>Biolage</v>
      </c>
      <c r="F895" s="1">
        <v>45658</v>
      </c>
      <c r="G895" t="s">
        <v>12</v>
      </c>
      <c r="H895" s="2">
        <v>45778</v>
      </c>
      <c r="I895" s="3">
        <v>45799</v>
      </c>
      <c r="J895" s="3">
        <f t="shared" si="13"/>
        <v>45801</v>
      </c>
      <c r="K895" s="4">
        <v>136.04000000000002</v>
      </c>
      <c r="L895">
        <v>22906</v>
      </c>
    </row>
    <row r="896" spans="1:12" x14ac:dyDescent="0.35">
      <c r="A896" t="s">
        <v>8</v>
      </c>
      <c r="B896" t="s">
        <v>9</v>
      </c>
      <c r="C896" t="s">
        <v>35</v>
      </c>
      <c r="D896" t="str" cm="1">
        <f t="array" ref="D896">INDEX(_xlfn.TEXTSPLIT(C896,"_"),3)</f>
        <v>bfr</v>
      </c>
      <c r="E896" t="str">
        <f>VLOOKUP(D896,FranchiseMapping!$A$1:$B$15,2,FALSE)</f>
        <v>Full Rescue</v>
      </c>
      <c r="F896" s="1">
        <v>45658</v>
      </c>
      <c r="G896" t="s">
        <v>10</v>
      </c>
      <c r="H896" s="2">
        <v>45778</v>
      </c>
      <c r="I896" s="3">
        <v>45807</v>
      </c>
      <c r="J896" s="3">
        <f t="shared" si="13"/>
        <v>45808</v>
      </c>
      <c r="K896" s="4">
        <v>8.7199999999999989</v>
      </c>
      <c r="L896">
        <v>1029</v>
      </c>
    </row>
    <row r="897" spans="1:12" x14ac:dyDescent="0.35">
      <c r="A897" t="s">
        <v>8</v>
      </c>
      <c r="B897" t="s">
        <v>9</v>
      </c>
      <c r="C897" t="s">
        <v>54</v>
      </c>
      <c r="D897" t="str" cm="1">
        <f t="array" ref="D897">INDEX(_xlfn.TEXTSPLIT(C897,"_"),3)</f>
        <v>scalp</v>
      </c>
      <c r="E897" t="str">
        <f>VLOOKUP(D897,FranchiseMapping!$A$1:$B$15,2,FALSE)</f>
        <v>Scalp Sync</v>
      </c>
      <c r="F897" s="1">
        <v>45292</v>
      </c>
      <c r="G897" t="s">
        <v>10</v>
      </c>
      <c r="H897" s="2">
        <v>45352</v>
      </c>
      <c r="I897" s="3">
        <v>45380</v>
      </c>
      <c r="J897" s="3">
        <f t="shared" si="13"/>
        <v>45381</v>
      </c>
      <c r="K897" s="4">
        <v>2156.3700020000001</v>
      </c>
      <c r="L897">
        <v>456149</v>
      </c>
    </row>
    <row r="898" spans="1:12" x14ac:dyDescent="0.35">
      <c r="A898" t="s">
        <v>8</v>
      </c>
      <c r="B898" t="s">
        <v>9</v>
      </c>
      <c r="C898" t="s">
        <v>45</v>
      </c>
      <c r="D898" t="str" cm="1">
        <f t="array" ref="D898">INDEX(_xlfn.TEXTSPLIT(C898,"_"),3)</f>
        <v>hydrasource</v>
      </c>
      <c r="E898" t="str">
        <f>VLOOKUP(D898,FranchiseMapping!$A$1:$B$15,2,FALSE)</f>
        <v>Hydrasource</v>
      </c>
      <c r="F898" s="1">
        <v>45292</v>
      </c>
      <c r="G898" t="s">
        <v>12</v>
      </c>
      <c r="H898" s="2">
        <v>45566</v>
      </c>
      <c r="I898" s="3">
        <v>45571</v>
      </c>
      <c r="J898" s="3">
        <f t="shared" si="13"/>
        <v>45577</v>
      </c>
      <c r="K898" s="4">
        <v>2714.5800060000001</v>
      </c>
      <c r="L898">
        <v>335108</v>
      </c>
    </row>
    <row r="899" spans="1:12" x14ac:dyDescent="0.35">
      <c r="A899" t="s">
        <v>8</v>
      </c>
      <c r="B899" t="s">
        <v>9</v>
      </c>
      <c r="C899" t="s">
        <v>50</v>
      </c>
      <c r="D899" t="str" cm="1">
        <f t="array" ref="D899">INDEX(_xlfn.TEXTSPLIT(C899,"_"),3)</f>
        <v>bond-therapy</v>
      </c>
      <c r="E899" t="str">
        <f>VLOOKUP(D899,FranchiseMapping!$A$1:$B$15,2,FALSE)</f>
        <v>Bond Therapy</v>
      </c>
      <c r="F899" s="1">
        <v>44927</v>
      </c>
      <c r="G899" t="s">
        <v>12</v>
      </c>
      <c r="H899" s="2">
        <v>45261</v>
      </c>
      <c r="I899" s="3">
        <v>45284</v>
      </c>
      <c r="J899" s="3">
        <f t="shared" ref="J899:J962" si="14">I899 + (7 - WEEKDAY(I899, 1))</f>
        <v>45290</v>
      </c>
      <c r="K899" s="4">
        <v>2908.620003</v>
      </c>
      <c r="L899">
        <v>278014</v>
      </c>
    </row>
    <row r="900" spans="1:12" x14ac:dyDescent="0.35">
      <c r="A900" t="s">
        <v>8</v>
      </c>
      <c r="B900" t="s">
        <v>9</v>
      </c>
      <c r="C900" t="s">
        <v>48</v>
      </c>
      <c r="D900" t="str" cm="1">
        <f t="array" ref="D900">INDEX(_xlfn.TEXTSPLIT(C900,"_"),3)</f>
        <v>scalp</v>
      </c>
      <c r="E900" t="str">
        <f>VLOOKUP(D900,FranchiseMapping!$A$1:$B$15,2,FALSE)</f>
        <v>Scalp Sync</v>
      </c>
      <c r="F900" s="1">
        <v>45292</v>
      </c>
      <c r="G900" t="s">
        <v>10</v>
      </c>
      <c r="H900" s="2">
        <v>45383</v>
      </c>
      <c r="I900" s="3">
        <v>45383</v>
      </c>
      <c r="J900" s="3">
        <f t="shared" si="14"/>
        <v>45388</v>
      </c>
      <c r="K900" s="4">
        <v>250.64000199999995</v>
      </c>
      <c r="L900">
        <v>73933</v>
      </c>
    </row>
    <row r="901" spans="1:12" x14ac:dyDescent="0.35">
      <c r="A901" t="s">
        <v>8</v>
      </c>
      <c r="B901" t="s">
        <v>9</v>
      </c>
      <c r="C901" t="s">
        <v>36</v>
      </c>
      <c r="D901" t="str" cm="1">
        <f t="array" ref="D901">INDEX(_xlfn.TEXTSPLIT(C901,"_"),3)</f>
        <v>bfr</v>
      </c>
      <c r="E901" t="str">
        <f>VLOOKUP(D901,FranchiseMapping!$A$1:$B$15,2,FALSE)</f>
        <v>Full Rescue</v>
      </c>
      <c r="F901" s="1">
        <v>45658</v>
      </c>
      <c r="G901" t="s">
        <v>10</v>
      </c>
      <c r="H901" s="2">
        <v>45778</v>
      </c>
      <c r="I901" s="3">
        <v>45791</v>
      </c>
      <c r="J901" s="3">
        <f t="shared" si="14"/>
        <v>45794</v>
      </c>
      <c r="K901" s="4">
        <v>2249.8199960000002</v>
      </c>
      <c r="L901">
        <v>408404</v>
      </c>
    </row>
    <row r="902" spans="1:12" x14ac:dyDescent="0.35">
      <c r="A902" t="s">
        <v>8</v>
      </c>
      <c r="B902" t="s">
        <v>9</v>
      </c>
      <c r="C902" t="s">
        <v>53</v>
      </c>
      <c r="D902" t="str" cm="1">
        <f t="array" ref="D902">INDEX(_xlfn.TEXTSPLIT(C902,"_"),3)</f>
        <v>bond-therapy</v>
      </c>
      <c r="E902" t="str">
        <f>VLOOKUP(D902,FranchiseMapping!$A$1:$B$15,2,FALSE)</f>
        <v>Bond Therapy</v>
      </c>
      <c r="F902" s="1">
        <v>44927</v>
      </c>
      <c r="G902" t="s">
        <v>11</v>
      </c>
      <c r="H902" s="2">
        <v>45261</v>
      </c>
      <c r="I902" s="3">
        <v>45270</v>
      </c>
      <c r="J902" s="3">
        <f t="shared" si="14"/>
        <v>45276</v>
      </c>
      <c r="K902" s="4">
        <v>1305.1500010000002</v>
      </c>
      <c r="L902">
        <v>221758</v>
      </c>
    </row>
    <row r="903" spans="1:12" x14ac:dyDescent="0.35">
      <c r="A903" t="s">
        <v>8</v>
      </c>
      <c r="B903" t="s">
        <v>9</v>
      </c>
      <c r="C903" t="s">
        <v>52</v>
      </c>
      <c r="D903" t="str" cm="1">
        <f t="array" ref="D903">INDEX(_xlfn.TEXTSPLIT(C903,"_"),3)</f>
        <v>bond-therapy</v>
      </c>
      <c r="E903" t="str">
        <f>VLOOKUP(D903,FranchiseMapping!$A$1:$B$15,2,FALSE)</f>
        <v>Bond Therapy</v>
      </c>
      <c r="F903" s="1">
        <v>44927</v>
      </c>
      <c r="G903" t="s">
        <v>11</v>
      </c>
      <c r="H903" s="2">
        <v>45261</v>
      </c>
      <c r="I903" s="3">
        <v>45275</v>
      </c>
      <c r="J903" s="3">
        <f t="shared" si="14"/>
        <v>45276</v>
      </c>
      <c r="K903" s="4">
        <v>2733.3099939999997</v>
      </c>
      <c r="L903">
        <v>461455</v>
      </c>
    </row>
    <row r="904" spans="1:12" x14ac:dyDescent="0.35">
      <c r="A904" t="s">
        <v>8</v>
      </c>
      <c r="B904" t="s">
        <v>9</v>
      </c>
      <c r="C904" t="s">
        <v>36</v>
      </c>
      <c r="D904" t="str" cm="1">
        <f t="array" ref="D904">INDEX(_xlfn.TEXTSPLIT(C904,"_"),3)</f>
        <v>bfr</v>
      </c>
      <c r="E904" t="str">
        <f>VLOOKUP(D904,FranchiseMapping!$A$1:$B$15,2,FALSE)</f>
        <v>Full Rescue</v>
      </c>
      <c r="F904" s="1">
        <v>45658</v>
      </c>
      <c r="G904" t="s">
        <v>12</v>
      </c>
      <c r="H904" s="2">
        <v>45778</v>
      </c>
      <c r="I904" s="3">
        <v>45802</v>
      </c>
      <c r="J904" s="3">
        <f t="shared" si="14"/>
        <v>45808</v>
      </c>
      <c r="K904" s="4">
        <v>2659.4599999999991</v>
      </c>
      <c r="L904">
        <v>405806</v>
      </c>
    </row>
    <row r="905" spans="1:12" x14ac:dyDescent="0.35">
      <c r="A905" t="s">
        <v>8</v>
      </c>
      <c r="B905" t="s">
        <v>9</v>
      </c>
      <c r="C905" t="s">
        <v>46</v>
      </c>
      <c r="D905" t="str" cm="1">
        <f t="array" ref="D905">INDEX(_xlfn.TEXTSPLIT(C905,"_"),3)</f>
        <v>mult</v>
      </c>
      <c r="E905" t="str">
        <f>VLOOKUP(D905,FranchiseMapping!$A$1:$B$15,2,FALSE)</f>
        <v>Biolage</v>
      </c>
      <c r="F905" s="1">
        <v>45658</v>
      </c>
      <c r="G905" t="s">
        <v>10</v>
      </c>
      <c r="H905" s="2">
        <v>45778</v>
      </c>
      <c r="I905" s="3">
        <v>45802</v>
      </c>
      <c r="J905" s="3">
        <f t="shared" si="14"/>
        <v>45808</v>
      </c>
      <c r="K905" s="4">
        <v>1492.1399999999999</v>
      </c>
      <c r="L905">
        <v>239100</v>
      </c>
    </row>
    <row r="906" spans="1:12" x14ac:dyDescent="0.35">
      <c r="A906" t="s">
        <v>8</v>
      </c>
      <c r="B906" t="s">
        <v>9</v>
      </c>
      <c r="C906" t="s">
        <v>56</v>
      </c>
      <c r="D906" t="str" cm="1">
        <f t="array" ref="D906">INDEX(_xlfn.TEXTSPLIT(C906,"_"),3)</f>
        <v>haca-colorlast-q3</v>
      </c>
      <c r="E906" t="str">
        <f>VLOOKUP(D906,FranchiseMapping!$A$1:$B$15,2,FALSE)</f>
        <v>Color Last</v>
      </c>
      <c r="F906" s="1">
        <v>44927</v>
      </c>
      <c r="G906" t="s">
        <v>10</v>
      </c>
      <c r="H906" s="2">
        <v>45139</v>
      </c>
      <c r="I906" s="3">
        <v>45156</v>
      </c>
      <c r="J906" s="3">
        <f t="shared" si="14"/>
        <v>45157</v>
      </c>
      <c r="K906" s="4">
        <v>722.77000099999987</v>
      </c>
      <c r="L906">
        <v>105831</v>
      </c>
    </row>
    <row r="907" spans="1:12" x14ac:dyDescent="0.35">
      <c r="A907" t="s">
        <v>8</v>
      </c>
      <c r="B907" t="s">
        <v>13</v>
      </c>
      <c r="C907" t="s">
        <v>28</v>
      </c>
      <c r="D907" t="str" cm="1">
        <f t="array" ref="D907">INDEX(_xlfn.TEXTSPLIT(C907,"_"),3)</f>
        <v>na</v>
      </c>
      <c r="E907" t="str">
        <f>VLOOKUP(D907,FranchiseMapping!$A$1:$B$15,2,FALSE)</f>
        <v>Biolage</v>
      </c>
      <c r="F907" s="1">
        <v>44927</v>
      </c>
      <c r="G907" t="s">
        <v>12</v>
      </c>
      <c r="H907" s="2">
        <v>45108</v>
      </c>
      <c r="I907" s="3">
        <v>45133</v>
      </c>
      <c r="J907" s="3">
        <f t="shared" si="14"/>
        <v>45136</v>
      </c>
      <c r="K907" s="4">
        <v>174.998425</v>
      </c>
      <c r="L907">
        <v>56586</v>
      </c>
    </row>
    <row r="908" spans="1:12" x14ac:dyDescent="0.35">
      <c r="A908" t="s">
        <v>8</v>
      </c>
      <c r="B908" t="s">
        <v>13</v>
      </c>
      <c r="C908" t="s">
        <v>59</v>
      </c>
      <c r="D908" t="str" cm="1">
        <f t="array" ref="D908">INDEX(_xlfn.TEXTSPLIT(C908,"_"),3)</f>
        <v>scalp-sync</v>
      </c>
      <c r="E908" t="str">
        <f>VLOOKUP(D908,FranchiseMapping!$A$1:$B$15,2,FALSE)</f>
        <v>Scalp Sync</v>
      </c>
      <c r="F908" s="1">
        <v>45292</v>
      </c>
      <c r="G908" t="s">
        <v>11</v>
      </c>
      <c r="H908" s="2">
        <v>45383</v>
      </c>
      <c r="I908" s="3">
        <v>45398</v>
      </c>
      <c r="J908" s="3">
        <f t="shared" si="14"/>
        <v>45402</v>
      </c>
      <c r="K908" s="4">
        <v>3373.4514019999997</v>
      </c>
      <c r="L908">
        <v>1501680</v>
      </c>
    </row>
    <row r="909" spans="1:12" x14ac:dyDescent="0.35">
      <c r="A909" t="s">
        <v>8</v>
      </c>
      <c r="B909" t="s">
        <v>9</v>
      </c>
      <c r="C909" t="s">
        <v>45</v>
      </c>
      <c r="D909" t="str" cm="1">
        <f t="array" ref="D909">INDEX(_xlfn.TEXTSPLIT(C909,"_"),3)</f>
        <v>hydrasource</v>
      </c>
      <c r="E909" t="str">
        <f>VLOOKUP(D909,FranchiseMapping!$A$1:$B$15,2,FALSE)</f>
        <v>Hydrasource</v>
      </c>
      <c r="F909" s="1">
        <v>45292</v>
      </c>
      <c r="G909" t="s">
        <v>12</v>
      </c>
      <c r="H909" s="2">
        <v>45536</v>
      </c>
      <c r="I909" s="3">
        <v>45565</v>
      </c>
      <c r="J909" s="3">
        <f t="shared" si="14"/>
        <v>45570</v>
      </c>
      <c r="K909" s="4">
        <v>2629.6800090000002</v>
      </c>
      <c r="L909">
        <v>277818</v>
      </c>
    </row>
    <row r="910" spans="1:12" x14ac:dyDescent="0.35">
      <c r="A910" t="s">
        <v>8</v>
      </c>
      <c r="B910" t="s">
        <v>9</v>
      </c>
      <c r="C910" t="s">
        <v>40</v>
      </c>
      <c r="D910" t="str" cm="1">
        <f t="array" ref="D910">INDEX(_xlfn.TEXTSPLIT(C910,"_"),3)</f>
        <v>hydrasource</v>
      </c>
      <c r="E910" t="str">
        <f>VLOOKUP(D910,FranchiseMapping!$A$1:$B$15,2,FALSE)</f>
        <v>Hydrasource</v>
      </c>
      <c r="F910" s="1">
        <v>45292</v>
      </c>
      <c r="G910" t="s">
        <v>12</v>
      </c>
      <c r="H910" s="2">
        <v>45323</v>
      </c>
      <c r="I910" s="3">
        <v>45343</v>
      </c>
      <c r="J910" s="3">
        <f t="shared" si="14"/>
        <v>45346</v>
      </c>
      <c r="K910" s="4">
        <v>3125.1999960000007</v>
      </c>
      <c r="L910">
        <v>462238</v>
      </c>
    </row>
    <row r="911" spans="1:12" x14ac:dyDescent="0.35">
      <c r="A911" t="s">
        <v>8</v>
      </c>
      <c r="B911" t="s">
        <v>9</v>
      </c>
      <c r="C911" t="s">
        <v>48</v>
      </c>
      <c r="D911" t="str" cm="1">
        <f t="array" ref="D911">INDEX(_xlfn.TEXTSPLIT(C911,"_"),3)</f>
        <v>scalp</v>
      </c>
      <c r="E911" t="str">
        <f>VLOOKUP(D911,FranchiseMapping!$A$1:$B$15,2,FALSE)</f>
        <v>Scalp Sync</v>
      </c>
      <c r="F911" s="1">
        <v>45292</v>
      </c>
      <c r="G911" t="s">
        <v>10</v>
      </c>
      <c r="H911" s="2">
        <v>45352</v>
      </c>
      <c r="I911" s="3">
        <v>45372</v>
      </c>
      <c r="J911" s="3">
        <f t="shared" si="14"/>
        <v>45374</v>
      </c>
      <c r="K911" s="4">
        <v>987.89999899999987</v>
      </c>
      <c r="L911">
        <v>212811</v>
      </c>
    </row>
    <row r="912" spans="1:12" x14ac:dyDescent="0.35">
      <c r="A912" t="s">
        <v>8</v>
      </c>
      <c r="B912" t="s">
        <v>14</v>
      </c>
      <c r="C912" t="s">
        <v>47</v>
      </c>
      <c r="D912" t="str" cm="1">
        <f t="array" ref="D912">INDEX(_xlfn.TEXTSPLIT(C912,"_"),3)</f>
        <v>hys</v>
      </c>
      <c r="E912" t="str">
        <f>VLOOKUP(D912,FranchiseMapping!$A$1:$B$15,2,FALSE)</f>
        <v>Hydrasource</v>
      </c>
      <c r="F912" s="1">
        <v>45658</v>
      </c>
      <c r="G912" t="s">
        <v>12</v>
      </c>
      <c r="H912" s="2">
        <v>45748</v>
      </c>
      <c r="I912" s="3">
        <v>45761</v>
      </c>
      <c r="J912" s="3">
        <f t="shared" si="14"/>
        <v>45766</v>
      </c>
      <c r="K912" s="4">
        <v>1867.82</v>
      </c>
      <c r="L912">
        <v>466559</v>
      </c>
    </row>
    <row r="913" spans="1:12" x14ac:dyDescent="0.35">
      <c r="A913" t="s">
        <v>8</v>
      </c>
      <c r="B913" t="s">
        <v>9</v>
      </c>
      <c r="C913" t="s">
        <v>56</v>
      </c>
      <c r="D913" t="str" cm="1">
        <f t="array" ref="D913">INDEX(_xlfn.TEXTSPLIT(C913,"_"),3)</f>
        <v>haca-colorlast-q3</v>
      </c>
      <c r="E913" t="str">
        <f>VLOOKUP(D913,FranchiseMapping!$A$1:$B$15,2,FALSE)</f>
        <v>Color Last</v>
      </c>
      <c r="F913" s="1">
        <v>44927</v>
      </c>
      <c r="G913" t="s">
        <v>10</v>
      </c>
      <c r="H913" s="2">
        <v>45139</v>
      </c>
      <c r="I913" s="3">
        <v>45150</v>
      </c>
      <c r="J913" s="3">
        <f t="shared" si="14"/>
        <v>45150</v>
      </c>
      <c r="K913" s="4">
        <v>680.96</v>
      </c>
      <c r="L913">
        <v>106482</v>
      </c>
    </row>
    <row r="914" spans="1:12" x14ac:dyDescent="0.35">
      <c r="A914" t="s">
        <v>8</v>
      </c>
      <c r="B914" t="s">
        <v>14</v>
      </c>
      <c r="C914" t="s">
        <v>47</v>
      </c>
      <c r="D914" t="str" cm="1">
        <f t="array" ref="D914">INDEX(_xlfn.TEXTSPLIT(C914,"_"),3)</f>
        <v>hys</v>
      </c>
      <c r="E914" t="str">
        <f>VLOOKUP(D914,FranchiseMapping!$A$1:$B$15,2,FALSE)</f>
        <v>Hydrasource</v>
      </c>
      <c r="F914" s="1">
        <v>45658</v>
      </c>
      <c r="G914" t="s">
        <v>10</v>
      </c>
      <c r="H914" s="2">
        <v>45748</v>
      </c>
      <c r="I914" s="3">
        <v>45756</v>
      </c>
      <c r="J914" s="3">
        <f t="shared" si="14"/>
        <v>45759</v>
      </c>
      <c r="K914" s="4">
        <v>2285.3000000000002</v>
      </c>
      <c r="L914">
        <v>470409</v>
      </c>
    </row>
    <row r="915" spans="1:12" x14ac:dyDescent="0.35">
      <c r="A915" t="s">
        <v>8</v>
      </c>
      <c r="B915" t="s">
        <v>9</v>
      </c>
      <c r="C915" t="s">
        <v>68</v>
      </c>
      <c r="D915" t="str" cm="1">
        <f t="array" ref="D915">INDEX(_xlfn.TEXTSPLIT(C915,"_"),3)</f>
        <v>na</v>
      </c>
      <c r="E915" t="str">
        <f>VLOOKUP(D915,FranchiseMapping!$A$1:$B$15,2,FALSE)</f>
        <v>Biolage</v>
      </c>
      <c r="F915" s="1">
        <v>44927</v>
      </c>
      <c r="G915" t="s">
        <v>11</v>
      </c>
      <c r="H915" s="2">
        <v>45200</v>
      </c>
      <c r="I915" s="3">
        <v>45230</v>
      </c>
      <c r="J915" s="3">
        <f t="shared" si="14"/>
        <v>45234</v>
      </c>
      <c r="K915" s="4">
        <v>355.08000100000004</v>
      </c>
      <c r="L915">
        <v>40183</v>
      </c>
    </row>
    <row r="916" spans="1:12" x14ac:dyDescent="0.35">
      <c r="A916" t="s">
        <v>8</v>
      </c>
      <c r="B916" t="s">
        <v>9</v>
      </c>
      <c r="C916" t="s">
        <v>36</v>
      </c>
      <c r="D916" t="str" cm="1">
        <f t="array" ref="D916">INDEX(_xlfn.TEXTSPLIT(C916,"_"),3)</f>
        <v>bfr</v>
      </c>
      <c r="E916" t="str">
        <f>VLOOKUP(D916,FranchiseMapping!$A$1:$B$15,2,FALSE)</f>
        <v>Full Rescue</v>
      </c>
      <c r="F916" s="1">
        <v>45658</v>
      </c>
      <c r="G916" t="s">
        <v>10</v>
      </c>
      <c r="H916" s="2">
        <v>45809</v>
      </c>
      <c r="I916" s="3">
        <v>45825</v>
      </c>
      <c r="J916" s="3">
        <f t="shared" si="14"/>
        <v>45829</v>
      </c>
      <c r="K916" s="4">
        <v>897.32999999999993</v>
      </c>
      <c r="L916">
        <v>144870</v>
      </c>
    </row>
    <row r="917" spans="1:12" x14ac:dyDescent="0.35">
      <c r="A917" t="s">
        <v>8</v>
      </c>
      <c r="B917" t="s">
        <v>9</v>
      </c>
      <c r="C917" t="s">
        <v>30</v>
      </c>
      <c r="D917" t="str" cm="1">
        <f t="array" ref="D917">INDEX(_xlfn.TEXTSPLIT(C917,"_"),3)</f>
        <v>q3-haca-colorlast</v>
      </c>
      <c r="E917" t="str">
        <f>VLOOKUP(D917,FranchiseMapping!$A$1:$B$15,2,FALSE)</f>
        <v>Color Last</v>
      </c>
      <c r="F917" s="1">
        <v>44927</v>
      </c>
      <c r="G917" t="s">
        <v>10</v>
      </c>
      <c r="H917" s="2">
        <v>45139</v>
      </c>
      <c r="I917" s="3">
        <v>45153</v>
      </c>
      <c r="J917" s="3">
        <f t="shared" si="14"/>
        <v>45157</v>
      </c>
      <c r="K917" s="4">
        <v>3984.780006</v>
      </c>
      <c r="L917">
        <v>601753</v>
      </c>
    </row>
    <row r="918" spans="1:12" x14ac:dyDescent="0.35">
      <c r="A918" t="s">
        <v>8</v>
      </c>
      <c r="B918" t="s">
        <v>9</v>
      </c>
      <c r="C918" t="s">
        <v>31</v>
      </c>
      <c r="D918" t="str" cm="1">
        <f t="array" ref="D918">INDEX(_xlfn.TEXTSPLIT(C918,"_"),3)</f>
        <v>scalp</v>
      </c>
      <c r="E918" t="str">
        <f>VLOOKUP(D918,FranchiseMapping!$A$1:$B$15,2,FALSE)</f>
        <v>Scalp Sync</v>
      </c>
      <c r="F918" s="1">
        <v>45292</v>
      </c>
      <c r="G918" t="s">
        <v>10</v>
      </c>
      <c r="H918" s="2">
        <v>45352</v>
      </c>
      <c r="I918" s="3">
        <v>45365</v>
      </c>
      <c r="J918" s="3">
        <f t="shared" si="14"/>
        <v>45367</v>
      </c>
      <c r="K918" s="4">
        <v>1520.0700039999999</v>
      </c>
      <c r="L918">
        <v>232337</v>
      </c>
    </row>
    <row r="919" spans="1:12" x14ac:dyDescent="0.35">
      <c r="A919" t="s">
        <v>8</v>
      </c>
      <c r="B919" t="s">
        <v>9</v>
      </c>
      <c r="C919" t="s">
        <v>50</v>
      </c>
      <c r="D919" t="str" cm="1">
        <f t="array" ref="D919">INDEX(_xlfn.TEXTSPLIT(C919,"_"),3)</f>
        <v>bond-therapy</v>
      </c>
      <c r="E919" t="str">
        <f>VLOOKUP(D919,FranchiseMapping!$A$1:$B$15,2,FALSE)</f>
        <v>Bond Therapy</v>
      </c>
      <c r="F919" s="1">
        <v>44927</v>
      </c>
      <c r="G919" t="s">
        <v>12</v>
      </c>
      <c r="H919" s="2">
        <v>45261</v>
      </c>
      <c r="I919" s="3">
        <v>45269</v>
      </c>
      <c r="J919" s="3">
        <f t="shared" si="14"/>
        <v>45269</v>
      </c>
      <c r="K919" s="4">
        <v>3168.7399949999999</v>
      </c>
      <c r="L919">
        <v>327566</v>
      </c>
    </row>
    <row r="920" spans="1:12" x14ac:dyDescent="0.35">
      <c r="A920" t="s">
        <v>8</v>
      </c>
      <c r="B920" t="s">
        <v>13</v>
      </c>
      <c r="C920" t="s">
        <v>62</v>
      </c>
      <c r="D920" t="str" cm="1">
        <f t="array" ref="D920">INDEX(_xlfn.TEXTSPLIT(C920,"_"),3)</f>
        <v>na</v>
      </c>
      <c r="E920" t="str">
        <f>VLOOKUP(D920,FranchiseMapping!$A$1:$B$15,2,FALSE)</f>
        <v>Biolage</v>
      </c>
      <c r="F920" s="1">
        <v>44927</v>
      </c>
      <c r="G920" t="s">
        <v>10</v>
      </c>
      <c r="H920" s="2">
        <v>45108</v>
      </c>
      <c r="I920" s="3">
        <v>45109</v>
      </c>
      <c r="J920" s="3">
        <f t="shared" si="14"/>
        <v>45115</v>
      </c>
      <c r="K920" s="4">
        <v>79.445571999999999</v>
      </c>
      <c r="L920">
        <v>54240</v>
      </c>
    </row>
    <row r="921" spans="1:12" x14ac:dyDescent="0.35">
      <c r="A921" t="s">
        <v>8</v>
      </c>
      <c r="B921" t="s">
        <v>9</v>
      </c>
      <c r="C921" t="s">
        <v>36</v>
      </c>
      <c r="D921" t="str" cm="1">
        <f t="array" ref="D921">INDEX(_xlfn.TEXTSPLIT(C921,"_"),3)</f>
        <v>bfr</v>
      </c>
      <c r="E921" t="str">
        <f>VLOOKUP(D921,FranchiseMapping!$A$1:$B$15,2,FALSE)</f>
        <v>Full Rescue</v>
      </c>
      <c r="F921" s="1">
        <v>45658</v>
      </c>
      <c r="G921" t="s">
        <v>12</v>
      </c>
      <c r="H921" s="2">
        <v>45778</v>
      </c>
      <c r="I921" s="3">
        <v>45784</v>
      </c>
      <c r="J921" s="3">
        <f t="shared" si="14"/>
        <v>45787</v>
      </c>
      <c r="K921" s="4">
        <v>1347.1899979999998</v>
      </c>
      <c r="L921">
        <v>272768</v>
      </c>
    </row>
    <row r="922" spans="1:12" x14ac:dyDescent="0.35">
      <c r="A922" t="s">
        <v>8</v>
      </c>
      <c r="B922" t="s">
        <v>14</v>
      </c>
      <c r="C922" t="s">
        <v>43</v>
      </c>
      <c r="D922" t="str" cm="1">
        <f t="array" ref="D922">INDEX(_xlfn.TEXTSPLIT(C922,"_"),3)</f>
        <v>bfr</v>
      </c>
      <c r="E922" t="str">
        <f>VLOOKUP(D922,FranchiseMapping!$A$1:$B$15,2,FALSE)</f>
        <v>Full Rescue</v>
      </c>
      <c r="F922" s="1">
        <v>45658</v>
      </c>
      <c r="G922" t="s">
        <v>10</v>
      </c>
      <c r="H922" s="2">
        <v>45809</v>
      </c>
      <c r="I922" s="3">
        <v>45832</v>
      </c>
      <c r="J922" s="3">
        <f t="shared" si="14"/>
        <v>45836</v>
      </c>
      <c r="K922" s="4">
        <v>4478.0599999999995</v>
      </c>
      <c r="L922">
        <v>810606</v>
      </c>
    </row>
    <row r="923" spans="1:12" x14ac:dyDescent="0.35">
      <c r="A923" t="s">
        <v>8</v>
      </c>
      <c r="B923" t="s">
        <v>14</v>
      </c>
      <c r="C923" t="s">
        <v>47</v>
      </c>
      <c r="D923" t="str" cm="1">
        <f t="array" ref="D923">INDEX(_xlfn.TEXTSPLIT(C923,"_"),3)</f>
        <v>hys</v>
      </c>
      <c r="E923" t="str">
        <f>VLOOKUP(D923,FranchiseMapping!$A$1:$B$15,2,FALSE)</f>
        <v>Hydrasource</v>
      </c>
      <c r="F923" s="1">
        <v>45658</v>
      </c>
      <c r="G923" t="s">
        <v>12</v>
      </c>
      <c r="H923" s="2">
        <v>45748</v>
      </c>
      <c r="I923" s="3">
        <v>45757</v>
      </c>
      <c r="J923" s="3">
        <f t="shared" si="14"/>
        <v>45759</v>
      </c>
      <c r="K923" s="4">
        <v>2304.94</v>
      </c>
      <c r="L923">
        <v>541849</v>
      </c>
    </row>
    <row r="924" spans="1:12" x14ac:dyDescent="0.35">
      <c r="A924" t="s">
        <v>8</v>
      </c>
      <c r="B924" t="s">
        <v>14</v>
      </c>
      <c r="C924" t="s">
        <v>29</v>
      </c>
      <c r="D924" t="str" cm="1">
        <f t="array" ref="D924">INDEX(_xlfn.TEXTSPLIT(C924,"_"),3)</f>
        <v>bfr</v>
      </c>
      <c r="E924" t="str">
        <f>VLOOKUP(D924,FranchiseMapping!$A$1:$B$15,2,FALSE)</f>
        <v>Full Rescue</v>
      </c>
      <c r="F924" s="1">
        <v>45658</v>
      </c>
      <c r="G924" t="s">
        <v>10</v>
      </c>
      <c r="H924" s="2">
        <v>45809</v>
      </c>
      <c r="I924" s="3">
        <v>45830</v>
      </c>
      <c r="J924" s="3">
        <f t="shared" si="14"/>
        <v>45836</v>
      </c>
      <c r="K924" s="4">
        <v>1159.3000000000002</v>
      </c>
      <c r="L924">
        <v>169265</v>
      </c>
    </row>
    <row r="925" spans="1:12" x14ac:dyDescent="0.35">
      <c r="A925" t="s">
        <v>8</v>
      </c>
      <c r="B925" t="s">
        <v>9</v>
      </c>
      <c r="C925" t="s">
        <v>33</v>
      </c>
      <c r="D925" t="str" cm="1">
        <f t="array" ref="D925">INDEX(_xlfn.TEXTSPLIT(C925,"_"),3)</f>
        <v>hydrasource</v>
      </c>
      <c r="E925" t="str">
        <f>VLOOKUP(D925,FranchiseMapping!$A$1:$B$15,2,FALSE)</f>
        <v>Hydrasource</v>
      </c>
      <c r="F925" s="1">
        <v>45292</v>
      </c>
      <c r="G925" t="s">
        <v>11</v>
      </c>
      <c r="H925" s="2">
        <v>45292</v>
      </c>
      <c r="I925" s="3">
        <v>45312</v>
      </c>
      <c r="J925" s="3">
        <f t="shared" si="14"/>
        <v>45318</v>
      </c>
      <c r="K925" s="4">
        <v>1578.3300049999998</v>
      </c>
      <c r="L925">
        <v>508974</v>
      </c>
    </row>
    <row r="926" spans="1:12" x14ac:dyDescent="0.35">
      <c r="A926" t="s">
        <v>8</v>
      </c>
      <c r="B926" t="s">
        <v>9</v>
      </c>
      <c r="C926" t="s">
        <v>64</v>
      </c>
      <c r="D926" t="str" cm="1">
        <f t="array" ref="D926">INDEX(_xlfn.TEXTSPLIT(C926,"_"),3)</f>
        <v>mult</v>
      </c>
      <c r="E926" t="str">
        <f>VLOOKUP(D926,FranchiseMapping!$A$1:$B$15,2,FALSE)</f>
        <v>Biolage</v>
      </c>
      <c r="F926" s="1">
        <v>45292</v>
      </c>
      <c r="G926" t="s">
        <v>12</v>
      </c>
      <c r="H926" s="2">
        <v>45597</v>
      </c>
      <c r="I926" s="3">
        <v>45617</v>
      </c>
      <c r="J926" s="3">
        <f t="shared" si="14"/>
        <v>45619</v>
      </c>
      <c r="K926" s="4">
        <v>6338.4999990000006</v>
      </c>
      <c r="L926">
        <v>495869</v>
      </c>
    </row>
    <row r="927" spans="1:12" x14ac:dyDescent="0.35">
      <c r="A927" t="s">
        <v>8</v>
      </c>
      <c r="B927" t="s">
        <v>9</v>
      </c>
      <c r="C927" t="s">
        <v>52</v>
      </c>
      <c r="D927" t="str" cm="1">
        <f t="array" ref="D927">INDEX(_xlfn.TEXTSPLIT(C927,"_"),3)</f>
        <v>bond-therapy</v>
      </c>
      <c r="E927" t="str">
        <f>VLOOKUP(D927,FranchiseMapping!$A$1:$B$15,2,FALSE)</f>
        <v>Bond Therapy</v>
      </c>
      <c r="F927" s="1">
        <v>44927</v>
      </c>
      <c r="G927" t="s">
        <v>11</v>
      </c>
      <c r="H927" s="2">
        <v>45261</v>
      </c>
      <c r="I927" s="3">
        <v>45271</v>
      </c>
      <c r="J927" s="3">
        <f t="shared" si="14"/>
        <v>45276</v>
      </c>
      <c r="K927" s="4">
        <v>2886.6199990000005</v>
      </c>
      <c r="L927">
        <v>510025</v>
      </c>
    </row>
    <row r="928" spans="1:12" x14ac:dyDescent="0.35">
      <c r="A928" t="s">
        <v>8</v>
      </c>
      <c r="B928" t="s">
        <v>9</v>
      </c>
      <c r="C928" t="s">
        <v>36</v>
      </c>
      <c r="D928" t="str" cm="1">
        <f t="array" ref="D928">INDEX(_xlfn.TEXTSPLIT(C928,"_"),3)</f>
        <v>bfr</v>
      </c>
      <c r="E928" t="str">
        <f>VLOOKUP(D928,FranchiseMapping!$A$1:$B$15,2,FALSE)</f>
        <v>Full Rescue</v>
      </c>
      <c r="F928" s="1">
        <v>45658</v>
      </c>
      <c r="G928" t="s">
        <v>10</v>
      </c>
      <c r="H928" s="2">
        <v>45778</v>
      </c>
      <c r="I928" s="3">
        <v>45790</v>
      </c>
      <c r="J928" s="3">
        <f t="shared" si="14"/>
        <v>45794</v>
      </c>
      <c r="K928" s="4">
        <v>2202.6299989999993</v>
      </c>
      <c r="L928">
        <v>452183</v>
      </c>
    </row>
    <row r="929" spans="1:12" x14ac:dyDescent="0.35">
      <c r="A929" t="s">
        <v>8</v>
      </c>
      <c r="B929" t="s">
        <v>9</v>
      </c>
      <c r="C929" t="s">
        <v>40</v>
      </c>
      <c r="D929" t="str" cm="1">
        <f t="array" ref="D929">INDEX(_xlfn.TEXTSPLIT(C929,"_"),3)</f>
        <v>hydrasource</v>
      </c>
      <c r="E929" t="str">
        <f>VLOOKUP(D929,FranchiseMapping!$A$1:$B$15,2,FALSE)</f>
        <v>Hydrasource</v>
      </c>
      <c r="F929" s="1">
        <v>45292</v>
      </c>
      <c r="G929" t="s">
        <v>12</v>
      </c>
      <c r="H929" s="2">
        <v>45323</v>
      </c>
      <c r="I929" s="3">
        <v>45346</v>
      </c>
      <c r="J929" s="3">
        <f t="shared" si="14"/>
        <v>45346</v>
      </c>
      <c r="K929" s="4">
        <v>3369.6199959999999</v>
      </c>
      <c r="L929">
        <v>509373</v>
      </c>
    </row>
    <row r="930" spans="1:12" x14ac:dyDescent="0.35">
      <c r="A930" t="s">
        <v>8</v>
      </c>
      <c r="B930" t="s">
        <v>9</v>
      </c>
      <c r="C930" t="s">
        <v>55</v>
      </c>
      <c r="D930" t="str" cm="1">
        <f t="array" ref="D930">INDEX(_xlfn.TEXTSPLIT(C930,"_"),3)</f>
        <v>hydrasource</v>
      </c>
      <c r="E930" t="str">
        <f>VLOOKUP(D930,FranchiseMapping!$A$1:$B$15,2,FALSE)</f>
        <v>Hydrasource</v>
      </c>
      <c r="F930" s="1">
        <v>45292</v>
      </c>
      <c r="G930" t="s">
        <v>12</v>
      </c>
      <c r="H930" s="2">
        <v>45536</v>
      </c>
      <c r="I930" s="3">
        <v>45560</v>
      </c>
      <c r="J930" s="3">
        <f t="shared" si="14"/>
        <v>45563</v>
      </c>
      <c r="K930" s="4">
        <v>3539.3500079999999</v>
      </c>
      <c r="L930">
        <v>550164</v>
      </c>
    </row>
    <row r="931" spans="1:12" x14ac:dyDescent="0.35">
      <c r="A931" t="s">
        <v>8</v>
      </c>
      <c r="B931" t="s">
        <v>9</v>
      </c>
      <c r="C931" t="s">
        <v>31</v>
      </c>
      <c r="D931" t="str" cm="1">
        <f t="array" ref="D931">INDEX(_xlfn.TEXTSPLIT(C931,"_"),3)</f>
        <v>scalp</v>
      </c>
      <c r="E931" t="str">
        <f>VLOOKUP(D931,FranchiseMapping!$A$1:$B$15,2,FALSE)</f>
        <v>Scalp Sync</v>
      </c>
      <c r="F931" s="1">
        <v>45292</v>
      </c>
      <c r="G931" t="s">
        <v>10</v>
      </c>
      <c r="H931" s="2">
        <v>45383</v>
      </c>
      <c r="I931" s="3">
        <v>45395</v>
      </c>
      <c r="J931" s="3">
        <f t="shared" si="14"/>
        <v>45395</v>
      </c>
      <c r="K931" s="4">
        <v>124.990004</v>
      </c>
      <c r="L931">
        <v>20311</v>
      </c>
    </row>
    <row r="932" spans="1:12" x14ac:dyDescent="0.35">
      <c r="A932" t="s">
        <v>8</v>
      </c>
      <c r="B932" t="s">
        <v>13</v>
      </c>
      <c r="C932" t="s">
        <v>51</v>
      </c>
      <c r="D932" t="str" cm="1">
        <f t="array" ref="D932">INDEX(_xlfn.TEXTSPLIT(C932,"_"),3)</f>
        <v>na</v>
      </c>
      <c r="E932" t="str">
        <f>VLOOKUP(D932,FranchiseMapping!$A$1:$B$15,2,FALSE)</f>
        <v>Biolage</v>
      </c>
      <c r="F932" s="1">
        <v>44927</v>
      </c>
      <c r="G932" t="s">
        <v>11</v>
      </c>
      <c r="H932" s="2">
        <v>45139</v>
      </c>
      <c r="I932" s="3">
        <v>45156</v>
      </c>
      <c r="J932" s="3">
        <f t="shared" si="14"/>
        <v>45157</v>
      </c>
      <c r="K932" s="4">
        <v>763.07808399999999</v>
      </c>
      <c r="L932">
        <v>322186</v>
      </c>
    </row>
    <row r="933" spans="1:12" x14ac:dyDescent="0.35">
      <c r="A933" t="s">
        <v>8</v>
      </c>
      <c r="B933" t="s">
        <v>9</v>
      </c>
      <c r="C933" t="s">
        <v>31</v>
      </c>
      <c r="D933" t="str" cm="1">
        <f t="array" ref="D933">INDEX(_xlfn.TEXTSPLIT(C933,"_"),3)</f>
        <v>scalp</v>
      </c>
      <c r="E933" t="str">
        <f>VLOOKUP(D933,FranchiseMapping!$A$1:$B$15,2,FALSE)</f>
        <v>Scalp Sync</v>
      </c>
      <c r="F933" s="1">
        <v>45292</v>
      </c>
      <c r="G933" t="s">
        <v>10</v>
      </c>
      <c r="H933" s="2">
        <v>45352</v>
      </c>
      <c r="I933" s="3">
        <v>45370</v>
      </c>
      <c r="J933" s="3">
        <f t="shared" si="14"/>
        <v>45374</v>
      </c>
      <c r="K933" s="4">
        <v>1611.2199989999999</v>
      </c>
      <c r="L933">
        <v>224667</v>
      </c>
    </row>
    <row r="934" spans="1:12" x14ac:dyDescent="0.35">
      <c r="A934" t="s">
        <v>8</v>
      </c>
      <c r="B934" t="s">
        <v>9</v>
      </c>
      <c r="C934" t="s">
        <v>48</v>
      </c>
      <c r="D934" t="str" cm="1">
        <f t="array" ref="D934">INDEX(_xlfn.TEXTSPLIT(C934,"_"),3)</f>
        <v>scalp</v>
      </c>
      <c r="E934" t="str">
        <f>VLOOKUP(D934,FranchiseMapping!$A$1:$B$15,2,FALSE)</f>
        <v>Scalp Sync</v>
      </c>
      <c r="F934" s="1">
        <v>45292</v>
      </c>
      <c r="G934" t="s">
        <v>10</v>
      </c>
      <c r="H934" s="2">
        <v>45352</v>
      </c>
      <c r="I934" s="3">
        <v>45370</v>
      </c>
      <c r="J934" s="3">
        <f t="shared" si="14"/>
        <v>45374</v>
      </c>
      <c r="K934" s="4">
        <v>952.55</v>
      </c>
      <c r="L934">
        <v>232279</v>
      </c>
    </row>
    <row r="935" spans="1:12" x14ac:dyDescent="0.35">
      <c r="A935" t="s">
        <v>8</v>
      </c>
      <c r="B935" t="s">
        <v>9</v>
      </c>
      <c r="C935" t="s">
        <v>35</v>
      </c>
      <c r="D935" t="str" cm="1">
        <f t="array" ref="D935">INDEX(_xlfn.TEXTSPLIT(C935,"_"),3)</f>
        <v>bfr</v>
      </c>
      <c r="E935" t="str">
        <f>VLOOKUP(D935,FranchiseMapping!$A$1:$B$15,2,FALSE)</f>
        <v>Full Rescue</v>
      </c>
      <c r="F935" s="1">
        <v>45658</v>
      </c>
      <c r="G935" t="s">
        <v>10</v>
      </c>
      <c r="H935" s="2">
        <v>45809</v>
      </c>
      <c r="I935" s="3">
        <v>45816</v>
      </c>
      <c r="J935" s="3">
        <f t="shared" si="14"/>
        <v>45822</v>
      </c>
      <c r="K935" s="4">
        <v>52.949999999999996</v>
      </c>
      <c r="L935">
        <v>6265</v>
      </c>
    </row>
    <row r="936" spans="1:12" x14ac:dyDescent="0.35">
      <c r="A936" t="s">
        <v>8</v>
      </c>
      <c r="B936" t="s">
        <v>9</v>
      </c>
      <c r="C936" t="s">
        <v>65</v>
      </c>
      <c r="D936" t="str" cm="1">
        <f t="array" ref="D936">INDEX(_xlfn.TEXTSPLIT(C936,"_"),3)</f>
        <v>prime-day</v>
      </c>
      <c r="E936" t="str">
        <f>VLOOKUP(D936,FranchiseMapping!$A$1:$B$15,2,FALSE)</f>
        <v>Prime Day</v>
      </c>
      <c r="F936" s="1">
        <v>45292</v>
      </c>
      <c r="G936" t="s">
        <v>10</v>
      </c>
      <c r="H936" s="2">
        <v>45474</v>
      </c>
      <c r="I936" s="3">
        <v>45486</v>
      </c>
      <c r="J936" s="3">
        <f t="shared" si="14"/>
        <v>45486</v>
      </c>
      <c r="K936" s="4">
        <v>2489.3800010000004</v>
      </c>
      <c r="L936">
        <v>208050</v>
      </c>
    </row>
    <row r="937" spans="1:12" x14ac:dyDescent="0.35">
      <c r="A937" t="s">
        <v>8</v>
      </c>
      <c r="B937" t="s">
        <v>9</v>
      </c>
      <c r="C937" t="s">
        <v>34</v>
      </c>
      <c r="D937" t="str" cm="1">
        <f t="array" ref="D937">INDEX(_xlfn.TEXTSPLIT(C937,"_"),3)</f>
        <v>hydrasource</v>
      </c>
      <c r="E937" t="str">
        <f>VLOOKUP(D937,FranchiseMapping!$A$1:$B$15,2,FALSE)</f>
        <v>Hydrasource</v>
      </c>
      <c r="F937" s="1">
        <v>45292</v>
      </c>
      <c r="G937" t="s">
        <v>12</v>
      </c>
      <c r="H937" s="2">
        <v>45292</v>
      </c>
      <c r="I937" s="3">
        <v>45318</v>
      </c>
      <c r="J937" s="3">
        <f t="shared" si="14"/>
        <v>45318</v>
      </c>
      <c r="K937" s="4">
        <v>663.99000200000012</v>
      </c>
      <c r="L937">
        <v>160451</v>
      </c>
    </row>
    <row r="938" spans="1:12" x14ac:dyDescent="0.35">
      <c r="A938" t="s">
        <v>8</v>
      </c>
      <c r="B938" t="s">
        <v>13</v>
      </c>
      <c r="C938" t="s">
        <v>28</v>
      </c>
      <c r="D938" t="str" cm="1">
        <f t="array" ref="D938">INDEX(_xlfn.TEXTSPLIT(C938,"_"),3)</f>
        <v>na</v>
      </c>
      <c r="E938" t="str">
        <f>VLOOKUP(D938,FranchiseMapping!$A$1:$B$15,2,FALSE)</f>
        <v>Biolage</v>
      </c>
      <c r="F938" s="1">
        <v>44927</v>
      </c>
      <c r="G938" t="s">
        <v>12</v>
      </c>
      <c r="H938" s="2">
        <v>45108</v>
      </c>
      <c r="I938" s="3">
        <v>45126</v>
      </c>
      <c r="J938" s="3">
        <f t="shared" si="14"/>
        <v>45129</v>
      </c>
      <c r="K938" s="4">
        <v>149.960249</v>
      </c>
      <c r="L938">
        <v>74819</v>
      </c>
    </row>
    <row r="939" spans="1:12" x14ac:dyDescent="0.35">
      <c r="A939" t="s">
        <v>8</v>
      </c>
      <c r="B939" t="s">
        <v>9</v>
      </c>
      <c r="C939" t="s">
        <v>48</v>
      </c>
      <c r="D939" t="str" cm="1">
        <f t="array" ref="D939">INDEX(_xlfn.TEXTSPLIT(C939,"_"),3)</f>
        <v>scalp</v>
      </c>
      <c r="E939" t="str">
        <f>VLOOKUP(D939,FranchiseMapping!$A$1:$B$15,2,FALSE)</f>
        <v>Scalp Sync</v>
      </c>
      <c r="F939" s="1">
        <v>45292</v>
      </c>
      <c r="G939" t="s">
        <v>12</v>
      </c>
      <c r="H939" s="2">
        <v>45383</v>
      </c>
      <c r="I939" s="3">
        <v>45390</v>
      </c>
      <c r="J939" s="3">
        <f t="shared" si="14"/>
        <v>45395</v>
      </c>
      <c r="K939" s="4">
        <v>799.28999700000008</v>
      </c>
      <c r="L939">
        <v>210262</v>
      </c>
    </row>
    <row r="940" spans="1:12" x14ac:dyDescent="0.35">
      <c r="A940" t="s">
        <v>8</v>
      </c>
      <c r="B940" t="s">
        <v>9</v>
      </c>
      <c r="C940" t="s">
        <v>41</v>
      </c>
      <c r="D940" t="str" cm="1">
        <f t="array" ref="D940">INDEX(_xlfn.TEXTSPLIT(C940,"_"),3)</f>
        <v>hys</v>
      </c>
      <c r="E940" t="str">
        <f>VLOOKUP(D940,FranchiseMapping!$A$1:$B$15,2,FALSE)</f>
        <v>Hydrasource</v>
      </c>
      <c r="F940" s="1">
        <v>45658</v>
      </c>
      <c r="G940" t="s">
        <v>12</v>
      </c>
      <c r="H940" s="2">
        <v>45748</v>
      </c>
      <c r="I940" s="3">
        <v>45756</v>
      </c>
      <c r="J940" s="3">
        <f t="shared" si="14"/>
        <v>45759</v>
      </c>
      <c r="K940" s="4">
        <v>3812.849995</v>
      </c>
      <c r="L940">
        <v>469749</v>
      </c>
    </row>
    <row r="941" spans="1:12" x14ac:dyDescent="0.35">
      <c r="A941" t="s">
        <v>8</v>
      </c>
      <c r="B941" t="s">
        <v>13</v>
      </c>
      <c r="C941" t="s">
        <v>42</v>
      </c>
      <c r="D941" t="str" cm="1">
        <f t="array" ref="D941">INDEX(_xlfn.TEXTSPLIT(C941,"_"),3)</f>
        <v>bfr</v>
      </c>
      <c r="E941" t="str">
        <f>VLOOKUP(D941,FranchiseMapping!$A$1:$B$15,2,FALSE)</f>
        <v>Full Rescue</v>
      </c>
      <c r="F941" s="1">
        <v>45658</v>
      </c>
      <c r="G941" t="s">
        <v>12</v>
      </c>
      <c r="H941" s="2">
        <v>45809</v>
      </c>
      <c r="I941" s="3">
        <v>45838</v>
      </c>
      <c r="J941" s="3">
        <f t="shared" si="14"/>
        <v>45843</v>
      </c>
      <c r="K941" s="4">
        <v>1384.9005449999997</v>
      </c>
      <c r="L941">
        <v>749633</v>
      </c>
    </row>
    <row r="942" spans="1:12" x14ac:dyDescent="0.35">
      <c r="A942" t="s">
        <v>8</v>
      </c>
      <c r="B942" t="s">
        <v>9</v>
      </c>
      <c r="C942" t="s">
        <v>48</v>
      </c>
      <c r="D942" t="str" cm="1">
        <f t="array" ref="D942">INDEX(_xlfn.TEXTSPLIT(C942,"_"),3)</f>
        <v>scalp</v>
      </c>
      <c r="E942" t="str">
        <f>VLOOKUP(D942,FranchiseMapping!$A$1:$B$15,2,FALSE)</f>
        <v>Scalp Sync</v>
      </c>
      <c r="F942" s="1">
        <v>45292</v>
      </c>
      <c r="G942" t="s">
        <v>10</v>
      </c>
      <c r="H942" s="2">
        <v>45383</v>
      </c>
      <c r="I942" s="3">
        <v>45401</v>
      </c>
      <c r="J942" s="3">
        <f t="shared" si="14"/>
        <v>45402</v>
      </c>
      <c r="K942" s="4">
        <v>243.5</v>
      </c>
      <c r="L942">
        <v>59651</v>
      </c>
    </row>
    <row r="943" spans="1:12" x14ac:dyDescent="0.35">
      <c r="A943" t="s">
        <v>8</v>
      </c>
      <c r="B943" t="s">
        <v>14</v>
      </c>
      <c r="C943" t="s">
        <v>37</v>
      </c>
      <c r="D943" t="str" cm="1">
        <f t="array" ref="D943">INDEX(_xlfn.TEXTSPLIT(C943,"_"),3)</f>
        <v>mult</v>
      </c>
      <c r="E943" t="str">
        <f>VLOOKUP(D943,FranchiseMapping!$A$1:$B$15,2,FALSE)</f>
        <v>Biolage</v>
      </c>
      <c r="F943" s="1">
        <v>45658</v>
      </c>
      <c r="G943" t="s">
        <v>12</v>
      </c>
      <c r="H943" s="2">
        <v>45778</v>
      </c>
      <c r="I943" s="3">
        <v>45794</v>
      </c>
      <c r="J943" s="3">
        <f t="shared" si="14"/>
        <v>45794</v>
      </c>
      <c r="K943" s="4">
        <v>2102.2199999999998</v>
      </c>
      <c r="L943">
        <v>557760</v>
      </c>
    </row>
    <row r="944" spans="1:12" x14ac:dyDescent="0.35">
      <c r="A944" t="s">
        <v>8</v>
      </c>
      <c r="B944" t="s">
        <v>9</v>
      </c>
      <c r="C944" t="s">
        <v>31</v>
      </c>
      <c r="D944" t="str" cm="1">
        <f t="array" ref="D944">INDEX(_xlfn.TEXTSPLIT(C944,"_"),3)</f>
        <v>scalp</v>
      </c>
      <c r="E944" t="str">
        <f>VLOOKUP(D944,FranchiseMapping!$A$1:$B$15,2,FALSE)</f>
        <v>Scalp Sync</v>
      </c>
      <c r="F944" s="1">
        <v>45292</v>
      </c>
      <c r="G944" t="s">
        <v>12</v>
      </c>
      <c r="H944" s="2">
        <v>45383</v>
      </c>
      <c r="I944" s="3">
        <v>45393</v>
      </c>
      <c r="J944" s="3">
        <f t="shared" si="14"/>
        <v>45395</v>
      </c>
      <c r="K944" s="4">
        <v>1439.870007</v>
      </c>
      <c r="L944">
        <v>233159</v>
      </c>
    </row>
    <row r="945" spans="1:12" x14ac:dyDescent="0.35">
      <c r="A945" t="s">
        <v>8</v>
      </c>
      <c r="B945" t="s">
        <v>9</v>
      </c>
      <c r="C945" t="s">
        <v>61</v>
      </c>
      <c r="D945" t="str" cm="1">
        <f t="array" ref="D945">INDEX(_xlfn.TEXTSPLIT(C945,"_"),3)</f>
        <v>prime-day</v>
      </c>
      <c r="E945" t="str">
        <f>VLOOKUP(D945,FranchiseMapping!$A$1:$B$15,2,FALSE)</f>
        <v>Prime Day</v>
      </c>
      <c r="F945" s="1">
        <v>45292</v>
      </c>
      <c r="G945" t="s">
        <v>10</v>
      </c>
      <c r="H945" s="2">
        <v>45474</v>
      </c>
      <c r="I945" s="3">
        <v>45485</v>
      </c>
      <c r="J945" s="3">
        <f t="shared" si="14"/>
        <v>45486</v>
      </c>
      <c r="K945" s="4">
        <v>3218.6100100000003</v>
      </c>
      <c r="L945">
        <v>508747</v>
      </c>
    </row>
    <row r="946" spans="1:12" x14ac:dyDescent="0.35">
      <c r="A946" t="s">
        <v>8</v>
      </c>
      <c r="B946" t="s">
        <v>9</v>
      </c>
      <c r="C946" t="s">
        <v>48</v>
      </c>
      <c r="D946" t="str" cm="1">
        <f t="array" ref="D946">INDEX(_xlfn.TEXTSPLIT(C946,"_"),3)</f>
        <v>scalp</v>
      </c>
      <c r="E946" t="str">
        <f>VLOOKUP(D946,FranchiseMapping!$A$1:$B$15,2,FALSE)</f>
        <v>Scalp Sync</v>
      </c>
      <c r="F946" s="1">
        <v>45292</v>
      </c>
      <c r="G946" t="s">
        <v>12</v>
      </c>
      <c r="H946" s="2">
        <v>45352</v>
      </c>
      <c r="I946" s="3">
        <v>45381</v>
      </c>
      <c r="J946" s="3">
        <f t="shared" si="14"/>
        <v>45381</v>
      </c>
      <c r="K946" s="4">
        <v>839.3</v>
      </c>
      <c r="L946">
        <v>179544</v>
      </c>
    </row>
    <row r="947" spans="1:12" x14ac:dyDescent="0.35">
      <c r="A947" t="s">
        <v>8</v>
      </c>
      <c r="B947" t="s">
        <v>14</v>
      </c>
      <c r="C947" t="s">
        <v>43</v>
      </c>
      <c r="D947" t="str" cm="1">
        <f t="array" ref="D947">INDEX(_xlfn.TEXTSPLIT(C947,"_"),3)</f>
        <v>bfr</v>
      </c>
      <c r="E947" t="str">
        <f>VLOOKUP(D947,FranchiseMapping!$A$1:$B$15,2,FALSE)</f>
        <v>Full Rescue</v>
      </c>
      <c r="F947" s="1">
        <v>45658</v>
      </c>
      <c r="G947" t="s">
        <v>12</v>
      </c>
      <c r="H947" s="2">
        <v>45809</v>
      </c>
      <c r="I947" s="3">
        <v>45824</v>
      </c>
      <c r="J947" s="3">
        <f t="shared" si="14"/>
        <v>45829</v>
      </c>
      <c r="K947" s="4">
        <v>4975.3599999999997</v>
      </c>
      <c r="L947">
        <v>998117</v>
      </c>
    </row>
    <row r="948" spans="1:12" x14ac:dyDescent="0.35">
      <c r="A948" t="s">
        <v>8</v>
      </c>
      <c r="B948" t="s">
        <v>9</v>
      </c>
      <c r="C948" t="s">
        <v>45</v>
      </c>
      <c r="D948" t="str" cm="1">
        <f t="array" ref="D948">INDEX(_xlfn.TEXTSPLIT(C948,"_"),3)</f>
        <v>hydrasource</v>
      </c>
      <c r="E948" t="str">
        <f>VLOOKUP(D948,FranchiseMapping!$A$1:$B$15,2,FALSE)</f>
        <v>Hydrasource</v>
      </c>
      <c r="F948" s="1">
        <v>45292</v>
      </c>
      <c r="G948" t="s">
        <v>12</v>
      </c>
      <c r="H948" s="2">
        <v>45566</v>
      </c>
      <c r="I948" s="3">
        <v>45595</v>
      </c>
      <c r="J948" s="3">
        <f t="shared" si="14"/>
        <v>45598</v>
      </c>
      <c r="K948" s="4">
        <v>2482.8400029999998</v>
      </c>
      <c r="L948">
        <v>254412</v>
      </c>
    </row>
    <row r="949" spans="1:12" x14ac:dyDescent="0.35">
      <c r="A949" t="s">
        <v>8</v>
      </c>
      <c r="B949" t="s">
        <v>13</v>
      </c>
      <c r="C949" t="s">
        <v>51</v>
      </c>
      <c r="D949" t="str" cm="1">
        <f t="array" ref="D949">INDEX(_xlfn.TEXTSPLIT(C949,"_"),3)</f>
        <v>na</v>
      </c>
      <c r="E949" t="str">
        <f>VLOOKUP(D949,FranchiseMapping!$A$1:$B$15,2,FALSE)</f>
        <v>Biolage</v>
      </c>
      <c r="F949" s="1">
        <v>44927</v>
      </c>
      <c r="G949" t="s">
        <v>11</v>
      </c>
      <c r="H949" s="2">
        <v>45108</v>
      </c>
      <c r="I949" s="3">
        <v>45124</v>
      </c>
      <c r="J949" s="3">
        <f t="shared" si="14"/>
        <v>45129</v>
      </c>
      <c r="K949" s="4">
        <v>640.24531300000001</v>
      </c>
      <c r="L949">
        <v>400385</v>
      </c>
    </row>
    <row r="950" spans="1:12" x14ac:dyDescent="0.35">
      <c r="A950" t="s">
        <v>8</v>
      </c>
      <c r="B950" t="s">
        <v>14</v>
      </c>
      <c r="C950" t="s">
        <v>37</v>
      </c>
      <c r="D950" t="str" cm="1">
        <f t="array" ref="D950">INDEX(_xlfn.TEXTSPLIT(C950,"_"),3)</f>
        <v>mult</v>
      </c>
      <c r="E950" t="str">
        <f>VLOOKUP(D950,FranchiseMapping!$A$1:$B$15,2,FALSE)</f>
        <v>Biolage</v>
      </c>
      <c r="F950" s="1">
        <v>45658</v>
      </c>
      <c r="G950" t="s">
        <v>10</v>
      </c>
      <c r="H950" s="2">
        <v>45748</v>
      </c>
      <c r="I950" s="3">
        <v>45771</v>
      </c>
      <c r="J950" s="3">
        <f t="shared" si="14"/>
        <v>45773</v>
      </c>
      <c r="K950" s="4">
        <v>1532.35</v>
      </c>
      <c r="L950">
        <v>383227</v>
      </c>
    </row>
    <row r="951" spans="1:12" x14ac:dyDescent="0.35">
      <c r="A951" t="s">
        <v>8</v>
      </c>
      <c r="B951" t="s">
        <v>9</v>
      </c>
      <c r="C951" t="s">
        <v>36</v>
      </c>
      <c r="D951" t="str" cm="1">
        <f t="array" ref="D951">INDEX(_xlfn.TEXTSPLIT(C951,"_"),3)</f>
        <v>bfr</v>
      </c>
      <c r="E951" t="str">
        <f>VLOOKUP(D951,FranchiseMapping!$A$1:$B$15,2,FALSE)</f>
        <v>Full Rescue</v>
      </c>
      <c r="F951" s="1">
        <v>45658</v>
      </c>
      <c r="G951" t="s">
        <v>12</v>
      </c>
      <c r="H951" s="2">
        <v>45778</v>
      </c>
      <c r="I951" s="3">
        <v>45801</v>
      </c>
      <c r="J951" s="3">
        <f t="shared" si="14"/>
        <v>45801</v>
      </c>
      <c r="K951" s="4">
        <v>2597.6099979999999</v>
      </c>
      <c r="L951">
        <v>404547</v>
      </c>
    </row>
    <row r="952" spans="1:12" x14ac:dyDescent="0.35">
      <c r="A952" t="s">
        <v>8</v>
      </c>
      <c r="B952" t="s">
        <v>9</v>
      </c>
      <c r="C952" t="s">
        <v>33</v>
      </c>
      <c r="D952" t="str" cm="1">
        <f t="array" ref="D952">INDEX(_xlfn.TEXTSPLIT(C952,"_"),3)</f>
        <v>hydrasource</v>
      </c>
      <c r="E952" t="str">
        <f>VLOOKUP(D952,FranchiseMapping!$A$1:$B$15,2,FALSE)</f>
        <v>Hydrasource</v>
      </c>
      <c r="F952" s="1">
        <v>45292</v>
      </c>
      <c r="G952" t="s">
        <v>11</v>
      </c>
      <c r="H952" s="2">
        <v>45323</v>
      </c>
      <c r="I952" s="3">
        <v>45338</v>
      </c>
      <c r="J952" s="3">
        <f t="shared" si="14"/>
        <v>45339</v>
      </c>
      <c r="K952" s="4">
        <v>1162.3100010000003</v>
      </c>
      <c r="L952">
        <v>174805</v>
      </c>
    </row>
    <row r="953" spans="1:12" x14ac:dyDescent="0.35">
      <c r="A953" t="s">
        <v>8</v>
      </c>
      <c r="B953" t="s">
        <v>13</v>
      </c>
      <c r="C953" t="s">
        <v>51</v>
      </c>
      <c r="D953" t="str" cm="1">
        <f t="array" ref="D953">INDEX(_xlfn.TEXTSPLIT(C953,"_"),3)</f>
        <v>na</v>
      </c>
      <c r="E953" t="str">
        <f>VLOOKUP(D953,FranchiseMapping!$A$1:$B$15,2,FALSE)</f>
        <v>Biolage</v>
      </c>
      <c r="F953" s="1">
        <v>44927</v>
      </c>
      <c r="G953" t="s">
        <v>11</v>
      </c>
      <c r="H953" s="2">
        <v>45108</v>
      </c>
      <c r="I953" s="3">
        <v>45137</v>
      </c>
      <c r="J953" s="3">
        <f t="shared" si="14"/>
        <v>45143</v>
      </c>
      <c r="K953" s="4">
        <v>733.24313099999995</v>
      </c>
      <c r="L953">
        <v>354479</v>
      </c>
    </row>
    <row r="954" spans="1:12" x14ac:dyDescent="0.35">
      <c r="A954" t="s">
        <v>8</v>
      </c>
      <c r="B954" t="s">
        <v>9</v>
      </c>
      <c r="C954" t="s">
        <v>52</v>
      </c>
      <c r="D954" t="str" cm="1">
        <f t="array" ref="D954">INDEX(_xlfn.TEXTSPLIT(C954,"_"),3)</f>
        <v>bond-therapy</v>
      </c>
      <c r="E954" t="str">
        <f>VLOOKUP(D954,FranchiseMapping!$A$1:$B$15,2,FALSE)</f>
        <v>Bond Therapy</v>
      </c>
      <c r="F954" s="1">
        <v>44927</v>
      </c>
      <c r="G954" t="s">
        <v>11</v>
      </c>
      <c r="H954" s="2">
        <v>45261</v>
      </c>
      <c r="I954" s="3">
        <v>45261</v>
      </c>
      <c r="J954" s="3">
        <f t="shared" si="14"/>
        <v>45262</v>
      </c>
      <c r="K954" s="4">
        <v>2919.7100010000004</v>
      </c>
      <c r="L954">
        <v>507150</v>
      </c>
    </row>
    <row r="955" spans="1:12" x14ac:dyDescent="0.35">
      <c r="A955" t="s">
        <v>8</v>
      </c>
      <c r="B955" t="s">
        <v>9</v>
      </c>
      <c r="C955" t="s">
        <v>60</v>
      </c>
      <c r="D955" t="str" cm="1">
        <f t="array" ref="D955">INDEX(_xlfn.TEXTSPLIT(C955,"_"),3)</f>
        <v>blowdrycream</v>
      </c>
      <c r="E955" t="str">
        <f>VLOOKUP(D955,FranchiseMapping!$A$1:$B$15,2,FALSE)</f>
        <v>Blowdry Cream</v>
      </c>
      <c r="F955" s="1">
        <v>44927</v>
      </c>
      <c r="G955" t="s">
        <v>11</v>
      </c>
      <c r="H955" s="2">
        <v>45170</v>
      </c>
      <c r="I955" s="3">
        <v>45185</v>
      </c>
      <c r="J955" s="3">
        <f t="shared" si="14"/>
        <v>45185</v>
      </c>
      <c r="K955" s="4">
        <v>1964.3799929999998</v>
      </c>
      <c r="L955">
        <v>134173</v>
      </c>
    </row>
    <row r="956" spans="1:12" x14ac:dyDescent="0.35">
      <c r="A956" t="s">
        <v>8</v>
      </c>
      <c r="B956" t="s">
        <v>14</v>
      </c>
      <c r="C956" t="s">
        <v>49</v>
      </c>
      <c r="D956" t="str" cm="1">
        <f t="array" ref="D956">INDEX(_xlfn.TEXTSPLIT(C956,"_"),3)</f>
        <v>hys</v>
      </c>
      <c r="E956" t="str">
        <f>VLOOKUP(D956,FranchiseMapping!$A$1:$B$15,2,FALSE)</f>
        <v>Hydrasource</v>
      </c>
      <c r="F956" s="1">
        <v>45658</v>
      </c>
      <c r="G956" t="s">
        <v>12</v>
      </c>
      <c r="H956" s="2">
        <v>45748</v>
      </c>
      <c r="I956" s="3">
        <v>45764</v>
      </c>
      <c r="J956" s="3">
        <f t="shared" si="14"/>
        <v>45766</v>
      </c>
      <c r="K956" s="4">
        <v>5287.2000000000007</v>
      </c>
      <c r="L956">
        <v>1142660</v>
      </c>
    </row>
    <row r="957" spans="1:12" x14ac:dyDescent="0.35">
      <c r="A957" t="s">
        <v>8</v>
      </c>
      <c r="B957" t="s">
        <v>9</v>
      </c>
      <c r="C957" t="s">
        <v>36</v>
      </c>
      <c r="D957" t="str" cm="1">
        <f t="array" ref="D957">INDEX(_xlfn.TEXTSPLIT(C957,"_"),3)</f>
        <v>bfr</v>
      </c>
      <c r="E957" t="str">
        <f>VLOOKUP(D957,FranchiseMapping!$A$1:$B$15,2,FALSE)</f>
        <v>Full Rescue</v>
      </c>
      <c r="F957" s="1">
        <v>45658</v>
      </c>
      <c r="G957" t="s">
        <v>10</v>
      </c>
      <c r="H957" s="2">
        <v>45778</v>
      </c>
      <c r="I957" s="3">
        <v>45788</v>
      </c>
      <c r="J957" s="3">
        <f t="shared" si="14"/>
        <v>45794</v>
      </c>
      <c r="K957" s="4">
        <v>2005.8999999999994</v>
      </c>
      <c r="L957">
        <v>483375</v>
      </c>
    </row>
    <row r="958" spans="1:12" x14ac:dyDescent="0.35">
      <c r="A958" t="s">
        <v>8</v>
      </c>
      <c r="B958" t="s">
        <v>9</v>
      </c>
      <c r="C958" t="s">
        <v>40</v>
      </c>
      <c r="D958" t="str" cm="1">
        <f t="array" ref="D958">INDEX(_xlfn.TEXTSPLIT(C958,"_"),3)</f>
        <v>hydrasource</v>
      </c>
      <c r="E958" t="str">
        <f>VLOOKUP(D958,FranchiseMapping!$A$1:$B$15,2,FALSE)</f>
        <v>Hydrasource</v>
      </c>
      <c r="F958" s="1">
        <v>45292</v>
      </c>
      <c r="G958" t="s">
        <v>12</v>
      </c>
      <c r="H958" s="2">
        <v>45292</v>
      </c>
      <c r="I958" s="3">
        <v>45311</v>
      </c>
      <c r="J958" s="3">
        <f t="shared" si="14"/>
        <v>45311</v>
      </c>
      <c r="K958" s="4">
        <v>3312.3400060000008</v>
      </c>
      <c r="L958">
        <v>602788</v>
      </c>
    </row>
    <row r="959" spans="1:12" x14ac:dyDescent="0.35">
      <c r="A959" t="s">
        <v>8</v>
      </c>
      <c r="B959" t="s">
        <v>9</v>
      </c>
      <c r="C959" t="s">
        <v>35</v>
      </c>
      <c r="D959" t="str" cm="1">
        <f t="array" ref="D959">INDEX(_xlfn.TEXTSPLIT(C959,"_"),3)</f>
        <v>bfr</v>
      </c>
      <c r="E959" t="str">
        <f>VLOOKUP(D959,FranchiseMapping!$A$1:$B$15,2,FALSE)</f>
        <v>Full Rescue</v>
      </c>
      <c r="F959" s="1">
        <v>45658</v>
      </c>
      <c r="G959" t="s">
        <v>10</v>
      </c>
      <c r="H959" s="2">
        <v>45778</v>
      </c>
      <c r="I959" s="3">
        <v>45795</v>
      </c>
      <c r="J959" s="3">
        <f t="shared" si="14"/>
        <v>45801</v>
      </c>
      <c r="K959" s="4">
        <v>9.34</v>
      </c>
      <c r="L959">
        <v>1041</v>
      </c>
    </row>
    <row r="960" spans="1:12" x14ac:dyDescent="0.35">
      <c r="A960" t="s">
        <v>8</v>
      </c>
      <c r="B960" t="s">
        <v>13</v>
      </c>
      <c r="C960" t="s">
        <v>42</v>
      </c>
      <c r="D960" t="str" cm="1">
        <f t="array" ref="D960">INDEX(_xlfn.TEXTSPLIT(C960,"_"),3)</f>
        <v>bfr</v>
      </c>
      <c r="E960" t="str">
        <f>VLOOKUP(D960,FranchiseMapping!$A$1:$B$15,2,FALSE)</f>
        <v>Full Rescue</v>
      </c>
      <c r="F960" s="1">
        <v>45658</v>
      </c>
      <c r="G960" t="s">
        <v>12</v>
      </c>
      <c r="H960" s="2">
        <v>45809</v>
      </c>
      <c r="I960" s="3">
        <v>45825</v>
      </c>
      <c r="J960" s="3">
        <f t="shared" si="14"/>
        <v>45829</v>
      </c>
      <c r="K960" s="4">
        <v>1458.6332869999999</v>
      </c>
      <c r="L960">
        <v>694504</v>
      </c>
    </row>
    <row r="961" spans="1:12" x14ac:dyDescent="0.35">
      <c r="A961" t="s">
        <v>8</v>
      </c>
      <c r="B961" t="s">
        <v>9</v>
      </c>
      <c r="C961" t="s">
        <v>55</v>
      </c>
      <c r="D961" t="str" cm="1">
        <f t="array" ref="D961">INDEX(_xlfn.TEXTSPLIT(C961,"_"),3)</f>
        <v>hydrasource</v>
      </c>
      <c r="E961" t="str">
        <f>VLOOKUP(D961,FranchiseMapping!$A$1:$B$15,2,FALSE)</f>
        <v>Hydrasource</v>
      </c>
      <c r="F961" s="1">
        <v>45292</v>
      </c>
      <c r="G961" t="s">
        <v>12</v>
      </c>
      <c r="H961" s="2">
        <v>45566</v>
      </c>
      <c r="I961" s="3">
        <v>45575</v>
      </c>
      <c r="J961" s="3">
        <f t="shared" si="14"/>
        <v>45577</v>
      </c>
      <c r="K961" s="4">
        <v>3629.6000019999988</v>
      </c>
      <c r="L961">
        <v>675461</v>
      </c>
    </row>
    <row r="962" spans="1:12" x14ac:dyDescent="0.35">
      <c r="A962" t="s">
        <v>8</v>
      </c>
      <c r="B962" t="s">
        <v>14</v>
      </c>
      <c r="C962" t="s">
        <v>37</v>
      </c>
      <c r="D962" t="str" cm="1">
        <f t="array" ref="D962">INDEX(_xlfn.TEXTSPLIT(C962,"_"),3)</f>
        <v>mult</v>
      </c>
      <c r="E962" t="str">
        <f>VLOOKUP(D962,FranchiseMapping!$A$1:$B$15,2,FALSE)</f>
        <v>Biolage</v>
      </c>
      <c r="F962" s="1">
        <v>45658</v>
      </c>
      <c r="G962" t="s">
        <v>12</v>
      </c>
      <c r="H962" s="2">
        <v>45809</v>
      </c>
      <c r="I962" s="3">
        <v>45813</v>
      </c>
      <c r="J962" s="3">
        <f t="shared" si="14"/>
        <v>45815</v>
      </c>
      <c r="K962" s="4">
        <v>1038.3700000000001</v>
      </c>
      <c r="L962">
        <v>232333</v>
      </c>
    </row>
    <row r="963" spans="1:12" x14ac:dyDescent="0.35">
      <c r="A963" t="s">
        <v>8</v>
      </c>
      <c r="B963" t="s">
        <v>9</v>
      </c>
      <c r="C963" t="s">
        <v>36</v>
      </c>
      <c r="D963" t="str" cm="1">
        <f t="array" ref="D963">INDEX(_xlfn.TEXTSPLIT(C963,"_"),3)</f>
        <v>bfr</v>
      </c>
      <c r="E963" t="str">
        <f>VLOOKUP(D963,FranchiseMapping!$A$1:$B$15,2,FALSE)</f>
        <v>Full Rescue</v>
      </c>
      <c r="F963" s="1">
        <v>45658</v>
      </c>
      <c r="G963" t="s">
        <v>10</v>
      </c>
      <c r="H963" s="2">
        <v>45809</v>
      </c>
      <c r="I963" s="3">
        <v>45812</v>
      </c>
      <c r="J963" s="3">
        <f t="shared" ref="J963:J1026" si="15">I963 + (7 - WEEKDAY(I963, 1))</f>
        <v>45815</v>
      </c>
      <c r="K963" s="4">
        <v>2300.3199960000002</v>
      </c>
      <c r="L963">
        <v>337795</v>
      </c>
    </row>
    <row r="964" spans="1:12" x14ac:dyDescent="0.35">
      <c r="A964" t="s">
        <v>8</v>
      </c>
      <c r="B964" t="s">
        <v>13</v>
      </c>
      <c r="C964" t="s">
        <v>51</v>
      </c>
      <c r="D964" t="str" cm="1">
        <f t="array" ref="D964">INDEX(_xlfn.TEXTSPLIT(C964,"_"),3)</f>
        <v>na</v>
      </c>
      <c r="E964" t="str">
        <f>VLOOKUP(D964,FranchiseMapping!$A$1:$B$15,2,FALSE)</f>
        <v>Biolage</v>
      </c>
      <c r="F964" s="1">
        <v>44927</v>
      </c>
      <c r="G964" t="s">
        <v>11</v>
      </c>
      <c r="H964" s="2">
        <v>45139</v>
      </c>
      <c r="I964" s="3">
        <v>45146</v>
      </c>
      <c r="J964" s="3">
        <f t="shared" si="15"/>
        <v>45150</v>
      </c>
      <c r="K964" s="4">
        <v>768.93239500000004</v>
      </c>
      <c r="L964">
        <v>408841</v>
      </c>
    </row>
    <row r="965" spans="1:12" x14ac:dyDescent="0.35">
      <c r="A965" t="s">
        <v>8</v>
      </c>
      <c r="B965" t="s">
        <v>9</v>
      </c>
      <c r="C965" t="s">
        <v>52</v>
      </c>
      <c r="D965" t="str" cm="1">
        <f t="array" ref="D965">INDEX(_xlfn.TEXTSPLIT(C965,"_"),3)</f>
        <v>bond-therapy</v>
      </c>
      <c r="E965" t="str">
        <f>VLOOKUP(D965,FranchiseMapping!$A$1:$B$15,2,FALSE)</f>
        <v>Bond Therapy</v>
      </c>
      <c r="F965" s="1">
        <v>44927</v>
      </c>
      <c r="G965" t="s">
        <v>11</v>
      </c>
      <c r="H965" s="2">
        <v>45261</v>
      </c>
      <c r="I965" s="3">
        <v>45284</v>
      </c>
      <c r="J965" s="3">
        <f t="shared" si="15"/>
        <v>45290</v>
      </c>
      <c r="K965" s="4">
        <v>2982.160003</v>
      </c>
      <c r="L965">
        <v>409904</v>
      </c>
    </row>
    <row r="966" spans="1:12" x14ac:dyDescent="0.35">
      <c r="A966" t="s">
        <v>8</v>
      </c>
      <c r="B966" t="s">
        <v>14</v>
      </c>
      <c r="C966" t="s">
        <v>47</v>
      </c>
      <c r="D966" t="str" cm="1">
        <f t="array" ref="D966">INDEX(_xlfn.TEXTSPLIT(C966,"_"),3)</f>
        <v>hys</v>
      </c>
      <c r="E966" t="str">
        <f>VLOOKUP(D966,FranchiseMapping!$A$1:$B$15,2,FALSE)</f>
        <v>Hydrasource</v>
      </c>
      <c r="F966" s="1">
        <v>45658</v>
      </c>
      <c r="G966" t="s">
        <v>10</v>
      </c>
      <c r="H966" s="2">
        <v>45748</v>
      </c>
      <c r="I966" s="3">
        <v>45755</v>
      </c>
      <c r="J966" s="3">
        <f t="shared" si="15"/>
        <v>45759</v>
      </c>
      <c r="K966" s="4">
        <v>2286.4499999999998</v>
      </c>
      <c r="L966">
        <v>473295</v>
      </c>
    </row>
    <row r="967" spans="1:12" x14ac:dyDescent="0.35">
      <c r="A967" t="s">
        <v>8</v>
      </c>
      <c r="B967" t="s">
        <v>14</v>
      </c>
      <c r="C967" t="s">
        <v>49</v>
      </c>
      <c r="D967" t="str" cm="1">
        <f t="array" ref="D967">INDEX(_xlfn.TEXTSPLIT(C967,"_"),3)</f>
        <v>hys</v>
      </c>
      <c r="E967" t="str">
        <f>VLOOKUP(D967,FranchiseMapping!$A$1:$B$15,2,FALSE)</f>
        <v>Hydrasource</v>
      </c>
      <c r="F967" s="1">
        <v>45658</v>
      </c>
      <c r="G967" t="s">
        <v>12</v>
      </c>
      <c r="H967" s="2">
        <v>45748</v>
      </c>
      <c r="I967" s="3">
        <v>45769</v>
      </c>
      <c r="J967" s="3">
        <f t="shared" si="15"/>
        <v>45773</v>
      </c>
      <c r="K967" s="4">
        <v>5445.22</v>
      </c>
      <c r="L967">
        <v>1149190</v>
      </c>
    </row>
    <row r="968" spans="1:12" x14ac:dyDescent="0.35">
      <c r="A968" t="s">
        <v>8</v>
      </c>
      <c r="B968" t="s">
        <v>9</v>
      </c>
      <c r="C968" t="s">
        <v>40</v>
      </c>
      <c r="D968" t="str" cm="1">
        <f t="array" ref="D968">INDEX(_xlfn.TEXTSPLIT(C968,"_"),3)</f>
        <v>hydrasource</v>
      </c>
      <c r="E968" t="str">
        <f>VLOOKUP(D968,FranchiseMapping!$A$1:$B$15,2,FALSE)</f>
        <v>Hydrasource</v>
      </c>
      <c r="F968" s="1">
        <v>45292</v>
      </c>
      <c r="G968" t="s">
        <v>12</v>
      </c>
      <c r="H968" s="2">
        <v>45323</v>
      </c>
      <c r="I968" s="3">
        <v>45329</v>
      </c>
      <c r="J968" s="3">
        <f t="shared" si="15"/>
        <v>45332</v>
      </c>
      <c r="K968" s="4">
        <v>3052.6900060000007</v>
      </c>
      <c r="L968">
        <v>481623</v>
      </c>
    </row>
    <row r="969" spans="1:12" x14ac:dyDescent="0.35">
      <c r="A969" t="s">
        <v>8</v>
      </c>
      <c r="B969" t="s">
        <v>9</v>
      </c>
      <c r="C969" t="s">
        <v>48</v>
      </c>
      <c r="D969" t="str" cm="1">
        <f t="array" ref="D969">INDEX(_xlfn.TEXTSPLIT(C969,"_"),3)</f>
        <v>scalp</v>
      </c>
      <c r="E969" t="str">
        <f>VLOOKUP(D969,FranchiseMapping!$A$1:$B$15,2,FALSE)</f>
        <v>Scalp Sync</v>
      </c>
      <c r="F969" s="1">
        <v>45292</v>
      </c>
      <c r="G969" t="s">
        <v>10</v>
      </c>
      <c r="H969" s="2">
        <v>45383</v>
      </c>
      <c r="I969" s="3">
        <v>45396</v>
      </c>
      <c r="J969" s="3">
        <f t="shared" si="15"/>
        <v>45402</v>
      </c>
      <c r="K969" s="4">
        <v>264.31000200000005</v>
      </c>
      <c r="L969">
        <v>61919</v>
      </c>
    </row>
    <row r="970" spans="1:12" x14ac:dyDescent="0.35">
      <c r="A970" t="s">
        <v>8</v>
      </c>
      <c r="B970" t="s">
        <v>14</v>
      </c>
      <c r="C970" t="s">
        <v>43</v>
      </c>
      <c r="D970" t="str" cm="1">
        <f t="array" ref="D970">INDEX(_xlfn.TEXTSPLIT(C970,"_"),3)</f>
        <v>bfr</v>
      </c>
      <c r="E970" t="str">
        <f>VLOOKUP(D970,FranchiseMapping!$A$1:$B$15,2,FALSE)</f>
        <v>Full Rescue</v>
      </c>
      <c r="F970" s="1">
        <v>45658</v>
      </c>
      <c r="G970" t="s">
        <v>10</v>
      </c>
      <c r="H970" s="2">
        <v>45809</v>
      </c>
      <c r="I970" s="3">
        <v>45810</v>
      </c>
      <c r="J970" s="3">
        <f t="shared" si="15"/>
        <v>45815</v>
      </c>
      <c r="K970" s="4">
        <v>715.2399999999999</v>
      </c>
      <c r="L970">
        <v>192080</v>
      </c>
    </row>
    <row r="971" spans="1:12" x14ac:dyDescent="0.35">
      <c r="A971" t="s">
        <v>8</v>
      </c>
      <c r="B971" t="s">
        <v>14</v>
      </c>
      <c r="C971" t="s">
        <v>37</v>
      </c>
      <c r="D971" t="str" cm="1">
        <f t="array" ref="D971">INDEX(_xlfn.TEXTSPLIT(C971,"_"),3)</f>
        <v>mult</v>
      </c>
      <c r="E971" t="str">
        <f>VLOOKUP(D971,FranchiseMapping!$A$1:$B$15,2,FALSE)</f>
        <v>Biolage</v>
      </c>
      <c r="F971" s="1">
        <v>45658</v>
      </c>
      <c r="G971" t="s">
        <v>12</v>
      </c>
      <c r="H971" s="2">
        <v>45717</v>
      </c>
      <c r="I971" s="3">
        <v>45739</v>
      </c>
      <c r="J971" s="3">
        <f t="shared" si="15"/>
        <v>45745</v>
      </c>
      <c r="K971" s="4">
        <v>2039.85</v>
      </c>
      <c r="L971">
        <v>554056</v>
      </c>
    </row>
    <row r="972" spans="1:12" x14ac:dyDescent="0.35">
      <c r="A972" t="s">
        <v>8</v>
      </c>
      <c r="B972" t="s">
        <v>9</v>
      </c>
      <c r="C972" t="s">
        <v>60</v>
      </c>
      <c r="D972" t="str" cm="1">
        <f t="array" ref="D972">INDEX(_xlfn.TEXTSPLIT(C972,"_"),3)</f>
        <v>blowdrycream</v>
      </c>
      <c r="E972" t="str">
        <f>VLOOKUP(D972,FranchiseMapping!$A$1:$B$15,2,FALSE)</f>
        <v>Blowdry Cream</v>
      </c>
      <c r="F972" s="1">
        <v>44927</v>
      </c>
      <c r="G972" t="s">
        <v>11</v>
      </c>
      <c r="H972" s="2">
        <v>45170</v>
      </c>
      <c r="I972" s="3">
        <v>45194</v>
      </c>
      <c r="J972" s="3">
        <f t="shared" si="15"/>
        <v>45199</v>
      </c>
      <c r="K972" s="4">
        <v>2146.1200000000003</v>
      </c>
      <c r="L972">
        <v>107950</v>
      </c>
    </row>
    <row r="973" spans="1:12" x14ac:dyDescent="0.35">
      <c r="A973" t="s">
        <v>8</v>
      </c>
      <c r="B973" t="s">
        <v>9</v>
      </c>
      <c r="C973" t="s">
        <v>35</v>
      </c>
      <c r="D973" t="str" cm="1">
        <f t="array" ref="D973">INDEX(_xlfn.TEXTSPLIT(C973,"_"),3)</f>
        <v>bfr</v>
      </c>
      <c r="E973" t="str">
        <f>VLOOKUP(D973,FranchiseMapping!$A$1:$B$15,2,FALSE)</f>
        <v>Full Rescue</v>
      </c>
      <c r="F973" s="1">
        <v>45658</v>
      </c>
      <c r="G973" t="s">
        <v>12</v>
      </c>
      <c r="H973" s="2">
        <v>45778</v>
      </c>
      <c r="I973" s="3">
        <v>45792</v>
      </c>
      <c r="J973" s="3">
        <f t="shared" si="15"/>
        <v>45794</v>
      </c>
      <c r="K973" s="4">
        <v>1776.8599980000004</v>
      </c>
      <c r="L973">
        <v>136857</v>
      </c>
    </row>
    <row r="974" spans="1:12" x14ac:dyDescent="0.35">
      <c r="A974" t="s">
        <v>8</v>
      </c>
      <c r="B974" t="s">
        <v>13</v>
      </c>
      <c r="C974" t="s">
        <v>39</v>
      </c>
      <c r="D974" t="str" cm="1">
        <f t="array" ref="D974">INDEX(_xlfn.TEXTSPLIT(C974,"_"),3)</f>
        <v>scalp-sync</v>
      </c>
      <c r="E974" t="str">
        <f>VLOOKUP(D974,FranchiseMapping!$A$1:$B$15,2,FALSE)</f>
        <v>Scalp Sync</v>
      </c>
      <c r="F974" s="1">
        <v>45292</v>
      </c>
      <c r="G974" t="s">
        <v>12</v>
      </c>
      <c r="H974" s="2">
        <v>45413</v>
      </c>
      <c r="I974" s="3">
        <v>45417</v>
      </c>
      <c r="J974" s="3">
        <f t="shared" si="15"/>
        <v>45423</v>
      </c>
      <c r="K974" s="4">
        <v>1714.5411489999999</v>
      </c>
      <c r="L974">
        <v>508033</v>
      </c>
    </row>
    <row r="975" spans="1:12" x14ac:dyDescent="0.35">
      <c r="A975" t="s">
        <v>8</v>
      </c>
      <c r="B975" t="s">
        <v>9</v>
      </c>
      <c r="C975" t="s">
        <v>46</v>
      </c>
      <c r="D975" t="str" cm="1">
        <f t="array" ref="D975">INDEX(_xlfn.TEXTSPLIT(C975,"_"),3)</f>
        <v>mult</v>
      </c>
      <c r="E975" t="str">
        <f>VLOOKUP(D975,FranchiseMapping!$A$1:$B$15,2,FALSE)</f>
        <v>Biolage</v>
      </c>
      <c r="F975" s="1">
        <v>45658</v>
      </c>
      <c r="G975" t="s">
        <v>10</v>
      </c>
      <c r="H975" s="2">
        <v>45748</v>
      </c>
      <c r="I975" s="3">
        <v>45768</v>
      </c>
      <c r="J975" s="3">
        <f t="shared" si="15"/>
        <v>45773</v>
      </c>
      <c r="K975" s="4">
        <v>908.06000000000017</v>
      </c>
      <c r="L975">
        <v>203183</v>
      </c>
    </row>
    <row r="976" spans="1:12" x14ac:dyDescent="0.35">
      <c r="A976" t="s">
        <v>8</v>
      </c>
      <c r="B976" t="s">
        <v>9</v>
      </c>
      <c r="C976" t="s">
        <v>71</v>
      </c>
      <c r="D976" t="str" cm="1">
        <f t="array" ref="D976">INDEX(_xlfn.TEXTSPLIT(C976,"_"),3)</f>
        <v>bondtherapy</v>
      </c>
      <c r="E976" t="str">
        <f>VLOOKUP(D976,FranchiseMapping!$A$1:$B$15,2,FALSE)</f>
        <v>Bond Therapy</v>
      </c>
      <c r="F976" s="1">
        <v>44927</v>
      </c>
      <c r="G976" t="s">
        <v>11</v>
      </c>
      <c r="H976" s="2">
        <v>45261</v>
      </c>
      <c r="I976" s="3">
        <v>45271</v>
      </c>
      <c r="J976" s="3">
        <f t="shared" si="15"/>
        <v>45276</v>
      </c>
      <c r="K976" s="4">
        <v>932.57000100000005</v>
      </c>
      <c r="L976">
        <v>46076</v>
      </c>
    </row>
    <row r="977" spans="1:12" x14ac:dyDescent="0.35">
      <c r="A977" t="s">
        <v>8</v>
      </c>
      <c r="B977" t="s">
        <v>14</v>
      </c>
      <c r="C977" t="s">
        <v>37</v>
      </c>
      <c r="D977" t="str" cm="1">
        <f t="array" ref="D977">INDEX(_xlfn.TEXTSPLIT(C977,"_"),3)</f>
        <v>mult</v>
      </c>
      <c r="E977" t="str">
        <f>VLOOKUP(D977,FranchiseMapping!$A$1:$B$15,2,FALSE)</f>
        <v>Biolage</v>
      </c>
      <c r="F977" s="1">
        <v>45658</v>
      </c>
      <c r="G977" t="s">
        <v>12</v>
      </c>
      <c r="H977" s="2">
        <v>45717</v>
      </c>
      <c r="I977" s="3">
        <v>45747</v>
      </c>
      <c r="J977" s="3">
        <f t="shared" si="15"/>
        <v>45752</v>
      </c>
      <c r="K977" s="4">
        <v>748.57999999999993</v>
      </c>
      <c r="L977">
        <v>199377</v>
      </c>
    </row>
    <row r="978" spans="1:12" x14ac:dyDescent="0.35">
      <c r="A978" t="s">
        <v>8</v>
      </c>
      <c r="B978" t="s">
        <v>9</v>
      </c>
      <c r="C978" t="s">
        <v>54</v>
      </c>
      <c r="D978" t="str" cm="1">
        <f t="array" ref="D978">INDEX(_xlfn.TEXTSPLIT(C978,"_"),3)</f>
        <v>scalp</v>
      </c>
      <c r="E978" t="str">
        <f>VLOOKUP(D978,FranchiseMapping!$A$1:$B$15,2,FALSE)</f>
        <v>Scalp Sync</v>
      </c>
      <c r="F978" s="1">
        <v>45292</v>
      </c>
      <c r="G978" t="s">
        <v>10</v>
      </c>
      <c r="H978" s="2">
        <v>45383</v>
      </c>
      <c r="I978" s="3">
        <v>45395</v>
      </c>
      <c r="J978" s="3">
        <f t="shared" si="15"/>
        <v>45395</v>
      </c>
      <c r="K978" s="4">
        <v>2247.8099959999995</v>
      </c>
      <c r="L978">
        <v>520524</v>
      </c>
    </row>
    <row r="979" spans="1:12" x14ac:dyDescent="0.35">
      <c r="A979" t="s">
        <v>8</v>
      </c>
      <c r="B979" t="s">
        <v>13</v>
      </c>
      <c r="C979" t="s">
        <v>28</v>
      </c>
      <c r="D979" t="str" cm="1">
        <f t="array" ref="D979">INDEX(_xlfn.TEXTSPLIT(C979,"_"),3)</f>
        <v>na</v>
      </c>
      <c r="E979" t="str">
        <f>VLOOKUP(D979,FranchiseMapping!$A$1:$B$15,2,FALSE)</f>
        <v>Biolage</v>
      </c>
      <c r="F979" s="1">
        <v>44927</v>
      </c>
      <c r="G979" t="s">
        <v>12</v>
      </c>
      <c r="H979" s="2">
        <v>45108</v>
      </c>
      <c r="I979" s="3">
        <v>45130</v>
      </c>
      <c r="J979" s="3">
        <f t="shared" si="15"/>
        <v>45136</v>
      </c>
      <c r="K979" s="4">
        <v>211.02359000000001</v>
      </c>
      <c r="L979">
        <v>56142</v>
      </c>
    </row>
    <row r="980" spans="1:12" x14ac:dyDescent="0.35">
      <c r="A980" t="s">
        <v>8</v>
      </c>
      <c r="B980" t="s">
        <v>9</v>
      </c>
      <c r="C980" t="s">
        <v>74</v>
      </c>
      <c r="D980" t="str" cm="1">
        <f t="array" ref="D980">INDEX(_xlfn.TEXTSPLIT(C980,"_"),3)</f>
        <v>mult</v>
      </c>
      <c r="E980" t="str">
        <f>VLOOKUP(D980,FranchiseMapping!$A$1:$B$15,2,FALSE)</f>
        <v>Biolage</v>
      </c>
      <c r="F980" s="1">
        <v>45658</v>
      </c>
      <c r="G980" t="s">
        <v>12</v>
      </c>
      <c r="H980" s="2">
        <v>45658</v>
      </c>
      <c r="I980" s="3">
        <v>45677</v>
      </c>
      <c r="J980" s="3">
        <f t="shared" si="15"/>
        <v>45682</v>
      </c>
      <c r="K980" s="4">
        <v>3994.840001</v>
      </c>
      <c r="L980">
        <v>705541</v>
      </c>
    </row>
    <row r="981" spans="1:12" x14ac:dyDescent="0.35">
      <c r="A981" t="s">
        <v>8</v>
      </c>
      <c r="B981" t="s">
        <v>9</v>
      </c>
      <c r="C981" t="s">
        <v>33</v>
      </c>
      <c r="D981" t="str" cm="1">
        <f t="array" ref="D981">INDEX(_xlfn.TEXTSPLIT(C981,"_"),3)</f>
        <v>hydrasource</v>
      </c>
      <c r="E981" t="str">
        <f>VLOOKUP(D981,FranchiseMapping!$A$1:$B$15,2,FALSE)</f>
        <v>Hydrasource</v>
      </c>
      <c r="F981" s="1">
        <v>45292</v>
      </c>
      <c r="G981" t="s">
        <v>11</v>
      </c>
      <c r="H981" s="2">
        <v>45352</v>
      </c>
      <c r="I981" s="3">
        <v>45356</v>
      </c>
      <c r="J981" s="3">
        <f t="shared" si="15"/>
        <v>45360</v>
      </c>
      <c r="K981" s="4">
        <v>1280.1200020000001</v>
      </c>
      <c r="L981">
        <v>136553</v>
      </c>
    </row>
    <row r="982" spans="1:12" x14ac:dyDescent="0.35">
      <c r="A982" t="s">
        <v>8</v>
      </c>
      <c r="B982" t="s">
        <v>13</v>
      </c>
      <c r="C982" t="s">
        <v>39</v>
      </c>
      <c r="D982" t="str" cm="1">
        <f t="array" ref="D982">INDEX(_xlfn.TEXTSPLIT(C982,"_"),3)</f>
        <v>scalp-sync</v>
      </c>
      <c r="E982" t="str">
        <f>VLOOKUP(D982,FranchiseMapping!$A$1:$B$15,2,FALSE)</f>
        <v>Scalp Sync</v>
      </c>
      <c r="F982" s="1">
        <v>45292</v>
      </c>
      <c r="G982" t="s">
        <v>12</v>
      </c>
      <c r="H982" s="2">
        <v>45413</v>
      </c>
      <c r="I982" s="3">
        <v>45426</v>
      </c>
      <c r="J982" s="3">
        <f t="shared" si="15"/>
        <v>45430</v>
      </c>
      <c r="K982" s="4">
        <v>1686.8968409999998</v>
      </c>
      <c r="L982">
        <v>460023</v>
      </c>
    </row>
    <row r="983" spans="1:12" x14ac:dyDescent="0.35">
      <c r="A983" t="s">
        <v>8</v>
      </c>
      <c r="B983" t="s">
        <v>9</v>
      </c>
      <c r="C983" t="s">
        <v>53</v>
      </c>
      <c r="D983" t="str" cm="1">
        <f t="array" ref="D983">INDEX(_xlfn.TEXTSPLIT(C983,"_"),3)</f>
        <v>bond-therapy</v>
      </c>
      <c r="E983" t="str">
        <f>VLOOKUP(D983,FranchiseMapping!$A$1:$B$15,2,FALSE)</f>
        <v>Bond Therapy</v>
      </c>
      <c r="F983" s="1">
        <v>44927</v>
      </c>
      <c r="G983" t="s">
        <v>11</v>
      </c>
      <c r="H983" s="2">
        <v>45231</v>
      </c>
      <c r="I983" s="3">
        <v>45254</v>
      </c>
      <c r="J983" s="3">
        <f t="shared" si="15"/>
        <v>45255</v>
      </c>
      <c r="K983" s="4">
        <v>1217.01</v>
      </c>
      <c r="L983">
        <v>195522</v>
      </c>
    </row>
    <row r="984" spans="1:12" x14ac:dyDescent="0.35">
      <c r="A984" t="s">
        <v>8</v>
      </c>
      <c r="B984" t="s">
        <v>14</v>
      </c>
      <c r="C984" t="s">
        <v>49</v>
      </c>
      <c r="D984" t="str" cm="1">
        <f t="array" ref="D984">INDEX(_xlfn.TEXTSPLIT(C984,"_"),3)</f>
        <v>hys</v>
      </c>
      <c r="E984" t="str">
        <f>VLOOKUP(D984,FranchiseMapping!$A$1:$B$15,2,FALSE)</f>
        <v>Hydrasource</v>
      </c>
      <c r="F984" s="1">
        <v>45658</v>
      </c>
      <c r="G984" t="s">
        <v>10</v>
      </c>
      <c r="H984" s="2">
        <v>45748</v>
      </c>
      <c r="I984" s="3">
        <v>45761</v>
      </c>
      <c r="J984" s="3">
        <f t="shared" si="15"/>
        <v>45766</v>
      </c>
      <c r="K984" s="4">
        <v>107.92999999999999</v>
      </c>
      <c r="L984">
        <v>34971</v>
      </c>
    </row>
    <row r="985" spans="1:12" x14ac:dyDescent="0.35">
      <c r="A985" t="s">
        <v>8</v>
      </c>
      <c r="B985" t="s">
        <v>9</v>
      </c>
      <c r="C985" t="s">
        <v>46</v>
      </c>
      <c r="D985" t="str" cm="1">
        <f t="array" ref="D985">INDEX(_xlfn.TEXTSPLIT(C985,"_"),3)</f>
        <v>mult</v>
      </c>
      <c r="E985" t="str">
        <f>VLOOKUP(D985,FranchiseMapping!$A$1:$B$15,2,FALSE)</f>
        <v>Biolage</v>
      </c>
      <c r="F985" s="1">
        <v>45658</v>
      </c>
      <c r="G985" t="s">
        <v>10</v>
      </c>
      <c r="H985" s="2">
        <v>45748</v>
      </c>
      <c r="I985" s="3">
        <v>45756</v>
      </c>
      <c r="J985" s="3">
        <f t="shared" si="15"/>
        <v>45759</v>
      </c>
      <c r="K985" s="4">
        <v>1073.2800029999996</v>
      </c>
      <c r="L985">
        <v>232572</v>
      </c>
    </row>
    <row r="986" spans="1:12" x14ac:dyDescent="0.35">
      <c r="A986" t="s">
        <v>8</v>
      </c>
      <c r="B986" t="s">
        <v>14</v>
      </c>
      <c r="C986" t="s">
        <v>29</v>
      </c>
      <c r="D986" t="str" cm="1">
        <f t="array" ref="D986">INDEX(_xlfn.TEXTSPLIT(C986,"_"),3)</f>
        <v>bfr</v>
      </c>
      <c r="E986" t="str">
        <f>VLOOKUP(D986,FranchiseMapping!$A$1:$B$15,2,FALSE)</f>
        <v>Full Rescue</v>
      </c>
      <c r="F986" s="1">
        <v>45658</v>
      </c>
      <c r="G986" t="s">
        <v>10</v>
      </c>
      <c r="H986" s="2">
        <v>45809</v>
      </c>
      <c r="I986" s="3">
        <v>45834</v>
      </c>
      <c r="J986" s="3">
        <f t="shared" si="15"/>
        <v>45836</v>
      </c>
      <c r="K986" s="4">
        <v>1415.62</v>
      </c>
      <c r="L986">
        <v>217104</v>
      </c>
    </row>
    <row r="987" spans="1:12" x14ac:dyDescent="0.35">
      <c r="A987" t="s">
        <v>8</v>
      </c>
      <c r="B987" t="s">
        <v>13</v>
      </c>
      <c r="C987" t="s">
        <v>62</v>
      </c>
      <c r="D987" t="str" cm="1">
        <f t="array" ref="D987">INDEX(_xlfn.TEXTSPLIT(C987,"_"),3)</f>
        <v>na</v>
      </c>
      <c r="E987" t="str">
        <f>VLOOKUP(D987,FranchiseMapping!$A$1:$B$15,2,FALSE)</f>
        <v>Biolage</v>
      </c>
      <c r="F987" s="1">
        <v>44927</v>
      </c>
      <c r="G987" t="s">
        <v>12</v>
      </c>
      <c r="H987" s="2">
        <v>45108</v>
      </c>
      <c r="I987" s="3">
        <v>45117</v>
      </c>
      <c r="J987" s="3">
        <f t="shared" si="15"/>
        <v>45122</v>
      </c>
      <c r="K987" s="4">
        <v>304.27003300000001</v>
      </c>
      <c r="L987">
        <v>85154</v>
      </c>
    </row>
    <row r="988" spans="1:12" x14ac:dyDescent="0.35">
      <c r="A988" t="s">
        <v>8</v>
      </c>
      <c r="B988" t="s">
        <v>9</v>
      </c>
      <c r="C988" t="s">
        <v>35</v>
      </c>
      <c r="D988" t="str" cm="1">
        <f t="array" ref="D988">INDEX(_xlfn.TEXTSPLIT(C988,"_"),3)</f>
        <v>bfr</v>
      </c>
      <c r="E988" t="str">
        <f>VLOOKUP(D988,FranchiseMapping!$A$1:$B$15,2,FALSE)</f>
        <v>Full Rescue</v>
      </c>
      <c r="F988" s="1">
        <v>45658</v>
      </c>
      <c r="G988" t="s">
        <v>10</v>
      </c>
      <c r="H988" s="2">
        <v>45778</v>
      </c>
      <c r="I988" s="3">
        <v>45784</v>
      </c>
      <c r="J988" s="3">
        <f t="shared" si="15"/>
        <v>45787</v>
      </c>
      <c r="K988" s="4">
        <v>17.789997</v>
      </c>
      <c r="L988">
        <v>2289</v>
      </c>
    </row>
    <row r="989" spans="1:12" x14ac:dyDescent="0.35">
      <c r="A989" t="s">
        <v>8</v>
      </c>
      <c r="B989" t="s">
        <v>9</v>
      </c>
      <c r="C989" t="s">
        <v>48</v>
      </c>
      <c r="D989" t="str" cm="1">
        <f t="array" ref="D989">INDEX(_xlfn.TEXTSPLIT(C989,"_"),3)</f>
        <v>scalp</v>
      </c>
      <c r="E989" t="str">
        <f>VLOOKUP(D989,FranchiseMapping!$A$1:$B$15,2,FALSE)</f>
        <v>Scalp Sync</v>
      </c>
      <c r="F989" s="1">
        <v>45292</v>
      </c>
      <c r="G989" t="s">
        <v>10</v>
      </c>
      <c r="H989" s="2">
        <v>45383</v>
      </c>
      <c r="I989" s="3">
        <v>45393</v>
      </c>
      <c r="J989" s="3">
        <f t="shared" si="15"/>
        <v>45395</v>
      </c>
      <c r="K989" s="4">
        <v>170.97</v>
      </c>
      <c r="L989">
        <v>40515</v>
      </c>
    </row>
    <row r="990" spans="1:12" x14ac:dyDescent="0.35">
      <c r="A990" t="s">
        <v>8</v>
      </c>
      <c r="B990" t="s">
        <v>9</v>
      </c>
      <c r="C990" t="s">
        <v>36</v>
      </c>
      <c r="D990" t="str" cm="1">
        <f t="array" ref="D990">INDEX(_xlfn.TEXTSPLIT(C990,"_"),3)</f>
        <v>bfr</v>
      </c>
      <c r="E990" t="str">
        <f>VLOOKUP(D990,FranchiseMapping!$A$1:$B$15,2,FALSE)</f>
        <v>Full Rescue</v>
      </c>
      <c r="F990" s="1">
        <v>45658</v>
      </c>
      <c r="G990" t="s">
        <v>12</v>
      </c>
      <c r="H990" s="2">
        <v>45809</v>
      </c>
      <c r="I990" s="3">
        <v>45827</v>
      </c>
      <c r="J990" s="3">
        <f t="shared" si="15"/>
        <v>45829</v>
      </c>
      <c r="K990" s="4">
        <v>1151.29</v>
      </c>
      <c r="L990">
        <v>185706</v>
      </c>
    </row>
    <row r="991" spans="1:12" x14ac:dyDescent="0.35">
      <c r="A991" t="s">
        <v>8</v>
      </c>
      <c r="B991" t="s">
        <v>13</v>
      </c>
      <c r="C991" t="s">
        <v>51</v>
      </c>
      <c r="D991" t="str" cm="1">
        <f t="array" ref="D991">INDEX(_xlfn.TEXTSPLIT(C991,"_"),3)</f>
        <v>na</v>
      </c>
      <c r="E991" t="str">
        <f>VLOOKUP(D991,FranchiseMapping!$A$1:$B$15,2,FALSE)</f>
        <v>Biolage</v>
      </c>
      <c r="F991" s="1">
        <v>44927</v>
      </c>
      <c r="G991" t="s">
        <v>11</v>
      </c>
      <c r="H991" s="2">
        <v>45108</v>
      </c>
      <c r="I991" s="3">
        <v>45125</v>
      </c>
      <c r="J991" s="3">
        <f t="shared" si="15"/>
        <v>45129</v>
      </c>
      <c r="K991" s="4">
        <v>641.87343499999997</v>
      </c>
      <c r="L991">
        <v>415175</v>
      </c>
    </row>
    <row r="992" spans="1:12" x14ac:dyDescent="0.35">
      <c r="A992" t="s">
        <v>8</v>
      </c>
      <c r="B992" t="s">
        <v>9</v>
      </c>
      <c r="C992" t="s">
        <v>46</v>
      </c>
      <c r="D992" t="str" cm="1">
        <f t="array" ref="D992">INDEX(_xlfn.TEXTSPLIT(C992,"_"),3)</f>
        <v>mult</v>
      </c>
      <c r="E992" t="str">
        <f>VLOOKUP(D992,FranchiseMapping!$A$1:$B$15,2,FALSE)</f>
        <v>Biolage</v>
      </c>
      <c r="F992" s="1">
        <v>45658</v>
      </c>
      <c r="G992" t="s">
        <v>12</v>
      </c>
      <c r="H992" s="2">
        <v>45748</v>
      </c>
      <c r="I992" s="3">
        <v>45755</v>
      </c>
      <c r="J992" s="3">
        <f t="shared" si="15"/>
        <v>45759</v>
      </c>
      <c r="K992" s="4">
        <v>499.80999999999995</v>
      </c>
      <c r="L992">
        <v>108581</v>
      </c>
    </row>
    <row r="993" spans="1:12" x14ac:dyDescent="0.35">
      <c r="A993" t="s">
        <v>8</v>
      </c>
      <c r="B993" t="s">
        <v>9</v>
      </c>
      <c r="C993" t="s">
        <v>33</v>
      </c>
      <c r="D993" t="str" cm="1">
        <f t="array" ref="D993">INDEX(_xlfn.TEXTSPLIT(C993,"_"),3)</f>
        <v>hydrasource</v>
      </c>
      <c r="E993" t="str">
        <f>VLOOKUP(D993,FranchiseMapping!$A$1:$B$15,2,FALSE)</f>
        <v>Hydrasource</v>
      </c>
      <c r="F993" s="1">
        <v>45292</v>
      </c>
      <c r="G993" t="s">
        <v>11</v>
      </c>
      <c r="H993" s="2">
        <v>45352</v>
      </c>
      <c r="I993" s="3">
        <v>45352</v>
      </c>
      <c r="J993" s="3">
        <f t="shared" si="15"/>
        <v>45353</v>
      </c>
      <c r="K993" s="4">
        <v>1226.05</v>
      </c>
      <c r="L993">
        <v>166453</v>
      </c>
    </row>
    <row r="994" spans="1:12" x14ac:dyDescent="0.35">
      <c r="A994" t="s">
        <v>8</v>
      </c>
      <c r="B994" t="s">
        <v>9</v>
      </c>
      <c r="C994" t="s">
        <v>41</v>
      </c>
      <c r="D994" t="str" cm="1">
        <f t="array" ref="D994">INDEX(_xlfn.TEXTSPLIT(C994,"_"),3)</f>
        <v>hys</v>
      </c>
      <c r="E994" t="str">
        <f>VLOOKUP(D994,FranchiseMapping!$A$1:$B$15,2,FALSE)</f>
        <v>Hydrasource</v>
      </c>
      <c r="F994" s="1">
        <v>45658</v>
      </c>
      <c r="G994" t="s">
        <v>12</v>
      </c>
      <c r="H994" s="2">
        <v>45748</v>
      </c>
      <c r="I994" s="3">
        <v>45775</v>
      </c>
      <c r="J994" s="3">
        <f t="shared" si="15"/>
        <v>45780</v>
      </c>
      <c r="K994" s="4">
        <v>3763.5800000000004</v>
      </c>
      <c r="L994">
        <v>373841</v>
      </c>
    </row>
    <row r="995" spans="1:12" x14ac:dyDescent="0.35">
      <c r="A995" t="s">
        <v>8</v>
      </c>
      <c r="B995" t="s">
        <v>9</v>
      </c>
      <c r="C995" t="s">
        <v>53</v>
      </c>
      <c r="D995" t="str" cm="1">
        <f t="array" ref="D995">INDEX(_xlfn.TEXTSPLIT(C995,"_"),3)</f>
        <v>bond-therapy</v>
      </c>
      <c r="E995" t="str">
        <f>VLOOKUP(D995,FranchiseMapping!$A$1:$B$15,2,FALSE)</f>
        <v>Bond Therapy</v>
      </c>
      <c r="F995" s="1">
        <v>44927</v>
      </c>
      <c r="G995" t="s">
        <v>11</v>
      </c>
      <c r="H995" s="2">
        <v>45261</v>
      </c>
      <c r="I995" s="3">
        <v>45265</v>
      </c>
      <c r="J995" s="3">
        <f t="shared" si="15"/>
        <v>45269</v>
      </c>
      <c r="K995" s="4">
        <v>1209.2099990000002</v>
      </c>
      <c r="L995">
        <v>197767</v>
      </c>
    </row>
    <row r="996" spans="1:12" x14ac:dyDescent="0.35">
      <c r="A996" t="s">
        <v>8</v>
      </c>
      <c r="B996" t="s">
        <v>9</v>
      </c>
      <c r="C996" t="s">
        <v>30</v>
      </c>
      <c r="D996" t="str" cm="1">
        <f t="array" ref="D996">INDEX(_xlfn.TEXTSPLIT(C996,"_"),3)</f>
        <v>q3-haca-colorlast</v>
      </c>
      <c r="E996" t="str">
        <f>VLOOKUP(D996,FranchiseMapping!$A$1:$B$15,2,FALSE)</f>
        <v>Color Last</v>
      </c>
      <c r="F996" s="1">
        <v>44927</v>
      </c>
      <c r="G996" t="s">
        <v>10</v>
      </c>
      <c r="H996" s="2">
        <v>45108</v>
      </c>
      <c r="I996" s="3">
        <v>45119</v>
      </c>
      <c r="J996" s="3">
        <f t="shared" si="15"/>
        <v>45122</v>
      </c>
      <c r="K996" s="4">
        <v>2630.38</v>
      </c>
      <c r="L996">
        <v>253571</v>
      </c>
    </row>
    <row r="997" spans="1:12" x14ac:dyDescent="0.35">
      <c r="A997" t="s">
        <v>8</v>
      </c>
      <c r="B997" t="s">
        <v>9</v>
      </c>
      <c r="C997" t="s">
        <v>56</v>
      </c>
      <c r="D997" t="str" cm="1">
        <f t="array" ref="D997">INDEX(_xlfn.TEXTSPLIT(C997,"_"),3)</f>
        <v>haca-colorlast-q3</v>
      </c>
      <c r="E997" t="str">
        <f>VLOOKUP(D997,FranchiseMapping!$A$1:$B$15,2,FALSE)</f>
        <v>Color Last</v>
      </c>
      <c r="F997" s="1">
        <v>44927</v>
      </c>
      <c r="G997" t="s">
        <v>10</v>
      </c>
      <c r="H997" s="2">
        <v>45108</v>
      </c>
      <c r="I997" s="3">
        <v>45119</v>
      </c>
      <c r="J997" s="3">
        <f t="shared" si="15"/>
        <v>45122</v>
      </c>
      <c r="K997" s="4">
        <v>2219.9599980000003</v>
      </c>
      <c r="L997">
        <v>341185</v>
      </c>
    </row>
    <row r="998" spans="1:12" x14ac:dyDescent="0.35">
      <c r="A998" t="s">
        <v>8</v>
      </c>
      <c r="B998" t="s">
        <v>14</v>
      </c>
      <c r="C998" t="s">
        <v>49</v>
      </c>
      <c r="D998" t="str" cm="1">
        <f t="array" ref="D998">INDEX(_xlfn.TEXTSPLIT(C998,"_"),3)</f>
        <v>hys</v>
      </c>
      <c r="E998" t="str">
        <f>VLOOKUP(D998,FranchiseMapping!$A$1:$B$15,2,FALSE)</f>
        <v>Hydrasource</v>
      </c>
      <c r="F998" s="1">
        <v>45658</v>
      </c>
      <c r="G998" t="s">
        <v>10</v>
      </c>
      <c r="H998" s="2">
        <v>45748</v>
      </c>
      <c r="I998" s="3">
        <v>45767</v>
      </c>
      <c r="J998" s="3">
        <f t="shared" si="15"/>
        <v>45773</v>
      </c>
      <c r="K998" s="4">
        <v>217.04000000000002</v>
      </c>
      <c r="L998">
        <v>60666</v>
      </c>
    </row>
    <row r="999" spans="1:12" x14ac:dyDescent="0.35">
      <c r="A999" t="s">
        <v>8</v>
      </c>
      <c r="B999" t="s">
        <v>13</v>
      </c>
      <c r="C999" t="s">
        <v>51</v>
      </c>
      <c r="D999" t="str" cm="1">
        <f t="array" ref="D999">INDEX(_xlfn.TEXTSPLIT(C999,"_"),3)</f>
        <v>na</v>
      </c>
      <c r="E999" t="str">
        <f>VLOOKUP(D999,FranchiseMapping!$A$1:$B$15,2,FALSE)</f>
        <v>Biolage</v>
      </c>
      <c r="F999" s="1">
        <v>44927</v>
      </c>
      <c r="G999" t="s">
        <v>11</v>
      </c>
      <c r="H999" s="2">
        <v>45108</v>
      </c>
      <c r="I999" s="3">
        <v>45135</v>
      </c>
      <c r="J999" s="3">
        <f t="shared" si="15"/>
        <v>45136</v>
      </c>
      <c r="K999" s="4">
        <v>733.66946900000005</v>
      </c>
      <c r="L999">
        <v>406873</v>
      </c>
    </row>
    <row r="1000" spans="1:12" x14ac:dyDescent="0.35">
      <c r="A1000" t="s">
        <v>8</v>
      </c>
      <c r="B1000" t="s">
        <v>9</v>
      </c>
      <c r="C1000" t="s">
        <v>54</v>
      </c>
      <c r="D1000" t="str" cm="1">
        <f t="array" ref="D1000">INDEX(_xlfn.TEXTSPLIT(C1000,"_"),3)</f>
        <v>scalp</v>
      </c>
      <c r="E1000" t="str">
        <f>VLOOKUP(D1000,FranchiseMapping!$A$1:$B$15,2,FALSE)</f>
        <v>Scalp Sync</v>
      </c>
      <c r="F1000" s="1">
        <v>45292</v>
      </c>
      <c r="G1000" t="s">
        <v>10</v>
      </c>
      <c r="H1000" s="2">
        <v>45352</v>
      </c>
      <c r="I1000" s="3">
        <v>45379</v>
      </c>
      <c r="J1000" s="3">
        <f t="shared" si="15"/>
        <v>45381</v>
      </c>
      <c r="K1000" s="4">
        <v>2190.3099969999998</v>
      </c>
      <c r="L1000">
        <v>468018</v>
      </c>
    </row>
    <row r="1001" spans="1:12" x14ac:dyDescent="0.35">
      <c r="A1001" t="s">
        <v>8</v>
      </c>
      <c r="B1001" t="s">
        <v>9</v>
      </c>
      <c r="C1001" t="s">
        <v>48</v>
      </c>
      <c r="D1001" t="str" cm="1">
        <f t="array" ref="D1001">INDEX(_xlfn.TEXTSPLIT(C1001,"_"),3)</f>
        <v>scalp</v>
      </c>
      <c r="E1001" t="str">
        <f>VLOOKUP(D1001,FranchiseMapping!$A$1:$B$15,2,FALSE)</f>
        <v>Scalp Sync</v>
      </c>
      <c r="F1001" s="1">
        <v>45292</v>
      </c>
      <c r="G1001" t="s">
        <v>10</v>
      </c>
      <c r="H1001" s="2">
        <v>45383</v>
      </c>
      <c r="I1001" s="3">
        <v>45398</v>
      </c>
      <c r="J1001" s="3">
        <f t="shared" si="15"/>
        <v>45402</v>
      </c>
      <c r="K1001" s="4">
        <v>188.91000000000003</v>
      </c>
      <c r="L1001">
        <v>46391</v>
      </c>
    </row>
    <row r="1002" spans="1:12" x14ac:dyDescent="0.35">
      <c r="A1002" t="s">
        <v>8</v>
      </c>
      <c r="B1002" t="s">
        <v>9</v>
      </c>
      <c r="C1002" t="s">
        <v>35</v>
      </c>
      <c r="D1002" t="str" cm="1">
        <f t="array" ref="D1002">INDEX(_xlfn.TEXTSPLIT(C1002,"_"),3)</f>
        <v>bfr</v>
      </c>
      <c r="E1002" t="str">
        <f>VLOOKUP(D1002,FranchiseMapping!$A$1:$B$15,2,FALSE)</f>
        <v>Full Rescue</v>
      </c>
      <c r="F1002" s="1">
        <v>45658</v>
      </c>
      <c r="G1002" t="s">
        <v>10</v>
      </c>
      <c r="H1002" s="2">
        <v>45839</v>
      </c>
      <c r="I1002" s="3">
        <v>45839</v>
      </c>
      <c r="J1002" s="3">
        <f t="shared" si="15"/>
        <v>45843</v>
      </c>
      <c r="K1002" s="4">
        <v>52.040003999999996</v>
      </c>
      <c r="L1002">
        <v>6354</v>
      </c>
    </row>
    <row r="1003" spans="1:12" x14ac:dyDescent="0.35">
      <c r="A1003" t="s">
        <v>8</v>
      </c>
      <c r="B1003" t="s">
        <v>9</v>
      </c>
      <c r="C1003" t="s">
        <v>64</v>
      </c>
      <c r="D1003" t="str" cm="1">
        <f t="array" ref="D1003">INDEX(_xlfn.TEXTSPLIT(C1003,"_"),3)</f>
        <v>mult</v>
      </c>
      <c r="E1003" t="str">
        <f>VLOOKUP(D1003,FranchiseMapping!$A$1:$B$15,2,FALSE)</f>
        <v>Biolage</v>
      </c>
      <c r="F1003" s="1">
        <v>45292</v>
      </c>
      <c r="G1003" t="s">
        <v>12</v>
      </c>
      <c r="H1003" s="2">
        <v>45627</v>
      </c>
      <c r="I1003" s="3">
        <v>45627</v>
      </c>
      <c r="J1003" s="3">
        <f t="shared" si="15"/>
        <v>45633</v>
      </c>
      <c r="K1003" s="4">
        <v>6328.23</v>
      </c>
      <c r="L1003">
        <v>444306</v>
      </c>
    </row>
    <row r="1004" spans="1:12" x14ac:dyDescent="0.35">
      <c r="A1004" t="s">
        <v>8</v>
      </c>
      <c r="B1004" t="s">
        <v>14</v>
      </c>
      <c r="C1004" t="s">
        <v>37</v>
      </c>
      <c r="D1004" t="str" cm="1">
        <f t="array" ref="D1004">INDEX(_xlfn.TEXTSPLIT(C1004,"_"),3)</f>
        <v>mult</v>
      </c>
      <c r="E1004" t="str">
        <f>VLOOKUP(D1004,FranchiseMapping!$A$1:$B$15,2,FALSE)</f>
        <v>Biolage</v>
      </c>
      <c r="F1004" s="1">
        <v>45658</v>
      </c>
      <c r="G1004" t="s">
        <v>10</v>
      </c>
      <c r="H1004" s="2">
        <v>45748</v>
      </c>
      <c r="I1004" s="3">
        <v>45766</v>
      </c>
      <c r="J1004" s="3">
        <f t="shared" si="15"/>
        <v>45766</v>
      </c>
      <c r="K1004" s="4">
        <v>1575.2900000000002</v>
      </c>
      <c r="L1004">
        <v>403520</v>
      </c>
    </row>
    <row r="1005" spans="1:12" x14ac:dyDescent="0.35">
      <c r="A1005" t="s">
        <v>8</v>
      </c>
      <c r="B1005" t="s">
        <v>13</v>
      </c>
      <c r="C1005" t="s">
        <v>59</v>
      </c>
      <c r="D1005" t="str" cm="1">
        <f t="array" ref="D1005">INDEX(_xlfn.TEXTSPLIT(C1005,"_"),3)</f>
        <v>scalp-sync</v>
      </c>
      <c r="E1005" t="str">
        <f>VLOOKUP(D1005,FranchiseMapping!$A$1:$B$15,2,FALSE)</f>
        <v>Scalp Sync</v>
      </c>
      <c r="F1005" s="1">
        <v>45292</v>
      </c>
      <c r="G1005" t="s">
        <v>11</v>
      </c>
      <c r="H1005" s="2">
        <v>45413</v>
      </c>
      <c r="I1005" s="3">
        <v>45439</v>
      </c>
      <c r="J1005" s="3">
        <f t="shared" si="15"/>
        <v>45444</v>
      </c>
      <c r="K1005" s="4">
        <v>3329.7969500000004</v>
      </c>
      <c r="L1005">
        <v>1312844</v>
      </c>
    </row>
    <row r="1006" spans="1:12" x14ac:dyDescent="0.35">
      <c r="A1006" t="s">
        <v>8</v>
      </c>
      <c r="B1006" t="s">
        <v>9</v>
      </c>
      <c r="C1006" t="s">
        <v>65</v>
      </c>
      <c r="D1006" t="str" cm="1">
        <f t="array" ref="D1006">INDEX(_xlfn.TEXTSPLIT(C1006,"_"),3)</f>
        <v>prime-day</v>
      </c>
      <c r="E1006" t="str">
        <f>VLOOKUP(D1006,FranchiseMapping!$A$1:$B$15,2,FALSE)</f>
        <v>Prime Day</v>
      </c>
      <c r="F1006" s="1">
        <v>45292</v>
      </c>
      <c r="G1006" t="s">
        <v>10</v>
      </c>
      <c r="H1006" s="2">
        <v>45474</v>
      </c>
      <c r="I1006" s="3">
        <v>45478</v>
      </c>
      <c r="J1006" s="3">
        <f t="shared" si="15"/>
        <v>45479</v>
      </c>
      <c r="K1006" s="4">
        <v>2404.2900089999998</v>
      </c>
      <c r="L1006">
        <v>304508</v>
      </c>
    </row>
    <row r="1007" spans="1:12" x14ac:dyDescent="0.35">
      <c r="A1007" t="s">
        <v>8</v>
      </c>
      <c r="B1007" t="s">
        <v>14</v>
      </c>
      <c r="C1007" t="s">
        <v>49</v>
      </c>
      <c r="D1007" t="str" cm="1">
        <f t="array" ref="D1007">INDEX(_xlfn.TEXTSPLIT(C1007,"_"),3)</f>
        <v>hys</v>
      </c>
      <c r="E1007" t="str">
        <f>VLOOKUP(D1007,FranchiseMapping!$A$1:$B$15,2,FALSE)</f>
        <v>Hydrasource</v>
      </c>
      <c r="F1007" s="1">
        <v>45658</v>
      </c>
      <c r="G1007" t="s">
        <v>10</v>
      </c>
      <c r="H1007" s="2">
        <v>45748</v>
      </c>
      <c r="I1007" s="3">
        <v>45756</v>
      </c>
      <c r="J1007" s="3">
        <f t="shared" si="15"/>
        <v>45759</v>
      </c>
      <c r="K1007" s="4">
        <v>73.42</v>
      </c>
      <c r="L1007">
        <v>22223</v>
      </c>
    </row>
    <row r="1008" spans="1:12" x14ac:dyDescent="0.35">
      <c r="A1008" t="s">
        <v>8</v>
      </c>
      <c r="B1008" t="s">
        <v>14</v>
      </c>
      <c r="C1008" t="s">
        <v>43</v>
      </c>
      <c r="D1008" t="str" cm="1">
        <f t="array" ref="D1008">INDEX(_xlfn.TEXTSPLIT(C1008,"_"),3)</f>
        <v>bfr</v>
      </c>
      <c r="E1008" t="str">
        <f>VLOOKUP(D1008,FranchiseMapping!$A$1:$B$15,2,FALSE)</f>
        <v>Full Rescue</v>
      </c>
      <c r="F1008" s="1">
        <v>45658</v>
      </c>
      <c r="G1008" t="s">
        <v>12</v>
      </c>
      <c r="H1008" s="2">
        <v>45809</v>
      </c>
      <c r="I1008" s="3">
        <v>45825</v>
      </c>
      <c r="J1008" s="3">
        <f t="shared" si="15"/>
        <v>45829</v>
      </c>
      <c r="K1008" s="4">
        <v>4974</v>
      </c>
      <c r="L1008">
        <v>928592</v>
      </c>
    </row>
    <row r="1009" spans="1:12" x14ac:dyDescent="0.35">
      <c r="A1009" t="s">
        <v>8</v>
      </c>
      <c r="B1009" t="s">
        <v>9</v>
      </c>
      <c r="C1009" t="s">
        <v>45</v>
      </c>
      <c r="D1009" t="str" cm="1">
        <f t="array" ref="D1009">INDEX(_xlfn.TEXTSPLIT(C1009,"_"),3)</f>
        <v>hydrasource</v>
      </c>
      <c r="E1009" t="str">
        <f>VLOOKUP(D1009,FranchiseMapping!$A$1:$B$15,2,FALSE)</f>
        <v>Hydrasource</v>
      </c>
      <c r="F1009" s="1">
        <v>45292</v>
      </c>
      <c r="G1009" t="s">
        <v>12</v>
      </c>
      <c r="H1009" s="2">
        <v>45566</v>
      </c>
      <c r="I1009" s="3">
        <v>45590</v>
      </c>
      <c r="J1009" s="3">
        <f t="shared" si="15"/>
        <v>45591</v>
      </c>
      <c r="K1009" s="4">
        <v>2437.1600060000005</v>
      </c>
      <c r="L1009">
        <v>234198</v>
      </c>
    </row>
    <row r="1010" spans="1:12" x14ac:dyDescent="0.35">
      <c r="A1010" t="s">
        <v>8</v>
      </c>
      <c r="B1010" t="s">
        <v>9</v>
      </c>
      <c r="C1010" t="s">
        <v>41</v>
      </c>
      <c r="D1010" t="str" cm="1">
        <f t="array" ref="D1010">INDEX(_xlfn.TEXTSPLIT(C1010,"_"),3)</f>
        <v>hys</v>
      </c>
      <c r="E1010" t="str">
        <f>VLOOKUP(D1010,FranchiseMapping!$A$1:$B$15,2,FALSE)</f>
        <v>Hydrasource</v>
      </c>
      <c r="F1010" s="1">
        <v>45658</v>
      </c>
      <c r="G1010" t="s">
        <v>12</v>
      </c>
      <c r="H1010" s="2">
        <v>45748</v>
      </c>
      <c r="I1010" s="3">
        <v>45758</v>
      </c>
      <c r="J1010" s="3">
        <f t="shared" si="15"/>
        <v>45759</v>
      </c>
      <c r="K1010" s="4">
        <v>3794.3900009999998</v>
      </c>
      <c r="L1010">
        <v>420432</v>
      </c>
    </row>
    <row r="1011" spans="1:12" x14ac:dyDescent="0.35">
      <c r="A1011" t="s">
        <v>8</v>
      </c>
      <c r="B1011" t="s">
        <v>13</v>
      </c>
      <c r="C1011" t="s">
        <v>62</v>
      </c>
      <c r="D1011" t="str" cm="1">
        <f t="array" ref="D1011">INDEX(_xlfn.TEXTSPLIT(C1011,"_"),3)</f>
        <v>na</v>
      </c>
      <c r="E1011" t="str">
        <f>VLOOKUP(D1011,FranchiseMapping!$A$1:$B$15,2,FALSE)</f>
        <v>Biolage</v>
      </c>
      <c r="F1011" s="1">
        <v>44927</v>
      </c>
      <c r="G1011" t="s">
        <v>12</v>
      </c>
      <c r="H1011" s="2">
        <v>45108</v>
      </c>
      <c r="I1011" s="3">
        <v>45109</v>
      </c>
      <c r="J1011" s="3">
        <f t="shared" si="15"/>
        <v>45115</v>
      </c>
      <c r="K1011" s="4">
        <v>1390.15499</v>
      </c>
      <c r="L1011">
        <v>236208</v>
      </c>
    </row>
    <row r="1012" spans="1:12" x14ac:dyDescent="0.35">
      <c r="A1012" t="s">
        <v>8</v>
      </c>
      <c r="B1012" t="s">
        <v>9</v>
      </c>
      <c r="C1012" t="s">
        <v>74</v>
      </c>
      <c r="D1012" t="str" cm="1">
        <f t="array" ref="D1012">INDEX(_xlfn.TEXTSPLIT(C1012,"_"),3)</f>
        <v>mult</v>
      </c>
      <c r="E1012" t="str">
        <f>VLOOKUP(D1012,FranchiseMapping!$A$1:$B$15,2,FALSE)</f>
        <v>Biolage</v>
      </c>
      <c r="F1012" s="1">
        <v>45658</v>
      </c>
      <c r="G1012" t="s">
        <v>12</v>
      </c>
      <c r="H1012" s="2">
        <v>45658</v>
      </c>
      <c r="I1012" s="3">
        <v>45674</v>
      </c>
      <c r="J1012" s="3">
        <f t="shared" si="15"/>
        <v>45675</v>
      </c>
      <c r="K1012" s="4">
        <v>1685.7599999999998</v>
      </c>
      <c r="L1012">
        <v>295340</v>
      </c>
    </row>
    <row r="1013" spans="1:12" x14ac:dyDescent="0.35">
      <c r="A1013" t="s">
        <v>8</v>
      </c>
      <c r="B1013" t="s">
        <v>9</v>
      </c>
      <c r="C1013" t="s">
        <v>46</v>
      </c>
      <c r="D1013" t="str" cm="1">
        <f t="array" ref="D1013">INDEX(_xlfn.TEXTSPLIT(C1013,"_"),3)</f>
        <v>mult</v>
      </c>
      <c r="E1013" t="str">
        <f>VLOOKUP(D1013,FranchiseMapping!$A$1:$B$15,2,FALSE)</f>
        <v>Biolage</v>
      </c>
      <c r="F1013" s="1">
        <v>45658</v>
      </c>
      <c r="G1013" t="s">
        <v>10</v>
      </c>
      <c r="H1013" s="2">
        <v>45778</v>
      </c>
      <c r="I1013" s="3">
        <v>45784</v>
      </c>
      <c r="J1013" s="3">
        <f t="shared" si="15"/>
        <v>45787</v>
      </c>
      <c r="K1013" s="4">
        <v>1605.4799990000004</v>
      </c>
      <c r="L1013">
        <v>327561</v>
      </c>
    </row>
    <row r="1014" spans="1:12" x14ac:dyDescent="0.35">
      <c r="A1014" t="s">
        <v>8</v>
      </c>
      <c r="B1014" t="s">
        <v>9</v>
      </c>
      <c r="C1014" t="s">
        <v>46</v>
      </c>
      <c r="D1014" t="str" cm="1">
        <f t="array" ref="D1014">INDEX(_xlfn.TEXTSPLIT(C1014,"_"),3)</f>
        <v>mult</v>
      </c>
      <c r="E1014" t="str">
        <f>VLOOKUP(D1014,FranchiseMapping!$A$1:$B$15,2,FALSE)</f>
        <v>Biolage</v>
      </c>
      <c r="F1014" s="1">
        <v>45658</v>
      </c>
      <c r="G1014" t="s">
        <v>12</v>
      </c>
      <c r="H1014" s="2">
        <v>45748</v>
      </c>
      <c r="I1014" s="3">
        <v>45757</v>
      </c>
      <c r="J1014" s="3">
        <f t="shared" si="15"/>
        <v>45759</v>
      </c>
      <c r="K1014" s="4">
        <v>968.29000399999995</v>
      </c>
      <c r="L1014">
        <v>212218</v>
      </c>
    </row>
    <row r="1015" spans="1:12" x14ac:dyDescent="0.35">
      <c r="A1015" t="s">
        <v>8</v>
      </c>
      <c r="B1015" t="s">
        <v>9</v>
      </c>
      <c r="C1015" t="s">
        <v>67</v>
      </c>
      <c r="D1015" t="str" cm="1">
        <f t="array" ref="D1015">INDEX(_xlfn.TEXTSPLIT(C1015,"_"),3)</f>
        <v>prime-day</v>
      </c>
      <c r="E1015" t="str">
        <f>VLOOKUP(D1015,FranchiseMapping!$A$1:$B$15,2,FALSE)</f>
        <v>Prime Day</v>
      </c>
      <c r="F1015" s="1">
        <v>45292</v>
      </c>
      <c r="G1015" t="s">
        <v>10</v>
      </c>
      <c r="H1015" s="2">
        <v>45474</v>
      </c>
      <c r="I1015" s="3">
        <v>45485</v>
      </c>
      <c r="J1015" s="3">
        <f t="shared" si="15"/>
        <v>45486</v>
      </c>
      <c r="K1015" s="4">
        <v>2476.4300070000004</v>
      </c>
      <c r="L1015">
        <v>194271</v>
      </c>
    </row>
    <row r="1016" spans="1:12" x14ac:dyDescent="0.35">
      <c r="A1016" t="s">
        <v>8</v>
      </c>
      <c r="B1016" t="s">
        <v>9</v>
      </c>
      <c r="C1016" t="s">
        <v>69</v>
      </c>
      <c r="D1016" t="str" cm="1">
        <f t="array" ref="D1016">INDEX(_xlfn.TEXTSPLIT(C1016,"_"),3)</f>
        <v>prime-day</v>
      </c>
      <c r="E1016" t="str">
        <f>VLOOKUP(D1016,FranchiseMapping!$A$1:$B$15,2,FALSE)</f>
        <v>Prime Day</v>
      </c>
      <c r="F1016" s="1">
        <v>45292</v>
      </c>
      <c r="G1016" t="s">
        <v>10</v>
      </c>
      <c r="H1016" s="2">
        <v>45474</v>
      </c>
      <c r="I1016" s="3">
        <v>45485</v>
      </c>
      <c r="J1016" s="3">
        <f t="shared" si="15"/>
        <v>45486</v>
      </c>
      <c r="K1016" s="4">
        <v>3190.1100009999996</v>
      </c>
      <c r="L1016">
        <v>509155</v>
      </c>
    </row>
    <row r="1017" spans="1:12" x14ac:dyDescent="0.35">
      <c r="A1017" t="s">
        <v>8</v>
      </c>
      <c r="B1017" t="s">
        <v>9</v>
      </c>
      <c r="C1017" t="s">
        <v>52</v>
      </c>
      <c r="D1017" t="str" cm="1">
        <f t="array" ref="D1017">INDEX(_xlfn.TEXTSPLIT(C1017,"_"),3)</f>
        <v>bond-therapy</v>
      </c>
      <c r="E1017" t="str">
        <f>VLOOKUP(D1017,FranchiseMapping!$A$1:$B$15,2,FALSE)</f>
        <v>Bond Therapy</v>
      </c>
      <c r="F1017" s="1">
        <v>44927</v>
      </c>
      <c r="G1017" t="s">
        <v>11</v>
      </c>
      <c r="H1017" s="2">
        <v>45231</v>
      </c>
      <c r="I1017" s="3">
        <v>45247</v>
      </c>
      <c r="J1017" s="3">
        <f t="shared" si="15"/>
        <v>45248</v>
      </c>
      <c r="K1017" s="4">
        <v>2890.5699940000004</v>
      </c>
      <c r="L1017">
        <v>460707</v>
      </c>
    </row>
    <row r="1018" spans="1:12" x14ac:dyDescent="0.35">
      <c r="A1018" t="s">
        <v>8</v>
      </c>
      <c r="B1018" t="s">
        <v>9</v>
      </c>
      <c r="C1018" t="s">
        <v>46</v>
      </c>
      <c r="D1018" t="str" cm="1">
        <f t="array" ref="D1018">INDEX(_xlfn.TEXTSPLIT(C1018,"_"),3)</f>
        <v>mult</v>
      </c>
      <c r="E1018" t="str">
        <f>VLOOKUP(D1018,FranchiseMapping!$A$1:$B$15,2,FALSE)</f>
        <v>Biolage</v>
      </c>
      <c r="F1018" s="1">
        <v>45658</v>
      </c>
      <c r="G1018" t="s">
        <v>12</v>
      </c>
      <c r="H1018" s="2">
        <v>45748</v>
      </c>
      <c r="I1018" s="3">
        <v>45769</v>
      </c>
      <c r="J1018" s="3">
        <f t="shared" si="15"/>
        <v>45773</v>
      </c>
      <c r="K1018" s="4">
        <v>908.23000100000024</v>
      </c>
      <c r="L1018">
        <v>219507</v>
      </c>
    </row>
    <row r="1019" spans="1:12" x14ac:dyDescent="0.35">
      <c r="A1019" t="s">
        <v>8</v>
      </c>
      <c r="B1019" t="s">
        <v>9</v>
      </c>
      <c r="C1019" t="s">
        <v>54</v>
      </c>
      <c r="D1019" t="str" cm="1">
        <f t="array" ref="D1019">INDEX(_xlfn.TEXTSPLIT(C1019,"_"),3)</f>
        <v>scalp</v>
      </c>
      <c r="E1019" t="str">
        <f>VLOOKUP(D1019,FranchiseMapping!$A$1:$B$15,2,FALSE)</f>
        <v>Scalp Sync</v>
      </c>
      <c r="F1019" s="1">
        <v>45292</v>
      </c>
      <c r="G1019" t="s">
        <v>10</v>
      </c>
      <c r="H1019" s="2">
        <v>45352</v>
      </c>
      <c r="I1019" s="3">
        <v>45367</v>
      </c>
      <c r="J1019" s="3">
        <f t="shared" si="15"/>
        <v>45367</v>
      </c>
      <c r="K1019" s="4">
        <v>2362.4800009999999</v>
      </c>
      <c r="L1019">
        <v>546082</v>
      </c>
    </row>
    <row r="1020" spans="1:12" x14ac:dyDescent="0.35">
      <c r="A1020" t="s">
        <v>8</v>
      </c>
      <c r="B1020" t="s">
        <v>13</v>
      </c>
      <c r="C1020" t="s">
        <v>28</v>
      </c>
      <c r="D1020" t="str" cm="1">
        <f t="array" ref="D1020">INDEX(_xlfn.TEXTSPLIT(C1020,"_"),3)</f>
        <v>na</v>
      </c>
      <c r="E1020" t="str">
        <f>VLOOKUP(D1020,FranchiseMapping!$A$1:$B$15,2,FALSE)</f>
        <v>Biolage</v>
      </c>
      <c r="F1020" s="1">
        <v>44927</v>
      </c>
      <c r="G1020" t="s">
        <v>10</v>
      </c>
      <c r="H1020" s="2">
        <v>45139</v>
      </c>
      <c r="I1020" s="3">
        <v>45147</v>
      </c>
      <c r="J1020" s="3">
        <f t="shared" si="15"/>
        <v>45150</v>
      </c>
      <c r="K1020" s="4">
        <v>1122.825394</v>
      </c>
      <c r="L1020">
        <v>156446</v>
      </c>
    </row>
    <row r="1021" spans="1:12" x14ac:dyDescent="0.35">
      <c r="A1021" t="s">
        <v>8</v>
      </c>
      <c r="B1021" t="s">
        <v>9</v>
      </c>
      <c r="C1021" t="s">
        <v>35</v>
      </c>
      <c r="D1021" t="str" cm="1">
        <f t="array" ref="D1021">INDEX(_xlfn.TEXTSPLIT(C1021,"_"),3)</f>
        <v>bfr</v>
      </c>
      <c r="E1021" t="str">
        <f>VLOOKUP(D1021,FranchiseMapping!$A$1:$B$15,2,FALSE)</f>
        <v>Full Rescue</v>
      </c>
      <c r="F1021" s="1">
        <v>45658</v>
      </c>
      <c r="G1021" t="s">
        <v>12</v>
      </c>
      <c r="H1021" s="2">
        <v>45778</v>
      </c>
      <c r="I1021" s="3">
        <v>45806</v>
      </c>
      <c r="J1021" s="3">
        <f t="shared" si="15"/>
        <v>45808</v>
      </c>
      <c r="K1021" s="4">
        <v>1692.1500000000003</v>
      </c>
      <c r="L1021">
        <v>137720</v>
      </c>
    </row>
    <row r="1022" spans="1:12" x14ac:dyDescent="0.35">
      <c r="A1022" t="s">
        <v>8</v>
      </c>
      <c r="B1022" t="s">
        <v>9</v>
      </c>
      <c r="C1022" t="s">
        <v>52</v>
      </c>
      <c r="D1022" t="str" cm="1">
        <f t="array" ref="D1022">INDEX(_xlfn.TEXTSPLIT(C1022,"_"),3)</f>
        <v>bond-therapy</v>
      </c>
      <c r="E1022" t="str">
        <f>VLOOKUP(D1022,FranchiseMapping!$A$1:$B$15,2,FALSE)</f>
        <v>Bond Therapy</v>
      </c>
      <c r="F1022" s="1">
        <v>44927</v>
      </c>
      <c r="G1022" t="s">
        <v>11</v>
      </c>
      <c r="H1022" s="2">
        <v>45261</v>
      </c>
      <c r="I1022" s="3">
        <v>45265</v>
      </c>
      <c r="J1022" s="3">
        <f t="shared" si="15"/>
        <v>45269</v>
      </c>
      <c r="K1022" s="4">
        <v>2765.7797790000009</v>
      </c>
      <c r="L1022">
        <v>485909</v>
      </c>
    </row>
    <row r="1023" spans="1:12" x14ac:dyDescent="0.35">
      <c r="A1023" t="s">
        <v>8</v>
      </c>
      <c r="B1023" t="s">
        <v>13</v>
      </c>
      <c r="C1023" t="s">
        <v>42</v>
      </c>
      <c r="D1023" t="str" cm="1">
        <f t="array" ref="D1023">INDEX(_xlfn.TEXTSPLIT(C1023,"_"),3)</f>
        <v>bfr</v>
      </c>
      <c r="E1023" t="str">
        <f>VLOOKUP(D1023,FranchiseMapping!$A$1:$B$15,2,FALSE)</f>
        <v>Full Rescue</v>
      </c>
      <c r="F1023" s="1">
        <v>45658</v>
      </c>
      <c r="G1023" t="s">
        <v>12</v>
      </c>
      <c r="H1023" s="2">
        <v>45809</v>
      </c>
      <c r="I1023" s="3">
        <v>45836</v>
      </c>
      <c r="J1023" s="3">
        <f t="shared" si="15"/>
        <v>45836</v>
      </c>
      <c r="K1023" s="4">
        <v>1372.613065</v>
      </c>
      <c r="L1023">
        <v>608886</v>
      </c>
    </row>
    <row r="1024" spans="1:12" x14ac:dyDescent="0.35">
      <c r="A1024" t="s">
        <v>8</v>
      </c>
      <c r="B1024" t="s">
        <v>9</v>
      </c>
      <c r="C1024" t="s">
        <v>36</v>
      </c>
      <c r="D1024" t="str" cm="1">
        <f t="array" ref="D1024">INDEX(_xlfn.TEXTSPLIT(C1024,"_"),3)</f>
        <v>bfr</v>
      </c>
      <c r="E1024" t="str">
        <f>VLOOKUP(D1024,FranchiseMapping!$A$1:$B$15,2,FALSE)</f>
        <v>Full Rescue</v>
      </c>
      <c r="F1024" s="1">
        <v>45658</v>
      </c>
      <c r="G1024" t="s">
        <v>12</v>
      </c>
      <c r="H1024" s="2">
        <v>45778</v>
      </c>
      <c r="I1024" s="3">
        <v>45803</v>
      </c>
      <c r="J1024" s="3">
        <f t="shared" si="15"/>
        <v>45808</v>
      </c>
      <c r="K1024" s="4">
        <v>2588.5600000000004</v>
      </c>
      <c r="L1024">
        <v>416285</v>
      </c>
    </row>
    <row r="1025" spans="1:12" x14ac:dyDescent="0.35">
      <c r="A1025" t="s">
        <v>8</v>
      </c>
      <c r="B1025" t="s">
        <v>13</v>
      </c>
      <c r="C1025" t="s">
        <v>51</v>
      </c>
      <c r="D1025" t="str" cm="1">
        <f t="array" ref="D1025">INDEX(_xlfn.TEXTSPLIT(C1025,"_"),3)</f>
        <v>na</v>
      </c>
      <c r="E1025" t="str">
        <f>VLOOKUP(D1025,FranchiseMapping!$A$1:$B$15,2,FALSE)</f>
        <v>Biolage</v>
      </c>
      <c r="F1025" s="1">
        <v>44927</v>
      </c>
      <c r="G1025" t="s">
        <v>11</v>
      </c>
      <c r="H1025" s="2">
        <v>45139</v>
      </c>
      <c r="I1025" s="3">
        <v>45154</v>
      </c>
      <c r="J1025" s="3">
        <f t="shared" si="15"/>
        <v>45157</v>
      </c>
      <c r="K1025" s="4">
        <v>763.96869400000003</v>
      </c>
      <c r="L1025">
        <v>341616</v>
      </c>
    </row>
    <row r="1026" spans="1:12" x14ac:dyDescent="0.35">
      <c r="A1026" t="s">
        <v>8</v>
      </c>
      <c r="B1026" t="s">
        <v>9</v>
      </c>
      <c r="C1026" t="s">
        <v>38</v>
      </c>
      <c r="D1026" t="str" cm="1">
        <f t="array" ref="D1026">INDEX(_xlfn.TEXTSPLIT(C1026,"_"),3)</f>
        <v>hys</v>
      </c>
      <c r="E1026" t="str">
        <f>VLOOKUP(D1026,FranchiseMapping!$A$1:$B$15,2,FALSE)</f>
        <v>Hydrasource</v>
      </c>
      <c r="F1026" s="1">
        <v>45658</v>
      </c>
      <c r="G1026" t="s">
        <v>10</v>
      </c>
      <c r="H1026" s="2">
        <v>45748</v>
      </c>
      <c r="I1026" s="3">
        <v>45768</v>
      </c>
      <c r="J1026" s="3">
        <f t="shared" si="15"/>
        <v>45773</v>
      </c>
      <c r="K1026" s="4">
        <v>472.37999999999988</v>
      </c>
      <c r="L1026">
        <v>21263</v>
      </c>
    </row>
    <row r="1027" spans="1:12" x14ac:dyDescent="0.35">
      <c r="A1027" t="s">
        <v>8</v>
      </c>
      <c r="B1027" t="s">
        <v>9</v>
      </c>
      <c r="C1027" t="s">
        <v>36</v>
      </c>
      <c r="D1027" t="str" cm="1">
        <f t="array" ref="D1027">INDEX(_xlfn.TEXTSPLIT(C1027,"_"),3)</f>
        <v>bfr</v>
      </c>
      <c r="E1027" t="str">
        <f>VLOOKUP(D1027,FranchiseMapping!$A$1:$B$15,2,FALSE)</f>
        <v>Full Rescue</v>
      </c>
      <c r="F1027" s="1">
        <v>45658</v>
      </c>
      <c r="G1027" t="s">
        <v>12</v>
      </c>
      <c r="H1027" s="2">
        <v>45809</v>
      </c>
      <c r="I1027" s="3">
        <v>45811</v>
      </c>
      <c r="J1027" s="3">
        <f t="shared" ref="J1027:J1090" si="16">I1027 + (7 - WEEKDAY(I1027, 1))</f>
        <v>45815</v>
      </c>
      <c r="K1027" s="4">
        <v>66.960001000000005</v>
      </c>
      <c r="L1027">
        <v>12971</v>
      </c>
    </row>
    <row r="1028" spans="1:12" x14ac:dyDescent="0.35">
      <c r="A1028" t="s">
        <v>8</v>
      </c>
      <c r="B1028" t="s">
        <v>9</v>
      </c>
      <c r="C1028" t="s">
        <v>38</v>
      </c>
      <c r="D1028" t="str" cm="1">
        <f t="array" ref="D1028">INDEX(_xlfn.TEXTSPLIT(C1028,"_"),3)</f>
        <v>hys</v>
      </c>
      <c r="E1028" t="str">
        <f>VLOOKUP(D1028,FranchiseMapping!$A$1:$B$15,2,FALSE)</f>
        <v>Hydrasource</v>
      </c>
      <c r="F1028" s="1">
        <v>45658</v>
      </c>
      <c r="G1028" t="s">
        <v>10</v>
      </c>
      <c r="H1028" s="2">
        <v>45748</v>
      </c>
      <c r="I1028" s="3">
        <v>45771</v>
      </c>
      <c r="J1028" s="3">
        <f t="shared" si="16"/>
        <v>45773</v>
      </c>
      <c r="K1028" s="4">
        <v>302.10999999999996</v>
      </c>
      <c r="L1028">
        <v>15125</v>
      </c>
    </row>
    <row r="1029" spans="1:12" x14ac:dyDescent="0.35">
      <c r="A1029" t="s">
        <v>8</v>
      </c>
      <c r="B1029" t="s">
        <v>13</v>
      </c>
      <c r="C1029" t="s">
        <v>42</v>
      </c>
      <c r="D1029" t="str" cm="1">
        <f t="array" ref="D1029">INDEX(_xlfn.TEXTSPLIT(C1029,"_"),3)</f>
        <v>bfr</v>
      </c>
      <c r="E1029" t="str">
        <f>VLOOKUP(D1029,FranchiseMapping!$A$1:$B$15,2,FALSE)</f>
        <v>Full Rescue</v>
      </c>
      <c r="F1029" s="1">
        <v>45658</v>
      </c>
      <c r="G1029" t="s">
        <v>12</v>
      </c>
      <c r="H1029" s="2">
        <v>45809</v>
      </c>
      <c r="I1029" s="3">
        <v>45814</v>
      </c>
      <c r="J1029" s="3">
        <f t="shared" si="16"/>
        <v>45815</v>
      </c>
      <c r="K1029" s="4">
        <v>1279.9793649999999</v>
      </c>
      <c r="L1029">
        <v>599249</v>
      </c>
    </row>
    <row r="1030" spans="1:12" x14ac:dyDescent="0.35">
      <c r="A1030" t="s">
        <v>8</v>
      </c>
      <c r="B1030" t="s">
        <v>13</v>
      </c>
      <c r="C1030" t="s">
        <v>62</v>
      </c>
      <c r="D1030" t="str" cm="1">
        <f t="array" ref="D1030">INDEX(_xlfn.TEXTSPLIT(C1030,"_"),3)</f>
        <v>na</v>
      </c>
      <c r="E1030" t="str">
        <f>VLOOKUP(D1030,FranchiseMapping!$A$1:$B$15,2,FALSE)</f>
        <v>Biolage</v>
      </c>
      <c r="F1030" s="1">
        <v>44927</v>
      </c>
      <c r="G1030" t="s">
        <v>12</v>
      </c>
      <c r="H1030" s="2">
        <v>45108</v>
      </c>
      <c r="I1030" s="3">
        <v>45121</v>
      </c>
      <c r="J1030" s="3">
        <f t="shared" si="16"/>
        <v>45122</v>
      </c>
      <c r="K1030" s="4">
        <v>547.395219</v>
      </c>
      <c r="L1030">
        <v>77924</v>
      </c>
    </row>
    <row r="1031" spans="1:12" x14ac:dyDescent="0.35">
      <c r="A1031" t="s">
        <v>8</v>
      </c>
      <c r="B1031" t="s">
        <v>9</v>
      </c>
      <c r="C1031" t="s">
        <v>45</v>
      </c>
      <c r="D1031" t="str" cm="1">
        <f t="array" ref="D1031">INDEX(_xlfn.TEXTSPLIT(C1031,"_"),3)</f>
        <v>hydrasource</v>
      </c>
      <c r="E1031" t="str">
        <f>VLOOKUP(D1031,FranchiseMapping!$A$1:$B$15,2,FALSE)</f>
        <v>Hydrasource</v>
      </c>
      <c r="F1031" s="1">
        <v>45292</v>
      </c>
      <c r="G1031" t="s">
        <v>12</v>
      </c>
      <c r="H1031" s="2">
        <v>45536</v>
      </c>
      <c r="I1031" s="3">
        <v>45563</v>
      </c>
      <c r="J1031" s="3">
        <f t="shared" si="16"/>
        <v>45563</v>
      </c>
      <c r="K1031" s="4">
        <v>2679.7600039999993</v>
      </c>
      <c r="L1031">
        <v>289909</v>
      </c>
    </row>
    <row r="1032" spans="1:12" x14ac:dyDescent="0.35">
      <c r="A1032" t="s">
        <v>8</v>
      </c>
      <c r="B1032" t="s">
        <v>9</v>
      </c>
      <c r="C1032" t="s">
        <v>55</v>
      </c>
      <c r="D1032" t="str" cm="1">
        <f t="array" ref="D1032">INDEX(_xlfn.TEXTSPLIT(C1032,"_"),3)</f>
        <v>hydrasource</v>
      </c>
      <c r="E1032" t="str">
        <f>VLOOKUP(D1032,FranchiseMapping!$A$1:$B$15,2,FALSE)</f>
        <v>Hydrasource</v>
      </c>
      <c r="F1032" s="1">
        <v>45292</v>
      </c>
      <c r="G1032" t="s">
        <v>12</v>
      </c>
      <c r="H1032" s="2">
        <v>45536</v>
      </c>
      <c r="I1032" s="3">
        <v>45558</v>
      </c>
      <c r="J1032" s="3">
        <f t="shared" si="16"/>
        <v>45563</v>
      </c>
      <c r="K1032" s="4">
        <v>2894.4500109999999</v>
      </c>
      <c r="L1032">
        <v>468261</v>
      </c>
    </row>
    <row r="1033" spans="1:12" x14ac:dyDescent="0.35">
      <c r="A1033" t="s">
        <v>8</v>
      </c>
      <c r="B1033" t="s">
        <v>9</v>
      </c>
      <c r="C1033" t="s">
        <v>45</v>
      </c>
      <c r="D1033" t="str" cm="1">
        <f t="array" ref="D1033">INDEX(_xlfn.TEXTSPLIT(C1033,"_"),3)</f>
        <v>hydrasource</v>
      </c>
      <c r="E1033" t="str">
        <f>VLOOKUP(D1033,FranchiseMapping!$A$1:$B$15,2,FALSE)</f>
        <v>Hydrasource</v>
      </c>
      <c r="F1033" s="1">
        <v>45292</v>
      </c>
      <c r="G1033" t="s">
        <v>12</v>
      </c>
      <c r="H1033" s="2">
        <v>45566</v>
      </c>
      <c r="I1033" s="3">
        <v>45588</v>
      </c>
      <c r="J1033" s="3">
        <f t="shared" si="16"/>
        <v>45591</v>
      </c>
      <c r="K1033" s="4">
        <v>2560.8899919999999</v>
      </c>
      <c r="L1033">
        <v>239798</v>
      </c>
    </row>
    <row r="1034" spans="1:12" x14ac:dyDescent="0.35">
      <c r="A1034" t="s">
        <v>8</v>
      </c>
      <c r="B1034" t="s">
        <v>9</v>
      </c>
      <c r="C1034" t="s">
        <v>52</v>
      </c>
      <c r="D1034" t="str" cm="1">
        <f t="array" ref="D1034">INDEX(_xlfn.TEXTSPLIT(C1034,"_"),3)</f>
        <v>bond-therapy</v>
      </c>
      <c r="E1034" t="str">
        <f>VLOOKUP(D1034,FranchiseMapping!$A$1:$B$15,2,FALSE)</f>
        <v>Bond Therapy</v>
      </c>
      <c r="F1034" s="1">
        <v>44927</v>
      </c>
      <c r="G1034" t="s">
        <v>11</v>
      </c>
      <c r="H1034" s="2">
        <v>45261</v>
      </c>
      <c r="I1034" s="3">
        <v>45274</v>
      </c>
      <c r="J1034" s="3">
        <f t="shared" si="16"/>
        <v>45276</v>
      </c>
      <c r="K1034" s="4">
        <v>2578.0899990000003</v>
      </c>
      <c r="L1034">
        <v>462581</v>
      </c>
    </row>
    <row r="1035" spans="1:12" x14ac:dyDescent="0.35">
      <c r="A1035" t="s">
        <v>8</v>
      </c>
      <c r="B1035" t="s">
        <v>13</v>
      </c>
      <c r="C1035" t="s">
        <v>28</v>
      </c>
      <c r="D1035" t="str" cm="1">
        <f t="array" ref="D1035">INDEX(_xlfn.TEXTSPLIT(C1035,"_"),3)</f>
        <v>na</v>
      </c>
      <c r="E1035" t="str">
        <f>VLOOKUP(D1035,FranchiseMapping!$A$1:$B$15,2,FALSE)</f>
        <v>Biolage</v>
      </c>
      <c r="F1035" s="1">
        <v>44927</v>
      </c>
      <c r="G1035" t="s">
        <v>10</v>
      </c>
      <c r="H1035" s="2">
        <v>45108</v>
      </c>
      <c r="I1035" s="3">
        <v>45132</v>
      </c>
      <c r="J1035" s="3">
        <f t="shared" si="16"/>
        <v>45136</v>
      </c>
      <c r="K1035" s="4">
        <v>1296.853895</v>
      </c>
      <c r="L1035">
        <v>135354</v>
      </c>
    </row>
    <row r="1036" spans="1:12" x14ac:dyDescent="0.35">
      <c r="A1036" t="s">
        <v>8</v>
      </c>
      <c r="B1036" t="s">
        <v>14</v>
      </c>
      <c r="C1036" t="s">
        <v>29</v>
      </c>
      <c r="D1036" t="str" cm="1">
        <f t="array" ref="D1036">INDEX(_xlfn.TEXTSPLIT(C1036,"_"),3)</f>
        <v>bfr</v>
      </c>
      <c r="E1036" t="str">
        <f>VLOOKUP(D1036,FranchiseMapping!$A$1:$B$15,2,FALSE)</f>
        <v>Full Rescue</v>
      </c>
      <c r="F1036" s="1">
        <v>45658</v>
      </c>
      <c r="G1036" t="s">
        <v>10</v>
      </c>
      <c r="H1036" s="2">
        <v>45809</v>
      </c>
      <c r="I1036" s="3">
        <v>45815</v>
      </c>
      <c r="J1036" s="3">
        <f t="shared" si="16"/>
        <v>45815</v>
      </c>
      <c r="K1036" s="4">
        <v>1723.1399999999999</v>
      </c>
      <c r="L1036">
        <v>262726</v>
      </c>
    </row>
    <row r="1037" spans="1:12" x14ac:dyDescent="0.35">
      <c r="A1037" t="s">
        <v>8</v>
      </c>
      <c r="B1037" t="s">
        <v>9</v>
      </c>
      <c r="C1037" t="s">
        <v>36</v>
      </c>
      <c r="D1037" t="str" cm="1">
        <f t="array" ref="D1037">INDEX(_xlfn.TEXTSPLIT(C1037,"_"),3)</f>
        <v>bfr</v>
      </c>
      <c r="E1037" t="str">
        <f>VLOOKUP(D1037,FranchiseMapping!$A$1:$B$15,2,FALSE)</f>
        <v>Full Rescue</v>
      </c>
      <c r="F1037" s="1">
        <v>45658</v>
      </c>
      <c r="G1037" t="s">
        <v>12</v>
      </c>
      <c r="H1037" s="2">
        <v>45809</v>
      </c>
      <c r="I1037" s="3">
        <v>45815</v>
      </c>
      <c r="J1037" s="3">
        <f t="shared" si="16"/>
        <v>45815</v>
      </c>
      <c r="K1037" s="4">
        <v>741.72</v>
      </c>
      <c r="L1037">
        <v>124149</v>
      </c>
    </row>
    <row r="1038" spans="1:12" x14ac:dyDescent="0.35">
      <c r="A1038" t="s">
        <v>8</v>
      </c>
      <c r="B1038" t="s">
        <v>9</v>
      </c>
      <c r="C1038" t="s">
        <v>36</v>
      </c>
      <c r="D1038" t="str" cm="1">
        <f t="array" ref="D1038">INDEX(_xlfn.TEXTSPLIT(C1038,"_"),3)</f>
        <v>bfr</v>
      </c>
      <c r="E1038" t="str">
        <f>VLOOKUP(D1038,FranchiseMapping!$A$1:$B$15,2,FALSE)</f>
        <v>Full Rescue</v>
      </c>
      <c r="F1038" s="1">
        <v>45658</v>
      </c>
      <c r="G1038" t="s">
        <v>10</v>
      </c>
      <c r="H1038" s="2">
        <v>45809</v>
      </c>
      <c r="I1038" s="3">
        <v>45828</v>
      </c>
      <c r="J1038" s="3">
        <f t="shared" si="16"/>
        <v>45829</v>
      </c>
      <c r="K1038" s="4">
        <v>1386.79</v>
      </c>
      <c r="L1038">
        <v>258967</v>
      </c>
    </row>
    <row r="1039" spans="1:12" x14ac:dyDescent="0.35">
      <c r="A1039" t="s">
        <v>8</v>
      </c>
      <c r="B1039" t="s">
        <v>14</v>
      </c>
      <c r="C1039" t="s">
        <v>43</v>
      </c>
      <c r="D1039" t="str" cm="1">
        <f t="array" ref="D1039">INDEX(_xlfn.TEXTSPLIT(C1039,"_"),3)</f>
        <v>bfr</v>
      </c>
      <c r="E1039" t="str">
        <f>VLOOKUP(D1039,FranchiseMapping!$A$1:$B$15,2,FALSE)</f>
        <v>Full Rescue</v>
      </c>
      <c r="F1039" s="1">
        <v>45658</v>
      </c>
      <c r="G1039" t="s">
        <v>10</v>
      </c>
      <c r="H1039" s="2">
        <v>45809</v>
      </c>
      <c r="I1039" s="3">
        <v>45816</v>
      </c>
      <c r="J1039" s="3">
        <f t="shared" si="16"/>
        <v>45822</v>
      </c>
      <c r="K1039" s="4">
        <v>524.06000000000006</v>
      </c>
      <c r="L1039">
        <v>103477</v>
      </c>
    </row>
    <row r="1040" spans="1:12" x14ac:dyDescent="0.35">
      <c r="A1040" t="s">
        <v>8</v>
      </c>
      <c r="B1040" t="s">
        <v>9</v>
      </c>
      <c r="C1040" t="s">
        <v>61</v>
      </c>
      <c r="D1040" t="str" cm="1">
        <f t="array" ref="D1040">INDEX(_xlfn.TEXTSPLIT(C1040,"_"),3)</f>
        <v>prime-day</v>
      </c>
      <c r="E1040" t="str">
        <f>VLOOKUP(D1040,FranchiseMapping!$A$1:$B$15,2,FALSE)</f>
        <v>Prime Day</v>
      </c>
      <c r="F1040" s="1">
        <v>45292</v>
      </c>
      <c r="G1040" t="s">
        <v>10</v>
      </c>
      <c r="H1040" s="2">
        <v>45474</v>
      </c>
      <c r="I1040" s="3">
        <v>45486</v>
      </c>
      <c r="J1040" s="3">
        <f t="shared" si="16"/>
        <v>45486</v>
      </c>
      <c r="K1040" s="4">
        <v>3519.7699990000001</v>
      </c>
      <c r="L1040">
        <v>562568</v>
      </c>
    </row>
    <row r="1041" spans="1:12" x14ac:dyDescent="0.35">
      <c r="A1041" t="s">
        <v>8</v>
      </c>
      <c r="B1041" t="s">
        <v>13</v>
      </c>
      <c r="C1041" t="s">
        <v>28</v>
      </c>
      <c r="D1041" t="str" cm="1">
        <f t="array" ref="D1041">INDEX(_xlfn.TEXTSPLIT(C1041,"_"),3)</f>
        <v>na</v>
      </c>
      <c r="E1041" t="str">
        <f>VLOOKUP(D1041,FranchiseMapping!$A$1:$B$15,2,FALSE)</f>
        <v>Biolage</v>
      </c>
      <c r="F1041" s="1">
        <v>44927</v>
      </c>
      <c r="G1041" t="s">
        <v>10</v>
      </c>
      <c r="H1041" s="2">
        <v>45108</v>
      </c>
      <c r="I1041" s="3">
        <v>45128</v>
      </c>
      <c r="J1041" s="3">
        <f t="shared" si="16"/>
        <v>45129</v>
      </c>
      <c r="K1041" s="4">
        <v>1305.5072809999999</v>
      </c>
      <c r="L1041">
        <v>127496</v>
      </c>
    </row>
    <row r="1042" spans="1:12" x14ac:dyDescent="0.35">
      <c r="A1042" t="s">
        <v>8</v>
      </c>
      <c r="B1042" t="s">
        <v>9</v>
      </c>
      <c r="C1042" t="s">
        <v>53</v>
      </c>
      <c r="D1042" t="str" cm="1">
        <f t="array" ref="D1042">INDEX(_xlfn.TEXTSPLIT(C1042,"_"),3)</f>
        <v>bond-therapy</v>
      </c>
      <c r="E1042" t="str">
        <f>VLOOKUP(D1042,FranchiseMapping!$A$1:$B$15,2,FALSE)</f>
        <v>Bond Therapy</v>
      </c>
      <c r="F1042" s="1">
        <v>44927</v>
      </c>
      <c r="G1042" t="s">
        <v>11</v>
      </c>
      <c r="H1042" s="2">
        <v>45231</v>
      </c>
      <c r="I1042" s="3">
        <v>45249</v>
      </c>
      <c r="J1042" s="3">
        <f t="shared" si="16"/>
        <v>45255</v>
      </c>
      <c r="K1042" s="4">
        <v>1310.0400010000001</v>
      </c>
      <c r="L1042">
        <v>233309</v>
      </c>
    </row>
    <row r="1043" spans="1:12" x14ac:dyDescent="0.35">
      <c r="A1043" t="s">
        <v>8</v>
      </c>
      <c r="B1043" t="s">
        <v>14</v>
      </c>
      <c r="C1043" t="s">
        <v>47</v>
      </c>
      <c r="D1043" t="str" cm="1">
        <f t="array" ref="D1043">INDEX(_xlfn.TEXTSPLIT(C1043,"_"),3)</f>
        <v>hys</v>
      </c>
      <c r="E1043" t="str">
        <f>VLOOKUP(D1043,FranchiseMapping!$A$1:$B$15,2,FALSE)</f>
        <v>Hydrasource</v>
      </c>
      <c r="F1043" s="1">
        <v>45658</v>
      </c>
      <c r="G1043" t="s">
        <v>12</v>
      </c>
      <c r="H1043" s="2">
        <v>45748</v>
      </c>
      <c r="I1043" s="3">
        <v>45763</v>
      </c>
      <c r="J1043" s="3">
        <f t="shared" si="16"/>
        <v>45766</v>
      </c>
      <c r="K1043" s="4">
        <v>3641.9199999999996</v>
      </c>
      <c r="L1043">
        <v>871041</v>
      </c>
    </row>
    <row r="1044" spans="1:12" x14ac:dyDescent="0.35">
      <c r="A1044" t="s">
        <v>8</v>
      </c>
      <c r="B1044" t="s">
        <v>13</v>
      </c>
      <c r="C1044" t="s">
        <v>28</v>
      </c>
      <c r="D1044" t="str" cm="1">
        <f t="array" ref="D1044">INDEX(_xlfn.TEXTSPLIT(C1044,"_"),3)</f>
        <v>na</v>
      </c>
      <c r="E1044" t="str">
        <f>VLOOKUP(D1044,FranchiseMapping!$A$1:$B$15,2,FALSE)</f>
        <v>Biolage</v>
      </c>
      <c r="F1044" s="1">
        <v>44927</v>
      </c>
      <c r="G1044" t="s">
        <v>10</v>
      </c>
      <c r="H1044" s="2">
        <v>45139</v>
      </c>
      <c r="I1044" s="3">
        <v>45143</v>
      </c>
      <c r="J1044" s="3">
        <f t="shared" si="16"/>
        <v>45143</v>
      </c>
      <c r="K1044" s="4">
        <v>1192.0234210000001</v>
      </c>
      <c r="L1044">
        <v>148403</v>
      </c>
    </row>
    <row r="1045" spans="1:12" x14ac:dyDescent="0.35">
      <c r="A1045" t="s">
        <v>8</v>
      </c>
      <c r="B1045" t="s">
        <v>9</v>
      </c>
      <c r="C1045" t="s">
        <v>30</v>
      </c>
      <c r="D1045" t="str" cm="1">
        <f t="array" ref="D1045">INDEX(_xlfn.TEXTSPLIT(C1045,"_"),3)</f>
        <v>q3-haca-colorlast</v>
      </c>
      <c r="E1045" t="str">
        <f>VLOOKUP(D1045,FranchiseMapping!$A$1:$B$15,2,FALSE)</f>
        <v>Color Last</v>
      </c>
      <c r="F1045" s="1">
        <v>44927</v>
      </c>
      <c r="G1045" t="s">
        <v>10</v>
      </c>
      <c r="H1045" s="2">
        <v>45108</v>
      </c>
      <c r="I1045" s="3">
        <v>45126</v>
      </c>
      <c r="J1045" s="3">
        <f t="shared" si="16"/>
        <v>45129</v>
      </c>
      <c r="K1045" s="4">
        <v>2470.8300009999998</v>
      </c>
      <c r="L1045">
        <v>291244</v>
      </c>
    </row>
    <row r="1046" spans="1:12" x14ac:dyDescent="0.35">
      <c r="A1046" t="s">
        <v>8</v>
      </c>
      <c r="B1046" t="s">
        <v>9</v>
      </c>
      <c r="C1046" t="s">
        <v>34</v>
      </c>
      <c r="D1046" t="str" cm="1">
        <f t="array" ref="D1046">INDEX(_xlfn.TEXTSPLIT(C1046,"_"),3)</f>
        <v>hydrasource</v>
      </c>
      <c r="E1046" t="str">
        <f>VLOOKUP(D1046,FranchiseMapping!$A$1:$B$15,2,FALSE)</f>
        <v>Hydrasource</v>
      </c>
      <c r="F1046" s="1">
        <v>45292</v>
      </c>
      <c r="G1046" t="s">
        <v>12</v>
      </c>
      <c r="H1046" s="2">
        <v>45292</v>
      </c>
      <c r="I1046" s="3">
        <v>45311</v>
      </c>
      <c r="J1046" s="3">
        <f t="shared" si="16"/>
        <v>45311</v>
      </c>
      <c r="K1046" s="4">
        <v>673.96000099999992</v>
      </c>
      <c r="L1046">
        <v>182263</v>
      </c>
    </row>
    <row r="1047" spans="1:12" x14ac:dyDescent="0.35">
      <c r="A1047" t="s">
        <v>8</v>
      </c>
      <c r="B1047" t="s">
        <v>9</v>
      </c>
      <c r="C1047" t="s">
        <v>46</v>
      </c>
      <c r="D1047" t="str" cm="1">
        <f t="array" ref="D1047">INDEX(_xlfn.TEXTSPLIT(C1047,"_"),3)</f>
        <v>mult</v>
      </c>
      <c r="E1047" t="str">
        <f>VLOOKUP(D1047,FranchiseMapping!$A$1:$B$15,2,FALSE)</f>
        <v>Biolage</v>
      </c>
      <c r="F1047" s="1">
        <v>45658</v>
      </c>
      <c r="G1047" t="s">
        <v>12</v>
      </c>
      <c r="H1047" s="2">
        <v>45748</v>
      </c>
      <c r="I1047" s="3">
        <v>45774</v>
      </c>
      <c r="J1047" s="3">
        <f t="shared" si="16"/>
        <v>45780</v>
      </c>
      <c r="K1047" s="4">
        <v>927.2</v>
      </c>
      <c r="L1047">
        <v>215634</v>
      </c>
    </row>
    <row r="1048" spans="1:12" x14ac:dyDescent="0.35">
      <c r="A1048" t="s">
        <v>8</v>
      </c>
      <c r="B1048" t="s">
        <v>9</v>
      </c>
      <c r="C1048" t="s">
        <v>36</v>
      </c>
      <c r="D1048" t="str" cm="1">
        <f t="array" ref="D1048">INDEX(_xlfn.TEXTSPLIT(C1048,"_"),3)</f>
        <v>bfr</v>
      </c>
      <c r="E1048" t="str">
        <f>VLOOKUP(D1048,FranchiseMapping!$A$1:$B$15,2,FALSE)</f>
        <v>Full Rescue</v>
      </c>
      <c r="F1048" s="1">
        <v>45658</v>
      </c>
      <c r="G1048" t="s">
        <v>12</v>
      </c>
      <c r="H1048" s="2">
        <v>45809</v>
      </c>
      <c r="I1048" s="3">
        <v>45831</v>
      </c>
      <c r="J1048" s="3">
        <f t="shared" si="16"/>
        <v>45836</v>
      </c>
      <c r="K1048" s="4">
        <v>1035.6100029999998</v>
      </c>
      <c r="L1048">
        <v>169636</v>
      </c>
    </row>
    <row r="1049" spans="1:12" x14ac:dyDescent="0.35">
      <c r="A1049" t="s">
        <v>8</v>
      </c>
      <c r="B1049" t="s">
        <v>9</v>
      </c>
      <c r="C1049" t="s">
        <v>35</v>
      </c>
      <c r="D1049" t="str" cm="1">
        <f t="array" ref="D1049">INDEX(_xlfn.TEXTSPLIT(C1049,"_"),3)</f>
        <v>bfr</v>
      </c>
      <c r="E1049" t="str">
        <f>VLOOKUP(D1049,FranchiseMapping!$A$1:$B$15,2,FALSE)</f>
        <v>Full Rescue</v>
      </c>
      <c r="F1049" s="1">
        <v>45658</v>
      </c>
      <c r="G1049" t="s">
        <v>10</v>
      </c>
      <c r="H1049" s="2">
        <v>45778</v>
      </c>
      <c r="I1049" s="3">
        <v>45799</v>
      </c>
      <c r="J1049" s="3">
        <f t="shared" si="16"/>
        <v>45801</v>
      </c>
      <c r="K1049" s="4">
        <v>9.66</v>
      </c>
      <c r="L1049">
        <v>1036</v>
      </c>
    </row>
    <row r="1050" spans="1:12" x14ac:dyDescent="0.35">
      <c r="A1050" t="s">
        <v>8</v>
      </c>
      <c r="B1050" t="s">
        <v>9</v>
      </c>
      <c r="C1050" t="s">
        <v>46</v>
      </c>
      <c r="D1050" t="str" cm="1">
        <f t="array" ref="D1050">INDEX(_xlfn.TEXTSPLIT(C1050,"_"),3)</f>
        <v>mult</v>
      </c>
      <c r="E1050" t="str">
        <f>VLOOKUP(D1050,FranchiseMapping!$A$1:$B$15,2,FALSE)</f>
        <v>Biolage</v>
      </c>
      <c r="F1050" s="1">
        <v>45658</v>
      </c>
      <c r="G1050" t="s">
        <v>10</v>
      </c>
      <c r="H1050" s="2">
        <v>45809</v>
      </c>
      <c r="I1050" s="3">
        <v>45813</v>
      </c>
      <c r="J1050" s="3">
        <f t="shared" si="16"/>
        <v>45815</v>
      </c>
      <c r="K1050" s="4">
        <v>1520.599999</v>
      </c>
      <c r="L1050">
        <v>226383</v>
      </c>
    </row>
    <row r="1051" spans="1:12" x14ac:dyDescent="0.35">
      <c r="A1051" t="s">
        <v>8</v>
      </c>
      <c r="B1051" t="s">
        <v>13</v>
      </c>
      <c r="C1051" t="s">
        <v>42</v>
      </c>
      <c r="D1051" t="str" cm="1">
        <f t="array" ref="D1051">INDEX(_xlfn.TEXTSPLIT(C1051,"_"),3)</f>
        <v>bfr</v>
      </c>
      <c r="E1051" t="str">
        <f>VLOOKUP(D1051,FranchiseMapping!$A$1:$B$15,2,FALSE)</f>
        <v>Full Rescue</v>
      </c>
      <c r="F1051" s="1">
        <v>45658</v>
      </c>
      <c r="G1051" t="s">
        <v>12</v>
      </c>
      <c r="H1051" s="2">
        <v>45809</v>
      </c>
      <c r="I1051" s="3">
        <v>45834</v>
      </c>
      <c r="J1051" s="3">
        <f t="shared" si="16"/>
        <v>45836</v>
      </c>
      <c r="K1051" s="4">
        <v>1430.8631920000003</v>
      </c>
      <c r="L1051">
        <v>672563</v>
      </c>
    </row>
    <row r="1052" spans="1:12" x14ac:dyDescent="0.35">
      <c r="A1052" t="s">
        <v>8</v>
      </c>
      <c r="B1052" t="s">
        <v>14</v>
      </c>
      <c r="C1052" t="s">
        <v>43</v>
      </c>
      <c r="D1052" t="str" cm="1">
        <f t="array" ref="D1052">INDEX(_xlfn.TEXTSPLIT(C1052,"_"),3)</f>
        <v>bfr</v>
      </c>
      <c r="E1052" t="str">
        <f>VLOOKUP(D1052,FranchiseMapping!$A$1:$B$15,2,FALSE)</f>
        <v>Full Rescue</v>
      </c>
      <c r="F1052" s="1">
        <v>45658</v>
      </c>
      <c r="G1052" t="s">
        <v>12</v>
      </c>
      <c r="H1052" s="2">
        <v>45809</v>
      </c>
      <c r="I1052" s="3">
        <v>45838</v>
      </c>
      <c r="J1052" s="3">
        <f t="shared" si="16"/>
        <v>45843</v>
      </c>
      <c r="K1052" s="4">
        <v>557.41999999999996</v>
      </c>
      <c r="L1052">
        <v>97389</v>
      </c>
    </row>
    <row r="1053" spans="1:12" x14ac:dyDescent="0.35">
      <c r="A1053" t="s">
        <v>8</v>
      </c>
      <c r="B1053" t="s">
        <v>9</v>
      </c>
      <c r="C1053" t="s">
        <v>50</v>
      </c>
      <c r="D1053" t="str" cm="1">
        <f t="array" ref="D1053">INDEX(_xlfn.TEXTSPLIT(C1053,"_"),3)</f>
        <v>bond-therapy</v>
      </c>
      <c r="E1053" t="str">
        <f>VLOOKUP(D1053,FranchiseMapping!$A$1:$B$15,2,FALSE)</f>
        <v>Bond Therapy</v>
      </c>
      <c r="F1053" s="1">
        <v>44927</v>
      </c>
      <c r="G1053" t="s">
        <v>12</v>
      </c>
      <c r="H1053" s="2">
        <v>45261</v>
      </c>
      <c r="I1053" s="3">
        <v>45266</v>
      </c>
      <c r="J1053" s="3">
        <f t="shared" si="16"/>
        <v>45269</v>
      </c>
      <c r="K1053" s="4">
        <v>3071.2489900000005</v>
      </c>
      <c r="L1053">
        <v>325128</v>
      </c>
    </row>
    <row r="1054" spans="1:12" x14ac:dyDescent="0.35">
      <c r="A1054" t="s">
        <v>8</v>
      </c>
      <c r="B1054" t="s">
        <v>14</v>
      </c>
      <c r="C1054" t="s">
        <v>29</v>
      </c>
      <c r="D1054" t="str" cm="1">
        <f t="array" ref="D1054">INDEX(_xlfn.TEXTSPLIT(C1054,"_"),3)</f>
        <v>bfr</v>
      </c>
      <c r="E1054" t="str">
        <f>VLOOKUP(D1054,FranchiseMapping!$A$1:$B$15,2,FALSE)</f>
        <v>Full Rescue</v>
      </c>
      <c r="F1054" s="1">
        <v>45658</v>
      </c>
      <c r="G1054" t="s">
        <v>12</v>
      </c>
      <c r="H1054" s="2">
        <v>45809</v>
      </c>
      <c r="I1054" s="3">
        <v>45817</v>
      </c>
      <c r="J1054" s="3">
        <f t="shared" si="16"/>
        <v>45822</v>
      </c>
      <c r="K1054" s="4">
        <v>7.38</v>
      </c>
      <c r="L1054">
        <v>1441</v>
      </c>
    </row>
    <row r="1055" spans="1:12" x14ac:dyDescent="0.35">
      <c r="A1055" t="s">
        <v>8</v>
      </c>
      <c r="B1055" t="s">
        <v>9</v>
      </c>
      <c r="C1055" t="s">
        <v>48</v>
      </c>
      <c r="D1055" t="str" cm="1">
        <f t="array" ref="D1055">INDEX(_xlfn.TEXTSPLIT(C1055,"_"),3)</f>
        <v>scalp</v>
      </c>
      <c r="E1055" t="str">
        <f>VLOOKUP(D1055,FranchiseMapping!$A$1:$B$15,2,FALSE)</f>
        <v>Scalp Sync</v>
      </c>
      <c r="F1055" s="1">
        <v>45292</v>
      </c>
      <c r="G1055" t="s">
        <v>10</v>
      </c>
      <c r="H1055" s="2">
        <v>45383</v>
      </c>
      <c r="I1055" s="3">
        <v>45387</v>
      </c>
      <c r="J1055" s="3">
        <f t="shared" si="16"/>
        <v>45388</v>
      </c>
      <c r="K1055" s="4">
        <v>209.85000000000002</v>
      </c>
      <c r="L1055">
        <v>52852</v>
      </c>
    </row>
    <row r="1056" spans="1:12" x14ac:dyDescent="0.35">
      <c r="A1056" t="s">
        <v>8</v>
      </c>
      <c r="B1056" t="s">
        <v>9</v>
      </c>
      <c r="C1056" t="s">
        <v>38</v>
      </c>
      <c r="D1056" t="str" cm="1">
        <f t="array" ref="D1056">INDEX(_xlfn.TEXTSPLIT(C1056,"_"),3)</f>
        <v>hys</v>
      </c>
      <c r="E1056" t="str">
        <f>VLOOKUP(D1056,FranchiseMapping!$A$1:$B$15,2,FALSE)</f>
        <v>Hydrasource</v>
      </c>
      <c r="F1056" s="1">
        <v>45658</v>
      </c>
      <c r="G1056" t="s">
        <v>12</v>
      </c>
      <c r="H1056" s="2">
        <v>45748</v>
      </c>
      <c r="I1056" s="3">
        <v>45755</v>
      </c>
      <c r="J1056" s="3">
        <f t="shared" si="16"/>
        <v>45759</v>
      </c>
      <c r="K1056" s="4">
        <v>1410.650003</v>
      </c>
      <c r="L1056">
        <v>158114</v>
      </c>
    </row>
    <row r="1057" spans="1:12" x14ac:dyDescent="0.35">
      <c r="A1057" t="s">
        <v>8</v>
      </c>
      <c r="B1057" t="s">
        <v>9</v>
      </c>
      <c r="C1057" t="s">
        <v>33</v>
      </c>
      <c r="D1057" t="str" cm="1">
        <f t="array" ref="D1057">INDEX(_xlfn.TEXTSPLIT(C1057,"_"),3)</f>
        <v>hydrasource</v>
      </c>
      <c r="E1057" t="str">
        <f>VLOOKUP(D1057,FranchiseMapping!$A$1:$B$15,2,FALSE)</f>
        <v>Hydrasource</v>
      </c>
      <c r="F1057" s="1">
        <v>45292</v>
      </c>
      <c r="G1057" t="s">
        <v>11</v>
      </c>
      <c r="H1057" s="2">
        <v>45292</v>
      </c>
      <c r="I1057" s="3">
        <v>45306</v>
      </c>
      <c r="J1057" s="3">
        <f t="shared" si="16"/>
        <v>45311</v>
      </c>
      <c r="K1057" s="4">
        <v>1605.6400010000002</v>
      </c>
      <c r="L1057">
        <v>536699</v>
      </c>
    </row>
    <row r="1058" spans="1:12" x14ac:dyDescent="0.35">
      <c r="A1058" t="s">
        <v>8</v>
      </c>
      <c r="B1058" t="s">
        <v>13</v>
      </c>
      <c r="C1058" t="s">
        <v>59</v>
      </c>
      <c r="D1058" t="str" cm="1">
        <f t="array" ref="D1058">INDEX(_xlfn.TEXTSPLIT(C1058,"_"),3)</f>
        <v>scalp-sync</v>
      </c>
      <c r="E1058" t="str">
        <f>VLOOKUP(D1058,FranchiseMapping!$A$1:$B$15,2,FALSE)</f>
        <v>Scalp Sync</v>
      </c>
      <c r="F1058" s="1">
        <v>45292</v>
      </c>
      <c r="G1058" t="s">
        <v>11</v>
      </c>
      <c r="H1058" s="2">
        <v>45413</v>
      </c>
      <c r="I1058" s="3">
        <v>45414</v>
      </c>
      <c r="J1058" s="3">
        <f t="shared" si="16"/>
        <v>45416</v>
      </c>
      <c r="K1058" s="4">
        <v>3357.9696539999995</v>
      </c>
      <c r="L1058">
        <v>1583283</v>
      </c>
    </row>
    <row r="1059" spans="1:12" x14ac:dyDescent="0.35">
      <c r="A1059" t="s">
        <v>8</v>
      </c>
      <c r="B1059" t="s">
        <v>13</v>
      </c>
      <c r="C1059" t="s">
        <v>51</v>
      </c>
      <c r="D1059" t="str" cm="1">
        <f t="array" ref="D1059">INDEX(_xlfn.TEXTSPLIT(C1059,"_"),3)</f>
        <v>na</v>
      </c>
      <c r="E1059" t="str">
        <f>VLOOKUP(D1059,FranchiseMapping!$A$1:$B$15,2,FALSE)</f>
        <v>Biolage</v>
      </c>
      <c r="F1059" s="1">
        <v>44927</v>
      </c>
      <c r="G1059" t="s">
        <v>11</v>
      </c>
      <c r="H1059" s="2">
        <v>45139</v>
      </c>
      <c r="I1059" s="3">
        <v>45142</v>
      </c>
      <c r="J1059" s="3">
        <f t="shared" si="16"/>
        <v>45143</v>
      </c>
      <c r="K1059" s="4">
        <v>770.91454900000008</v>
      </c>
      <c r="L1059">
        <v>486885</v>
      </c>
    </row>
    <row r="1060" spans="1:12" x14ac:dyDescent="0.35">
      <c r="A1060" t="s">
        <v>8</v>
      </c>
      <c r="B1060" t="s">
        <v>9</v>
      </c>
      <c r="C1060" t="s">
        <v>55</v>
      </c>
      <c r="D1060" t="str" cm="1">
        <f t="array" ref="D1060">INDEX(_xlfn.TEXTSPLIT(C1060,"_"),3)</f>
        <v>hydrasource</v>
      </c>
      <c r="E1060" t="str">
        <f>VLOOKUP(D1060,FranchiseMapping!$A$1:$B$15,2,FALSE)</f>
        <v>Hydrasource</v>
      </c>
      <c r="F1060" s="1">
        <v>45292</v>
      </c>
      <c r="G1060" t="s">
        <v>12</v>
      </c>
      <c r="H1060" s="2">
        <v>45566</v>
      </c>
      <c r="I1060" s="3">
        <v>45568</v>
      </c>
      <c r="J1060" s="3">
        <f t="shared" si="16"/>
        <v>45570</v>
      </c>
      <c r="K1060" s="4">
        <v>3678.0699969999991</v>
      </c>
      <c r="L1060">
        <v>707057</v>
      </c>
    </row>
    <row r="1061" spans="1:12" x14ac:dyDescent="0.35">
      <c r="A1061" t="s">
        <v>8</v>
      </c>
      <c r="B1061" t="s">
        <v>9</v>
      </c>
      <c r="C1061" t="s">
        <v>35</v>
      </c>
      <c r="D1061" t="str" cm="1">
        <f t="array" ref="D1061">INDEX(_xlfn.TEXTSPLIT(C1061,"_"),3)</f>
        <v>bfr</v>
      </c>
      <c r="E1061" t="str">
        <f>VLOOKUP(D1061,FranchiseMapping!$A$1:$B$15,2,FALSE)</f>
        <v>Full Rescue</v>
      </c>
      <c r="F1061" s="1">
        <v>45658</v>
      </c>
      <c r="G1061" t="s">
        <v>12</v>
      </c>
      <c r="H1061" s="2">
        <v>45809</v>
      </c>
      <c r="I1061" s="3">
        <v>45811</v>
      </c>
      <c r="J1061" s="3">
        <f t="shared" si="16"/>
        <v>45815</v>
      </c>
      <c r="K1061" s="4">
        <v>1646.8899939999999</v>
      </c>
      <c r="L1061">
        <v>141397</v>
      </c>
    </row>
    <row r="1062" spans="1:12" x14ac:dyDescent="0.35">
      <c r="A1062" t="s">
        <v>8</v>
      </c>
      <c r="B1062" t="s">
        <v>14</v>
      </c>
      <c r="C1062" t="s">
        <v>43</v>
      </c>
      <c r="D1062" t="str" cm="1">
        <f t="array" ref="D1062">INDEX(_xlfn.TEXTSPLIT(C1062,"_"),3)</f>
        <v>bfr</v>
      </c>
      <c r="E1062" t="str">
        <f>VLOOKUP(D1062,FranchiseMapping!$A$1:$B$15,2,FALSE)</f>
        <v>Full Rescue</v>
      </c>
      <c r="F1062" s="1">
        <v>45658</v>
      </c>
      <c r="G1062" t="s">
        <v>12</v>
      </c>
      <c r="H1062" s="2">
        <v>45809</v>
      </c>
      <c r="I1062" s="3">
        <v>45811</v>
      </c>
      <c r="J1062" s="3">
        <f t="shared" si="16"/>
        <v>45815</v>
      </c>
      <c r="K1062" s="4">
        <v>5557.57</v>
      </c>
      <c r="L1062">
        <v>1269542</v>
      </c>
    </row>
    <row r="1063" spans="1:12" x14ac:dyDescent="0.35">
      <c r="A1063" t="s">
        <v>8</v>
      </c>
      <c r="B1063" t="s">
        <v>9</v>
      </c>
      <c r="C1063" t="s">
        <v>46</v>
      </c>
      <c r="D1063" t="str" cm="1">
        <f t="array" ref="D1063">INDEX(_xlfn.TEXTSPLIT(C1063,"_"),3)</f>
        <v>mult</v>
      </c>
      <c r="E1063" t="str">
        <f>VLOOKUP(D1063,FranchiseMapping!$A$1:$B$15,2,FALSE)</f>
        <v>Biolage</v>
      </c>
      <c r="F1063" s="1">
        <v>45658</v>
      </c>
      <c r="G1063" t="s">
        <v>12</v>
      </c>
      <c r="H1063" s="2">
        <v>45778</v>
      </c>
      <c r="I1063" s="3">
        <v>45787</v>
      </c>
      <c r="J1063" s="3">
        <f t="shared" si="16"/>
        <v>45787</v>
      </c>
      <c r="K1063" s="4">
        <v>280.14</v>
      </c>
      <c r="L1063">
        <v>55494</v>
      </c>
    </row>
    <row r="1064" spans="1:12" x14ac:dyDescent="0.35">
      <c r="A1064" t="s">
        <v>8</v>
      </c>
      <c r="B1064" t="s">
        <v>13</v>
      </c>
      <c r="C1064" t="s">
        <v>28</v>
      </c>
      <c r="D1064" t="str" cm="1">
        <f t="array" ref="D1064">INDEX(_xlfn.TEXTSPLIT(C1064,"_"),3)</f>
        <v>na</v>
      </c>
      <c r="E1064" t="str">
        <f>VLOOKUP(D1064,FranchiseMapping!$A$1:$B$15,2,FALSE)</f>
        <v>Biolage</v>
      </c>
      <c r="F1064" s="1">
        <v>44927</v>
      </c>
      <c r="G1064" t="s">
        <v>12</v>
      </c>
      <c r="H1064" s="2">
        <v>45108</v>
      </c>
      <c r="I1064" s="3">
        <v>45132</v>
      </c>
      <c r="J1064" s="3">
        <f t="shared" si="16"/>
        <v>45136</v>
      </c>
      <c r="K1064" s="4">
        <v>139.368619</v>
      </c>
      <c r="L1064">
        <v>49758</v>
      </c>
    </row>
    <row r="1065" spans="1:12" x14ac:dyDescent="0.35">
      <c r="A1065" t="s">
        <v>8</v>
      </c>
      <c r="B1065" t="s">
        <v>9</v>
      </c>
      <c r="C1065" t="s">
        <v>38</v>
      </c>
      <c r="D1065" t="str" cm="1">
        <f t="array" ref="D1065">INDEX(_xlfn.TEXTSPLIT(C1065,"_"),3)</f>
        <v>hys</v>
      </c>
      <c r="E1065" t="str">
        <f>VLOOKUP(D1065,FranchiseMapping!$A$1:$B$15,2,FALSE)</f>
        <v>Hydrasource</v>
      </c>
      <c r="F1065" s="1">
        <v>45658</v>
      </c>
      <c r="G1065" t="s">
        <v>12</v>
      </c>
      <c r="H1065" s="2">
        <v>45748</v>
      </c>
      <c r="I1065" s="3">
        <v>45764</v>
      </c>
      <c r="J1065" s="3">
        <f t="shared" si="16"/>
        <v>45766</v>
      </c>
      <c r="K1065" s="4">
        <v>2224.3499949999996</v>
      </c>
      <c r="L1065">
        <v>323473</v>
      </c>
    </row>
    <row r="1066" spans="1:12" x14ac:dyDescent="0.35">
      <c r="A1066" t="s">
        <v>8</v>
      </c>
      <c r="B1066" t="s">
        <v>13</v>
      </c>
      <c r="C1066" t="s">
        <v>59</v>
      </c>
      <c r="D1066" t="str" cm="1">
        <f t="array" ref="D1066">INDEX(_xlfn.TEXTSPLIT(C1066,"_"),3)</f>
        <v>scalp-sync</v>
      </c>
      <c r="E1066" t="str">
        <f>VLOOKUP(D1066,FranchiseMapping!$A$1:$B$15,2,FALSE)</f>
        <v>Scalp Sync</v>
      </c>
      <c r="F1066" s="1">
        <v>45292</v>
      </c>
      <c r="G1066" t="s">
        <v>11</v>
      </c>
      <c r="H1066" s="2">
        <v>45413</v>
      </c>
      <c r="I1066" s="3">
        <v>45426</v>
      </c>
      <c r="J1066" s="3">
        <f t="shared" si="16"/>
        <v>45430</v>
      </c>
      <c r="K1066" s="4">
        <v>3369.6550739999998</v>
      </c>
      <c r="L1066">
        <v>1476586</v>
      </c>
    </row>
    <row r="1067" spans="1:12" x14ac:dyDescent="0.35">
      <c r="A1067" t="s">
        <v>8</v>
      </c>
      <c r="B1067" t="s">
        <v>13</v>
      </c>
      <c r="C1067" t="s">
        <v>59</v>
      </c>
      <c r="D1067" t="str" cm="1">
        <f t="array" ref="D1067">INDEX(_xlfn.TEXTSPLIT(C1067,"_"),3)</f>
        <v>scalp-sync</v>
      </c>
      <c r="E1067" t="str">
        <f>VLOOKUP(D1067,FranchiseMapping!$A$1:$B$15,2,FALSE)</f>
        <v>Scalp Sync</v>
      </c>
      <c r="F1067" s="1">
        <v>45292</v>
      </c>
      <c r="G1067" t="s">
        <v>11</v>
      </c>
      <c r="H1067" s="2">
        <v>45413</v>
      </c>
      <c r="I1067" s="3">
        <v>45441</v>
      </c>
      <c r="J1067" s="3">
        <f t="shared" si="16"/>
        <v>45444</v>
      </c>
      <c r="K1067" s="4">
        <v>3327.6507149999998</v>
      </c>
      <c r="L1067">
        <v>1358652</v>
      </c>
    </row>
    <row r="1068" spans="1:12" x14ac:dyDescent="0.35">
      <c r="A1068" t="s">
        <v>8</v>
      </c>
      <c r="B1068" t="s">
        <v>9</v>
      </c>
      <c r="C1068" t="s">
        <v>33</v>
      </c>
      <c r="D1068" t="str" cm="1">
        <f t="array" ref="D1068">INDEX(_xlfn.TEXTSPLIT(C1068,"_"),3)</f>
        <v>hydrasource</v>
      </c>
      <c r="E1068" t="str">
        <f>VLOOKUP(D1068,FranchiseMapping!$A$1:$B$15,2,FALSE)</f>
        <v>Hydrasource</v>
      </c>
      <c r="F1068" s="1">
        <v>45292</v>
      </c>
      <c r="G1068" t="s">
        <v>11</v>
      </c>
      <c r="H1068" s="2">
        <v>45292</v>
      </c>
      <c r="I1068" s="3">
        <v>45308</v>
      </c>
      <c r="J1068" s="3">
        <f t="shared" si="16"/>
        <v>45311</v>
      </c>
      <c r="K1068" s="4">
        <v>1484.139995</v>
      </c>
      <c r="L1068">
        <v>450987</v>
      </c>
    </row>
    <row r="1069" spans="1:12" x14ac:dyDescent="0.35">
      <c r="A1069" t="s">
        <v>8</v>
      </c>
      <c r="B1069" t="s">
        <v>13</v>
      </c>
      <c r="C1069" t="s">
        <v>59</v>
      </c>
      <c r="D1069" t="str" cm="1">
        <f t="array" ref="D1069">INDEX(_xlfn.TEXTSPLIT(C1069,"_"),3)</f>
        <v>scalp-sync</v>
      </c>
      <c r="E1069" t="str">
        <f>VLOOKUP(D1069,FranchiseMapping!$A$1:$B$15,2,FALSE)</f>
        <v>Scalp Sync</v>
      </c>
      <c r="F1069" s="1">
        <v>45292</v>
      </c>
      <c r="G1069" t="s">
        <v>11</v>
      </c>
      <c r="H1069" s="2">
        <v>45413</v>
      </c>
      <c r="I1069" s="3">
        <v>45429</v>
      </c>
      <c r="J1069" s="3">
        <f t="shared" si="16"/>
        <v>45430</v>
      </c>
      <c r="K1069" s="4">
        <v>3370.6654009999997</v>
      </c>
      <c r="L1069">
        <v>1424439</v>
      </c>
    </row>
    <row r="1070" spans="1:12" x14ac:dyDescent="0.35">
      <c r="A1070" t="s">
        <v>8</v>
      </c>
      <c r="B1070" t="s">
        <v>9</v>
      </c>
      <c r="C1070" t="s">
        <v>71</v>
      </c>
      <c r="D1070" t="str" cm="1">
        <f t="array" ref="D1070">INDEX(_xlfn.TEXTSPLIT(C1070,"_"),3)</f>
        <v>bondtherapy</v>
      </c>
      <c r="E1070" t="str">
        <f>VLOOKUP(D1070,FranchiseMapping!$A$1:$B$15,2,FALSE)</f>
        <v>Bond Therapy</v>
      </c>
      <c r="F1070" s="1">
        <v>44927</v>
      </c>
      <c r="G1070" t="s">
        <v>11</v>
      </c>
      <c r="H1070" s="2">
        <v>45261</v>
      </c>
      <c r="I1070" s="3">
        <v>45278</v>
      </c>
      <c r="J1070" s="3">
        <f t="shared" si="16"/>
        <v>45283</v>
      </c>
      <c r="K1070" s="4">
        <v>2052.0299970000001</v>
      </c>
      <c r="L1070">
        <v>135079</v>
      </c>
    </row>
    <row r="1071" spans="1:12" x14ac:dyDescent="0.35">
      <c r="A1071" t="s">
        <v>8</v>
      </c>
      <c r="B1071" t="s">
        <v>9</v>
      </c>
      <c r="C1071" t="s">
        <v>36</v>
      </c>
      <c r="D1071" t="str" cm="1">
        <f t="array" ref="D1071">INDEX(_xlfn.TEXTSPLIT(C1071,"_"),3)</f>
        <v>bfr</v>
      </c>
      <c r="E1071" t="str">
        <f>VLOOKUP(D1071,FranchiseMapping!$A$1:$B$15,2,FALSE)</f>
        <v>Full Rescue</v>
      </c>
      <c r="F1071" s="1">
        <v>45658</v>
      </c>
      <c r="G1071" t="s">
        <v>12</v>
      </c>
      <c r="H1071" s="2">
        <v>45778</v>
      </c>
      <c r="I1071" s="3">
        <v>45794</v>
      </c>
      <c r="J1071" s="3">
        <f t="shared" si="16"/>
        <v>45794</v>
      </c>
      <c r="K1071" s="4">
        <v>2591.4000010000004</v>
      </c>
      <c r="L1071">
        <v>433882</v>
      </c>
    </row>
    <row r="1072" spans="1:12" x14ac:dyDescent="0.35">
      <c r="A1072" t="s">
        <v>8</v>
      </c>
      <c r="B1072" t="s">
        <v>9</v>
      </c>
      <c r="C1072" t="s">
        <v>31</v>
      </c>
      <c r="D1072" t="str" cm="1">
        <f t="array" ref="D1072">INDEX(_xlfn.TEXTSPLIT(C1072,"_"),3)</f>
        <v>scalp</v>
      </c>
      <c r="E1072" t="str">
        <f>VLOOKUP(D1072,FranchiseMapping!$A$1:$B$15,2,FALSE)</f>
        <v>Scalp Sync</v>
      </c>
      <c r="F1072" s="1">
        <v>45292</v>
      </c>
      <c r="G1072" t="s">
        <v>12</v>
      </c>
      <c r="H1072" s="2">
        <v>45352</v>
      </c>
      <c r="I1072" s="3">
        <v>45380</v>
      </c>
      <c r="J1072" s="3">
        <f t="shared" si="16"/>
        <v>45381</v>
      </c>
      <c r="K1072" s="4">
        <v>1449.9800099999998</v>
      </c>
      <c r="L1072">
        <v>216778</v>
      </c>
    </row>
    <row r="1073" spans="1:12" x14ac:dyDescent="0.35">
      <c r="A1073" t="s">
        <v>8</v>
      </c>
      <c r="B1073" t="s">
        <v>9</v>
      </c>
      <c r="C1073" t="s">
        <v>53</v>
      </c>
      <c r="D1073" t="str" cm="1">
        <f t="array" ref="D1073">INDEX(_xlfn.TEXTSPLIT(C1073,"_"),3)</f>
        <v>bond-therapy</v>
      </c>
      <c r="E1073" t="str">
        <f>VLOOKUP(D1073,FranchiseMapping!$A$1:$B$15,2,FALSE)</f>
        <v>Bond Therapy</v>
      </c>
      <c r="F1073" s="1">
        <v>44927</v>
      </c>
      <c r="G1073" t="s">
        <v>11</v>
      </c>
      <c r="H1073" s="2">
        <v>45231</v>
      </c>
      <c r="I1073" s="3">
        <v>45247</v>
      </c>
      <c r="J1073" s="3">
        <f t="shared" si="16"/>
        <v>45248</v>
      </c>
      <c r="K1073" s="4">
        <v>1236.860001</v>
      </c>
      <c r="L1073">
        <v>202988</v>
      </c>
    </row>
    <row r="1074" spans="1:12" x14ac:dyDescent="0.35">
      <c r="A1074" t="s">
        <v>8</v>
      </c>
      <c r="B1074" t="s">
        <v>14</v>
      </c>
      <c r="C1074" t="s">
        <v>37</v>
      </c>
      <c r="D1074" t="str" cm="1">
        <f t="array" ref="D1074">INDEX(_xlfn.TEXTSPLIT(C1074,"_"),3)</f>
        <v>mult</v>
      </c>
      <c r="E1074" t="str">
        <f>VLOOKUP(D1074,FranchiseMapping!$A$1:$B$15,2,FALSE)</f>
        <v>Biolage</v>
      </c>
      <c r="F1074" s="1">
        <v>45658</v>
      </c>
      <c r="G1074" t="s">
        <v>12</v>
      </c>
      <c r="H1074" s="2">
        <v>45778</v>
      </c>
      <c r="I1074" s="3">
        <v>45789</v>
      </c>
      <c r="J1074" s="3">
        <f t="shared" si="16"/>
        <v>45794</v>
      </c>
      <c r="K1074" s="4">
        <v>1830.2</v>
      </c>
      <c r="L1074">
        <v>471051</v>
      </c>
    </row>
    <row r="1075" spans="1:12" x14ac:dyDescent="0.35">
      <c r="A1075" t="s">
        <v>8</v>
      </c>
      <c r="B1075" t="s">
        <v>9</v>
      </c>
      <c r="C1075" t="s">
        <v>48</v>
      </c>
      <c r="D1075" t="str" cm="1">
        <f t="array" ref="D1075">INDEX(_xlfn.TEXTSPLIT(C1075,"_"),3)</f>
        <v>scalp</v>
      </c>
      <c r="E1075" t="str">
        <f>VLOOKUP(D1075,FranchiseMapping!$A$1:$B$15,2,FALSE)</f>
        <v>Scalp Sync</v>
      </c>
      <c r="F1075" s="1">
        <v>45292</v>
      </c>
      <c r="G1075" t="s">
        <v>10</v>
      </c>
      <c r="H1075" s="2">
        <v>45383</v>
      </c>
      <c r="I1075" s="3">
        <v>45399</v>
      </c>
      <c r="J1075" s="3">
        <f t="shared" si="16"/>
        <v>45402</v>
      </c>
      <c r="K1075" s="4">
        <v>239.33999999999997</v>
      </c>
      <c r="L1075">
        <v>55853</v>
      </c>
    </row>
    <row r="1076" spans="1:12" x14ac:dyDescent="0.35">
      <c r="A1076" t="s">
        <v>8</v>
      </c>
      <c r="B1076" t="s">
        <v>9</v>
      </c>
      <c r="C1076" t="s">
        <v>52</v>
      </c>
      <c r="D1076" t="str" cm="1">
        <f t="array" ref="D1076">INDEX(_xlfn.TEXTSPLIT(C1076,"_"),3)</f>
        <v>bond-therapy</v>
      </c>
      <c r="E1076" t="str">
        <f>VLOOKUP(D1076,FranchiseMapping!$A$1:$B$15,2,FALSE)</f>
        <v>Bond Therapy</v>
      </c>
      <c r="F1076" s="1">
        <v>44927</v>
      </c>
      <c r="G1076" t="s">
        <v>11</v>
      </c>
      <c r="H1076" s="2">
        <v>45261</v>
      </c>
      <c r="I1076" s="3">
        <v>45286</v>
      </c>
      <c r="J1076" s="3">
        <f t="shared" si="16"/>
        <v>45290</v>
      </c>
      <c r="K1076" s="4">
        <v>2714.3199980000004</v>
      </c>
      <c r="L1076">
        <v>409825</v>
      </c>
    </row>
    <row r="1077" spans="1:12" x14ac:dyDescent="0.35">
      <c r="A1077" t="s">
        <v>8</v>
      </c>
      <c r="B1077" t="s">
        <v>9</v>
      </c>
      <c r="C1077" t="s">
        <v>36</v>
      </c>
      <c r="D1077" t="str" cm="1">
        <f t="array" ref="D1077">INDEX(_xlfn.TEXTSPLIT(C1077,"_"),3)</f>
        <v>bfr</v>
      </c>
      <c r="E1077" t="str">
        <f>VLOOKUP(D1077,FranchiseMapping!$A$1:$B$15,2,FALSE)</f>
        <v>Full Rescue</v>
      </c>
      <c r="F1077" s="1">
        <v>45658</v>
      </c>
      <c r="G1077" t="s">
        <v>12</v>
      </c>
      <c r="H1077" s="2">
        <v>45809</v>
      </c>
      <c r="I1077" s="3">
        <v>45819</v>
      </c>
      <c r="J1077" s="3">
        <f t="shared" si="16"/>
        <v>45822</v>
      </c>
      <c r="K1077" s="4">
        <v>367.8299980000001</v>
      </c>
      <c r="L1077">
        <v>46474</v>
      </c>
    </row>
    <row r="1078" spans="1:12" x14ac:dyDescent="0.35">
      <c r="A1078" t="s">
        <v>8</v>
      </c>
      <c r="B1078" t="s">
        <v>9</v>
      </c>
      <c r="C1078" t="s">
        <v>46</v>
      </c>
      <c r="D1078" t="str" cm="1">
        <f t="array" ref="D1078">INDEX(_xlfn.TEXTSPLIT(C1078,"_"),3)</f>
        <v>mult</v>
      </c>
      <c r="E1078" t="str">
        <f>VLOOKUP(D1078,FranchiseMapping!$A$1:$B$15,2,FALSE)</f>
        <v>Biolage</v>
      </c>
      <c r="F1078" s="1">
        <v>45658</v>
      </c>
      <c r="G1078" t="s">
        <v>12</v>
      </c>
      <c r="H1078" s="2">
        <v>45778</v>
      </c>
      <c r="I1078" s="3">
        <v>45805</v>
      </c>
      <c r="J1078" s="3">
        <f t="shared" si="16"/>
        <v>45808</v>
      </c>
      <c r="K1078" s="4">
        <v>344.7</v>
      </c>
      <c r="L1078">
        <v>60087</v>
      </c>
    </row>
    <row r="1079" spans="1:12" x14ac:dyDescent="0.35">
      <c r="A1079" t="s">
        <v>8</v>
      </c>
      <c r="B1079" t="s">
        <v>9</v>
      </c>
      <c r="C1079" t="s">
        <v>35</v>
      </c>
      <c r="D1079" t="str" cm="1">
        <f t="array" ref="D1079">INDEX(_xlfn.TEXTSPLIT(C1079,"_"),3)</f>
        <v>bfr</v>
      </c>
      <c r="E1079" t="str">
        <f>VLOOKUP(D1079,FranchiseMapping!$A$1:$B$15,2,FALSE)</f>
        <v>Full Rescue</v>
      </c>
      <c r="F1079" s="1">
        <v>45658</v>
      </c>
      <c r="G1079" t="s">
        <v>10</v>
      </c>
      <c r="H1079" s="2">
        <v>45809</v>
      </c>
      <c r="I1079" s="3">
        <v>45821</v>
      </c>
      <c r="J1079" s="3">
        <f t="shared" si="16"/>
        <v>45822</v>
      </c>
      <c r="K1079" s="4">
        <v>38.19</v>
      </c>
      <c r="L1079">
        <v>4202</v>
      </c>
    </row>
    <row r="1080" spans="1:12" x14ac:dyDescent="0.35">
      <c r="A1080" t="s">
        <v>8</v>
      </c>
      <c r="B1080" t="s">
        <v>9</v>
      </c>
      <c r="C1080" t="s">
        <v>55</v>
      </c>
      <c r="D1080" t="str" cm="1">
        <f t="array" ref="D1080">INDEX(_xlfn.TEXTSPLIT(C1080,"_"),3)</f>
        <v>hydrasource</v>
      </c>
      <c r="E1080" t="str">
        <f>VLOOKUP(D1080,FranchiseMapping!$A$1:$B$15,2,FALSE)</f>
        <v>Hydrasource</v>
      </c>
      <c r="F1080" s="1">
        <v>45292</v>
      </c>
      <c r="G1080" t="s">
        <v>12</v>
      </c>
      <c r="H1080" s="2">
        <v>45566</v>
      </c>
      <c r="I1080" s="3">
        <v>45585</v>
      </c>
      <c r="J1080" s="3">
        <f t="shared" si="16"/>
        <v>45591</v>
      </c>
      <c r="K1080" s="4">
        <v>3925.5700100000004</v>
      </c>
      <c r="L1080">
        <v>872449</v>
      </c>
    </row>
    <row r="1081" spans="1:12" x14ac:dyDescent="0.35">
      <c r="A1081" t="s">
        <v>8</v>
      </c>
      <c r="B1081" t="s">
        <v>9</v>
      </c>
      <c r="C1081" t="s">
        <v>46</v>
      </c>
      <c r="D1081" t="str" cm="1">
        <f t="array" ref="D1081">INDEX(_xlfn.TEXTSPLIT(C1081,"_"),3)</f>
        <v>mult</v>
      </c>
      <c r="E1081" t="str">
        <f>VLOOKUP(D1081,FranchiseMapping!$A$1:$B$15,2,FALSE)</f>
        <v>Biolage</v>
      </c>
      <c r="F1081" s="1">
        <v>45658</v>
      </c>
      <c r="G1081" t="s">
        <v>10</v>
      </c>
      <c r="H1081" s="2">
        <v>45748</v>
      </c>
      <c r="I1081" s="3">
        <v>45775</v>
      </c>
      <c r="J1081" s="3">
        <f t="shared" si="16"/>
        <v>45780</v>
      </c>
      <c r="K1081" s="4">
        <v>709.71999900000003</v>
      </c>
      <c r="L1081">
        <v>140484</v>
      </c>
    </row>
    <row r="1082" spans="1:12" x14ac:dyDescent="0.35">
      <c r="A1082" t="s">
        <v>8</v>
      </c>
      <c r="B1082" t="s">
        <v>9</v>
      </c>
      <c r="C1082" t="s">
        <v>31</v>
      </c>
      <c r="D1082" t="str" cm="1">
        <f t="array" ref="D1082">INDEX(_xlfn.TEXTSPLIT(C1082,"_"),3)</f>
        <v>scalp</v>
      </c>
      <c r="E1082" t="str">
        <f>VLOOKUP(D1082,FranchiseMapping!$A$1:$B$15,2,FALSE)</f>
        <v>Scalp Sync</v>
      </c>
      <c r="F1082" s="1">
        <v>45292</v>
      </c>
      <c r="G1082" t="s">
        <v>10</v>
      </c>
      <c r="H1082" s="2">
        <v>45352</v>
      </c>
      <c r="I1082" s="3">
        <v>45377</v>
      </c>
      <c r="J1082" s="3">
        <f t="shared" si="16"/>
        <v>45381</v>
      </c>
      <c r="K1082" s="4">
        <v>1576.2800000000002</v>
      </c>
      <c r="L1082">
        <v>228716</v>
      </c>
    </row>
    <row r="1083" spans="1:12" x14ac:dyDescent="0.35">
      <c r="A1083" t="s">
        <v>8</v>
      </c>
      <c r="B1083" t="s">
        <v>9</v>
      </c>
      <c r="C1083" t="s">
        <v>75</v>
      </c>
      <c r="D1083" t="str" cm="1">
        <f t="array" ref="D1083">INDEX(_xlfn.TEXTSPLIT(C1083,"_"),3)</f>
        <v>q3-haca-colorlast</v>
      </c>
      <c r="E1083" t="str">
        <f>VLOOKUP(D1083,FranchiseMapping!$A$1:$B$15,2,FALSE)</f>
        <v>Color Last</v>
      </c>
      <c r="F1083" s="1">
        <v>44927</v>
      </c>
      <c r="G1083" t="s">
        <v>10</v>
      </c>
      <c r="H1083" s="2">
        <v>45108</v>
      </c>
      <c r="I1083" s="3">
        <v>45119</v>
      </c>
      <c r="J1083" s="3">
        <f t="shared" si="16"/>
        <v>45122</v>
      </c>
      <c r="K1083" s="4">
        <v>2501.3700010000002</v>
      </c>
      <c r="L1083">
        <v>467959</v>
      </c>
    </row>
    <row r="1084" spans="1:12" x14ac:dyDescent="0.35">
      <c r="A1084" t="s">
        <v>8</v>
      </c>
      <c r="B1084" t="s">
        <v>14</v>
      </c>
      <c r="C1084" t="s">
        <v>47</v>
      </c>
      <c r="D1084" t="str" cm="1">
        <f t="array" ref="D1084">INDEX(_xlfn.TEXTSPLIT(C1084,"_"),3)</f>
        <v>hys</v>
      </c>
      <c r="E1084" t="str">
        <f>VLOOKUP(D1084,FranchiseMapping!$A$1:$B$15,2,FALSE)</f>
        <v>Hydrasource</v>
      </c>
      <c r="F1084" s="1">
        <v>45658</v>
      </c>
      <c r="G1084" t="s">
        <v>12</v>
      </c>
      <c r="H1084" s="2">
        <v>45748</v>
      </c>
      <c r="I1084" s="3">
        <v>45768</v>
      </c>
      <c r="J1084" s="3">
        <f t="shared" si="16"/>
        <v>45773</v>
      </c>
      <c r="K1084" s="4">
        <v>3703.6099999999997</v>
      </c>
      <c r="L1084">
        <v>1018641</v>
      </c>
    </row>
    <row r="1085" spans="1:12" x14ac:dyDescent="0.35">
      <c r="A1085" t="s">
        <v>8</v>
      </c>
      <c r="B1085" t="s">
        <v>9</v>
      </c>
      <c r="C1085" t="s">
        <v>53</v>
      </c>
      <c r="D1085" t="str" cm="1">
        <f t="array" ref="D1085">INDEX(_xlfn.TEXTSPLIT(C1085,"_"),3)</f>
        <v>bond-therapy</v>
      </c>
      <c r="E1085" t="str">
        <f>VLOOKUP(D1085,FranchiseMapping!$A$1:$B$15,2,FALSE)</f>
        <v>Bond Therapy</v>
      </c>
      <c r="F1085" s="1">
        <v>44927</v>
      </c>
      <c r="G1085" t="s">
        <v>11</v>
      </c>
      <c r="H1085" s="2">
        <v>45261</v>
      </c>
      <c r="I1085" s="3">
        <v>45271</v>
      </c>
      <c r="J1085" s="3">
        <f t="shared" si="16"/>
        <v>45276</v>
      </c>
      <c r="K1085" s="4">
        <v>1232.8300000000002</v>
      </c>
      <c r="L1085">
        <v>205324</v>
      </c>
    </row>
    <row r="1086" spans="1:12" x14ac:dyDescent="0.35">
      <c r="A1086" t="s">
        <v>8</v>
      </c>
      <c r="B1086" t="s">
        <v>9</v>
      </c>
      <c r="C1086" t="s">
        <v>35</v>
      </c>
      <c r="D1086" t="str" cm="1">
        <f t="array" ref="D1086">INDEX(_xlfn.TEXTSPLIT(C1086,"_"),3)</f>
        <v>bfr</v>
      </c>
      <c r="E1086" t="str">
        <f>VLOOKUP(D1086,FranchiseMapping!$A$1:$B$15,2,FALSE)</f>
        <v>Full Rescue</v>
      </c>
      <c r="F1086" s="1">
        <v>45658</v>
      </c>
      <c r="G1086" t="s">
        <v>12</v>
      </c>
      <c r="H1086" s="2">
        <v>45778</v>
      </c>
      <c r="I1086" s="3">
        <v>45796</v>
      </c>
      <c r="J1086" s="3">
        <f t="shared" si="16"/>
        <v>45801</v>
      </c>
      <c r="K1086" s="4">
        <v>1812.1799980000003</v>
      </c>
      <c r="L1086">
        <v>141759</v>
      </c>
    </row>
    <row r="1087" spans="1:12" x14ac:dyDescent="0.35">
      <c r="A1087" t="s">
        <v>8</v>
      </c>
      <c r="B1087" t="s">
        <v>9</v>
      </c>
      <c r="C1087" t="s">
        <v>38</v>
      </c>
      <c r="D1087" t="str" cm="1">
        <f t="array" ref="D1087">INDEX(_xlfn.TEXTSPLIT(C1087,"_"),3)</f>
        <v>hys</v>
      </c>
      <c r="E1087" t="str">
        <f>VLOOKUP(D1087,FranchiseMapping!$A$1:$B$15,2,FALSE)</f>
        <v>Hydrasource</v>
      </c>
      <c r="F1087" s="1">
        <v>45658</v>
      </c>
      <c r="G1087" t="s">
        <v>12</v>
      </c>
      <c r="H1087" s="2">
        <v>45778</v>
      </c>
      <c r="I1087" s="3">
        <v>45779</v>
      </c>
      <c r="J1087" s="3">
        <f t="shared" si="16"/>
        <v>45780</v>
      </c>
      <c r="K1087" s="4">
        <v>1710.3100009999998</v>
      </c>
      <c r="L1087">
        <v>257715</v>
      </c>
    </row>
    <row r="1088" spans="1:12" x14ac:dyDescent="0.35">
      <c r="A1088" t="s">
        <v>8</v>
      </c>
      <c r="B1088" t="s">
        <v>9</v>
      </c>
      <c r="C1088" t="s">
        <v>46</v>
      </c>
      <c r="D1088" t="str" cm="1">
        <f t="array" ref="D1088">INDEX(_xlfn.TEXTSPLIT(C1088,"_"),3)</f>
        <v>mult</v>
      </c>
      <c r="E1088" t="str">
        <f>VLOOKUP(D1088,FranchiseMapping!$A$1:$B$15,2,FALSE)</f>
        <v>Biolage</v>
      </c>
      <c r="F1088" s="1">
        <v>45658</v>
      </c>
      <c r="G1088" t="s">
        <v>12</v>
      </c>
      <c r="H1088" s="2">
        <v>45778</v>
      </c>
      <c r="I1088" s="3">
        <v>45790</v>
      </c>
      <c r="J1088" s="3">
        <f t="shared" si="16"/>
        <v>45794</v>
      </c>
      <c r="K1088" s="4">
        <v>315.48999799999996</v>
      </c>
      <c r="L1088">
        <v>57202</v>
      </c>
    </row>
    <row r="1089" spans="1:12" x14ac:dyDescent="0.35">
      <c r="A1089" t="s">
        <v>8</v>
      </c>
      <c r="B1089" t="s">
        <v>14</v>
      </c>
      <c r="C1089" t="s">
        <v>37</v>
      </c>
      <c r="D1089" t="str" cm="1">
        <f t="array" ref="D1089">INDEX(_xlfn.TEXTSPLIT(C1089,"_"),3)</f>
        <v>mult</v>
      </c>
      <c r="E1089" t="str">
        <f>VLOOKUP(D1089,FranchiseMapping!$A$1:$B$15,2,FALSE)</f>
        <v>Biolage</v>
      </c>
      <c r="F1089" s="1">
        <v>45658</v>
      </c>
      <c r="G1089" t="s">
        <v>10</v>
      </c>
      <c r="H1089" s="2">
        <v>45809</v>
      </c>
      <c r="I1089" s="3">
        <v>45814</v>
      </c>
      <c r="J1089" s="3">
        <f t="shared" si="16"/>
        <v>45815</v>
      </c>
      <c r="K1089" s="4">
        <v>1.3900000000000001</v>
      </c>
      <c r="L1089">
        <v>120</v>
      </c>
    </row>
    <row r="1090" spans="1:12" x14ac:dyDescent="0.35">
      <c r="A1090" t="s">
        <v>8</v>
      </c>
      <c r="B1090" t="s">
        <v>9</v>
      </c>
      <c r="C1090" t="s">
        <v>34</v>
      </c>
      <c r="D1090" t="str" cm="1">
        <f t="array" ref="D1090">INDEX(_xlfn.TEXTSPLIT(C1090,"_"),3)</f>
        <v>hydrasource</v>
      </c>
      <c r="E1090" t="str">
        <f>VLOOKUP(D1090,FranchiseMapping!$A$1:$B$15,2,FALSE)</f>
        <v>Hydrasource</v>
      </c>
      <c r="F1090" s="1">
        <v>45292</v>
      </c>
      <c r="G1090" t="s">
        <v>12</v>
      </c>
      <c r="H1090" s="2">
        <v>45323</v>
      </c>
      <c r="I1090" s="3">
        <v>45333</v>
      </c>
      <c r="J1090" s="3">
        <f t="shared" si="16"/>
        <v>45339</v>
      </c>
      <c r="K1090" s="4">
        <v>967.35999900000013</v>
      </c>
      <c r="L1090">
        <v>217254</v>
      </c>
    </row>
    <row r="1091" spans="1:12" x14ac:dyDescent="0.35">
      <c r="A1091" t="s">
        <v>8</v>
      </c>
      <c r="B1091" t="s">
        <v>14</v>
      </c>
      <c r="C1091" t="s">
        <v>37</v>
      </c>
      <c r="D1091" t="str" cm="1">
        <f t="array" ref="D1091">INDEX(_xlfn.TEXTSPLIT(C1091,"_"),3)</f>
        <v>mult</v>
      </c>
      <c r="E1091" t="str">
        <f>VLOOKUP(D1091,FranchiseMapping!$A$1:$B$15,2,FALSE)</f>
        <v>Biolage</v>
      </c>
      <c r="F1091" s="1">
        <v>45658</v>
      </c>
      <c r="G1091" t="s">
        <v>12</v>
      </c>
      <c r="H1091" s="2">
        <v>45717</v>
      </c>
      <c r="I1091" s="3">
        <v>45736</v>
      </c>
      <c r="J1091" s="3">
        <f t="shared" ref="J1091:J1154" si="17">I1091 + (7 - WEEKDAY(I1091, 1))</f>
        <v>45738</v>
      </c>
      <c r="K1091" s="4">
        <v>2125.3000000000002</v>
      </c>
      <c r="L1091">
        <v>526626</v>
      </c>
    </row>
    <row r="1092" spans="1:12" x14ac:dyDescent="0.35">
      <c r="A1092" t="s">
        <v>8</v>
      </c>
      <c r="B1092" t="s">
        <v>9</v>
      </c>
      <c r="C1092" t="s">
        <v>38</v>
      </c>
      <c r="D1092" t="str" cm="1">
        <f t="array" ref="D1092">INDEX(_xlfn.TEXTSPLIT(C1092,"_"),3)</f>
        <v>hys</v>
      </c>
      <c r="E1092" t="str">
        <f>VLOOKUP(D1092,FranchiseMapping!$A$1:$B$15,2,FALSE)</f>
        <v>Hydrasource</v>
      </c>
      <c r="F1092" s="1">
        <v>45658</v>
      </c>
      <c r="G1092" t="s">
        <v>10</v>
      </c>
      <c r="H1092" s="2">
        <v>45748</v>
      </c>
      <c r="I1092" s="3">
        <v>45764</v>
      </c>
      <c r="J1092" s="3">
        <f t="shared" si="17"/>
        <v>45766</v>
      </c>
      <c r="K1092" s="4">
        <v>311.23</v>
      </c>
      <c r="L1092">
        <v>14087</v>
      </c>
    </row>
    <row r="1093" spans="1:12" x14ac:dyDescent="0.35">
      <c r="A1093" t="s">
        <v>8</v>
      </c>
      <c r="B1093" t="s">
        <v>14</v>
      </c>
      <c r="C1093" t="s">
        <v>37</v>
      </c>
      <c r="D1093" t="str" cm="1">
        <f t="array" ref="D1093">INDEX(_xlfn.TEXTSPLIT(C1093,"_"),3)</f>
        <v>mult</v>
      </c>
      <c r="E1093" t="str">
        <f>VLOOKUP(D1093,FranchiseMapping!$A$1:$B$15,2,FALSE)</f>
        <v>Biolage</v>
      </c>
      <c r="F1093" s="1">
        <v>45658</v>
      </c>
      <c r="G1093" t="s">
        <v>10</v>
      </c>
      <c r="H1093" s="2">
        <v>45748</v>
      </c>
      <c r="I1093" s="3">
        <v>45764</v>
      </c>
      <c r="J1093" s="3">
        <f t="shared" si="17"/>
        <v>45766</v>
      </c>
      <c r="K1093" s="4">
        <v>1581.99</v>
      </c>
      <c r="L1093">
        <v>406117</v>
      </c>
    </row>
    <row r="1094" spans="1:12" x14ac:dyDescent="0.35">
      <c r="A1094" t="s">
        <v>8</v>
      </c>
      <c r="B1094" t="s">
        <v>9</v>
      </c>
      <c r="C1094" t="s">
        <v>36</v>
      </c>
      <c r="D1094" t="str" cm="1">
        <f t="array" ref="D1094">INDEX(_xlfn.TEXTSPLIT(C1094,"_"),3)</f>
        <v>bfr</v>
      </c>
      <c r="E1094" t="str">
        <f>VLOOKUP(D1094,FranchiseMapping!$A$1:$B$15,2,FALSE)</f>
        <v>Full Rescue</v>
      </c>
      <c r="F1094" s="1">
        <v>45658</v>
      </c>
      <c r="G1094" t="s">
        <v>10</v>
      </c>
      <c r="H1094" s="2">
        <v>45809</v>
      </c>
      <c r="I1094" s="3">
        <v>45816</v>
      </c>
      <c r="J1094" s="3">
        <f t="shared" si="17"/>
        <v>45822</v>
      </c>
      <c r="K1094" s="4">
        <v>1653.4700019999998</v>
      </c>
      <c r="L1094">
        <v>252068</v>
      </c>
    </row>
    <row r="1095" spans="1:12" x14ac:dyDescent="0.35">
      <c r="A1095" t="s">
        <v>8</v>
      </c>
      <c r="B1095" t="s">
        <v>9</v>
      </c>
      <c r="C1095" t="s">
        <v>35</v>
      </c>
      <c r="D1095" t="str" cm="1">
        <f t="array" ref="D1095">INDEX(_xlfn.TEXTSPLIT(C1095,"_"),3)</f>
        <v>bfr</v>
      </c>
      <c r="E1095" t="str">
        <f>VLOOKUP(D1095,FranchiseMapping!$A$1:$B$15,2,FALSE)</f>
        <v>Full Rescue</v>
      </c>
      <c r="F1095" s="1">
        <v>45658</v>
      </c>
      <c r="G1095" t="s">
        <v>12</v>
      </c>
      <c r="H1095" s="2">
        <v>45809</v>
      </c>
      <c r="I1095" s="3">
        <v>45826</v>
      </c>
      <c r="J1095" s="3">
        <f t="shared" si="17"/>
        <v>45829</v>
      </c>
      <c r="K1095" s="4">
        <v>1625.4999969999994</v>
      </c>
      <c r="L1095">
        <v>137010</v>
      </c>
    </row>
    <row r="1096" spans="1:12" x14ac:dyDescent="0.35">
      <c r="A1096" t="s">
        <v>8</v>
      </c>
      <c r="B1096" t="s">
        <v>9</v>
      </c>
      <c r="C1096" t="s">
        <v>54</v>
      </c>
      <c r="D1096" t="str" cm="1">
        <f t="array" ref="D1096">INDEX(_xlfn.TEXTSPLIT(C1096,"_"),3)</f>
        <v>scalp</v>
      </c>
      <c r="E1096" t="str">
        <f>VLOOKUP(D1096,FranchiseMapping!$A$1:$B$15,2,FALSE)</f>
        <v>Scalp Sync</v>
      </c>
      <c r="F1096" s="1">
        <v>45292</v>
      </c>
      <c r="G1096" t="s">
        <v>10</v>
      </c>
      <c r="H1096" s="2">
        <v>45352</v>
      </c>
      <c r="I1096" s="3">
        <v>45356</v>
      </c>
      <c r="J1096" s="3">
        <f t="shared" si="17"/>
        <v>45360</v>
      </c>
      <c r="K1096" s="4">
        <v>2433.2899950000005</v>
      </c>
      <c r="L1096">
        <v>618272</v>
      </c>
    </row>
    <row r="1097" spans="1:12" x14ac:dyDescent="0.35">
      <c r="A1097" t="s">
        <v>8</v>
      </c>
      <c r="B1097" t="s">
        <v>13</v>
      </c>
      <c r="C1097" t="s">
        <v>42</v>
      </c>
      <c r="D1097" t="str" cm="1">
        <f t="array" ref="D1097">INDEX(_xlfn.TEXTSPLIT(C1097,"_"),3)</f>
        <v>bfr</v>
      </c>
      <c r="E1097" t="str">
        <f>VLOOKUP(D1097,FranchiseMapping!$A$1:$B$15,2,FALSE)</f>
        <v>Full Rescue</v>
      </c>
      <c r="F1097" s="1">
        <v>45658</v>
      </c>
      <c r="G1097" t="s">
        <v>10</v>
      </c>
      <c r="H1097" s="2">
        <v>45809</v>
      </c>
      <c r="I1097" s="3">
        <v>45818</v>
      </c>
      <c r="J1097" s="3">
        <f t="shared" si="17"/>
        <v>45822</v>
      </c>
      <c r="K1097" s="4">
        <v>441.23411900000002</v>
      </c>
      <c r="L1097">
        <v>199003</v>
      </c>
    </row>
    <row r="1098" spans="1:12" x14ac:dyDescent="0.35">
      <c r="A1098" t="s">
        <v>8</v>
      </c>
      <c r="B1098" t="s">
        <v>13</v>
      </c>
      <c r="C1098" t="s">
        <v>39</v>
      </c>
      <c r="D1098" t="str" cm="1">
        <f t="array" ref="D1098">INDEX(_xlfn.TEXTSPLIT(C1098,"_"),3)</f>
        <v>scalp-sync</v>
      </c>
      <c r="E1098" t="str">
        <f>VLOOKUP(D1098,FranchiseMapping!$A$1:$B$15,2,FALSE)</f>
        <v>Scalp Sync</v>
      </c>
      <c r="F1098" s="1">
        <v>45292</v>
      </c>
      <c r="G1098" t="s">
        <v>12</v>
      </c>
      <c r="H1098" s="2">
        <v>45413</v>
      </c>
      <c r="I1098" s="3">
        <v>45443</v>
      </c>
      <c r="J1098" s="3">
        <f t="shared" si="17"/>
        <v>45444</v>
      </c>
      <c r="K1098" s="4">
        <v>1612.6256860000001</v>
      </c>
      <c r="L1098">
        <v>391541</v>
      </c>
    </row>
    <row r="1099" spans="1:12" x14ac:dyDescent="0.35">
      <c r="A1099" t="s">
        <v>8</v>
      </c>
      <c r="B1099" t="s">
        <v>9</v>
      </c>
      <c r="C1099" t="s">
        <v>40</v>
      </c>
      <c r="D1099" t="str" cm="1">
        <f t="array" ref="D1099">INDEX(_xlfn.TEXTSPLIT(C1099,"_"),3)</f>
        <v>hydrasource</v>
      </c>
      <c r="E1099" t="str">
        <f>VLOOKUP(D1099,FranchiseMapping!$A$1:$B$15,2,FALSE)</f>
        <v>Hydrasource</v>
      </c>
      <c r="F1099" s="1">
        <v>45292</v>
      </c>
      <c r="G1099" t="s">
        <v>12</v>
      </c>
      <c r="H1099" s="2">
        <v>45292</v>
      </c>
      <c r="I1099" s="3">
        <v>45308</v>
      </c>
      <c r="J1099" s="3">
        <f t="shared" si="17"/>
        <v>45311</v>
      </c>
      <c r="K1099" s="4">
        <v>3092.4699969999992</v>
      </c>
      <c r="L1099">
        <v>569660</v>
      </c>
    </row>
    <row r="1100" spans="1:12" x14ac:dyDescent="0.35">
      <c r="A1100" t="s">
        <v>8</v>
      </c>
      <c r="B1100" t="s">
        <v>9</v>
      </c>
      <c r="C1100" t="s">
        <v>56</v>
      </c>
      <c r="D1100" t="str" cm="1">
        <f t="array" ref="D1100">INDEX(_xlfn.TEXTSPLIT(C1100,"_"),3)</f>
        <v>haca-colorlast-q3</v>
      </c>
      <c r="E1100" t="str">
        <f>VLOOKUP(D1100,FranchiseMapping!$A$1:$B$15,2,FALSE)</f>
        <v>Color Last</v>
      </c>
      <c r="F1100" s="1">
        <v>44927</v>
      </c>
      <c r="G1100" t="s">
        <v>10</v>
      </c>
      <c r="H1100" s="2">
        <v>45139</v>
      </c>
      <c r="I1100" s="3">
        <v>45149</v>
      </c>
      <c r="J1100" s="3">
        <f t="shared" si="17"/>
        <v>45150</v>
      </c>
      <c r="K1100" s="4">
        <v>663.56999999999994</v>
      </c>
      <c r="L1100">
        <v>104986</v>
      </c>
    </row>
    <row r="1101" spans="1:12" x14ac:dyDescent="0.35">
      <c r="A1101" t="s">
        <v>8</v>
      </c>
      <c r="B1101" t="s">
        <v>13</v>
      </c>
      <c r="C1101" t="s">
        <v>28</v>
      </c>
      <c r="D1101" t="str" cm="1">
        <f t="array" ref="D1101">INDEX(_xlfn.TEXTSPLIT(C1101,"_"),3)</f>
        <v>na</v>
      </c>
      <c r="E1101" t="str">
        <f>VLOOKUP(D1101,FranchiseMapping!$A$1:$B$15,2,FALSE)</f>
        <v>Biolage</v>
      </c>
      <c r="F1101" s="1">
        <v>44927</v>
      </c>
      <c r="G1101" t="s">
        <v>10</v>
      </c>
      <c r="H1101" s="2">
        <v>45139</v>
      </c>
      <c r="I1101" s="3">
        <v>45149</v>
      </c>
      <c r="J1101" s="3">
        <f t="shared" si="17"/>
        <v>45150</v>
      </c>
      <c r="K1101" s="4">
        <v>1108.8439539999999</v>
      </c>
      <c r="L1101">
        <v>160749</v>
      </c>
    </row>
    <row r="1102" spans="1:12" x14ac:dyDescent="0.35">
      <c r="A1102" t="s">
        <v>8</v>
      </c>
      <c r="B1102" t="s">
        <v>9</v>
      </c>
      <c r="C1102" t="s">
        <v>36</v>
      </c>
      <c r="D1102" t="str" cm="1">
        <f t="array" ref="D1102">INDEX(_xlfn.TEXTSPLIT(C1102,"_"),3)</f>
        <v>bfr</v>
      </c>
      <c r="E1102" t="str">
        <f>VLOOKUP(D1102,FranchiseMapping!$A$1:$B$15,2,FALSE)</f>
        <v>Full Rescue</v>
      </c>
      <c r="F1102" s="1">
        <v>45658</v>
      </c>
      <c r="G1102" t="s">
        <v>12</v>
      </c>
      <c r="H1102" s="2">
        <v>45809</v>
      </c>
      <c r="I1102" s="3">
        <v>45829</v>
      </c>
      <c r="J1102" s="3">
        <f t="shared" si="17"/>
        <v>45829</v>
      </c>
      <c r="K1102" s="4">
        <v>1513.3799999999999</v>
      </c>
      <c r="L1102">
        <v>237633</v>
      </c>
    </row>
    <row r="1103" spans="1:12" x14ac:dyDescent="0.35">
      <c r="A1103" t="s">
        <v>8</v>
      </c>
      <c r="B1103" t="s">
        <v>9</v>
      </c>
      <c r="C1103" t="s">
        <v>38</v>
      </c>
      <c r="D1103" t="str" cm="1">
        <f t="array" ref="D1103">INDEX(_xlfn.TEXTSPLIT(C1103,"_"),3)</f>
        <v>hys</v>
      </c>
      <c r="E1103" t="str">
        <f>VLOOKUP(D1103,FranchiseMapping!$A$1:$B$15,2,FALSE)</f>
        <v>Hydrasource</v>
      </c>
      <c r="F1103" s="1">
        <v>45658</v>
      </c>
      <c r="G1103" t="s">
        <v>12</v>
      </c>
      <c r="H1103" s="2">
        <v>45748</v>
      </c>
      <c r="I1103" s="3">
        <v>45761</v>
      </c>
      <c r="J1103" s="3">
        <f t="shared" si="17"/>
        <v>45766</v>
      </c>
      <c r="K1103" s="4">
        <v>2408.2099969999995</v>
      </c>
      <c r="L1103">
        <v>324988</v>
      </c>
    </row>
    <row r="1104" spans="1:12" x14ac:dyDescent="0.35">
      <c r="A1104" t="s">
        <v>8</v>
      </c>
      <c r="B1104" t="s">
        <v>14</v>
      </c>
      <c r="C1104" t="s">
        <v>37</v>
      </c>
      <c r="D1104" t="str" cm="1">
        <f t="array" ref="D1104">INDEX(_xlfn.TEXTSPLIT(C1104,"_"),3)</f>
        <v>mult</v>
      </c>
      <c r="E1104" t="str">
        <f>VLOOKUP(D1104,FranchiseMapping!$A$1:$B$15,2,FALSE)</f>
        <v>Biolage</v>
      </c>
      <c r="F1104" s="1">
        <v>45658</v>
      </c>
      <c r="G1104" t="s">
        <v>12</v>
      </c>
      <c r="H1104" s="2">
        <v>45778</v>
      </c>
      <c r="I1104" s="3">
        <v>45795</v>
      </c>
      <c r="J1104" s="3">
        <f t="shared" si="17"/>
        <v>45801</v>
      </c>
      <c r="K1104" s="4">
        <v>2106.66</v>
      </c>
      <c r="L1104">
        <v>514820</v>
      </c>
    </row>
    <row r="1105" spans="1:12" x14ac:dyDescent="0.35">
      <c r="A1105" t="s">
        <v>8</v>
      </c>
      <c r="B1105" t="s">
        <v>9</v>
      </c>
      <c r="C1105" t="s">
        <v>35</v>
      </c>
      <c r="D1105" t="str" cm="1">
        <f t="array" ref="D1105">INDEX(_xlfn.TEXTSPLIT(C1105,"_"),3)</f>
        <v>bfr</v>
      </c>
      <c r="E1105" t="str">
        <f>VLOOKUP(D1105,FranchiseMapping!$A$1:$B$15,2,FALSE)</f>
        <v>Full Rescue</v>
      </c>
      <c r="F1105" s="1">
        <v>45658</v>
      </c>
      <c r="G1105" t="s">
        <v>12</v>
      </c>
      <c r="H1105" s="2">
        <v>45778</v>
      </c>
      <c r="I1105" s="3">
        <v>45807</v>
      </c>
      <c r="J1105" s="3">
        <f t="shared" si="17"/>
        <v>45808</v>
      </c>
      <c r="K1105" s="4">
        <v>1707.170003</v>
      </c>
      <c r="L1105">
        <v>138007</v>
      </c>
    </row>
    <row r="1106" spans="1:12" x14ac:dyDescent="0.35">
      <c r="A1106" t="s">
        <v>8</v>
      </c>
      <c r="B1106" t="s">
        <v>9</v>
      </c>
      <c r="C1106" t="s">
        <v>35</v>
      </c>
      <c r="D1106" t="str" cm="1">
        <f t="array" ref="D1106">INDEX(_xlfn.TEXTSPLIT(C1106,"_"),3)</f>
        <v>bfr</v>
      </c>
      <c r="E1106" t="str">
        <f>VLOOKUP(D1106,FranchiseMapping!$A$1:$B$15,2,FALSE)</f>
        <v>Full Rescue</v>
      </c>
      <c r="F1106" s="1">
        <v>45658</v>
      </c>
      <c r="G1106" t="s">
        <v>10</v>
      </c>
      <c r="H1106" s="2">
        <v>45809</v>
      </c>
      <c r="I1106" s="3">
        <v>45827</v>
      </c>
      <c r="J1106" s="3">
        <f t="shared" si="17"/>
        <v>45829</v>
      </c>
      <c r="K1106" s="4">
        <v>52.659999999999989</v>
      </c>
      <c r="L1106">
        <v>7076</v>
      </c>
    </row>
    <row r="1107" spans="1:12" x14ac:dyDescent="0.35">
      <c r="A1107" t="s">
        <v>8</v>
      </c>
      <c r="B1107" t="s">
        <v>9</v>
      </c>
      <c r="C1107" t="s">
        <v>53</v>
      </c>
      <c r="D1107" t="str" cm="1">
        <f t="array" ref="D1107">INDEX(_xlfn.TEXTSPLIT(C1107,"_"),3)</f>
        <v>bond-therapy</v>
      </c>
      <c r="E1107" t="str">
        <f>VLOOKUP(D1107,FranchiseMapping!$A$1:$B$15,2,FALSE)</f>
        <v>Bond Therapy</v>
      </c>
      <c r="F1107" s="1">
        <v>44927</v>
      </c>
      <c r="G1107" t="s">
        <v>11</v>
      </c>
      <c r="H1107" s="2">
        <v>45261</v>
      </c>
      <c r="I1107" s="3">
        <v>45286</v>
      </c>
      <c r="J1107" s="3">
        <f t="shared" si="17"/>
        <v>45290</v>
      </c>
      <c r="K1107" s="4">
        <v>1136.679999</v>
      </c>
      <c r="L1107">
        <v>267071</v>
      </c>
    </row>
    <row r="1108" spans="1:12" x14ac:dyDescent="0.35">
      <c r="A1108" t="s">
        <v>8</v>
      </c>
      <c r="B1108" t="s">
        <v>13</v>
      </c>
      <c r="C1108" t="s">
        <v>42</v>
      </c>
      <c r="D1108" t="str" cm="1">
        <f t="array" ref="D1108">INDEX(_xlfn.TEXTSPLIT(C1108,"_"),3)</f>
        <v>bfr</v>
      </c>
      <c r="E1108" t="str">
        <f>VLOOKUP(D1108,FranchiseMapping!$A$1:$B$15,2,FALSE)</f>
        <v>Full Rescue</v>
      </c>
      <c r="F1108" s="1">
        <v>45658</v>
      </c>
      <c r="G1108" t="s">
        <v>10</v>
      </c>
      <c r="H1108" s="2">
        <v>45809</v>
      </c>
      <c r="I1108" s="3">
        <v>45830</v>
      </c>
      <c r="J1108" s="3">
        <f t="shared" si="17"/>
        <v>45836</v>
      </c>
      <c r="K1108" s="4">
        <v>366.42278400000004</v>
      </c>
      <c r="L1108">
        <v>156232</v>
      </c>
    </row>
    <row r="1109" spans="1:12" x14ac:dyDescent="0.35">
      <c r="A1109" t="s">
        <v>8</v>
      </c>
      <c r="B1109" t="s">
        <v>9</v>
      </c>
      <c r="C1109" t="s">
        <v>40</v>
      </c>
      <c r="D1109" t="str" cm="1">
        <f t="array" ref="D1109">INDEX(_xlfn.TEXTSPLIT(C1109,"_"),3)</f>
        <v>hydrasource</v>
      </c>
      <c r="E1109" t="str">
        <f>VLOOKUP(D1109,FranchiseMapping!$A$1:$B$15,2,FALSE)</f>
        <v>Hydrasource</v>
      </c>
      <c r="F1109" s="1">
        <v>45292</v>
      </c>
      <c r="G1109" t="s">
        <v>12</v>
      </c>
      <c r="H1109" s="2">
        <v>45323</v>
      </c>
      <c r="I1109" s="3">
        <v>45330</v>
      </c>
      <c r="J1109" s="3">
        <f t="shared" si="17"/>
        <v>45332</v>
      </c>
      <c r="K1109" s="4">
        <v>2937.4499949999999</v>
      </c>
      <c r="L1109">
        <v>469536</v>
      </c>
    </row>
    <row r="1110" spans="1:12" x14ac:dyDescent="0.35">
      <c r="A1110" t="s">
        <v>8</v>
      </c>
      <c r="B1110" t="s">
        <v>9</v>
      </c>
      <c r="C1110" t="s">
        <v>60</v>
      </c>
      <c r="D1110" t="str" cm="1">
        <f t="array" ref="D1110">INDEX(_xlfn.TEXTSPLIT(C1110,"_"),3)</f>
        <v>blowdrycream</v>
      </c>
      <c r="E1110" t="str">
        <f>VLOOKUP(D1110,FranchiseMapping!$A$1:$B$15,2,FALSE)</f>
        <v>Blowdry Cream</v>
      </c>
      <c r="F1110" s="1">
        <v>44927</v>
      </c>
      <c r="G1110" t="s">
        <v>11</v>
      </c>
      <c r="H1110" s="2">
        <v>45170</v>
      </c>
      <c r="I1110" s="3">
        <v>45195</v>
      </c>
      <c r="J1110" s="3">
        <f t="shared" si="17"/>
        <v>45199</v>
      </c>
      <c r="K1110" s="4">
        <v>1932.8100020000006</v>
      </c>
      <c r="L1110">
        <v>105243</v>
      </c>
    </row>
    <row r="1111" spans="1:12" x14ac:dyDescent="0.35">
      <c r="A1111" t="s">
        <v>8</v>
      </c>
      <c r="B1111" t="s">
        <v>9</v>
      </c>
      <c r="C1111" t="s">
        <v>45</v>
      </c>
      <c r="D1111" t="str" cm="1">
        <f t="array" ref="D1111">INDEX(_xlfn.TEXTSPLIT(C1111,"_"),3)</f>
        <v>hydrasource</v>
      </c>
      <c r="E1111" t="str">
        <f>VLOOKUP(D1111,FranchiseMapping!$A$1:$B$15,2,FALSE)</f>
        <v>Hydrasource</v>
      </c>
      <c r="F1111" s="1">
        <v>45292</v>
      </c>
      <c r="G1111" t="s">
        <v>12</v>
      </c>
      <c r="H1111" s="2">
        <v>45536</v>
      </c>
      <c r="I1111" s="3">
        <v>45559</v>
      </c>
      <c r="J1111" s="3">
        <f t="shared" si="17"/>
        <v>45563</v>
      </c>
      <c r="K1111" s="4">
        <v>2596.4300020000005</v>
      </c>
      <c r="L1111">
        <v>242883</v>
      </c>
    </row>
    <row r="1112" spans="1:12" x14ac:dyDescent="0.35">
      <c r="A1112" t="s">
        <v>8</v>
      </c>
      <c r="B1112" t="s">
        <v>14</v>
      </c>
      <c r="C1112" t="s">
        <v>37</v>
      </c>
      <c r="D1112" t="str" cm="1">
        <f t="array" ref="D1112">INDEX(_xlfn.TEXTSPLIT(C1112,"_"),3)</f>
        <v>mult</v>
      </c>
      <c r="E1112" t="str">
        <f>VLOOKUP(D1112,FranchiseMapping!$A$1:$B$15,2,FALSE)</f>
        <v>Biolage</v>
      </c>
      <c r="F1112" s="1">
        <v>45658</v>
      </c>
      <c r="G1112" t="s">
        <v>12</v>
      </c>
      <c r="H1112" s="2">
        <v>45717</v>
      </c>
      <c r="I1112" s="3">
        <v>45740</v>
      </c>
      <c r="J1112" s="3">
        <f t="shared" si="17"/>
        <v>45745</v>
      </c>
      <c r="K1112" s="4">
        <v>1987.41</v>
      </c>
      <c r="L1112">
        <v>510706</v>
      </c>
    </row>
    <row r="1113" spans="1:12" x14ac:dyDescent="0.35">
      <c r="A1113" t="s">
        <v>8</v>
      </c>
      <c r="B1113" t="s">
        <v>9</v>
      </c>
      <c r="C1113" t="s">
        <v>40</v>
      </c>
      <c r="D1113" t="str" cm="1">
        <f t="array" ref="D1113">INDEX(_xlfn.TEXTSPLIT(C1113,"_"),3)</f>
        <v>hydrasource</v>
      </c>
      <c r="E1113" t="str">
        <f>VLOOKUP(D1113,FranchiseMapping!$A$1:$B$15,2,FALSE)</f>
        <v>Hydrasource</v>
      </c>
      <c r="F1113" s="1">
        <v>45292</v>
      </c>
      <c r="G1113" t="s">
        <v>12</v>
      </c>
      <c r="H1113" s="2">
        <v>45292</v>
      </c>
      <c r="I1113" s="3">
        <v>45319</v>
      </c>
      <c r="J1113" s="3">
        <f t="shared" si="17"/>
        <v>45325</v>
      </c>
      <c r="K1113" s="4">
        <v>3433.09</v>
      </c>
      <c r="L1113">
        <v>635952</v>
      </c>
    </row>
    <row r="1114" spans="1:12" x14ac:dyDescent="0.35">
      <c r="A1114" t="s">
        <v>8</v>
      </c>
      <c r="B1114" t="s">
        <v>9</v>
      </c>
      <c r="C1114" t="s">
        <v>56</v>
      </c>
      <c r="D1114" t="str" cm="1">
        <f t="array" ref="D1114">INDEX(_xlfn.TEXTSPLIT(C1114,"_"),3)</f>
        <v>haca-colorlast-q3</v>
      </c>
      <c r="E1114" t="str">
        <f>VLOOKUP(D1114,FranchiseMapping!$A$1:$B$15,2,FALSE)</f>
        <v>Color Last</v>
      </c>
      <c r="F1114" s="1">
        <v>44927</v>
      </c>
      <c r="G1114" t="s">
        <v>10</v>
      </c>
      <c r="H1114" s="2">
        <v>45108</v>
      </c>
      <c r="I1114" s="3">
        <v>45124</v>
      </c>
      <c r="J1114" s="3">
        <f t="shared" si="17"/>
        <v>45129</v>
      </c>
      <c r="K1114" s="4">
        <v>2163.0699990000003</v>
      </c>
      <c r="L1114">
        <v>374584</v>
      </c>
    </row>
    <row r="1115" spans="1:12" x14ac:dyDescent="0.35">
      <c r="A1115" t="s">
        <v>8</v>
      </c>
      <c r="B1115" t="s">
        <v>9</v>
      </c>
      <c r="C1115" t="s">
        <v>56</v>
      </c>
      <c r="D1115" t="str" cm="1">
        <f t="array" ref="D1115">INDEX(_xlfn.TEXTSPLIT(C1115,"_"),3)</f>
        <v>haca-colorlast-q3</v>
      </c>
      <c r="E1115" t="str">
        <f>VLOOKUP(D1115,FranchiseMapping!$A$1:$B$15,2,FALSE)</f>
        <v>Color Last</v>
      </c>
      <c r="F1115" s="1">
        <v>44927</v>
      </c>
      <c r="G1115" t="s">
        <v>10</v>
      </c>
      <c r="H1115" s="2">
        <v>45139</v>
      </c>
      <c r="I1115" s="3">
        <v>45142</v>
      </c>
      <c r="J1115" s="3">
        <f t="shared" si="17"/>
        <v>45143</v>
      </c>
      <c r="K1115" s="4">
        <v>2047.6099999999997</v>
      </c>
      <c r="L1115">
        <v>335514</v>
      </c>
    </row>
    <row r="1116" spans="1:12" x14ac:dyDescent="0.35">
      <c r="A1116" t="s">
        <v>8</v>
      </c>
      <c r="B1116" t="s">
        <v>9</v>
      </c>
      <c r="C1116" t="s">
        <v>34</v>
      </c>
      <c r="D1116" t="str" cm="1">
        <f t="array" ref="D1116">INDEX(_xlfn.TEXTSPLIT(C1116,"_"),3)</f>
        <v>hydrasource</v>
      </c>
      <c r="E1116" t="str">
        <f>VLOOKUP(D1116,FranchiseMapping!$A$1:$B$15,2,FALSE)</f>
        <v>Hydrasource</v>
      </c>
      <c r="F1116" s="1">
        <v>45292</v>
      </c>
      <c r="G1116" t="s">
        <v>12</v>
      </c>
      <c r="H1116" s="2">
        <v>45323</v>
      </c>
      <c r="I1116" s="3">
        <v>45332</v>
      </c>
      <c r="J1116" s="3">
        <f t="shared" si="17"/>
        <v>45332</v>
      </c>
      <c r="K1116" s="4">
        <v>927.379999</v>
      </c>
      <c r="L1116">
        <v>195619</v>
      </c>
    </row>
    <row r="1117" spans="1:12" x14ac:dyDescent="0.35">
      <c r="A1117" t="s">
        <v>8</v>
      </c>
      <c r="B1117" t="s">
        <v>9</v>
      </c>
      <c r="C1117" t="s">
        <v>55</v>
      </c>
      <c r="D1117" t="str" cm="1">
        <f t="array" ref="D1117">INDEX(_xlfn.TEXTSPLIT(C1117,"_"),3)</f>
        <v>hydrasource</v>
      </c>
      <c r="E1117" t="str">
        <f>VLOOKUP(D1117,FranchiseMapping!$A$1:$B$15,2,FALSE)</f>
        <v>Hydrasource</v>
      </c>
      <c r="F1117" s="1">
        <v>45292</v>
      </c>
      <c r="G1117" t="s">
        <v>12</v>
      </c>
      <c r="H1117" s="2">
        <v>45566</v>
      </c>
      <c r="I1117" s="3">
        <v>45576</v>
      </c>
      <c r="J1117" s="3">
        <f t="shared" si="17"/>
        <v>45577</v>
      </c>
      <c r="K1117" s="4">
        <v>3545.6100030000002</v>
      </c>
      <c r="L1117">
        <v>660100</v>
      </c>
    </row>
    <row r="1118" spans="1:12" x14ac:dyDescent="0.35">
      <c r="A1118" t="s">
        <v>8</v>
      </c>
      <c r="B1118" t="s">
        <v>13</v>
      </c>
      <c r="C1118" t="s">
        <v>28</v>
      </c>
      <c r="D1118" t="str" cm="1">
        <f t="array" ref="D1118">INDEX(_xlfn.TEXTSPLIT(C1118,"_"),3)</f>
        <v>na</v>
      </c>
      <c r="E1118" t="str">
        <f>VLOOKUP(D1118,FranchiseMapping!$A$1:$B$15,2,FALSE)</f>
        <v>Biolage</v>
      </c>
      <c r="F1118" s="1">
        <v>44927</v>
      </c>
      <c r="G1118" t="s">
        <v>10</v>
      </c>
      <c r="H1118" s="2">
        <v>45108</v>
      </c>
      <c r="I1118" s="3">
        <v>45135</v>
      </c>
      <c r="J1118" s="3">
        <f t="shared" si="17"/>
        <v>45136</v>
      </c>
      <c r="K1118" s="4">
        <v>1176.983074</v>
      </c>
      <c r="L1118">
        <v>118075</v>
      </c>
    </row>
    <row r="1119" spans="1:12" x14ac:dyDescent="0.35">
      <c r="A1119" t="s">
        <v>8</v>
      </c>
      <c r="B1119" t="s">
        <v>9</v>
      </c>
      <c r="C1119" t="s">
        <v>41</v>
      </c>
      <c r="D1119" t="str" cm="1">
        <f t="array" ref="D1119">INDEX(_xlfn.TEXTSPLIT(C1119,"_"),3)</f>
        <v>hys</v>
      </c>
      <c r="E1119" t="str">
        <f>VLOOKUP(D1119,FranchiseMapping!$A$1:$B$15,2,FALSE)</f>
        <v>Hydrasource</v>
      </c>
      <c r="F1119" s="1">
        <v>45658</v>
      </c>
      <c r="G1119" t="s">
        <v>12</v>
      </c>
      <c r="H1119" s="2">
        <v>45748</v>
      </c>
      <c r="I1119" s="3">
        <v>45759</v>
      </c>
      <c r="J1119" s="3">
        <f t="shared" si="17"/>
        <v>45759</v>
      </c>
      <c r="K1119" s="4">
        <v>3974.3799999999992</v>
      </c>
      <c r="L1119">
        <v>450763</v>
      </c>
    </row>
    <row r="1120" spans="1:12" x14ac:dyDescent="0.35">
      <c r="A1120" t="s">
        <v>8</v>
      </c>
      <c r="B1120" t="s">
        <v>9</v>
      </c>
      <c r="C1120" t="s">
        <v>30</v>
      </c>
      <c r="D1120" t="str" cm="1">
        <f t="array" ref="D1120">INDEX(_xlfn.TEXTSPLIT(C1120,"_"),3)</f>
        <v>q3-haca-colorlast</v>
      </c>
      <c r="E1120" t="str">
        <f>VLOOKUP(D1120,FranchiseMapping!$A$1:$B$15,2,FALSE)</f>
        <v>Color Last</v>
      </c>
      <c r="F1120" s="1">
        <v>44927</v>
      </c>
      <c r="G1120" t="s">
        <v>10</v>
      </c>
      <c r="H1120" s="2">
        <v>45108</v>
      </c>
      <c r="I1120" s="3">
        <v>45137</v>
      </c>
      <c r="J1120" s="3">
        <f t="shared" si="17"/>
        <v>45143</v>
      </c>
      <c r="K1120" s="4">
        <v>2647.73</v>
      </c>
      <c r="L1120">
        <v>439855</v>
      </c>
    </row>
    <row r="1121" spans="1:12" x14ac:dyDescent="0.35">
      <c r="A1121" t="s">
        <v>8</v>
      </c>
      <c r="B1121" t="s">
        <v>9</v>
      </c>
      <c r="C1121" t="s">
        <v>35</v>
      </c>
      <c r="D1121" t="str" cm="1">
        <f t="array" ref="D1121">INDEX(_xlfn.TEXTSPLIT(C1121,"_"),3)</f>
        <v>bfr</v>
      </c>
      <c r="E1121" t="str">
        <f>VLOOKUP(D1121,FranchiseMapping!$A$1:$B$15,2,FALSE)</f>
        <v>Full Rescue</v>
      </c>
      <c r="F1121" s="1">
        <v>45658</v>
      </c>
      <c r="G1121" t="s">
        <v>10</v>
      </c>
      <c r="H1121" s="2">
        <v>45809</v>
      </c>
      <c r="I1121" s="3">
        <v>45823</v>
      </c>
      <c r="J1121" s="3">
        <f t="shared" si="17"/>
        <v>45829</v>
      </c>
      <c r="K1121" s="4">
        <v>112.52999999999997</v>
      </c>
      <c r="L1121">
        <v>15305</v>
      </c>
    </row>
    <row r="1122" spans="1:12" x14ac:dyDescent="0.35">
      <c r="A1122" t="s">
        <v>8</v>
      </c>
      <c r="B1122" t="s">
        <v>13</v>
      </c>
      <c r="C1122" t="s">
        <v>59</v>
      </c>
      <c r="D1122" t="str" cm="1">
        <f t="array" ref="D1122">INDEX(_xlfn.TEXTSPLIT(C1122,"_"),3)</f>
        <v>scalp-sync</v>
      </c>
      <c r="E1122" t="str">
        <f>VLOOKUP(D1122,FranchiseMapping!$A$1:$B$15,2,FALSE)</f>
        <v>Scalp Sync</v>
      </c>
      <c r="F1122" s="1">
        <v>45292</v>
      </c>
      <c r="G1122" t="s">
        <v>11</v>
      </c>
      <c r="H1122" s="2">
        <v>45413</v>
      </c>
      <c r="I1122" s="3">
        <v>45430</v>
      </c>
      <c r="J1122" s="3">
        <f t="shared" si="17"/>
        <v>45430</v>
      </c>
      <c r="K1122" s="4">
        <v>3363.5928509999994</v>
      </c>
      <c r="L1122">
        <v>1423493</v>
      </c>
    </row>
    <row r="1123" spans="1:12" x14ac:dyDescent="0.35">
      <c r="A1123" t="s">
        <v>8</v>
      </c>
      <c r="B1123" t="s">
        <v>13</v>
      </c>
      <c r="C1123" t="s">
        <v>59</v>
      </c>
      <c r="D1123" t="str" cm="1">
        <f t="array" ref="D1123">INDEX(_xlfn.TEXTSPLIT(C1123,"_"),3)</f>
        <v>scalp-sync</v>
      </c>
      <c r="E1123" t="str">
        <f>VLOOKUP(D1123,FranchiseMapping!$A$1:$B$15,2,FALSE)</f>
        <v>Scalp Sync</v>
      </c>
      <c r="F1123" s="1">
        <v>45292</v>
      </c>
      <c r="G1123" t="s">
        <v>11</v>
      </c>
      <c r="H1123" s="2">
        <v>45413</v>
      </c>
      <c r="I1123" s="3">
        <v>45438</v>
      </c>
      <c r="J1123" s="3">
        <f t="shared" si="17"/>
        <v>45444</v>
      </c>
      <c r="K1123" s="4">
        <v>3316.8616849999999</v>
      </c>
      <c r="L1123">
        <v>1231965</v>
      </c>
    </row>
    <row r="1124" spans="1:12" x14ac:dyDescent="0.35">
      <c r="A1124" t="s">
        <v>8</v>
      </c>
      <c r="B1124" t="s">
        <v>9</v>
      </c>
      <c r="C1124" t="s">
        <v>41</v>
      </c>
      <c r="D1124" t="str" cm="1">
        <f t="array" ref="D1124">INDEX(_xlfn.TEXTSPLIT(C1124,"_"),3)</f>
        <v>hys</v>
      </c>
      <c r="E1124" t="str">
        <f>VLOOKUP(D1124,FranchiseMapping!$A$1:$B$15,2,FALSE)</f>
        <v>Hydrasource</v>
      </c>
      <c r="F1124" s="1">
        <v>45658</v>
      </c>
      <c r="G1124" t="s">
        <v>12</v>
      </c>
      <c r="H1124" s="2">
        <v>45748</v>
      </c>
      <c r="I1124" s="3">
        <v>45765</v>
      </c>
      <c r="J1124" s="3">
        <f t="shared" si="17"/>
        <v>45766</v>
      </c>
      <c r="K1124" s="4">
        <v>3757.7400039999998</v>
      </c>
      <c r="L1124">
        <v>360642</v>
      </c>
    </row>
    <row r="1125" spans="1:12" x14ac:dyDescent="0.35">
      <c r="A1125" t="s">
        <v>8</v>
      </c>
      <c r="B1125" t="s">
        <v>9</v>
      </c>
      <c r="C1125" t="s">
        <v>77</v>
      </c>
      <c r="D1125" t="str" cm="1">
        <f t="array" ref="D1125">INDEX(_xlfn.TEXTSPLIT(C1125,"_"),3)</f>
        <v>prime-day</v>
      </c>
      <c r="E1125" t="str">
        <f>VLOOKUP(D1125,FranchiseMapping!$A$1:$B$15,2,FALSE)</f>
        <v>Prime Day</v>
      </c>
      <c r="F1125" s="1">
        <v>45292</v>
      </c>
      <c r="G1125" t="s">
        <v>10</v>
      </c>
      <c r="H1125" s="2">
        <v>45474</v>
      </c>
      <c r="I1125" s="3">
        <v>45489</v>
      </c>
      <c r="J1125" s="3">
        <f t="shared" si="17"/>
        <v>45493</v>
      </c>
      <c r="K1125" s="4">
        <v>6629.3900050000002</v>
      </c>
      <c r="L1125">
        <v>960742</v>
      </c>
    </row>
    <row r="1126" spans="1:12" x14ac:dyDescent="0.35">
      <c r="A1126" t="s">
        <v>8</v>
      </c>
      <c r="B1126" t="s">
        <v>13</v>
      </c>
      <c r="C1126" t="s">
        <v>51</v>
      </c>
      <c r="D1126" t="str" cm="1">
        <f t="array" ref="D1126">INDEX(_xlfn.TEXTSPLIT(C1126,"_"),3)</f>
        <v>na</v>
      </c>
      <c r="E1126" t="str">
        <f>VLOOKUP(D1126,FranchiseMapping!$A$1:$B$15,2,FALSE)</f>
        <v>Biolage</v>
      </c>
      <c r="F1126" s="1">
        <v>44927</v>
      </c>
      <c r="G1126" t="s">
        <v>11</v>
      </c>
      <c r="H1126" s="2">
        <v>45139</v>
      </c>
      <c r="I1126" s="3">
        <v>45143</v>
      </c>
      <c r="J1126" s="3">
        <f t="shared" si="17"/>
        <v>45143</v>
      </c>
      <c r="K1126" s="4">
        <v>771.8955719999999</v>
      </c>
      <c r="L1126">
        <v>415030</v>
      </c>
    </row>
    <row r="1127" spans="1:12" x14ac:dyDescent="0.35">
      <c r="A1127" t="s">
        <v>8</v>
      </c>
      <c r="B1127" t="s">
        <v>9</v>
      </c>
      <c r="C1127" t="s">
        <v>45</v>
      </c>
      <c r="D1127" t="str" cm="1">
        <f t="array" ref="D1127">INDEX(_xlfn.TEXTSPLIT(C1127,"_"),3)</f>
        <v>hydrasource</v>
      </c>
      <c r="E1127" t="str">
        <f>VLOOKUP(D1127,FranchiseMapping!$A$1:$B$15,2,FALSE)</f>
        <v>Hydrasource</v>
      </c>
      <c r="F1127" s="1">
        <v>45292</v>
      </c>
      <c r="G1127" t="s">
        <v>12</v>
      </c>
      <c r="H1127" s="2">
        <v>45566</v>
      </c>
      <c r="I1127" s="3">
        <v>45591</v>
      </c>
      <c r="J1127" s="3">
        <f t="shared" si="17"/>
        <v>45591</v>
      </c>
      <c r="K1127" s="4">
        <v>2661.9700060000005</v>
      </c>
      <c r="L1127">
        <v>284929</v>
      </c>
    </row>
    <row r="1128" spans="1:12" x14ac:dyDescent="0.35">
      <c r="A1128" t="s">
        <v>8</v>
      </c>
      <c r="B1128" t="s">
        <v>9</v>
      </c>
      <c r="C1128" t="s">
        <v>66</v>
      </c>
      <c r="D1128" t="str" cm="1">
        <f t="array" ref="D1128">INDEX(_xlfn.TEXTSPLIT(C1128,"_"),3)</f>
        <v>mult</v>
      </c>
      <c r="E1128" t="str">
        <f>VLOOKUP(D1128,FranchiseMapping!$A$1:$B$15,2,FALSE)</f>
        <v>Biolage</v>
      </c>
      <c r="F1128" s="1">
        <v>45292</v>
      </c>
      <c r="G1128" t="s">
        <v>11</v>
      </c>
      <c r="H1128" s="2">
        <v>45597</v>
      </c>
      <c r="I1128" s="3">
        <v>45615</v>
      </c>
      <c r="J1128" s="3">
        <f t="shared" si="17"/>
        <v>45619</v>
      </c>
      <c r="K1128" s="4">
        <v>10972.940003000002</v>
      </c>
      <c r="L1128">
        <v>1187983</v>
      </c>
    </row>
    <row r="1129" spans="1:12" x14ac:dyDescent="0.35">
      <c r="A1129" t="s">
        <v>8</v>
      </c>
      <c r="B1129" t="s">
        <v>13</v>
      </c>
      <c r="C1129" t="s">
        <v>59</v>
      </c>
      <c r="D1129" t="str" cm="1">
        <f t="array" ref="D1129">INDEX(_xlfn.TEXTSPLIT(C1129,"_"),3)</f>
        <v>scalp-sync</v>
      </c>
      <c r="E1129" t="str">
        <f>VLOOKUP(D1129,FranchiseMapping!$A$1:$B$15,2,FALSE)</f>
        <v>Scalp Sync</v>
      </c>
      <c r="F1129" s="1">
        <v>45292</v>
      </c>
      <c r="G1129" t="s">
        <v>11</v>
      </c>
      <c r="H1129" s="2">
        <v>45413</v>
      </c>
      <c r="I1129" s="3">
        <v>45423</v>
      </c>
      <c r="J1129" s="3">
        <f t="shared" si="17"/>
        <v>45423</v>
      </c>
      <c r="K1129" s="4">
        <v>3375.6595160000002</v>
      </c>
      <c r="L1129">
        <v>1485821</v>
      </c>
    </row>
    <row r="1130" spans="1:12" x14ac:dyDescent="0.35">
      <c r="A1130" t="s">
        <v>8</v>
      </c>
      <c r="B1130" t="s">
        <v>13</v>
      </c>
      <c r="C1130" t="s">
        <v>51</v>
      </c>
      <c r="D1130" t="str" cm="1">
        <f t="array" ref="D1130">INDEX(_xlfn.TEXTSPLIT(C1130,"_"),3)</f>
        <v>na</v>
      </c>
      <c r="E1130" t="str">
        <f>VLOOKUP(D1130,FranchiseMapping!$A$1:$B$15,2,FALSE)</f>
        <v>Biolage</v>
      </c>
      <c r="F1130" s="1">
        <v>44927</v>
      </c>
      <c r="G1130" t="s">
        <v>11</v>
      </c>
      <c r="H1130" s="2">
        <v>45139</v>
      </c>
      <c r="I1130" s="3">
        <v>45149</v>
      </c>
      <c r="J1130" s="3">
        <f t="shared" si="17"/>
        <v>45150</v>
      </c>
      <c r="K1130" s="4">
        <v>769.984645</v>
      </c>
      <c r="L1130">
        <v>326541</v>
      </c>
    </row>
    <row r="1131" spans="1:12" x14ac:dyDescent="0.35">
      <c r="A1131" t="s">
        <v>8</v>
      </c>
      <c r="B1131" t="s">
        <v>9</v>
      </c>
      <c r="C1131" t="s">
        <v>34</v>
      </c>
      <c r="D1131" t="str" cm="1">
        <f t="array" ref="D1131">INDEX(_xlfn.TEXTSPLIT(C1131,"_"),3)</f>
        <v>hydrasource</v>
      </c>
      <c r="E1131" t="str">
        <f>VLOOKUP(D1131,FranchiseMapping!$A$1:$B$15,2,FALSE)</f>
        <v>Hydrasource</v>
      </c>
      <c r="F1131" s="1">
        <v>45292</v>
      </c>
      <c r="G1131" t="s">
        <v>12</v>
      </c>
      <c r="H1131" s="2">
        <v>45323</v>
      </c>
      <c r="I1131" s="3">
        <v>45339</v>
      </c>
      <c r="J1131" s="3">
        <f t="shared" si="17"/>
        <v>45339</v>
      </c>
      <c r="K1131" s="4">
        <v>940.12</v>
      </c>
      <c r="L1131">
        <v>205830</v>
      </c>
    </row>
    <row r="1132" spans="1:12" x14ac:dyDescent="0.35">
      <c r="A1132" t="s">
        <v>8</v>
      </c>
      <c r="B1132" t="s">
        <v>9</v>
      </c>
      <c r="C1132" t="s">
        <v>35</v>
      </c>
      <c r="D1132" t="str" cm="1">
        <f t="array" ref="D1132">INDEX(_xlfn.TEXTSPLIT(C1132,"_"),3)</f>
        <v>bfr</v>
      </c>
      <c r="E1132" t="str">
        <f>VLOOKUP(D1132,FranchiseMapping!$A$1:$B$15,2,FALSE)</f>
        <v>Full Rescue</v>
      </c>
      <c r="F1132" s="1">
        <v>45658</v>
      </c>
      <c r="G1132" t="s">
        <v>12</v>
      </c>
      <c r="H1132" s="2">
        <v>45809</v>
      </c>
      <c r="I1132" s="3">
        <v>45831</v>
      </c>
      <c r="J1132" s="3">
        <f t="shared" si="17"/>
        <v>45836</v>
      </c>
      <c r="K1132" s="4">
        <v>1663.78</v>
      </c>
      <c r="L1132">
        <v>165939</v>
      </c>
    </row>
    <row r="1133" spans="1:12" x14ac:dyDescent="0.35">
      <c r="A1133" t="s">
        <v>8</v>
      </c>
      <c r="B1133" t="s">
        <v>9</v>
      </c>
      <c r="C1133" t="s">
        <v>67</v>
      </c>
      <c r="D1133" t="str" cm="1">
        <f t="array" ref="D1133">INDEX(_xlfn.TEXTSPLIT(C1133,"_"),3)</f>
        <v>prime-day</v>
      </c>
      <c r="E1133" t="str">
        <f>VLOOKUP(D1133,FranchiseMapping!$A$1:$B$15,2,FALSE)</f>
        <v>Prime Day</v>
      </c>
      <c r="F1133" s="1">
        <v>45292</v>
      </c>
      <c r="G1133" t="s">
        <v>10</v>
      </c>
      <c r="H1133" s="2">
        <v>45474</v>
      </c>
      <c r="I1133" s="3">
        <v>45488</v>
      </c>
      <c r="J1133" s="3">
        <f t="shared" si="17"/>
        <v>45493</v>
      </c>
      <c r="K1133" s="4">
        <v>2527.5200009999999</v>
      </c>
      <c r="L1133">
        <v>225820</v>
      </c>
    </row>
    <row r="1134" spans="1:12" x14ac:dyDescent="0.35">
      <c r="A1134" t="s">
        <v>8</v>
      </c>
      <c r="B1134" t="s">
        <v>9</v>
      </c>
      <c r="C1134" t="s">
        <v>36</v>
      </c>
      <c r="D1134" t="str" cm="1">
        <f t="array" ref="D1134">INDEX(_xlfn.TEXTSPLIT(C1134,"_"),3)</f>
        <v>bfr</v>
      </c>
      <c r="E1134" t="str">
        <f>VLOOKUP(D1134,FranchiseMapping!$A$1:$B$15,2,FALSE)</f>
        <v>Full Rescue</v>
      </c>
      <c r="F1134" s="1">
        <v>45658</v>
      </c>
      <c r="G1134" t="s">
        <v>12</v>
      </c>
      <c r="H1134" s="2">
        <v>45809</v>
      </c>
      <c r="I1134" s="3">
        <v>45812</v>
      </c>
      <c r="J1134" s="3">
        <f t="shared" si="17"/>
        <v>45815</v>
      </c>
      <c r="K1134" s="4">
        <v>192.67000200000001</v>
      </c>
      <c r="L1134">
        <v>35737</v>
      </c>
    </row>
    <row r="1135" spans="1:12" x14ac:dyDescent="0.35">
      <c r="A1135" t="s">
        <v>8</v>
      </c>
      <c r="B1135" t="s">
        <v>14</v>
      </c>
      <c r="C1135" t="s">
        <v>49</v>
      </c>
      <c r="D1135" t="str" cm="1">
        <f t="array" ref="D1135">INDEX(_xlfn.TEXTSPLIT(C1135,"_"),3)</f>
        <v>hys</v>
      </c>
      <c r="E1135" t="str">
        <f>VLOOKUP(D1135,FranchiseMapping!$A$1:$B$15,2,FALSE)</f>
        <v>Hydrasource</v>
      </c>
      <c r="F1135" s="1">
        <v>45658</v>
      </c>
      <c r="G1135" t="s">
        <v>12</v>
      </c>
      <c r="H1135" s="2">
        <v>45748</v>
      </c>
      <c r="I1135" s="3">
        <v>45752</v>
      </c>
      <c r="J1135" s="3">
        <f t="shared" si="17"/>
        <v>45752</v>
      </c>
      <c r="K1135" s="4">
        <v>5329.03</v>
      </c>
      <c r="L1135">
        <v>1325202</v>
      </c>
    </row>
    <row r="1136" spans="1:12" x14ac:dyDescent="0.35">
      <c r="A1136" t="s">
        <v>8</v>
      </c>
      <c r="B1136" t="s">
        <v>9</v>
      </c>
      <c r="C1136" t="s">
        <v>38</v>
      </c>
      <c r="D1136" t="str" cm="1">
        <f t="array" ref="D1136">INDEX(_xlfn.TEXTSPLIT(C1136,"_"),3)</f>
        <v>hys</v>
      </c>
      <c r="E1136" t="str">
        <f>VLOOKUP(D1136,FranchiseMapping!$A$1:$B$15,2,FALSE)</f>
        <v>Hydrasource</v>
      </c>
      <c r="F1136" s="1">
        <v>45658</v>
      </c>
      <c r="G1136" t="s">
        <v>12</v>
      </c>
      <c r="H1136" s="2">
        <v>45748</v>
      </c>
      <c r="I1136" s="3">
        <v>45748</v>
      </c>
      <c r="J1136" s="3">
        <f t="shared" si="17"/>
        <v>45752</v>
      </c>
      <c r="K1136" s="4">
        <v>1260.2900009999998</v>
      </c>
      <c r="L1136">
        <v>198431</v>
      </c>
    </row>
    <row r="1137" spans="1:12" x14ac:dyDescent="0.35">
      <c r="A1137" t="s">
        <v>8</v>
      </c>
      <c r="B1137" t="s">
        <v>9</v>
      </c>
      <c r="C1137" t="s">
        <v>46</v>
      </c>
      <c r="D1137" t="str" cm="1">
        <f t="array" ref="D1137">INDEX(_xlfn.TEXTSPLIT(C1137,"_"),3)</f>
        <v>mult</v>
      </c>
      <c r="E1137" t="str">
        <f>VLOOKUP(D1137,FranchiseMapping!$A$1:$B$15,2,FALSE)</f>
        <v>Biolage</v>
      </c>
      <c r="F1137" s="1">
        <v>45658</v>
      </c>
      <c r="G1137" t="s">
        <v>10</v>
      </c>
      <c r="H1137" s="2">
        <v>45809</v>
      </c>
      <c r="I1137" s="3">
        <v>45821</v>
      </c>
      <c r="J1137" s="3">
        <f t="shared" si="17"/>
        <v>45822</v>
      </c>
      <c r="K1137" s="4">
        <v>1744.17</v>
      </c>
      <c r="L1137">
        <v>199302</v>
      </c>
    </row>
    <row r="1138" spans="1:12" x14ac:dyDescent="0.35">
      <c r="A1138" t="s">
        <v>8</v>
      </c>
      <c r="B1138" t="s">
        <v>9</v>
      </c>
      <c r="C1138" t="s">
        <v>34</v>
      </c>
      <c r="D1138" t="str" cm="1">
        <f t="array" ref="D1138">INDEX(_xlfn.TEXTSPLIT(C1138,"_"),3)</f>
        <v>hydrasource</v>
      </c>
      <c r="E1138" t="str">
        <f>VLOOKUP(D1138,FranchiseMapping!$A$1:$B$15,2,FALSE)</f>
        <v>Hydrasource</v>
      </c>
      <c r="F1138" s="1">
        <v>45292</v>
      </c>
      <c r="G1138" t="s">
        <v>12</v>
      </c>
      <c r="H1138" s="2">
        <v>45292</v>
      </c>
      <c r="I1138" s="3">
        <v>45309</v>
      </c>
      <c r="J1138" s="3">
        <f t="shared" si="17"/>
        <v>45311</v>
      </c>
      <c r="K1138" s="4">
        <v>653.44999999999993</v>
      </c>
      <c r="L1138">
        <v>171669</v>
      </c>
    </row>
    <row r="1139" spans="1:12" x14ac:dyDescent="0.35">
      <c r="A1139" t="s">
        <v>8</v>
      </c>
      <c r="B1139" t="s">
        <v>9</v>
      </c>
      <c r="C1139" t="s">
        <v>36</v>
      </c>
      <c r="D1139" t="str" cm="1">
        <f t="array" ref="D1139">INDEX(_xlfn.TEXTSPLIT(C1139,"_"),3)</f>
        <v>bfr</v>
      </c>
      <c r="E1139" t="str">
        <f>VLOOKUP(D1139,FranchiseMapping!$A$1:$B$15,2,FALSE)</f>
        <v>Full Rescue</v>
      </c>
      <c r="F1139" s="1">
        <v>45658</v>
      </c>
      <c r="G1139" t="s">
        <v>10</v>
      </c>
      <c r="H1139" s="2">
        <v>45778</v>
      </c>
      <c r="I1139" s="3">
        <v>45796</v>
      </c>
      <c r="J1139" s="3">
        <f t="shared" si="17"/>
        <v>45801</v>
      </c>
      <c r="K1139" s="4">
        <v>9.48</v>
      </c>
      <c r="L1139">
        <v>631</v>
      </c>
    </row>
    <row r="1140" spans="1:12" x14ac:dyDescent="0.35">
      <c r="A1140" t="s">
        <v>8</v>
      </c>
      <c r="B1140" t="s">
        <v>9</v>
      </c>
      <c r="C1140" t="s">
        <v>46</v>
      </c>
      <c r="D1140" t="str" cm="1">
        <f t="array" ref="D1140">INDEX(_xlfn.TEXTSPLIT(C1140,"_"),3)</f>
        <v>mult</v>
      </c>
      <c r="E1140" t="str">
        <f>VLOOKUP(D1140,FranchiseMapping!$A$1:$B$15,2,FALSE)</f>
        <v>Biolage</v>
      </c>
      <c r="F1140" s="1">
        <v>45658</v>
      </c>
      <c r="G1140" t="s">
        <v>10</v>
      </c>
      <c r="H1140" s="2">
        <v>45748</v>
      </c>
      <c r="I1140" s="3">
        <v>45770</v>
      </c>
      <c r="J1140" s="3">
        <f t="shared" si="17"/>
        <v>45773</v>
      </c>
      <c r="K1140" s="4">
        <v>710.77</v>
      </c>
      <c r="L1140">
        <v>152437</v>
      </c>
    </row>
    <row r="1141" spans="1:12" x14ac:dyDescent="0.35">
      <c r="A1141" t="s">
        <v>8</v>
      </c>
      <c r="B1141" t="s">
        <v>14</v>
      </c>
      <c r="C1141" t="s">
        <v>49</v>
      </c>
      <c r="D1141" t="str" cm="1">
        <f t="array" ref="D1141">INDEX(_xlfn.TEXTSPLIT(C1141,"_"),3)</f>
        <v>hys</v>
      </c>
      <c r="E1141" t="str">
        <f>VLOOKUP(D1141,FranchiseMapping!$A$1:$B$15,2,FALSE)</f>
        <v>Hydrasource</v>
      </c>
      <c r="F1141" s="1">
        <v>45658</v>
      </c>
      <c r="G1141" t="s">
        <v>10</v>
      </c>
      <c r="H1141" s="2">
        <v>45748</v>
      </c>
      <c r="I1141" s="3">
        <v>45759</v>
      </c>
      <c r="J1141" s="3">
        <f t="shared" si="17"/>
        <v>45759</v>
      </c>
      <c r="K1141" s="4">
        <v>101.07</v>
      </c>
      <c r="L1141">
        <v>35325</v>
      </c>
    </row>
    <row r="1142" spans="1:12" x14ac:dyDescent="0.35">
      <c r="A1142" t="s">
        <v>8</v>
      </c>
      <c r="B1142" t="s">
        <v>9</v>
      </c>
      <c r="C1142" t="s">
        <v>48</v>
      </c>
      <c r="D1142" t="str" cm="1">
        <f t="array" ref="D1142">INDEX(_xlfn.TEXTSPLIT(C1142,"_"),3)</f>
        <v>scalp</v>
      </c>
      <c r="E1142" t="str">
        <f>VLOOKUP(D1142,FranchiseMapping!$A$1:$B$15,2,FALSE)</f>
        <v>Scalp Sync</v>
      </c>
      <c r="F1142" s="1">
        <v>45292</v>
      </c>
      <c r="G1142" t="s">
        <v>12</v>
      </c>
      <c r="H1142" s="2">
        <v>45383</v>
      </c>
      <c r="I1142" s="3">
        <v>45395</v>
      </c>
      <c r="J1142" s="3">
        <f t="shared" si="17"/>
        <v>45395</v>
      </c>
      <c r="K1142" s="4">
        <v>746.29000099999996</v>
      </c>
      <c r="L1142">
        <v>179268</v>
      </c>
    </row>
    <row r="1143" spans="1:12" x14ac:dyDescent="0.35">
      <c r="A1143" t="s">
        <v>8</v>
      </c>
      <c r="B1143" t="s">
        <v>9</v>
      </c>
      <c r="C1143" t="s">
        <v>45</v>
      </c>
      <c r="D1143" t="str" cm="1">
        <f t="array" ref="D1143">INDEX(_xlfn.TEXTSPLIT(C1143,"_"),3)</f>
        <v>hydrasource</v>
      </c>
      <c r="E1143" t="str">
        <f>VLOOKUP(D1143,FranchiseMapping!$A$1:$B$15,2,FALSE)</f>
        <v>Hydrasource</v>
      </c>
      <c r="F1143" s="1">
        <v>45292</v>
      </c>
      <c r="G1143" t="s">
        <v>12</v>
      </c>
      <c r="H1143" s="2">
        <v>45566</v>
      </c>
      <c r="I1143" s="3">
        <v>45582</v>
      </c>
      <c r="J1143" s="3">
        <f t="shared" si="17"/>
        <v>45584</v>
      </c>
      <c r="K1143" s="4">
        <v>2639.3800079999992</v>
      </c>
      <c r="L1143">
        <v>263495</v>
      </c>
    </row>
    <row r="1144" spans="1:12" x14ac:dyDescent="0.35">
      <c r="A1144" t="s">
        <v>8</v>
      </c>
      <c r="B1144" t="s">
        <v>13</v>
      </c>
      <c r="C1144" t="s">
        <v>51</v>
      </c>
      <c r="D1144" t="str" cm="1">
        <f t="array" ref="D1144">INDEX(_xlfn.TEXTSPLIT(C1144,"_"),3)</f>
        <v>na</v>
      </c>
      <c r="E1144" t="str">
        <f>VLOOKUP(D1144,FranchiseMapping!$A$1:$B$15,2,FALSE)</f>
        <v>Biolage</v>
      </c>
      <c r="F1144" s="1">
        <v>44927</v>
      </c>
      <c r="G1144" t="s">
        <v>11</v>
      </c>
      <c r="H1144" s="2">
        <v>45139</v>
      </c>
      <c r="I1144" s="3">
        <v>45140</v>
      </c>
      <c r="J1144" s="3">
        <f t="shared" si="17"/>
        <v>45143</v>
      </c>
      <c r="K1144" s="4">
        <v>770.75369899999998</v>
      </c>
      <c r="L1144">
        <v>341493</v>
      </c>
    </row>
    <row r="1145" spans="1:12" x14ac:dyDescent="0.35">
      <c r="A1145" t="s">
        <v>8</v>
      </c>
      <c r="B1145" t="s">
        <v>13</v>
      </c>
      <c r="C1145" t="s">
        <v>39</v>
      </c>
      <c r="D1145" t="str" cm="1">
        <f t="array" ref="D1145">INDEX(_xlfn.TEXTSPLIT(C1145,"_"),3)</f>
        <v>scalp-sync</v>
      </c>
      <c r="E1145" t="str">
        <f>VLOOKUP(D1145,FranchiseMapping!$A$1:$B$15,2,FALSE)</f>
        <v>Scalp Sync</v>
      </c>
      <c r="F1145" s="1">
        <v>45292</v>
      </c>
      <c r="G1145" t="s">
        <v>12</v>
      </c>
      <c r="H1145" s="2">
        <v>45413</v>
      </c>
      <c r="I1145" s="3">
        <v>45433</v>
      </c>
      <c r="J1145" s="3">
        <f t="shared" si="17"/>
        <v>45437</v>
      </c>
      <c r="K1145" s="4">
        <v>1660.7896850000004</v>
      </c>
      <c r="L1145">
        <v>421940</v>
      </c>
    </row>
    <row r="1146" spans="1:12" x14ac:dyDescent="0.35">
      <c r="A1146" t="s">
        <v>8</v>
      </c>
      <c r="B1146" t="s">
        <v>9</v>
      </c>
      <c r="C1146" t="s">
        <v>46</v>
      </c>
      <c r="D1146" t="str" cm="1">
        <f t="array" ref="D1146">INDEX(_xlfn.TEXTSPLIT(C1146,"_"),3)</f>
        <v>mult</v>
      </c>
      <c r="E1146" t="str">
        <f>VLOOKUP(D1146,FranchiseMapping!$A$1:$B$15,2,FALSE)</f>
        <v>Biolage</v>
      </c>
      <c r="F1146" s="1">
        <v>45658</v>
      </c>
      <c r="G1146" t="s">
        <v>10</v>
      </c>
      <c r="H1146" s="2">
        <v>45778</v>
      </c>
      <c r="I1146" s="3">
        <v>45795</v>
      </c>
      <c r="J1146" s="3">
        <f t="shared" si="17"/>
        <v>45801</v>
      </c>
      <c r="K1146" s="4">
        <v>1546.2700030000001</v>
      </c>
      <c r="L1146">
        <v>246735</v>
      </c>
    </row>
    <row r="1147" spans="1:12" x14ac:dyDescent="0.35">
      <c r="A1147" t="s">
        <v>8</v>
      </c>
      <c r="B1147" t="s">
        <v>9</v>
      </c>
      <c r="C1147" t="s">
        <v>35</v>
      </c>
      <c r="D1147" t="str" cm="1">
        <f t="array" ref="D1147">INDEX(_xlfn.TEXTSPLIT(C1147,"_"),3)</f>
        <v>bfr</v>
      </c>
      <c r="E1147" t="str">
        <f>VLOOKUP(D1147,FranchiseMapping!$A$1:$B$15,2,FALSE)</f>
        <v>Full Rescue</v>
      </c>
      <c r="F1147" s="1">
        <v>45658</v>
      </c>
      <c r="G1147" t="s">
        <v>12</v>
      </c>
      <c r="H1147" s="2">
        <v>45809</v>
      </c>
      <c r="I1147" s="3">
        <v>45825</v>
      </c>
      <c r="J1147" s="3">
        <f t="shared" si="17"/>
        <v>45829</v>
      </c>
      <c r="K1147" s="4">
        <v>1728.160001</v>
      </c>
      <c r="L1147">
        <v>160006</v>
      </c>
    </row>
    <row r="1148" spans="1:12" x14ac:dyDescent="0.35">
      <c r="A1148" t="s">
        <v>8</v>
      </c>
      <c r="B1148" t="s">
        <v>14</v>
      </c>
      <c r="C1148" t="s">
        <v>43</v>
      </c>
      <c r="D1148" t="str" cm="1">
        <f t="array" ref="D1148">INDEX(_xlfn.TEXTSPLIT(C1148,"_"),3)</f>
        <v>bfr</v>
      </c>
      <c r="E1148" t="str">
        <f>VLOOKUP(D1148,FranchiseMapping!$A$1:$B$15,2,FALSE)</f>
        <v>Full Rescue</v>
      </c>
      <c r="F1148" s="1">
        <v>45658</v>
      </c>
      <c r="G1148" t="s">
        <v>12</v>
      </c>
      <c r="H1148" s="2">
        <v>45809</v>
      </c>
      <c r="I1148" s="3">
        <v>45820</v>
      </c>
      <c r="J1148" s="3">
        <f t="shared" si="17"/>
        <v>45822</v>
      </c>
      <c r="K1148" s="4">
        <v>5767.9999999999991</v>
      </c>
      <c r="L1148">
        <v>1192350</v>
      </c>
    </row>
    <row r="1149" spans="1:12" x14ac:dyDescent="0.35">
      <c r="A1149" t="s">
        <v>8</v>
      </c>
      <c r="B1149" t="s">
        <v>9</v>
      </c>
      <c r="C1149" t="s">
        <v>46</v>
      </c>
      <c r="D1149" t="str" cm="1">
        <f t="array" ref="D1149">INDEX(_xlfn.TEXTSPLIT(C1149,"_"),3)</f>
        <v>mult</v>
      </c>
      <c r="E1149" t="str">
        <f>VLOOKUP(D1149,FranchiseMapping!$A$1:$B$15,2,FALSE)</f>
        <v>Biolage</v>
      </c>
      <c r="F1149" s="1">
        <v>45658</v>
      </c>
      <c r="G1149" t="s">
        <v>10</v>
      </c>
      <c r="H1149" s="2">
        <v>45748</v>
      </c>
      <c r="I1149" s="3">
        <v>45757</v>
      </c>
      <c r="J1149" s="3">
        <f t="shared" si="17"/>
        <v>45759</v>
      </c>
      <c r="K1149" s="4">
        <v>850.51</v>
      </c>
      <c r="L1149">
        <v>180437</v>
      </c>
    </row>
    <row r="1150" spans="1:12" x14ac:dyDescent="0.35">
      <c r="A1150" t="s">
        <v>8</v>
      </c>
      <c r="B1150" t="s">
        <v>9</v>
      </c>
      <c r="C1150" t="s">
        <v>31</v>
      </c>
      <c r="D1150" t="str" cm="1">
        <f t="array" ref="D1150">INDEX(_xlfn.TEXTSPLIT(C1150,"_"),3)</f>
        <v>scalp</v>
      </c>
      <c r="E1150" t="str">
        <f>VLOOKUP(D1150,FranchiseMapping!$A$1:$B$15,2,FALSE)</f>
        <v>Scalp Sync</v>
      </c>
      <c r="F1150" s="1">
        <v>45292</v>
      </c>
      <c r="G1150" t="s">
        <v>12</v>
      </c>
      <c r="H1150" s="2">
        <v>45383</v>
      </c>
      <c r="I1150" s="3">
        <v>45391</v>
      </c>
      <c r="J1150" s="3">
        <f t="shared" si="17"/>
        <v>45395</v>
      </c>
      <c r="K1150" s="4">
        <v>1403.230004</v>
      </c>
      <c r="L1150">
        <v>239962</v>
      </c>
    </row>
    <row r="1151" spans="1:12" x14ac:dyDescent="0.35">
      <c r="A1151" t="s">
        <v>8</v>
      </c>
      <c r="B1151" t="s">
        <v>9</v>
      </c>
      <c r="C1151" t="s">
        <v>31</v>
      </c>
      <c r="D1151" t="str" cm="1">
        <f t="array" ref="D1151">INDEX(_xlfn.TEXTSPLIT(C1151,"_"),3)</f>
        <v>scalp</v>
      </c>
      <c r="E1151" t="str">
        <f>VLOOKUP(D1151,FranchiseMapping!$A$1:$B$15,2,FALSE)</f>
        <v>Scalp Sync</v>
      </c>
      <c r="F1151" s="1">
        <v>45292</v>
      </c>
      <c r="G1151" t="s">
        <v>10</v>
      </c>
      <c r="H1151" s="2">
        <v>45383</v>
      </c>
      <c r="I1151" s="3">
        <v>45383</v>
      </c>
      <c r="J1151" s="3">
        <f t="shared" si="17"/>
        <v>45388</v>
      </c>
      <c r="K1151" s="4">
        <v>118.94000000000003</v>
      </c>
      <c r="L1151">
        <v>22297</v>
      </c>
    </row>
    <row r="1152" spans="1:12" x14ac:dyDescent="0.35">
      <c r="A1152" t="s">
        <v>8</v>
      </c>
      <c r="B1152" t="s">
        <v>9</v>
      </c>
      <c r="C1152" t="s">
        <v>52</v>
      </c>
      <c r="D1152" t="str" cm="1">
        <f t="array" ref="D1152">INDEX(_xlfn.TEXTSPLIT(C1152,"_"),3)</f>
        <v>bond-therapy</v>
      </c>
      <c r="E1152" t="str">
        <f>VLOOKUP(D1152,FranchiseMapping!$A$1:$B$15,2,FALSE)</f>
        <v>Bond Therapy</v>
      </c>
      <c r="F1152" s="1">
        <v>44927</v>
      </c>
      <c r="G1152" t="s">
        <v>11</v>
      </c>
      <c r="H1152" s="2">
        <v>45261</v>
      </c>
      <c r="I1152" s="3">
        <v>45268</v>
      </c>
      <c r="J1152" s="3">
        <f t="shared" si="17"/>
        <v>45269</v>
      </c>
      <c r="K1152" s="4">
        <v>2725.6899970000004</v>
      </c>
      <c r="L1152">
        <v>472825</v>
      </c>
    </row>
    <row r="1153" spans="1:12" x14ac:dyDescent="0.35">
      <c r="A1153" t="s">
        <v>8</v>
      </c>
      <c r="B1153" t="s">
        <v>9</v>
      </c>
      <c r="C1153" t="s">
        <v>60</v>
      </c>
      <c r="D1153" t="str" cm="1">
        <f t="array" ref="D1153">INDEX(_xlfn.TEXTSPLIT(C1153,"_"),3)</f>
        <v>blowdrycream</v>
      </c>
      <c r="E1153" t="str">
        <f>VLOOKUP(D1153,FranchiseMapping!$A$1:$B$15,2,FALSE)</f>
        <v>Blowdry Cream</v>
      </c>
      <c r="F1153" s="1">
        <v>44927</v>
      </c>
      <c r="G1153" t="s">
        <v>11</v>
      </c>
      <c r="H1153" s="2">
        <v>45170</v>
      </c>
      <c r="I1153" s="3">
        <v>45190</v>
      </c>
      <c r="J1153" s="3">
        <f t="shared" si="17"/>
        <v>45192</v>
      </c>
      <c r="K1153" s="4">
        <v>1993.1899989999993</v>
      </c>
      <c r="L1153">
        <v>127046</v>
      </c>
    </row>
    <row r="1154" spans="1:12" x14ac:dyDescent="0.35">
      <c r="A1154" t="s">
        <v>8</v>
      </c>
      <c r="B1154" t="s">
        <v>14</v>
      </c>
      <c r="C1154" t="s">
        <v>49</v>
      </c>
      <c r="D1154" t="str" cm="1">
        <f t="array" ref="D1154">INDEX(_xlfn.TEXTSPLIT(C1154,"_"),3)</f>
        <v>hys</v>
      </c>
      <c r="E1154" t="str">
        <f>VLOOKUP(D1154,FranchiseMapping!$A$1:$B$15,2,FALSE)</f>
        <v>Hydrasource</v>
      </c>
      <c r="F1154" s="1">
        <v>45658</v>
      </c>
      <c r="G1154" t="s">
        <v>10</v>
      </c>
      <c r="H1154" s="2">
        <v>45748</v>
      </c>
      <c r="I1154" s="3">
        <v>45749</v>
      </c>
      <c r="J1154" s="3">
        <f t="shared" si="17"/>
        <v>45752</v>
      </c>
      <c r="K1154" s="4">
        <v>535.54</v>
      </c>
      <c r="L1154">
        <v>145836</v>
      </c>
    </row>
    <row r="1155" spans="1:12" x14ac:dyDescent="0.35">
      <c r="A1155" t="s">
        <v>8</v>
      </c>
      <c r="B1155" t="s">
        <v>9</v>
      </c>
      <c r="C1155" t="s">
        <v>40</v>
      </c>
      <c r="D1155" t="str" cm="1">
        <f t="array" ref="D1155">INDEX(_xlfn.TEXTSPLIT(C1155,"_"),3)</f>
        <v>hydrasource</v>
      </c>
      <c r="E1155" t="str">
        <f>VLOOKUP(D1155,FranchiseMapping!$A$1:$B$15,2,FALSE)</f>
        <v>Hydrasource</v>
      </c>
      <c r="F1155" s="1">
        <v>45292</v>
      </c>
      <c r="G1155" t="s">
        <v>12</v>
      </c>
      <c r="H1155" s="2">
        <v>45323</v>
      </c>
      <c r="I1155" s="3">
        <v>45349</v>
      </c>
      <c r="J1155" s="3">
        <f t="shared" ref="J1155:J1218" si="18">I1155 + (7 - WEEKDAY(I1155, 1))</f>
        <v>45353</v>
      </c>
      <c r="K1155" s="4">
        <v>3323.4700060000009</v>
      </c>
      <c r="L1155">
        <v>518184</v>
      </c>
    </row>
    <row r="1156" spans="1:12" x14ac:dyDescent="0.35">
      <c r="A1156" t="s">
        <v>8</v>
      </c>
      <c r="B1156" t="s">
        <v>14</v>
      </c>
      <c r="C1156" t="s">
        <v>37</v>
      </c>
      <c r="D1156" t="str" cm="1">
        <f t="array" ref="D1156">INDEX(_xlfn.TEXTSPLIT(C1156,"_"),3)</f>
        <v>mult</v>
      </c>
      <c r="E1156" t="str">
        <f>VLOOKUP(D1156,FranchiseMapping!$A$1:$B$15,2,FALSE)</f>
        <v>Biolage</v>
      </c>
      <c r="F1156" s="1">
        <v>45658</v>
      </c>
      <c r="G1156" t="s">
        <v>10</v>
      </c>
      <c r="H1156" s="2">
        <v>45748</v>
      </c>
      <c r="I1156" s="3">
        <v>45765</v>
      </c>
      <c r="J1156" s="3">
        <f t="shared" si="18"/>
        <v>45766</v>
      </c>
      <c r="K1156" s="4">
        <v>1536.84</v>
      </c>
      <c r="L1156">
        <v>382707</v>
      </c>
    </row>
    <row r="1157" spans="1:12" x14ac:dyDescent="0.35">
      <c r="A1157" t="s">
        <v>8</v>
      </c>
      <c r="B1157" t="s">
        <v>9</v>
      </c>
      <c r="C1157" t="s">
        <v>46</v>
      </c>
      <c r="D1157" t="str" cm="1">
        <f t="array" ref="D1157">INDEX(_xlfn.TEXTSPLIT(C1157,"_"),3)</f>
        <v>mult</v>
      </c>
      <c r="E1157" t="str">
        <f>VLOOKUP(D1157,FranchiseMapping!$A$1:$B$15,2,FALSE)</f>
        <v>Biolage</v>
      </c>
      <c r="F1157" s="1">
        <v>45658</v>
      </c>
      <c r="G1157" t="s">
        <v>12</v>
      </c>
      <c r="H1157" s="2">
        <v>45717</v>
      </c>
      <c r="I1157" s="3">
        <v>45742</v>
      </c>
      <c r="J1157" s="3">
        <f t="shared" si="18"/>
        <v>45745</v>
      </c>
      <c r="K1157" s="4">
        <v>2658.420001</v>
      </c>
      <c r="L1157">
        <v>445579</v>
      </c>
    </row>
    <row r="1158" spans="1:12" x14ac:dyDescent="0.35">
      <c r="A1158" t="s">
        <v>8</v>
      </c>
      <c r="B1158" t="s">
        <v>13</v>
      </c>
      <c r="C1158" t="s">
        <v>39</v>
      </c>
      <c r="D1158" t="str" cm="1">
        <f t="array" ref="D1158">INDEX(_xlfn.TEXTSPLIT(C1158,"_"),3)</f>
        <v>scalp-sync</v>
      </c>
      <c r="E1158" t="str">
        <f>VLOOKUP(D1158,FranchiseMapping!$A$1:$B$15,2,FALSE)</f>
        <v>Scalp Sync</v>
      </c>
      <c r="F1158" s="1">
        <v>45292</v>
      </c>
      <c r="G1158" t="s">
        <v>12</v>
      </c>
      <c r="H1158" s="2">
        <v>45413</v>
      </c>
      <c r="I1158" s="3">
        <v>45427</v>
      </c>
      <c r="J1158" s="3">
        <f t="shared" si="18"/>
        <v>45430</v>
      </c>
      <c r="K1158" s="4">
        <v>1675.0540039999998</v>
      </c>
      <c r="L1158">
        <v>473307</v>
      </c>
    </row>
    <row r="1159" spans="1:12" x14ac:dyDescent="0.35">
      <c r="A1159" t="s">
        <v>8</v>
      </c>
      <c r="B1159" t="s">
        <v>9</v>
      </c>
      <c r="C1159" t="s">
        <v>33</v>
      </c>
      <c r="D1159" t="str" cm="1">
        <f t="array" ref="D1159">INDEX(_xlfn.TEXTSPLIT(C1159,"_"),3)</f>
        <v>hydrasource</v>
      </c>
      <c r="E1159" t="str">
        <f>VLOOKUP(D1159,FranchiseMapping!$A$1:$B$15,2,FALSE)</f>
        <v>Hydrasource</v>
      </c>
      <c r="F1159" s="1">
        <v>45292</v>
      </c>
      <c r="G1159" t="s">
        <v>11</v>
      </c>
      <c r="H1159" s="2">
        <v>45323</v>
      </c>
      <c r="I1159" s="3">
        <v>45345</v>
      </c>
      <c r="J1159" s="3">
        <f t="shared" si="18"/>
        <v>45346</v>
      </c>
      <c r="K1159" s="4">
        <v>1227.540004</v>
      </c>
      <c r="L1159">
        <v>188047</v>
      </c>
    </row>
    <row r="1160" spans="1:12" x14ac:dyDescent="0.35">
      <c r="A1160" t="s">
        <v>8</v>
      </c>
      <c r="B1160" t="s">
        <v>9</v>
      </c>
      <c r="C1160" t="s">
        <v>48</v>
      </c>
      <c r="D1160" t="str" cm="1">
        <f t="array" ref="D1160">INDEX(_xlfn.TEXTSPLIT(C1160,"_"),3)</f>
        <v>scalp</v>
      </c>
      <c r="E1160" t="str">
        <f>VLOOKUP(D1160,FranchiseMapping!$A$1:$B$15,2,FALSE)</f>
        <v>Scalp Sync</v>
      </c>
      <c r="F1160" s="1">
        <v>45292</v>
      </c>
      <c r="G1160" t="s">
        <v>10</v>
      </c>
      <c r="H1160" s="2">
        <v>45383</v>
      </c>
      <c r="I1160" s="3">
        <v>45390</v>
      </c>
      <c r="J1160" s="3">
        <f t="shared" si="18"/>
        <v>45395</v>
      </c>
      <c r="K1160" s="4">
        <v>212.93999999999997</v>
      </c>
      <c r="L1160">
        <v>56091</v>
      </c>
    </row>
    <row r="1161" spans="1:12" x14ac:dyDescent="0.35">
      <c r="A1161" t="s">
        <v>8</v>
      </c>
      <c r="B1161" t="s">
        <v>9</v>
      </c>
      <c r="C1161" t="s">
        <v>33</v>
      </c>
      <c r="D1161" t="str" cm="1">
        <f t="array" ref="D1161">INDEX(_xlfn.TEXTSPLIT(C1161,"_"),3)</f>
        <v>hydrasource</v>
      </c>
      <c r="E1161" t="str">
        <f>VLOOKUP(D1161,FranchiseMapping!$A$1:$B$15,2,FALSE)</f>
        <v>Hydrasource</v>
      </c>
      <c r="F1161" s="1">
        <v>45292</v>
      </c>
      <c r="G1161" t="s">
        <v>11</v>
      </c>
      <c r="H1161" s="2">
        <v>45323</v>
      </c>
      <c r="I1161" s="3">
        <v>45343</v>
      </c>
      <c r="J1161" s="3">
        <f t="shared" si="18"/>
        <v>45346</v>
      </c>
      <c r="K1161" s="4">
        <v>1218.719998</v>
      </c>
      <c r="L1161">
        <v>189072</v>
      </c>
    </row>
    <row r="1162" spans="1:12" x14ac:dyDescent="0.35">
      <c r="A1162" t="s">
        <v>8</v>
      </c>
      <c r="B1162" t="s">
        <v>9</v>
      </c>
      <c r="C1162" t="s">
        <v>45</v>
      </c>
      <c r="D1162" t="str" cm="1">
        <f t="array" ref="D1162">INDEX(_xlfn.TEXTSPLIT(C1162,"_"),3)</f>
        <v>hydrasource</v>
      </c>
      <c r="E1162" t="str">
        <f>VLOOKUP(D1162,FranchiseMapping!$A$1:$B$15,2,FALSE)</f>
        <v>Hydrasource</v>
      </c>
      <c r="F1162" s="1">
        <v>45292</v>
      </c>
      <c r="G1162" t="s">
        <v>12</v>
      </c>
      <c r="H1162" s="2">
        <v>45566</v>
      </c>
      <c r="I1162" s="3">
        <v>45566</v>
      </c>
      <c r="J1162" s="3">
        <f t="shared" si="18"/>
        <v>45570</v>
      </c>
      <c r="K1162" s="4">
        <v>2768.4300029999995</v>
      </c>
      <c r="L1162">
        <v>305732</v>
      </c>
    </row>
    <row r="1163" spans="1:12" x14ac:dyDescent="0.35">
      <c r="A1163" t="s">
        <v>8</v>
      </c>
      <c r="B1163" t="s">
        <v>9</v>
      </c>
      <c r="C1163" t="s">
        <v>48</v>
      </c>
      <c r="D1163" t="str" cm="1">
        <f t="array" ref="D1163">INDEX(_xlfn.TEXTSPLIT(C1163,"_"),3)</f>
        <v>scalp</v>
      </c>
      <c r="E1163" t="str">
        <f>VLOOKUP(D1163,FranchiseMapping!$A$1:$B$15,2,FALSE)</f>
        <v>Scalp Sync</v>
      </c>
      <c r="F1163" s="1">
        <v>45292</v>
      </c>
      <c r="G1163" t="s">
        <v>12</v>
      </c>
      <c r="H1163" s="2">
        <v>45352</v>
      </c>
      <c r="I1163" s="3">
        <v>45382</v>
      </c>
      <c r="J1163" s="3">
        <f t="shared" si="18"/>
        <v>45388</v>
      </c>
      <c r="K1163" s="4">
        <v>824.37000199999989</v>
      </c>
      <c r="L1163">
        <v>200247</v>
      </c>
    </row>
    <row r="1164" spans="1:12" x14ac:dyDescent="0.35">
      <c r="A1164" t="s">
        <v>8</v>
      </c>
      <c r="B1164" t="s">
        <v>9</v>
      </c>
      <c r="C1164" t="s">
        <v>35</v>
      </c>
      <c r="D1164" t="str" cm="1">
        <f t="array" ref="D1164">INDEX(_xlfn.TEXTSPLIT(C1164,"_"),3)</f>
        <v>bfr</v>
      </c>
      <c r="E1164" t="str">
        <f>VLOOKUP(D1164,FranchiseMapping!$A$1:$B$15,2,FALSE)</f>
        <v>Full Rescue</v>
      </c>
      <c r="F1164" s="1">
        <v>45658</v>
      </c>
      <c r="G1164" t="s">
        <v>12</v>
      </c>
      <c r="H1164" s="2">
        <v>45809</v>
      </c>
      <c r="I1164" s="3">
        <v>45820</v>
      </c>
      <c r="J1164" s="3">
        <f t="shared" si="18"/>
        <v>45822</v>
      </c>
      <c r="K1164" s="4">
        <v>1718.9800009999999</v>
      </c>
      <c r="L1164">
        <v>113359</v>
      </c>
    </row>
    <row r="1165" spans="1:12" x14ac:dyDescent="0.35">
      <c r="A1165" t="s">
        <v>8</v>
      </c>
      <c r="B1165" t="s">
        <v>9</v>
      </c>
      <c r="C1165" t="s">
        <v>69</v>
      </c>
      <c r="D1165" t="str" cm="1">
        <f t="array" ref="D1165">INDEX(_xlfn.TEXTSPLIT(C1165,"_"),3)</f>
        <v>prime-day</v>
      </c>
      <c r="E1165" t="str">
        <f>VLOOKUP(D1165,FranchiseMapping!$A$1:$B$15,2,FALSE)</f>
        <v>Prime Day</v>
      </c>
      <c r="F1165" s="1">
        <v>45292</v>
      </c>
      <c r="G1165" t="s">
        <v>10</v>
      </c>
      <c r="H1165" s="2">
        <v>45474</v>
      </c>
      <c r="I1165" s="3">
        <v>45488</v>
      </c>
      <c r="J1165" s="3">
        <f t="shared" si="18"/>
        <v>45493</v>
      </c>
      <c r="K1165" s="4">
        <v>3025.6700069999997</v>
      </c>
      <c r="L1165">
        <v>532622</v>
      </c>
    </row>
    <row r="1166" spans="1:12" x14ac:dyDescent="0.35">
      <c r="A1166" t="s">
        <v>8</v>
      </c>
      <c r="B1166" t="s">
        <v>13</v>
      </c>
      <c r="C1166" t="s">
        <v>59</v>
      </c>
      <c r="D1166" t="str" cm="1">
        <f t="array" ref="D1166">INDEX(_xlfn.TEXTSPLIT(C1166,"_"),3)</f>
        <v>scalp-sync</v>
      </c>
      <c r="E1166" t="str">
        <f>VLOOKUP(D1166,FranchiseMapping!$A$1:$B$15,2,FALSE)</f>
        <v>Scalp Sync</v>
      </c>
      <c r="F1166" s="1">
        <v>45292</v>
      </c>
      <c r="G1166" t="s">
        <v>11</v>
      </c>
      <c r="H1166" s="2">
        <v>45413</v>
      </c>
      <c r="I1166" s="3">
        <v>45442</v>
      </c>
      <c r="J1166" s="3">
        <f t="shared" si="18"/>
        <v>45444</v>
      </c>
      <c r="K1166" s="4">
        <v>3303.0211180000001</v>
      </c>
      <c r="L1166">
        <v>1309604</v>
      </c>
    </row>
    <row r="1167" spans="1:12" x14ac:dyDescent="0.35">
      <c r="A1167" t="s">
        <v>8</v>
      </c>
      <c r="B1167" t="s">
        <v>13</v>
      </c>
      <c r="C1167" t="s">
        <v>42</v>
      </c>
      <c r="D1167" t="str" cm="1">
        <f t="array" ref="D1167">INDEX(_xlfn.TEXTSPLIT(C1167,"_"),3)</f>
        <v>bfr</v>
      </c>
      <c r="E1167" t="str">
        <f>VLOOKUP(D1167,FranchiseMapping!$A$1:$B$15,2,FALSE)</f>
        <v>Full Rescue</v>
      </c>
      <c r="F1167" s="1">
        <v>45658</v>
      </c>
      <c r="G1167" t="s">
        <v>12</v>
      </c>
      <c r="H1167" s="2">
        <v>45809</v>
      </c>
      <c r="I1167" s="3">
        <v>45817</v>
      </c>
      <c r="J1167" s="3">
        <f t="shared" si="18"/>
        <v>45822</v>
      </c>
      <c r="K1167" s="4">
        <v>1305.6073030000002</v>
      </c>
      <c r="L1167">
        <v>585774</v>
      </c>
    </row>
    <row r="1168" spans="1:12" x14ac:dyDescent="0.35">
      <c r="A1168" t="s">
        <v>8</v>
      </c>
      <c r="B1168" t="s">
        <v>9</v>
      </c>
      <c r="C1168" t="s">
        <v>48</v>
      </c>
      <c r="D1168" t="str" cm="1">
        <f t="array" ref="D1168">INDEX(_xlfn.TEXTSPLIT(C1168,"_"),3)</f>
        <v>scalp</v>
      </c>
      <c r="E1168" t="str">
        <f>VLOOKUP(D1168,FranchiseMapping!$A$1:$B$15,2,FALSE)</f>
        <v>Scalp Sync</v>
      </c>
      <c r="F1168" s="1">
        <v>45292</v>
      </c>
      <c r="G1168" t="s">
        <v>10</v>
      </c>
      <c r="H1168" s="2">
        <v>45352</v>
      </c>
      <c r="I1168" s="3">
        <v>45365</v>
      </c>
      <c r="J1168" s="3">
        <f t="shared" si="18"/>
        <v>45367</v>
      </c>
      <c r="K1168" s="4">
        <v>960.55000300000006</v>
      </c>
      <c r="L1168">
        <v>211523</v>
      </c>
    </row>
    <row r="1169" spans="1:12" x14ac:dyDescent="0.35">
      <c r="A1169" t="s">
        <v>8</v>
      </c>
      <c r="B1169" t="s">
        <v>9</v>
      </c>
      <c r="C1169" t="s">
        <v>48</v>
      </c>
      <c r="D1169" t="str" cm="1">
        <f t="array" ref="D1169">INDEX(_xlfn.TEXTSPLIT(C1169,"_"),3)</f>
        <v>scalp</v>
      </c>
      <c r="E1169" t="str">
        <f>VLOOKUP(D1169,FranchiseMapping!$A$1:$B$15,2,FALSE)</f>
        <v>Scalp Sync</v>
      </c>
      <c r="F1169" s="1">
        <v>45292</v>
      </c>
      <c r="G1169" t="s">
        <v>12</v>
      </c>
      <c r="H1169" s="2">
        <v>45352</v>
      </c>
      <c r="I1169" s="3">
        <v>45380</v>
      </c>
      <c r="J1169" s="3">
        <f t="shared" si="18"/>
        <v>45381</v>
      </c>
      <c r="K1169" s="4">
        <v>792.18999900000006</v>
      </c>
      <c r="L1169">
        <v>170645</v>
      </c>
    </row>
    <row r="1170" spans="1:12" x14ac:dyDescent="0.35">
      <c r="A1170" t="s">
        <v>8</v>
      </c>
      <c r="B1170" t="s">
        <v>9</v>
      </c>
      <c r="C1170" t="s">
        <v>55</v>
      </c>
      <c r="D1170" t="str" cm="1">
        <f t="array" ref="D1170">INDEX(_xlfn.TEXTSPLIT(C1170,"_"),3)</f>
        <v>hydrasource</v>
      </c>
      <c r="E1170" t="str">
        <f>VLOOKUP(D1170,FranchiseMapping!$A$1:$B$15,2,FALSE)</f>
        <v>Hydrasource</v>
      </c>
      <c r="F1170" s="1">
        <v>45292</v>
      </c>
      <c r="G1170" t="s">
        <v>12</v>
      </c>
      <c r="H1170" s="2">
        <v>45566</v>
      </c>
      <c r="I1170" s="3">
        <v>45572</v>
      </c>
      <c r="J1170" s="3">
        <f t="shared" si="18"/>
        <v>45577</v>
      </c>
      <c r="K1170" s="4">
        <v>3617.6699950000007</v>
      </c>
      <c r="L1170">
        <v>723512</v>
      </c>
    </row>
    <row r="1171" spans="1:12" x14ac:dyDescent="0.35">
      <c r="A1171" t="s">
        <v>8</v>
      </c>
      <c r="B1171" t="s">
        <v>14</v>
      </c>
      <c r="C1171" t="s">
        <v>47</v>
      </c>
      <c r="D1171" t="str" cm="1">
        <f t="array" ref="D1171">INDEX(_xlfn.TEXTSPLIT(C1171,"_"),3)</f>
        <v>hys</v>
      </c>
      <c r="E1171" t="str">
        <f>VLOOKUP(D1171,FranchiseMapping!$A$1:$B$15,2,FALSE)</f>
        <v>Hydrasource</v>
      </c>
      <c r="F1171" s="1">
        <v>45658</v>
      </c>
      <c r="G1171" t="s">
        <v>10</v>
      </c>
      <c r="H1171" s="2">
        <v>45748</v>
      </c>
      <c r="I1171" s="3">
        <v>45753</v>
      </c>
      <c r="J1171" s="3">
        <f t="shared" si="18"/>
        <v>45759</v>
      </c>
      <c r="K1171" s="4">
        <v>2170.9699999999993</v>
      </c>
      <c r="L1171">
        <v>580630</v>
      </c>
    </row>
    <row r="1172" spans="1:12" x14ac:dyDescent="0.35">
      <c r="A1172" t="s">
        <v>8</v>
      </c>
      <c r="B1172" t="s">
        <v>9</v>
      </c>
      <c r="C1172" t="s">
        <v>46</v>
      </c>
      <c r="D1172" t="str" cm="1">
        <f t="array" ref="D1172">INDEX(_xlfn.TEXTSPLIT(C1172,"_"),3)</f>
        <v>mult</v>
      </c>
      <c r="E1172" t="str">
        <f>VLOOKUP(D1172,FranchiseMapping!$A$1:$B$15,2,FALSE)</f>
        <v>Biolage</v>
      </c>
      <c r="F1172" s="1">
        <v>45658</v>
      </c>
      <c r="G1172" t="s">
        <v>10</v>
      </c>
      <c r="H1172" s="2">
        <v>45748</v>
      </c>
      <c r="I1172" s="3">
        <v>45755</v>
      </c>
      <c r="J1172" s="3">
        <f t="shared" si="18"/>
        <v>45759</v>
      </c>
      <c r="K1172" s="4">
        <v>1291.3500000000004</v>
      </c>
      <c r="L1172">
        <v>275566</v>
      </c>
    </row>
    <row r="1173" spans="1:12" x14ac:dyDescent="0.35">
      <c r="A1173" t="s">
        <v>8</v>
      </c>
      <c r="B1173" t="s">
        <v>9</v>
      </c>
      <c r="C1173" t="s">
        <v>33</v>
      </c>
      <c r="D1173" t="str" cm="1">
        <f t="array" ref="D1173">INDEX(_xlfn.TEXTSPLIT(C1173,"_"),3)</f>
        <v>hydrasource</v>
      </c>
      <c r="E1173" t="str">
        <f>VLOOKUP(D1173,FranchiseMapping!$A$1:$B$15,2,FALSE)</f>
        <v>Hydrasource</v>
      </c>
      <c r="F1173" s="1">
        <v>45292</v>
      </c>
      <c r="G1173" t="s">
        <v>11</v>
      </c>
      <c r="H1173" s="2">
        <v>45292</v>
      </c>
      <c r="I1173" s="3">
        <v>45309</v>
      </c>
      <c r="J1173" s="3">
        <f t="shared" si="18"/>
        <v>45311</v>
      </c>
      <c r="K1173" s="4">
        <v>1495.5099979999998</v>
      </c>
      <c r="L1173">
        <v>444479</v>
      </c>
    </row>
    <row r="1174" spans="1:12" x14ac:dyDescent="0.35">
      <c r="A1174" t="s">
        <v>8</v>
      </c>
      <c r="B1174" t="s">
        <v>9</v>
      </c>
      <c r="C1174" t="s">
        <v>46</v>
      </c>
      <c r="D1174" t="str" cm="1">
        <f t="array" ref="D1174">INDEX(_xlfn.TEXTSPLIT(C1174,"_"),3)</f>
        <v>mult</v>
      </c>
      <c r="E1174" t="str">
        <f>VLOOKUP(D1174,FranchiseMapping!$A$1:$B$15,2,FALSE)</f>
        <v>Biolage</v>
      </c>
      <c r="F1174" s="1">
        <v>45658</v>
      </c>
      <c r="G1174" t="s">
        <v>10</v>
      </c>
      <c r="H1174" s="2">
        <v>45778</v>
      </c>
      <c r="I1174" s="3">
        <v>45803</v>
      </c>
      <c r="J1174" s="3">
        <f t="shared" si="18"/>
        <v>45808</v>
      </c>
      <c r="K1174" s="4">
        <v>1462.2200000000005</v>
      </c>
      <c r="L1174">
        <v>236113</v>
      </c>
    </row>
    <row r="1175" spans="1:12" x14ac:dyDescent="0.35">
      <c r="A1175" t="s">
        <v>8</v>
      </c>
      <c r="B1175" t="s">
        <v>9</v>
      </c>
      <c r="C1175" t="s">
        <v>45</v>
      </c>
      <c r="D1175" t="str" cm="1">
        <f t="array" ref="D1175">INDEX(_xlfn.TEXTSPLIT(C1175,"_"),3)</f>
        <v>hydrasource</v>
      </c>
      <c r="E1175" t="str">
        <f>VLOOKUP(D1175,FranchiseMapping!$A$1:$B$15,2,FALSE)</f>
        <v>Hydrasource</v>
      </c>
      <c r="F1175" s="1">
        <v>45292</v>
      </c>
      <c r="G1175" t="s">
        <v>12</v>
      </c>
      <c r="H1175" s="2">
        <v>45566</v>
      </c>
      <c r="I1175" s="3">
        <v>45576</v>
      </c>
      <c r="J1175" s="3">
        <f t="shared" si="18"/>
        <v>45577</v>
      </c>
      <c r="K1175" s="4">
        <v>2525.0600079999995</v>
      </c>
      <c r="L1175">
        <v>278337</v>
      </c>
    </row>
    <row r="1176" spans="1:12" x14ac:dyDescent="0.35">
      <c r="A1176" t="s">
        <v>8</v>
      </c>
      <c r="B1176" t="s">
        <v>9</v>
      </c>
      <c r="C1176" t="s">
        <v>46</v>
      </c>
      <c r="D1176" t="str" cm="1">
        <f t="array" ref="D1176">INDEX(_xlfn.TEXTSPLIT(C1176,"_"),3)</f>
        <v>mult</v>
      </c>
      <c r="E1176" t="str">
        <f>VLOOKUP(D1176,FranchiseMapping!$A$1:$B$15,2,FALSE)</f>
        <v>Biolage</v>
      </c>
      <c r="F1176" s="1">
        <v>45658</v>
      </c>
      <c r="G1176" t="s">
        <v>10</v>
      </c>
      <c r="H1176" s="2">
        <v>45778</v>
      </c>
      <c r="I1176" s="3">
        <v>45801</v>
      </c>
      <c r="J1176" s="3">
        <f t="shared" si="18"/>
        <v>45801</v>
      </c>
      <c r="K1176" s="4">
        <v>1423.080001</v>
      </c>
      <c r="L1176">
        <v>217641</v>
      </c>
    </row>
    <row r="1177" spans="1:12" x14ac:dyDescent="0.35">
      <c r="A1177" t="s">
        <v>8</v>
      </c>
      <c r="B1177" t="s">
        <v>9</v>
      </c>
      <c r="C1177" t="s">
        <v>53</v>
      </c>
      <c r="D1177" t="str" cm="1">
        <f t="array" ref="D1177">INDEX(_xlfn.TEXTSPLIT(C1177,"_"),3)</f>
        <v>bond-therapy</v>
      </c>
      <c r="E1177" t="str">
        <f>VLOOKUP(D1177,FranchiseMapping!$A$1:$B$15,2,FALSE)</f>
        <v>Bond Therapy</v>
      </c>
      <c r="F1177" s="1">
        <v>44927</v>
      </c>
      <c r="G1177" t="s">
        <v>11</v>
      </c>
      <c r="H1177" s="2">
        <v>45261</v>
      </c>
      <c r="I1177" s="3">
        <v>45281</v>
      </c>
      <c r="J1177" s="3">
        <f t="shared" si="18"/>
        <v>45283</v>
      </c>
      <c r="K1177" s="4">
        <v>1169.2499989999999</v>
      </c>
      <c r="L1177">
        <v>205585</v>
      </c>
    </row>
    <row r="1178" spans="1:12" x14ac:dyDescent="0.35">
      <c r="A1178" t="s">
        <v>8</v>
      </c>
      <c r="B1178" t="s">
        <v>13</v>
      </c>
      <c r="C1178" t="s">
        <v>44</v>
      </c>
      <c r="D1178" t="str" cm="1">
        <f t="array" ref="D1178">INDEX(_xlfn.TEXTSPLIT(C1178,"_"),3)</f>
        <v>na</v>
      </c>
      <c r="E1178" t="str">
        <f>VLOOKUP(D1178,FranchiseMapping!$A$1:$B$15,2,FALSE)</f>
        <v>Biolage</v>
      </c>
      <c r="F1178" s="1">
        <v>44927</v>
      </c>
      <c r="G1178" t="s">
        <v>11</v>
      </c>
      <c r="H1178" s="2">
        <v>45108</v>
      </c>
      <c r="I1178" s="3">
        <v>45114</v>
      </c>
      <c r="J1178" s="3">
        <f t="shared" si="18"/>
        <v>45115</v>
      </c>
      <c r="K1178" s="4">
        <v>676.84270100000003</v>
      </c>
      <c r="L1178">
        <v>341954</v>
      </c>
    </row>
    <row r="1179" spans="1:12" x14ac:dyDescent="0.35">
      <c r="A1179" t="s">
        <v>8</v>
      </c>
      <c r="B1179" t="s">
        <v>9</v>
      </c>
      <c r="C1179" t="s">
        <v>40</v>
      </c>
      <c r="D1179" t="str" cm="1">
        <f t="array" ref="D1179">INDEX(_xlfn.TEXTSPLIT(C1179,"_"),3)</f>
        <v>hydrasource</v>
      </c>
      <c r="E1179" t="str">
        <f>VLOOKUP(D1179,FranchiseMapping!$A$1:$B$15,2,FALSE)</f>
        <v>Hydrasource</v>
      </c>
      <c r="F1179" s="1">
        <v>45292</v>
      </c>
      <c r="G1179" t="s">
        <v>12</v>
      </c>
      <c r="H1179" s="2">
        <v>45323</v>
      </c>
      <c r="I1179" s="3">
        <v>45333</v>
      </c>
      <c r="J1179" s="3">
        <f t="shared" si="18"/>
        <v>45339</v>
      </c>
      <c r="K1179" s="4">
        <v>3295.9699960000007</v>
      </c>
      <c r="L1179">
        <v>562445</v>
      </c>
    </row>
    <row r="1180" spans="1:12" x14ac:dyDescent="0.35">
      <c r="A1180" t="s">
        <v>8</v>
      </c>
      <c r="B1180" t="s">
        <v>14</v>
      </c>
      <c r="C1180" t="s">
        <v>78</v>
      </c>
      <c r="D1180" t="str" cm="1">
        <f t="array" ref="D1180">INDEX(_xlfn.TEXTSPLIT(C1180,"_"),3)</f>
        <v>hys</v>
      </c>
      <c r="E1180" t="str">
        <f>VLOOKUP(D1180,FranchiseMapping!$A$1:$B$15,2,FALSE)</f>
        <v>Hydrasource</v>
      </c>
      <c r="F1180" s="1">
        <v>45658</v>
      </c>
      <c r="G1180" t="s">
        <v>10</v>
      </c>
      <c r="H1180" s="2">
        <v>45839</v>
      </c>
      <c r="I1180" s="3">
        <v>45839</v>
      </c>
      <c r="J1180" s="3">
        <f t="shared" si="18"/>
        <v>45843</v>
      </c>
      <c r="K1180" s="4">
        <v>3284.99</v>
      </c>
      <c r="L1180">
        <v>239521</v>
      </c>
    </row>
    <row r="1181" spans="1:12" x14ac:dyDescent="0.35">
      <c r="A1181" t="s">
        <v>8</v>
      </c>
      <c r="B1181" t="s">
        <v>13</v>
      </c>
      <c r="C1181" t="s">
        <v>42</v>
      </c>
      <c r="D1181" t="str" cm="1">
        <f t="array" ref="D1181">INDEX(_xlfn.TEXTSPLIT(C1181,"_"),3)</f>
        <v>bfr</v>
      </c>
      <c r="E1181" t="str">
        <f>VLOOKUP(D1181,FranchiseMapping!$A$1:$B$15,2,FALSE)</f>
        <v>Full Rescue</v>
      </c>
      <c r="F1181" s="1">
        <v>45658</v>
      </c>
      <c r="G1181" t="s">
        <v>12</v>
      </c>
      <c r="H1181" s="2">
        <v>45809</v>
      </c>
      <c r="I1181" s="3">
        <v>45828</v>
      </c>
      <c r="J1181" s="3">
        <f t="shared" si="18"/>
        <v>45829</v>
      </c>
      <c r="K1181" s="4">
        <v>1383.5063569999998</v>
      </c>
      <c r="L1181">
        <v>642600</v>
      </c>
    </row>
    <row r="1182" spans="1:12" x14ac:dyDescent="0.35">
      <c r="A1182" t="s">
        <v>8</v>
      </c>
      <c r="B1182" t="s">
        <v>14</v>
      </c>
      <c r="C1182" t="s">
        <v>37</v>
      </c>
      <c r="D1182" t="str" cm="1">
        <f t="array" ref="D1182">INDEX(_xlfn.TEXTSPLIT(C1182,"_"),3)</f>
        <v>mult</v>
      </c>
      <c r="E1182" t="str">
        <f>VLOOKUP(D1182,FranchiseMapping!$A$1:$B$15,2,FALSE)</f>
        <v>Biolage</v>
      </c>
      <c r="F1182" s="1">
        <v>45658</v>
      </c>
      <c r="G1182" t="s">
        <v>12</v>
      </c>
      <c r="H1182" s="2">
        <v>45809</v>
      </c>
      <c r="I1182" s="3">
        <v>45822</v>
      </c>
      <c r="J1182" s="3">
        <f t="shared" si="18"/>
        <v>45822</v>
      </c>
      <c r="K1182" s="4">
        <v>1702.17</v>
      </c>
      <c r="L1182">
        <v>318439</v>
      </c>
    </row>
    <row r="1183" spans="1:12" x14ac:dyDescent="0.35">
      <c r="A1183" t="s">
        <v>8</v>
      </c>
      <c r="B1183" t="s">
        <v>14</v>
      </c>
      <c r="C1183" t="s">
        <v>47</v>
      </c>
      <c r="D1183" t="str" cm="1">
        <f t="array" ref="D1183">INDEX(_xlfn.TEXTSPLIT(C1183,"_"),3)</f>
        <v>hys</v>
      </c>
      <c r="E1183" t="str">
        <f>VLOOKUP(D1183,FranchiseMapping!$A$1:$B$15,2,FALSE)</f>
        <v>Hydrasource</v>
      </c>
      <c r="F1183" s="1">
        <v>45658</v>
      </c>
      <c r="G1183" t="s">
        <v>10</v>
      </c>
      <c r="H1183" s="2">
        <v>45748</v>
      </c>
      <c r="I1183" s="3">
        <v>45766</v>
      </c>
      <c r="J1183" s="3">
        <f t="shared" si="18"/>
        <v>45766</v>
      </c>
      <c r="K1183" s="4">
        <v>41.519999999999996</v>
      </c>
      <c r="L1183">
        <v>12278</v>
      </c>
    </row>
    <row r="1184" spans="1:12" x14ac:dyDescent="0.35">
      <c r="A1184" t="s">
        <v>8</v>
      </c>
      <c r="B1184" t="s">
        <v>13</v>
      </c>
      <c r="C1184" t="s">
        <v>42</v>
      </c>
      <c r="D1184" t="str" cm="1">
        <f t="array" ref="D1184">INDEX(_xlfn.TEXTSPLIT(C1184,"_"),3)</f>
        <v>bfr</v>
      </c>
      <c r="E1184" t="str">
        <f>VLOOKUP(D1184,FranchiseMapping!$A$1:$B$15,2,FALSE)</f>
        <v>Full Rescue</v>
      </c>
      <c r="F1184" s="1">
        <v>45658</v>
      </c>
      <c r="G1184" t="s">
        <v>12</v>
      </c>
      <c r="H1184" s="2">
        <v>45809</v>
      </c>
      <c r="I1184" s="3">
        <v>45835</v>
      </c>
      <c r="J1184" s="3">
        <f t="shared" si="18"/>
        <v>45836</v>
      </c>
      <c r="K1184" s="4">
        <v>1355.158641</v>
      </c>
      <c r="L1184">
        <v>622127</v>
      </c>
    </row>
    <row r="1185" spans="1:12" x14ac:dyDescent="0.35">
      <c r="A1185" t="s">
        <v>8</v>
      </c>
      <c r="B1185" t="s">
        <v>9</v>
      </c>
      <c r="C1185" t="s">
        <v>72</v>
      </c>
      <c r="D1185" t="str" cm="1">
        <f t="array" ref="D1185">INDEX(_xlfn.TEXTSPLIT(C1185,"_"),3)</f>
        <v>mult</v>
      </c>
      <c r="E1185" t="str">
        <f>VLOOKUP(D1185,FranchiseMapping!$A$1:$B$15,2,FALSE)</f>
        <v>Biolage</v>
      </c>
      <c r="F1185" s="1">
        <v>45658</v>
      </c>
      <c r="G1185" t="s">
        <v>12</v>
      </c>
      <c r="H1185" s="2">
        <v>45689</v>
      </c>
      <c r="I1185" s="3">
        <v>45712</v>
      </c>
      <c r="J1185" s="3">
        <f t="shared" si="18"/>
        <v>45717</v>
      </c>
      <c r="K1185" s="4">
        <v>7585.100002000002</v>
      </c>
      <c r="L1185">
        <v>891086</v>
      </c>
    </row>
    <row r="1186" spans="1:12" x14ac:dyDescent="0.35">
      <c r="A1186" t="s">
        <v>8</v>
      </c>
      <c r="B1186" t="s">
        <v>14</v>
      </c>
      <c r="C1186" t="s">
        <v>43</v>
      </c>
      <c r="D1186" t="str" cm="1">
        <f t="array" ref="D1186">INDEX(_xlfn.TEXTSPLIT(C1186,"_"),3)</f>
        <v>bfr</v>
      </c>
      <c r="E1186" t="str">
        <f>VLOOKUP(D1186,FranchiseMapping!$A$1:$B$15,2,FALSE)</f>
        <v>Full Rescue</v>
      </c>
      <c r="F1186" s="1">
        <v>45658</v>
      </c>
      <c r="G1186" t="s">
        <v>10</v>
      </c>
      <c r="H1186" s="2">
        <v>45809</v>
      </c>
      <c r="I1186" s="3">
        <v>45829</v>
      </c>
      <c r="J1186" s="3">
        <f t="shared" si="18"/>
        <v>45829</v>
      </c>
      <c r="K1186" s="4">
        <v>2265.35</v>
      </c>
      <c r="L1186">
        <v>416510</v>
      </c>
    </row>
    <row r="1187" spans="1:12" x14ac:dyDescent="0.35">
      <c r="A1187" t="s">
        <v>8</v>
      </c>
      <c r="B1187" t="s">
        <v>9</v>
      </c>
      <c r="C1187" t="s">
        <v>35</v>
      </c>
      <c r="D1187" t="str" cm="1">
        <f t="array" ref="D1187">INDEX(_xlfn.TEXTSPLIT(C1187,"_"),3)</f>
        <v>bfr</v>
      </c>
      <c r="E1187" t="str">
        <f>VLOOKUP(D1187,FranchiseMapping!$A$1:$B$15,2,FALSE)</f>
        <v>Full Rescue</v>
      </c>
      <c r="F1187" s="1">
        <v>45658</v>
      </c>
      <c r="G1187" t="s">
        <v>12</v>
      </c>
      <c r="H1187" s="2">
        <v>45778</v>
      </c>
      <c r="I1187" s="3">
        <v>45795</v>
      </c>
      <c r="J1187" s="3">
        <f t="shared" si="18"/>
        <v>45801</v>
      </c>
      <c r="K1187" s="4">
        <v>1956.6900010000002</v>
      </c>
      <c r="L1187">
        <v>152981</v>
      </c>
    </row>
    <row r="1188" spans="1:12" x14ac:dyDescent="0.35">
      <c r="A1188" t="s">
        <v>8</v>
      </c>
      <c r="B1188" t="s">
        <v>9</v>
      </c>
      <c r="C1188" t="s">
        <v>46</v>
      </c>
      <c r="D1188" t="str" cm="1">
        <f t="array" ref="D1188">INDEX(_xlfn.TEXTSPLIT(C1188,"_"),3)</f>
        <v>mult</v>
      </c>
      <c r="E1188" t="str">
        <f>VLOOKUP(D1188,FranchiseMapping!$A$1:$B$15,2,FALSE)</f>
        <v>Biolage</v>
      </c>
      <c r="F1188" s="1">
        <v>45658</v>
      </c>
      <c r="G1188" t="s">
        <v>10</v>
      </c>
      <c r="H1188" s="2">
        <v>45809</v>
      </c>
      <c r="I1188" s="3">
        <v>45825</v>
      </c>
      <c r="J1188" s="3">
        <f t="shared" si="18"/>
        <v>45829</v>
      </c>
      <c r="K1188" s="4">
        <v>1765.5799979999999</v>
      </c>
      <c r="L1188">
        <v>228278</v>
      </c>
    </row>
    <row r="1189" spans="1:12" x14ac:dyDescent="0.35">
      <c r="A1189" t="s">
        <v>8</v>
      </c>
      <c r="B1189" t="s">
        <v>13</v>
      </c>
      <c r="C1189" t="s">
        <v>44</v>
      </c>
      <c r="D1189" t="str" cm="1">
        <f t="array" ref="D1189">INDEX(_xlfn.TEXTSPLIT(C1189,"_"),3)</f>
        <v>na</v>
      </c>
      <c r="E1189" t="str">
        <f>VLOOKUP(D1189,FranchiseMapping!$A$1:$B$15,2,FALSE)</f>
        <v>Biolage</v>
      </c>
      <c r="F1189" s="1">
        <v>44927</v>
      </c>
      <c r="G1189" t="s">
        <v>11</v>
      </c>
      <c r="H1189" s="2">
        <v>45108</v>
      </c>
      <c r="I1189" s="3">
        <v>45108</v>
      </c>
      <c r="J1189" s="3">
        <f t="shared" si="18"/>
        <v>45108</v>
      </c>
      <c r="K1189" s="4">
        <v>673.32786600000009</v>
      </c>
      <c r="L1189">
        <v>319241</v>
      </c>
    </row>
    <row r="1190" spans="1:12" x14ac:dyDescent="0.35">
      <c r="A1190" t="s">
        <v>8</v>
      </c>
      <c r="B1190" t="s">
        <v>13</v>
      </c>
      <c r="C1190" t="s">
        <v>42</v>
      </c>
      <c r="D1190" t="str" cm="1">
        <f t="array" ref="D1190">INDEX(_xlfn.TEXTSPLIT(C1190,"_"),3)</f>
        <v>bfr</v>
      </c>
      <c r="E1190" t="str">
        <f>VLOOKUP(D1190,FranchiseMapping!$A$1:$B$15,2,FALSE)</f>
        <v>Full Rescue</v>
      </c>
      <c r="F1190" s="1">
        <v>45658</v>
      </c>
      <c r="G1190" t="s">
        <v>12</v>
      </c>
      <c r="H1190" s="2">
        <v>45809</v>
      </c>
      <c r="I1190" s="3">
        <v>45820</v>
      </c>
      <c r="J1190" s="3">
        <f t="shared" si="18"/>
        <v>45822</v>
      </c>
      <c r="K1190" s="4">
        <v>1305.6081500000003</v>
      </c>
      <c r="L1190">
        <v>600858</v>
      </c>
    </row>
    <row r="1191" spans="1:12" x14ac:dyDescent="0.35">
      <c r="A1191" t="s">
        <v>8</v>
      </c>
      <c r="B1191" t="s">
        <v>9</v>
      </c>
      <c r="C1191" t="s">
        <v>35</v>
      </c>
      <c r="D1191" t="str" cm="1">
        <f t="array" ref="D1191">INDEX(_xlfn.TEXTSPLIT(C1191,"_"),3)</f>
        <v>bfr</v>
      </c>
      <c r="E1191" t="str">
        <f>VLOOKUP(D1191,FranchiseMapping!$A$1:$B$15,2,FALSE)</f>
        <v>Full Rescue</v>
      </c>
      <c r="F1191" s="1">
        <v>45658</v>
      </c>
      <c r="G1191" t="s">
        <v>10</v>
      </c>
      <c r="H1191" s="2">
        <v>45809</v>
      </c>
      <c r="I1191" s="3">
        <v>45820</v>
      </c>
      <c r="J1191" s="3">
        <f t="shared" si="18"/>
        <v>45822</v>
      </c>
      <c r="K1191" s="4">
        <v>20.849999999999994</v>
      </c>
      <c r="L1191">
        <v>2579</v>
      </c>
    </row>
    <row r="1192" spans="1:12" x14ac:dyDescent="0.35">
      <c r="A1192" t="s">
        <v>8</v>
      </c>
      <c r="B1192" t="s">
        <v>14</v>
      </c>
      <c r="C1192" t="s">
        <v>37</v>
      </c>
      <c r="D1192" t="str" cm="1">
        <f t="array" ref="D1192">INDEX(_xlfn.TEXTSPLIT(C1192,"_"),3)</f>
        <v>mult</v>
      </c>
      <c r="E1192" t="str">
        <f>VLOOKUP(D1192,FranchiseMapping!$A$1:$B$15,2,FALSE)</f>
        <v>Biolage</v>
      </c>
      <c r="F1192" s="1">
        <v>45658</v>
      </c>
      <c r="G1192" t="s">
        <v>10</v>
      </c>
      <c r="H1192" s="2">
        <v>45809</v>
      </c>
      <c r="I1192" s="3">
        <v>45813</v>
      </c>
      <c r="J1192" s="3">
        <f t="shared" si="18"/>
        <v>45815</v>
      </c>
      <c r="K1192" s="4">
        <v>1120.57</v>
      </c>
      <c r="L1192">
        <v>218917</v>
      </c>
    </row>
    <row r="1193" spans="1:12" x14ac:dyDescent="0.35">
      <c r="A1193" t="s">
        <v>8</v>
      </c>
      <c r="B1193" t="s">
        <v>9</v>
      </c>
      <c r="C1193" t="s">
        <v>54</v>
      </c>
      <c r="D1193" t="str" cm="1">
        <f t="array" ref="D1193">INDEX(_xlfn.TEXTSPLIT(C1193,"_"),3)</f>
        <v>scalp</v>
      </c>
      <c r="E1193" t="str">
        <f>VLOOKUP(D1193,FranchiseMapping!$A$1:$B$15,2,FALSE)</f>
        <v>Scalp Sync</v>
      </c>
      <c r="F1193" s="1">
        <v>45292</v>
      </c>
      <c r="G1193" t="s">
        <v>10</v>
      </c>
      <c r="H1193" s="2">
        <v>45352</v>
      </c>
      <c r="I1193" s="3">
        <v>45365</v>
      </c>
      <c r="J1193" s="3">
        <f t="shared" si="18"/>
        <v>45367</v>
      </c>
      <c r="K1193" s="4">
        <v>2152.7200000000007</v>
      </c>
      <c r="L1193">
        <v>434089</v>
      </c>
    </row>
    <row r="1194" spans="1:12" x14ac:dyDescent="0.35">
      <c r="A1194" t="s">
        <v>8</v>
      </c>
      <c r="B1194" t="s">
        <v>9</v>
      </c>
      <c r="C1194" t="s">
        <v>35</v>
      </c>
      <c r="D1194" t="str" cm="1">
        <f t="array" ref="D1194">INDEX(_xlfn.TEXTSPLIT(C1194,"_"),3)</f>
        <v>bfr</v>
      </c>
      <c r="E1194" t="str">
        <f>VLOOKUP(D1194,FranchiseMapping!$A$1:$B$15,2,FALSE)</f>
        <v>Full Rescue</v>
      </c>
      <c r="F1194" s="1">
        <v>45658</v>
      </c>
      <c r="G1194" t="s">
        <v>12</v>
      </c>
      <c r="H1194" s="2">
        <v>45778</v>
      </c>
      <c r="I1194" s="3">
        <v>45794</v>
      </c>
      <c r="J1194" s="3">
        <f t="shared" si="18"/>
        <v>45794</v>
      </c>
      <c r="K1194" s="4">
        <v>1895.5699990000005</v>
      </c>
      <c r="L1194">
        <v>154850</v>
      </c>
    </row>
    <row r="1195" spans="1:12" x14ac:dyDescent="0.35">
      <c r="A1195" t="s">
        <v>8</v>
      </c>
      <c r="B1195" t="s">
        <v>13</v>
      </c>
      <c r="C1195" t="s">
        <v>28</v>
      </c>
      <c r="D1195" t="str" cm="1">
        <f t="array" ref="D1195">INDEX(_xlfn.TEXTSPLIT(C1195,"_"),3)</f>
        <v>na</v>
      </c>
      <c r="E1195" t="str">
        <f>VLOOKUP(D1195,FranchiseMapping!$A$1:$B$15,2,FALSE)</f>
        <v>Biolage</v>
      </c>
      <c r="F1195" s="1">
        <v>44927</v>
      </c>
      <c r="G1195" t="s">
        <v>12</v>
      </c>
      <c r="H1195" s="2">
        <v>45139</v>
      </c>
      <c r="I1195" s="3">
        <v>45155</v>
      </c>
      <c r="J1195" s="3">
        <f t="shared" si="18"/>
        <v>45157</v>
      </c>
      <c r="K1195" s="4">
        <v>330.956569</v>
      </c>
      <c r="L1195">
        <v>88761</v>
      </c>
    </row>
    <row r="1196" spans="1:12" x14ac:dyDescent="0.35">
      <c r="A1196" t="s">
        <v>8</v>
      </c>
      <c r="B1196" t="s">
        <v>13</v>
      </c>
      <c r="C1196" t="s">
        <v>42</v>
      </c>
      <c r="D1196" t="str" cm="1">
        <f t="array" ref="D1196">INDEX(_xlfn.TEXTSPLIT(C1196,"_"),3)</f>
        <v>bfr</v>
      </c>
      <c r="E1196" t="str">
        <f>VLOOKUP(D1196,FranchiseMapping!$A$1:$B$15,2,FALSE)</f>
        <v>Full Rescue</v>
      </c>
      <c r="F1196" s="1">
        <v>45658</v>
      </c>
      <c r="G1196" t="s">
        <v>12</v>
      </c>
      <c r="H1196" s="2">
        <v>45809</v>
      </c>
      <c r="I1196" s="3">
        <v>45832</v>
      </c>
      <c r="J1196" s="3">
        <f t="shared" si="18"/>
        <v>45836</v>
      </c>
      <c r="K1196" s="4">
        <v>1409.383754</v>
      </c>
      <c r="L1196">
        <v>650477</v>
      </c>
    </row>
    <row r="1197" spans="1:12" x14ac:dyDescent="0.35">
      <c r="A1197" t="s">
        <v>8</v>
      </c>
      <c r="B1197" t="s">
        <v>9</v>
      </c>
      <c r="C1197" t="s">
        <v>38</v>
      </c>
      <c r="D1197" t="str" cm="1">
        <f t="array" ref="D1197">INDEX(_xlfn.TEXTSPLIT(C1197,"_"),3)</f>
        <v>hys</v>
      </c>
      <c r="E1197" t="str">
        <f>VLOOKUP(D1197,FranchiseMapping!$A$1:$B$15,2,FALSE)</f>
        <v>Hydrasource</v>
      </c>
      <c r="F1197" s="1">
        <v>45658</v>
      </c>
      <c r="G1197" t="s">
        <v>10</v>
      </c>
      <c r="H1197" s="2">
        <v>45748</v>
      </c>
      <c r="I1197" s="3">
        <v>45757</v>
      </c>
      <c r="J1197" s="3">
        <f t="shared" si="18"/>
        <v>45759</v>
      </c>
      <c r="K1197" s="4">
        <v>353.40000299999997</v>
      </c>
      <c r="L1197">
        <v>18699</v>
      </c>
    </row>
    <row r="1198" spans="1:12" x14ac:dyDescent="0.35">
      <c r="A1198" t="s">
        <v>8</v>
      </c>
      <c r="B1198" t="s">
        <v>14</v>
      </c>
      <c r="C1198" t="s">
        <v>37</v>
      </c>
      <c r="D1198" t="str" cm="1">
        <f t="array" ref="D1198">INDEX(_xlfn.TEXTSPLIT(C1198,"_"),3)</f>
        <v>mult</v>
      </c>
      <c r="E1198" t="str">
        <f>VLOOKUP(D1198,FranchiseMapping!$A$1:$B$15,2,FALSE)</f>
        <v>Biolage</v>
      </c>
      <c r="F1198" s="1">
        <v>45658</v>
      </c>
      <c r="G1198" t="s">
        <v>10</v>
      </c>
      <c r="H1198" s="2">
        <v>45748</v>
      </c>
      <c r="I1198" s="3">
        <v>45769</v>
      </c>
      <c r="J1198" s="3">
        <f t="shared" si="18"/>
        <v>45773</v>
      </c>
      <c r="K1198" s="4">
        <v>1445.66</v>
      </c>
      <c r="L1198">
        <v>384327</v>
      </c>
    </row>
    <row r="1199" spans="1:12" x14ac:dyDescent="0.35">
      <c r="A1199" t="s">
        <v>8</v>
      </c>
      <c r="B1199" t="s">
        <v>9</v>
      </c>
      <c r="C1199" t="s">
        <v>61</v>
      </c>
      <c r="D1199" t="str" cm="1">
        <f t="array" ref="D1199">INDEX(_xlfn.TEXTSPLIT(C1199,"_"),3)</f>
        <v>prime-day</v>
      </c>
      <c r="E1199" t="str">
        <f>VLOOKUP(D1199,FranchiseMapping!$A$1:$B$15,2,FALSE)</f>
        <v>Prime Day</v>
      </c>
      <c r="F1199" s="1">
        <v>45292</v>
      </c>
      <c r="G1199" t="s">
        <v>10</v>
      </c>
      <c r="H1199" s="2">
        <v>45474</v>
      </c>
      <c r="I1199" s="3">
        <v>45479</v>
      </c>
      <c r="J1199" s="3">
        <f t="shared" si="18"/>
        <v>45479</v>
      </c>
      <c r="K1199" s="4">
        <v>3684.550005999999</v>
      </c>
      <c r="L1199">
        <v>512995</v>
      </c>
    </row>
    <row r="1200" spans="1:12" x14ac:dyDescent="0.35">
      <c r="A1200" t="s">
        <v>8</v>
      </c>
      <c r="B1200" t="s">
        <v>14</v>
      </c>
      <c r="C1200" t="s">
        <v>49</v>
      </c>
      <c r="D1200" t="str" cm="1">
        <f t="array" ref="D1200">INDEX(_xlfn.TEXTSPLIT(C1200,"_"),3)</f>
        <v>hys</v>
      </c>
      <c r="E1200" t="str">
        <f>VLOOKUP(D1200,FranchiseMapping!$A$1:$B$15,2,FALSE)</f>
        <v>Hydrasource</v>
      </c>
      <c r="F1200" s="1">
        <v>45658</v>
      </c>
      <c r="G1200" t="s">
        <v>12</v>
      </c>
      <c r="H1200" s="2">
        <v>45748</v>
      </c>
      <c r="I1200" s="3">
        <v>45748</v>
      </c>
      <c r="J1200" s="3">
        <f t="shared" si="18"/>
        <v>45752</v>
      </c>
      <c r="K1200" s="4">
        <v>2967.77</v>
      </c>
      <c r="L1200">
        <v>549260</v>
      </c>
    </row>
    <row r="1201" spans="1:12" x14ac:dyDescent="0.35">
      <c r="A1201" t="s">
        <v>8</v>
      </c>
      <c r="B1201" t="s">
        <v>9</v>
      </c>
      <c r="C1201" t="s">
        <v>48</v>
      </c>
      <c r="D1201" t="str" cm="1">
        <f t="array" ref="D1201">INDEX(_xlfn.TEXTSPLIT(C1201,"_"),3)</f>
        <v>scalp</v>
      </c>
      <c r="E1201" t="str">
        <f>VLOOKUP(D1201,FranchiseMapping!$A$1:$B$15,2,FALSE)</f>
        <v>Scalp Sync</v>
      </c>
      <c r="F1201" s="1">
        <v>45292</v>
      </c>
      <c r="G1201" t="s">
        <v>12</v>
      </c>
      <c r="H1201" s="2">
        <v>45383</v>
      </c>
      <c r="I1201" s="3">
        <v>45383</v>
      </c>
      <c r="J1201" s="3">
        <f t="shared" si="18"/>
        <v>45388</v>
      </c>
      <c r="K1201" s="4">
        <v>820.41000099999997</v>
      </c>
      <c r="L1201">
        <v>223606</v>
      </c>
    </row>
    <row r="1202" spans="1:12" x14ac:dyDescent="0.35">
      <c r="A1202" t="s">
        <v>8</v>
      </c>
      <c r="B1202" t="s">
        <v>9</v>
      </c>
      <c r="C1202" t="s">
        <v>38</v>
      </c>
      <c r="D1202" t="str" cm="1">
        <f t="array" ref="D1202">INDEX(_xlfn.TEXTSPLIT(C1202,"_"),3)</f>
        <v>hys</v>
      </c>
      <c r="E1202" t="str">
        <f>VLOOKUP(D1202,FranchiseMapping!$A$1:$B$15,2,FALSE)</f>
        <v>Hydrasource</v>
      </c>
      <c r="F1202" s="1">
        <v>45658</v>
      </c>
      <c r="G1202" t="s">
        <v>10</v>
      </c>
      <c r="H1202" s="2">
        <v>45748</v>
      </c>
      <c r="I1202" s="3">
        <v>45762</v>
      </c>
      <c r="J1202" s="3">
        <f t="shared" si="18"/>
        <v>45766</v>
      </c>
      <c r="K1202" s="4">
        <v>276.69000000000005</v>
      </c>
      <c r="L1202">
        <v>12802</v>
      </c>
    </row>
    <row r="1203" spans="1:12" x14ac:dyDescent="0.35">
      <c r="A1203" t="s">
        <v>8</v>
      </c>
      <c r="B1203" t="s">
        <v>13</v>
      </c>
      <c r="C1203" t="s">
        <v>42</v>
      </c>
      <c r="D1203" t="str" cm="1">
        <f t="array" ref="D1203">INDEX(_xlfn.TEXTSPLIT(C1203,"_"),3)</f>
        <v>bfr</v>
      </c>
      <c r="E1203" t="str">
        <f>VLOOKUP(D1203,FranchiseMapping!$A$1:$B$15,2,FALSE)</f>
        <v>Full Rescue</v>
      </c>
      <c r="F1203" s="1">
        <v>45658</v>
      </c>
      <c r="G1203" t="s">
        <v>12</v>
      </c>
      <c r="H1203" s="2">
        <v>45809</v>
      </c>
      <c r="I1203" s="3">
        <v>45824</v>
      </c>
      <c r="J1203" s="3">
        <f t="shared" si="18"/>
        <v>45829</v>
      </c>
      <c r="K1203" s="4">
        <v>1449.351784</v>
      </c>
      <c r="L1203">
        <v>683121</v>
      </c>
    </row>
    <row r="1204" spans="1:12" x14ac:dyDescent="0.35">
      <c r="A1204" t="s">
        <v>8</v>
      </c>
      <c r="B1204" t="s">
        <v>14</v>
      </c>
      <c r="C1204" t="s">
        <v>37</v>
      </c>
      <c r="D1204" t="str" cm="1">
        <f t="array" ref="D1204">INDEX(_xlfn.TEXTSPLIT(C1204,"_"),3)</f>
        <v>mult</v>
      </c>
      <c r="E1204" t="str">
        <f>VLOOKUP(D1204,FranchiseMapping!$A$1:$B$15,2,FALSE)</f>
        <v>Biolage</v>
      </c>
      <c r="F1204" s="1">
        <v>45658</v>
      </c>
      <c r="G1204" t="s">
        <v>12</v>
      </c>
      <c r="H1204" s="2">
        <v>45778</v>
      </c>
      <c r="I1204" s="3">
        <v>45791</v>
      </c>
      <c r="J1204" s="3">
        <f t="shared" si="18"/>
        <v>45794</v>
      </c>
      <c r="K1204" s="4">
        <v>2224.61</v>
      </c>
      <c r="L1204">
        <v>497717</v>
      </c>
    </row>
    <row r="1205" spans="1:12" x14ac:dyDescent="0.35">
      <c r="A1205" t="s">
        <v>8</v>
      </c>
      <c r="B1205" t="s">
        <v>13</v>
      </c>
      <c r="C1205" t="s">
        <v>39</v>
      </c>
      <c r="D1205" t="str" cm="1">
        <f t="array" ref="D1205">INDEX(_xlfn.TEXTSPLIT(C1205,"_"),3)</f>
        <v>scalp-sync</v>
      </c>
      <c r="E1205" t="str">
        <f>VLOOKUP(D1205,FranchiseMapping!$A$1:$B$15,2,FALSE)</f>
        <v>Scalp Sync</v>
      </c>
      <c r="F1205" s="1">
        <v>45292</v>
      </c>
      <c r="G1205" t="s">
        <v>12</v>
      </c>
      <c r="H1205" s="2">
        <v>45413</v>
      </c>
      <c r="I1205" s="3">
        <v>45414</v>
      </c>
      <c r="J1205" s="3">
        <f t="shared" si="18"/>
        <v>45416</v>
      </c>
      <c r="K1205" s="4">
        <v>1743.6861240000003</v>
      </c>
      <c r="L1205">
        <v>476502</v>
      </c>
    </row>
    <row r="1206" spans="1:12" x14ac:dyDescent="0.35">
      <c r="A1206" t="s">
        <v>8</v>
      </c>
      <c r="B1206" t="s">
        <v>9</v>
      </c>
      <c r="C1206" t="s">
        <v>54</v>
      </c>
      <c r="D1206" t="str" cm="1">
        <f t="array" ref="D1206">INDEX(_xlfn.TEXTSPLIT(C1206,"_"),3)</f>
        <v>scalp</v>
      </c>
      <c r="E1206" t="str">
        <f>VLOOKUP(D1206,FranchiseMapping!$A$1:$B$15,2,FALSE)</f>
        <v>Scalp Sync</v>
      </c>
      <c r="F1206" s="1">
        <v>45292</v>
      </c>
      <c r="G1206" t="s">
        <v>10</v>
      </c>
      <c r="H1206" s="2">
        <v>45383</v>
      </c>
      <c r="I1206" s="3">
        <v>45389</v>
      </c>
      <c r="J1206" s="3">
        <f t="shared" si="18"/>
        <v>45395</v>
      </c>
      <c r="K1206" s="4">
        <v>2421.940008</v>
      </c>
      <c r="L1206">
        <v>562048</v>
      </c>
    </row>
    <row r="1207" spans="1:12" x14ac:dyDescent="0.35">
      <c r="A1207" t="s">
        <v>8</v>
      </c>
      <c r="B1207" t="s">
        <v>9</v>
      </c>
      <c r="C1207" t="s">
        <v>45</v>
      </c>
      <c r="D1207" t="str" cm="1">
        <f t="array" ref="D1207">INDEX(_xlfn.TEXTSPLIT(C1207,"_"),3)</f>
        <v>hydrasource</v>
      </c>
      <c r="E1207" t="str">
        <f>VLOOKUP(D1207,FranchiseMapping!$A$1:$B$15,2,FALSE)</f>
        <v>Hydrasource</v>
      </c>
      <c r="F1207" s="1">
        <v>45292</v>
      </c>
      <c r="G1207" t="s">
        <v>12</v>
      </c>
      <c r="H1207" s="2">
        <v>45566</v>
      </c>
      <c r="I1207" s="3">
        <v>45568</v>
      </c>
      <c r="J1207" s="3">
        <f t="shared" si="18"/>
        <v>45570</v>
      </c>
      <c r="K1207" s="4">
        <v>2469.6299990000002</v>
      </c>
      <c r="L1207">
        <v>277560</v>
      </c>
    </row>
    <row r="1208" spans="1:12" x14ac:dyDescent="0.35">
      <c r="A1208" t="s">
        <v>8</v>
      </c>
      <c r="B1208" t="s">
        <v>9</v>
      </c>
      <c r="C1208" t="s">
        <v>36</v>
      </c>
      <c r="D1208" t="str" cm="1">
        <f t="array" ref="D1208">INDEX(_xlfn.TEXTSPLIT(C1208,"_"),3)</f>
        <v>bfr</v>
      </c>
      <c r="E1208" t="str">
        <f>VLOOKUP(D1208,FranchiseMapping!$A$1:$B$15,2,FALSE)</f>
        <v>Full Rescue</v>
      </c>
      <c r="F1208" s="1">
        <v>45658</v>
      </c>
      <c r="G1208" t="s">
        <v>10</v>
      </c>
      <c r="H1208" s="2">
        <v>45809</v>
      </c>
      <c r="I1208" s="3">
        <v>45811</v>
      </c>
      <c r="J1208" s="3">
        <f t="shared" si="18"/>
        <v>45815</v>
      </c>
      <c r="K1208" s="4">
        <v>2348.1499990000002</v>
      </c>
      <c r="L1208">
        <v>370383</v>
      </c>
    </row>
    <row r="1209" spans="1:12" x14ac:dyDescent="0.35">
      <c r="A1209" t="s">
        <v>8</v>
      </c>
      <c r="B1209" t="s">
        <v>9</v>
      </c>
      <c r="C1209" t="s">
        <v>46</v>
      </c>
      <c r="D1209" t="str" cm="1">
        <f t="array" ref="D1209">INDEX(_xlfn.TEXTSPLIT(C1209,"_"),3)</f>
        <v>mult</v>
      </c>
      <c r="E1209" t="str">
        <f>VLOOKUP(D1209,FranchiseMapping!$A$1:$B$15,2,FALSE)</f>
        <v>Biolage</v>
      </c>
      <c r="F1209" s="1">
        <v>45658</v>
      </c>
      <c r="G1209" t="s">
        <v>12</v>
      </c>
      <c r="H1209" s="2">
        <v>45778</v>
      </c>
      <c r="I1209" s="3">
        <v>45801</v>
      </c>
      <c r="J1209" s="3">
        <f t="shared" si="18"/>
        <v>45801</v>
      </c>
      <c r="K1209" s="4">
        <v>176.09999999999997</v>
      </c>
      <c r="L1209">
        <v>28447</v>
      </c>
    </row>
    <row r="1210" spans="1:12" x14ac:dyDescent="0.35">
      <c r="A1210" t="s">
        <v>8</v>
      </c>
      <c r="B1210" t="s">
        <v>9</v>
      </c>
      <c r="C1210" t="s">
        <v>63</v>
      </c>
      <c r="D1210" t="str" cm="1">
        <f t="array" ref="D1210">INDEX(_xlfn.TEXTSPLIT(C1210,"_"),3)</f>
        <v>prime-day</v>
      </c>
      <c r="E1210" t="str">
        <f>VLOOKUP(D1210,FranchiseMapping!$A$1:$B$15,2,FALSE)</f>
        <v>Prime Day</v>
      </c>
      <c r="F1210" s="1">
        <v>45292</v>
      </c>
      <c r="G1210" t="s">
        <v>10</v>
      </c>
      <c r="H1210" s="2">
        <v>45474</v>
      </c>
      <c r="I1210" s="3">
        <v>45490</v>
      </c>
      <c r="J1210" s="3">
        <f t="shared" si="18"/>
        <v>45493</v>
      </c>
      <c r="K1210" s="4">
        <v>13534.169994999998</v>
      </c>
      <c r="L1210">
        <v>2124921</v>
      </c>
    </row>
    <row r="1211" spans="1:12" x14ac:dyDescent="0.35">
      <c r="A1211" t="s">
        <v>8</v>
      </c>
      <c r="B1211" t="s">
        <v>9</v>
      </c>
      <c r="C1211" t="s">
        <v>70</v>
      </c>
      <c r="D1211" t="str" cm="1">
        <f t="array" ref="D1211">INDEX(_xlfn.TEXTSPLIT(C1211,"_"),3)</f>
        <v>mult</v>
      </c>
      <c r="E1211" t="str">
        <f>VLOOKUP(D1211,FranchiseMapping!$A$1:$B$15,2,FALSE)</f>
        <v>Biolage</v>
      </c>
      <c r="F1211" s="1">
        <v>45292</v>
      </c>
      <c r="G1211" t="s">
        <v>12</v>
      </c>
      <c r="H1211" s="2">
        <v>45597</v>
      </c>
      <c r="I1211" s="3">
        <v>45625</v>
      </c>
      <c r="J1211" s="3">
        <f t="shared" si="18"/>
        <v>45626</v>
      </c>
      <c r="K1211" s="4">
        <v>12975.219999999998</v>
      </c>
      <c r="L1211">
        <v>1207992</v>
      </c>
    </row>
    <row r="1212" spans="1:12" x14ac:dyDescent="0.35">
      <c r="A1212" t="s">
        <v>8</v>
      </c>
      <c r="B1212" t="s">
        <v>9</v>
      </c>
      <c r="C1212" t="s">
        <v>33</v>
      </c>
      <c r="D1212" t="str" cm="1">
        <f t="array" ref="D1212">INDEX(_xlfn.TEXTSPLIT(C1212,"_"),3)</f>
        <v>hydrasource</v>
      </c>
      <c r="E1212" t="str">
        <f>VLOOKUP(D1212,FranchiseMapping!$A$1:$B$15,2,FALSE)</f>
        <v>Hydrasource</v>
      </c>
      <c r="F1212" s="1">
        <v>45292</v>
      </c>
      <c r="G1212" t="s">
        <v>11</v>
      </c>
      <c r="H1212" s="2">
        <v>45323</v>
      </c>
      <c r="I1212" s="3">
        <v>45349</v>
      </c>
      <c r="J1212" s="3">
        <f t="shared" si="18"/>
        <v>45353</v>
      </c>
      <c r="K1212" s="4">
        <v>1262.2700070000001</v>
      </c>
      <c r="L1212">
        <v>180403</v>
      </c>
    </row>
    <row r="1213" spans="1:12" x14ac:dyDescent="0.35">
      <c r="A1213" t="s">
        <v>8</v>
      </c>
      <c r="B1213" t="s">
        <v>13</v>
      </c>
      <c r="C1213" t="s">
        <v>42</v>
      </c>
      <c r="D1213" t="str" cm="1">
        <f t="array" ref="D1213">INDEX(_xlfn.TEXTSPLIT(C1213,"_"),3)</f>
        <v>bfr</v>
      </c>
      <c r="E1213" t="str">
        <f>VLOOKUP(D1213,FranchiseMapping!$A$1:$B$15,2,FALSE)</f>
        <v>Full Rescue</v>
      </c>
      <c r="F1213" s="1">
        <v>45658</v>
      </c>
      <c r="G1213" t="s">
        <v>10</v>
      </c>
      <c r="H1213" s="2">
        <v>45809</v>
      </c>
      <c r="I1213" s="3">
        <v>45815</v>
      </c>
      <c r="J1213" s="3">
        <f t="shared" si="18"/>
        <v>45815</v>
      </c>
      <c r="K1213" s="4">
        <v>455.45515</v>
      </c>
      <c r="L1213">
        <v>210767</v>
      </c>
    </row>
    <row r="1214" spans="1:12" x14ac:dyDescent="0.35">
      <c r="A1214" t="s">
        <v>8</v>
      </c>
      <c r="B1214" t="s">
        <v>13</v>
      </c>
      <c r="C1214" t="s">
        <v>42</v>
      </c>
      <c r="D1214" t="str" cm="1">
        <f t="array" ref="D1214">INDEX(_xlfn.TEXTSPLIT(C1214,"_"),3)</f>
        <v>bfr</v>
      </c>
      <c r="E1214" t="str">
        <f>VLOOKUP(D1214,FranchiseMapping!$A$1:$B$15,2,FALSE)</f>
        <v>Full Rescue</v>
      </c>
      <c r="F1214" s="1">
        <v>45658</v>
      </c>
      <c r="G1214" t="s">
        <v>12</v>
      </c>
      <c r="H1214" s="2">
        <v>45809</v>
      </c>
      <c r="I1214" s="3">
        <v>45815</v>
      </c>
      <c r="J1214" s="3">
        <f t="shared" si="18"/>
        <v>45815</v>
      </c>
      <c r="K1214" s="4">
        <v>1265.3526850000003</v>
      </c>
      <c r="L1214">
        <v>580826</v>
      </c>
    </row>
    <row r="1215" spans="1:12" x14ac:dyDescent="0.35">
      <c r="A1215" t="s">
        <v>8</v>
      </c>
      <c r="B1215" t="s">
        <v>14</v>
      </c>
      <c r="C1215" t="s">
        <v>29</v>
      </c>
      <c r="D1215" t="str" cm="1">
        <f t="array" ref="D1215">INDEX(_xlfn.TEXTSPLIT(C1215,"_"),3)</f>
        <v>bfr</v>
      </c>
      <c r="E1215" t="str">
        <f>VLOOKUP(D1215,FranchiseMapping!$A$1:$B$15,2,FALSE)</f>
        <v>Full Rescue</v>
      </c>
      <c r="F1215" s="1">
        <v>45658</v>
      </c>
      <c r="G1215" t="s">
        <v>10</v>
      </c>
      <c r="H1215" s="2">
        <v>45809</v>
      </c>
      <c r="I1215" s="3">
        <v>45828</v>
      </c>
      <c r="J1215" s="3">
        <f t="shared" si="18"/>
        <v>45829</v>
      </c>
      <c r="K1215" s="4">
        <v>1700.8100000000002</v>
      </c>
      <c r="L1215">
        <v>287673</v>
      </c>
    </row>
    <row r="1216" spans="1:12" x14ac:dyDescent="0.35">
      <c r="A1216" t="s">
        <v>8</v>
      </c>
      <c r="B1216" t="s">
        <v>14</v>
      </c>
      <c r="C1216" t="s">
        <v>37</v>
      </c>
      <c r="D1216" t="str" cm="1">
        <f t="array" ref="D1216">INDEX(_xlfn.TEXTSPLIT(C1216,"_"),3)</f>
        <v>mult</v>
      </c>
      <c r="E1216" t="str">
        <f>VLOOKUP(D1216,FranchiseMapping!$A$1:$B$15,2,FALSE)</f>
        <v>Biolage</v>
      </c>
      <c r="F1216" s="1">
        <v>45658</v>
      </c>
      <c r="G1216" t="s">
        <v>12</v>
      </c>
      <c r="H1216" s="2">
        <v>45717</v>
      </c>
      <c r="I1216" s="3">
        <v>45733</v>
      </c>
      <c r="J1216" s="3">
        <f t="shared" si="18"/>
        <v>45738</v>
      </c>
      <c r="K1216" s="4">
        <v>1570.42</v>
      </c>
      <c r="L1216">
        <v>349371</v>
      </c>
    </row>
    <row r="1217" spans="1:12" x14ac:dyDescent="0.35">
      <c r="A1217" t="s">
        <v>8</v>
      </c>
      <c r="B1217" t="s">
        <v>13</v>
      </c>
      <c r="C1217" t="s">
        <v>28</v>
      </c>
      <c r="D1217" t="str" cm="1">
        <f t="array" ref="D1217">INDEX(_xlfn.TEXTSPLIT(C1217,"_"),3)</f>
        <v>na</v>
      </c>
      <c r="E1217" t="str">
        <f>VLOOKUP(D1217,FranchiseMapping!$A$1:$B$15,2,FALSE)</f>
        <v>Biolage</v>
      </c>
      <c r="F1217" s="1">
        <v>44927</v>
      </c>
      <c r="G1217" t="s">
        <v>12</v>
      </c>
      <c r="H1217" s="2">
        <v>45139</v>
      </c>
      <c r="I1217" s="3">
        <v>45151</v>
      </c>
      <c r="J1217" s="3">
        <f t="shared" si="18"/>
        <v>45157</v>
      </c>
      <c r="K1217" s="4">
        <v>446.10117400000001</v>
      </c>
      <c r="L1217">
        <v>125287</v>
      </c>
    </row>
    <row r="1218" spans="1:12" x14ac:dyDescent="0.35">
      <c r="A1218" t="s">
        <v>8</v>
      </c>
      <c r="B1218" t="s">
        <v>13</v>
      </c>
      <c r="C1218" t="s">
        <v>51</v>
      </c>
      <c r="D1218" t="str" cm="1">
        <f t="array" ref="D1218">INDEX(_xlfn.TEXTSPLIT(C1218,"_"),3)</f>
        <v>na</v>
      </c>
      <c r="E1218" t="str">
        <f>VLOOKUP(D1218,FranchiseMapping!$A$1:$B$15,2,FALSE)</f>
        <v>Biolage</v>
      </c>
      <c r="F1218" s="1">
        <v>44927</v>
      </c>
      <c r="G1218" t="s">
        <v>11</v>
      </c>
      <c r="H1218" s="2">
        <v>45108</v>
      </c>
      <c r="I1218" s="3">
        <v>45130</v>
      </c>
      <c r="J1218" s="3">
        <f t="shared" si="18"/>
        <v>45136</v>
      </c>
      <c r="K1218" s="4">
        <v>636.48007000000007</v>
      </c>
      <c r="L1218">
        <v>320170</v>
      </c>
    </row>
    <row r="1219" spans="1:12" x14ac:dyDescent="0.35">
      <c r="A1219" t="s">
        <v>8</v>
      </c>
      <c r="B1219" t="s">
        <v>9</v>
      </c>
      <c r="C1219" t="s">
        <v>35</v>
      </c>
      <c r="D1219" t="str" cm="1">
        <f t="array" ref="D1219">INDEX(_xlfn.TEXTSPLIT(C1219,"_"),3)</f>
        <v>bfr</v>
      </c>
      <c r="E1219" t="str">
        <f>VLOOKUP(D1219,FranchiseMapping!$A$1:$B$15,2,FALSE)</f>
        <v>Full Rescue</v>
      </c>
      <c r="F1219" s="1">
        <v>45658</v>
      </c>
      <c r="G1219" t="s">
        <v>12</v>
      </c>
      <c r="H1219" s="2">
        <v>45809</v>
      </c>
      <c r="I1219" s="3">
        <v>45822</v>
      </c>
      <c r="J1219" s="3">
        <f t="shared" ref="J1219:J1282" si="19">I1219 + (7 - WEEKDAY(I1219, 1))</f>
        <v>45822</v>
      </c>
      <c r="K1219" s="4">
        <v>1782.6699999999996</v>
      </c>
      <c r="L1219">
        <v>159209</v>
      </c>
    </row>
    <row r="1220" spans="1:12" x14ac:dyDescent="0.35">
      <c r="A1220" t="s">
        <v>8</v>
      </c>
      <c r="B1220" t="s">
        <v>9</v>
      </c>
      <c r="C1220" t="s">
        <v>46</v>
      </c>
      <c r="D1220" t="str" cm="1">
        <f t="array" ref="D1220">INDEX(_xlfn.TEXTSPLIT(C1220,"_"),3)</f>
        <v>mult</v>
      </c>
      <c r="E1220" t="str">
        <f>VLOOKUP(D1220,FranchiseMapping!$A$1:$B$15,2,FALSE)</f>
        <v>Biolage</v>
      </c>
      <c r="F1220" s="1">
        <v>45658</v>
      </c>
      <c r="G1220" t="s">
        <v>10</v>
      </c>
      <c r="H1220" s="2">
        <v>45748</v>
      </c>
      <c r="I1220" s="3">
        <v>45763</v>
      </c>
      <c r="J1220" s="3">
        <f t="shared" si="19"/>
        <v>45766</v>
      </c>
      <c r="K1220" s="4">
        <v>696.52</v>
      </c>
      <c r="L1220">
        <v>146834</v>
      </c>
    </row>
    <row r="1221" spans="1:12" x14ac:dyDescent="0.35">
      <c r="A1221" t="s">
        <v>8</v>
      </c>
      <c r="B1221" t="s">
        <v>9</v>
      </c>
      <c r="C1221" t="s">
        <v>40</v>
      </c>
      <c r="D1221" t="str" cm="1">
        <f t="array" ref="D1221">INDEX(_xlfn.TEXTSPLIT(C1221,"_"),3)</f>
        <v>hydrasource</v>
      </c>
      <c r="E1221" t="str">
        <f>VLOOKUP(D1221,FranchiseMapping!$A$1:$B$15,2,FALSE)</f>
        <v>Hydrasource</v>
      </c>
      <c r="F1221" s="1">
        <v>45292</v>
      </c>
      <c r="G1221" t="s">
        <v>12</v>
      </c>
      <c r="H1221" s="2">
        <v>45323</v>
      </c>
      <c r="I1221" s="3">
        <v>45334</v>
      </c>
      <c r="J1221" s="3">
        <f t="shared" si="19"/>
        <v>45339</v>
      </c>
      <c r="K1221" s="4">
        <v>3161.9300000000003</v>
      </c>
      <c r="L1221">
        <v>536267</v>
      </c>
    </row>
    <row r="1222" spans="1:12" x14ac:dyDescent="0.35">
      <c r="A1222" t="s">
        <v>8</v>
      </c>
      <c r="B1222" t="s">
        <v>14</v>
      </c>
      <c r="C1222" t="s">
        <v>29</v>
      </c>
      <c r="D1222" t="str" cm="1">
        <f t="array" ref="D1222">INDEX(_xlfn.TEXTSPLIT(C1222,"_"),3)</f>
        <v>bfr</v>
      </c>
      <c r="E1222" t="str">
        <f>VLOOKUP(D1222,FranchiseMapping!$A$1:$B$15,2,FALSE)</f>
        <v>Full Rescue</v>
      </c>
      <c r="F1222" s="1">
        <v>45658</v>
      </c>
      <c r="G1222" t="s">
        <v>12</v>
      </c>
      <c r="H1222" s="2">
        <v>45809</v>
      </c>
      <c r="I1222" s="3">
        <v>45833</v>
      </c>
      <c r="J1222" s="3">
        <f t="shared" si="19"/>
        <v>45836</v>
      </c>
      <c r="K1222" s="4">
        <v>345.57</v>
      </c>
      <c r="L1222">
        <v>60516</v>
      </c>
    </row>
    <row r="1223" spans="1:12" x14ac:dyDescent="0.35">
      <c r="A1223" t="s">
        <v>8</v>
      </c>
      <c r="B1223" t="s">
        <v>13</v>
      </c>
      <c r="C1223" t="s">
        <v>42</v>
      </c>
      <c r="D1223" t="str" cm="1">
        <f t="array" ref="D1223">INDEX(_xlfn.TEXTSPLIT(C1223,"_"),3)</f>
        <v>bfr</v>
      </c>
      <c r="E1223" t="str">
        <f>VLOOKUP(D1223,FranchiseMapping!$A$1:$B$15,2,FALSE)</f>
        <v>Full Rescue</v>
      </c>
      <c r="F1223" s="1">
        <v>45658</v>
      </c>
      <c r="G1223" t="s">
        <v>10</v>
      </c>
      <c r="H1223" s="2">
        <v>45809</v>
      </c>
      <c r="I1223" s="3">
        <v>45833</v>
      </c>
      <c r="J1223" s="3">
        <f t="shared" si="19"/>
        <v>45836</v>
      </c>
      <c r="K1223" s="4">
        <v>319.49855599999995</v>
      </c>
      <c r="L1223">
        <v>150041</v>
      </c>
    </row>
    <row r="1224" spans="1:12" x14ac:dyDescent="0.35">
      <c r="A1224" t="s">
        <v>8</v>
      </c>
      <c r="B1224" t="s">
        <v>9</v>
      </c>
      <c r="C1224" t="s">
        <v>35</v>
      </c>
      <c r="D1224" t="str" cm="1">
        <f t="array" ref="D1224">INDEX(_xlfn.TEXTSPLIT(C1224,"_"),3)</f>
        <v>bfr</v>
      </c>
      <c r="E1224" t="str">
        <f>VLOOKUP(D1224,FranchiseMapping!$A$1:$B$15,2,FALSE)</f>
        <v>Full Rescue</v>
      </c>
      <c r="F1224" s="1">
        <v>45658</v>
      </c>
      <c r="G1224" t="s">
        <v>12</v>
      </c>
      <c r="H1224" s="2">
        <v>45778</v>
      </c>
      <c r="I1224" s="3">
        <v>45788</v>
      </c>
      <c r="J1224" s="3">
        <f t="shared" si="19"/>
        <v>45794</v>
      </c>
      <c r="K1224" s="4">
        <v>1864.54</v>
      </c>
      <c r="L1224">
        <v>145450</v>
      </c>
    </row>
    <row r="1225" spans="1:12" x14ac:dyDescent="0.35">
      <c r="A1225" t="s">
        <v>8</v>
      </c>
      <c r="B1225" t="s">
        <v>14</v>
      </c>
      <c r="C1225" t="s">
        <v>43</v>
      </c>
      <c r="D1225" t="str" cm="1">
        <f t="array" ref="D1225">INDEX(_xlfn.TEXTSPLIT(C1225,"_"),3)</f>
        <v>bfr</v>
      </c>
      <c r="E1225" t="str">
        <f>VLOOKUP(D1225,FranchiseMapping!$A$1:$B$15,2,FALSE)</f>
        <v>Full Rescue</v>
      </c>
      <c r="F1225" s="1">
        <v>45658</v>
      </c>
      <c r="G1225" t="s">
        <v>12</v>
      </c>
      <c r="H1225" s="2">
        <v>45809</v>
      </c>
      <c r="I1225" s="3">
        <v>45829</v>
      </c>
      <c r="J1225" s="3">
        <f t="shared" si="19"/>
        <v>45829</v>
      </c>
      <c r="K1225" s="4">
        <v>3849.73</v>
      </c>
      <c r="L1225">
        <v>661725</v>
      </c>
    </row>
    <row r="1226" spans="1:12" x14ac:dyDescent="0.35">
      <c r="A1226" t="s">
        <v>8</v>
      </c>
      <c r="B1226" t="s">
        <v>9</v>
      </c>
      <c r="C1226" t="s">
        <v>36</v>
      </c>
      <c r="D1226" t="str" cm="1">
        <f t="array" ref="D1226">INDEX(_xlfn.TEXTSPLIT(C1226,"_"),3)</f>
        <v>bfr</v>
      </c>
      <c r="E1226" t="str">
        <f>VLOOKUP(D1226,FranchiseMapping!$A$1:$B$15,2,FALSE)</f>
        <v>Full Rescue</v>
      </c>
      <c r="F1226" s="1">
        <v>45658</v>
      </c>
      <c r="G1226" t="s">
        <v>12</v>
      </c>
      <c r="H1226" s="2">
        <v>45809</v>
      </c>
      <c r="I1226" s="3">
        <v>45820</v>
      </c>
      <c r="J1226" s="3">
        <f t="shared" si="19"/>
        <v>45822</v>
      </c>
      <c r="K1226" s="4">
        <v>618.94999999999993</v>
      </c>
      <c r="L1226">
        <v>94580</v>
      </c>
    </row>
    <row r="1227" spans="1:12" x14ac:dyDescent="0.35">
      <c r="A1227" t="s">
        <v>8</v>
      </c>
      <c r="B1227" t="s">
        <v>9</v>
      </c>
      <c r="C1227" t="s">
        <v>52</v>
      </c>
      <c r="D1227" t="str" cm="1">
        <f t="array" ref="D1227">INDEX(_xlfn.TEXTSPLIT(C1227,"_"),3)</f>
        <v>bond-therapy</v>
      </c>
      <c r="E1227" t="str">
        <f>VLOOKUP(D1227,FranchiseMapping!$A$1:$B$15,2,FALSE)</f>
        <v>Bond Therapy</v>
      </c>
      <c r="F1227" s="1">
        <v>44927</v>
      </c>
      <c r="G1227" t="s">
        <v>11</v>
      </c>
      <c r="H1227" s="2">
        <v>45261</v>
      </c>
      <c r="I1227" s="3">
        <v>45269</v>
      </c>
      <c r="J1227" s="3">
        <f t="shared" si="19"/>
        <v>45269</v>
      </c>
      <c r="K1227" s="4">
        <v>2956.2099919999996</v>
      </c>
      <c r="L1227">
        <v>476463</v>
      </c>
    </row>
    <row r="1228" spans="1:12" x14ac:dyDescent="0.35">
      <c r="A1228" t="s">
        <v>8</v>
      </c>
      <c r="B1228" t="s">
        <v>9</v>
      </c>
      <c r="C1228" t="s">
        <v>35</v>
      </c>
      <c r="D1228" t="str" cm="1">
        <f t="array" ref="D1228">INDEX(_xlfn.TEXTSPLIT(C1228,"_"),3)</f>
        <v>bfr</v>
      </c>
      <c r="E1228" t="str">
        <f>VLOOKUP(D1228,FranchiseMapping!$A$1:$B$15,2,FALSE)</f>
        <v>Full Rescue</v>
      </c>
      <c r="F1228" s="1">
        <v>45658</v>
      </c>
      <c r="G1228" t="s">
        <v>10</v>
      </c>
      <c r="H1228" s="2">
        <v>45809</v>
      </c>
      <c r="I1228" s="3">
        <v>45832</v>
      </c>
      <c r="J1228" s="3">
        <f t="shared" si="19"/>
        <v>45836</v>
      </c>
      <c r="K1228" s="4">
        <v>261.88999799999993</v>
      </c>
      <c r="L1228">
        <v>27808</v>
      </c>
    </row>
    <row r="1229" spans="1:12" x14ac:dyDescent="0.35">
      <c r="A1229" t="s">
        <v>8</v>
      </c>
      <c r="B1229" t="s">
        <v>14</v>
      </c>
      <c r="C1229" t="s">
        <v>49</v>
      </c>
      <c r="D1229" t="str" cm="1">
        <f t="array" ref="D1229">INDEX(_xlfn.TEXTSPLIT(C1229,"_"),3)</f>
        <v>hys</v>
      </c>
      <c r="E1229" t="str">
        <f>VLOOKUP(D1229,FranchiseMapping!$A$1:$B$15,2,FALSE)</f>
        <v>Hydrasource</v>
      </c>
      <c r="F1229" s="1">
        <v>45658</v>
      </c>
      <c r="G1229" t="s">
        <v>12</v>
      </c>
      <c r="H1229" s="2">
        <v>45748</v>
      </c>
      <c r="I1229" s="3">
        <v>45757</v>
      </c>
      <c r="J1229" s="3">
        <f t="shared" si="19"/>
        <v>45759</v>
      </c>
      <c r="K1229" s="4">
        <v>5514.42</v>
      </c>
      <c r="L1229">
        <v>1200950</v>
      </c>
    </row>
    <row r="1230" spans="1:12" x14ac:dyDescent="0.35">
      <c r="A1230" t="s">
        <v>8</v>
      </c>
      <c r="B1230" t="s">
        <v>13</v>
      </c>
      <c r="C1230" t="s">
        <v>62</v>
      </c>
      <c r="D1230" t="str" cm="1">
        <f t="array" ref="D1230">INDEX(_xlfn.TEXTSPLIT(C1230,"_"),3)</f>
        <v>na</v>
      </c>
      <c r="E1230" t="str">
        <f>VLOOKUP(D1230,FranchiseMapping!$A$1:$B$15,2,FALSE)</f>
        <v>Biolage</v>
      </c>
      <c r="F1230" s="1">
        <v>44927</v>
      </c>
      <c r="G1230" t="s">
        <v>12</v>
      </c>
      <c r="H1230" s="2">
        <v>45108</v>
      </c>
      <c r="I1230" s="3">
        <v>45116</v>
      </c>
      <c r="J1230" s="3">
        <f t="shared" si="19"/>
        <v>45122</v>
      </c>
      <c r="K1230" s="4">
        <v>650.96868100000006</v>
      </c>
      <c r="L1230">
        <v>246396</v>
      </c>
    </row>
    <row r="1231" spans="1:12" x14ac:dyDescent="0.35">
      <c r="A1231" t="s">
        <v>8</v>
      </c>
      <c r="B1231" t="s">
        <v>9</v>
      </c>
      <c r="C1231" t="s">
        <v>36</v>
      </c>
      <c r="D1231" t="str" cm="1">
        <f t="array" ref="D1231">INDEX(_xlfn.TEXTSPLIT(C1231,"_"),3)</f>
        <v>bfr</v>
      </c>
      <c r="E1231" t="str">
        <f>VLOOKUP(D1231,FranchiseMapping!$A$1:$B$15,2,FALSE)</f>
        <v>Full Rescue</v>
      </c>
      <c r="F1231" s="1">
        <v>45658</v>
      </c>
      <c r="G1231" t="s">
        <v>10</v>
      </c>
      <c r="H1231" s="2">
        <v>45809</v>
      </c>
      <c r="I1231" s="3">
        <v>45819</v>
      </c>
      <c r="J1231" s="3">
        <f t="shared" si="19"/>
        <v>45822</v>
      </c>
      <c r="K1231" s="4">
        <v>2120.0099960000002</v>
      </c>
      <c r="L1231">
        <v>295770</v>
      </c>
    </row>
    <row r="1232" spans="1:12" x14ac:dyDescent="0.35">
      <c r="A1232" t="s">
        <v>8</v>
      </c>
      <c r="B1232" t="s">
        <v>13</v>
      </c>
      <c r="C1232" t="s">
        <v>28</v>
      </c>
      <c r="D1232" t="str" cm="1">
        <f t="array" ref="D1232">INDEX(_xlfn.TEXTSPLIT(C1232,"_"),3)</f>
        <v>na</v>
      </c>
      <c r="E1232" t="str">
        <f>VLOOKUP(D1232,FranchiseMapping!$A$1:$B$15,2,FALSE)</f>
        <v>Biolage</v>
      </c>
      <c r="F1232" s="1">
        <v>44927</v>
      </c>
      <c r="G1232" t="s">
        <v>12</v>
      </c>
      <c r="H1232" s="2">
        <v>45139</v>
      </c>
      <c r="I1232" s="3">
        <v>45144</v>
      </c>
      <c r="J1232" s="3">
        <f t="shared" si="19"/>
        <v>45150</v>
      </c>
      <c r="K1232" s="4">
        <v>323.38377300000002</v>
      </c>
      <c r="L1232">
        <v>110941</v>
      </c>
    </row>
    <row r="1233" spans="1:12" x14ac:dyDescent="0.35">
      <c r="A1233" t="s">
        <v>8</v>
      </c>
      <c r="B1233" t="s">
        <v>9</v>
      </c>
      <c r="C1233" t="s">
        <v>40</v>
      </c>
      <c r="D1233" t="str" cm="1">
        <f t="array" ref="D1233">INDEX(_xlfn.TEXTSPLIT(C1233,"_"),3)</f>
        <v>hydrasource</v>
      </c>
      <c r="E1233" t="str">
        <f>VLOOKUP(D1233,FranchiseMapping!$A$1:$B$15,2,FALSE)</f>
        <v>Hydrasource</v>
      </c>
      <c r="F1233" s="1">
        <v>45292</v>
      </c>
      <c r="G1233" t="s">
        <v>12</v>
      </c>
      <c r="H1233" s="2">
        <v>45292</v>
      </c>
      <c r="I1233" s="3">
        <v>45314</v>
      </c>
      <c r="J1233" s="3">
        <f t="shared" si="19"/>
        <v>45318</v>
      </c>
      <c r="K1233" s="4">
        <v>3240.2699990000001</v>
      </c>
      <c r="L1233">
        <v>565673</v>
      </c>
    </row>
    <row r="1234" spans="1:12" x14ac:dyDescent="0.35">
      <c r="A1234" t="s">
        <v>8</v>
      </c>
      <c r="B1234" t="s">
        <v>9</v>
      </c>
      <c r="C1234" t="s">
        <v>46</v>
      </c>
      <c r="D1234" t="str" cm="1">
        <f t="array" ref="D1234">INDEX(_xlfn.TEXTSPLIT(C1234,"_"),3)</f>
        <v>mult</v>
      </c>
      <c r="E1234" t="str">
        <f>VLOOKUP(D1234,FranchiseMapping!$A$1:$B$15,2,FALSE)</f>
        <v>Biolage</v>
      </c>
      <c r="F1234" s="1">
        <v>45658</v>
      </c>
      <c r="G1234" t="s">
        <v>12</v>
      </c>
      <c r="H1234" s="2">
        <v>45748</v>
      </c>
      <c r="I1234" s="3">
        <v>45772</v>
      </c>
      <c r="J1234" s="3">
        <f t="shared" si="19"/>
        <v>45773</v>
      </c>
      <c r="K1234" s="4">
        <v>941.49999999999989</v>
      </c>
      <c r="L1234">
        <v>210985</v>
      </c>
    </row>
    <row r="1235" spans="1:12" x14ac:dyDescent="0.35">
      <c r="A1235" t="s">
        <v>8</v>
      </c>
      <c r="B1235" t="s">
        <v>9</v>
      </c>
      <c r="C1235" t="s">
        <v>35</v>
      </c>
      <c r="D1235" t="str" cm="1">
        <f t="array" ref="D1235">INDEX(_xlfn.TEXTSPLIT(C1235,"_"),3)</f>
        <v>bfr</v>
      </c>
      <c r="E1235" t="str">
        <f>VLOOKUP(D1235,FranchiseMapping!$A$1:$B$15,2,FALSE)</f>
        <v>Full Rescue</v>
      </c>
      <c r="F1235" s="1">
        <v>45658</v>
      </c>
      <c r="G1235" t="s">
        <v>12</v>
      </c>
      <c r="H1235" s="2">
        <v>45809</v>
      </c>
      <c r="I1235" s="3">
        <v>45810</v>
      </c>
      <c r="J1235" s="3">
        <f t="shared" si="19"/>
        <v>45815</v>
      </c>
      <c r="K1235" s="4">
        <v>1740.3800020000003</v>
      </c>
      <c r="L1235">
        <v>149807</v>
      </c>
    </row>
    <row r="1236" spans="1:12" x14ac:dyDescent="0.35">
      <c r="A1236" t="s">
        <v>8</v>
      </c>
      <c r="B1236" t="s">
        <v>9</v>
      </c>
      <c r="C1236" t="s">
        <v>35</v>
      </c>
      <c r="D1236" t="str" cm="1">
        <f t="array" ref="D1236">INDEX(_xlfn.TEXTSPLIT(C1236,"_"),3)</f>
        <v>bfr</v>
      </c>
      <c r="E1236" t="str">
        <f>VLOOKUP(D1236,FranchiseMapping!$A$1:$B$15,2,FALSE)</f>
        <v>Full Rescue</v>
      </c>
      <c r="F1236" s="1">
        <v>45658</v>
      </c>
      <c r="G1236" t="s">
        <v>12</v>
      </c>
      <c r="H1236" s="2">
        <v>45809</v>
      </c>
      <c r="I1236" s="3">
        <v>45836</v>
      </c>
      <c r="J1236" s="3">
        <f t="shared" si="19"/>
        <v>45836</v>
      </c>
      <c r="K1236" s="4">
        <v>1609.0400010000003</v>
      </c>
      <c r="L1236">
        <v>131663</v>
      </c>
    </row>
    <row r="1237" spans="1:12" x14ac:dyDescent="0.35">
      <c r="A1237" t="s">
        <v>8</v>
      </c>
      <c r="B1237" t="s">
        <v>9</v>
      </c>
      <c r="C1237" t="s">
        <v>35</v>
      </c>
      <c r="D1237" t="str" cm="1">
        <f t="array" ref="D1237">INDEX(_xlfn.TEXTSPLIT(C1237,"_"),3)</f>
        <v>bfr</v>
      </c>
      <c r="E1237" t="str">
        <f>VLOOKUP(D1237,FranchiseMapping!$A$1:$B$15,2,FALSE)</f>
        <v>Full Rescue</v>
      </c>
      <c r="F1237" s="1">
        <v>45658</v>
      </c>
      <c r="G1237" t="s">
        <v>12</v>
      </c>
      <c r="H1237" s="2">
        <v>45778</v>
      </c>
      <c r="I1237" s="3">
        <v>45798</v>
      </c>
      <c r="J1237" s="3">
        <f t="shared" si="19"/>
        <v>45801</v>
      </c>
      <c r="K1237" s="4">
        <v>1681.3300000000004</v>
      </c>
      <c r="L1237">
        <v>130503</v>
      </c>
    </row>
    <row r="1238" spans="1:12" x14ac:dyDescent="0.35">
      <c r="A1238" t="s">
        <v>8</v>
      </c>
      <c r="B1238" t="s">
        <v>9</v>
      </c>
      <c r="C1238" t="s">
        <v>36</v>
      </c>
      <c r="D1238" t="str" cm="1">
        <f t="array" ref="D1238">INDEX(_xlfn.TEXTSPLIT(C1238,"_"),3)</f>
        <v>bfr</v>
      </c>
      <c r="E1238" t="str">
        <f>VLOOKUP(D1238,FranchiseMapping!$A$1:$B$15,2,FALSE)</f>
        <v>Full Rescue</v>
      </c>
      <c r="F1238" s="1">
        <v>45658</v>
      </c>
      <c r="G1238" t="s">
        <v>12</v>
      </c>
      <c r="H1238" s="2">
        <v>45778</v>
      </c>
      <c r="I1238" s="3">
        <v>45787</v>
      </c>
      <c r="J1238" s="3">
        <f t="shared" si="19"/>
        <v>45787</v>
      </c>
      <c r="K1238" s="4">
        <v>1079.5999999999997</v>
      </c>
      <c r="L1238">
        <v>205693</v>
      </c>
    </row>
    <row r="1239" spans="1:12" x14ac:dyDescent="0.35">
      <c r="A1239" t="s">
        <v>8</v>
      </c>
      <c r="B1239" t="s">
        <v>9</v>
      </c>
      <c r="C1239" t="s">
        <v>53</v>
      </c>
      <c r="D1239" t="str" cm="1">
        <f t="array" ref="D1239">INDEX(_xlfn.TEXTSPLIT(C1239,"_"),3)</f>
        <v>bond-therapy</v>
      </c>
      <c r="E1239" t="str">
        <f>VLOOKUP(D1239,FranchiseMapping!$A$1:$B$15,2,FALSE)</f>
        <v>Bond Therapy</v>
      </c>
      <c r="F1239" s="1">
        <v>44927</v>
      </c>
      <c r="G1239" t="s">
        <v>11</v>
      </c>
      <c r="H1239" s="2">
        <v>45261</v>
      </c>
      <c r="I1239" s="3">
        <v>45274</v>
      </c>
      <c r="J1239" s="3">
        <f t="shared" si="19"/>
        <v>45276</v>
      </c>
      <c r="K1239" s="4">
        <v>1119.8899980000001</v>
      </c>
      <c r="L1239">
        <v>180359</v>
      </c>
    </row>
    <row r="1240" spans="1:12" x14ac:dyDescent="0.35">
      <c r="A1240" t="s">
        <v>8</v>
      </c>
      <c r="B1240" t="s">
        <v>9</v>
      </c>
      <c r="C1240" t="s">
        <v>70</v>
      </c>
      <c r="D1240" t="str" cm="1">
        <f t="array" ref="D1240">INDEX(_xlfn.TEXTSPLIT(C1240,"_"),3)</f>
        <v>mult</v>
      </c>
      <c r="E1240" t="str">
        <f>VLOOKUP(D1240,FranchiseMapping!$A$1:$B$15,2,FALSE)</f>
        <v>Biolage</v>
      </c>
      <c r="F1240" s="1">
        <v>45292</v>
      </c>
      <c r="G1240" t="s">
        <v>12</v>
      </c>
      <c r="H1240" s="2">
        <v>45597</v>
      </c>
      <c r="I1240" s="3">
        <v>45626</v>
      </c>
      <c r="J1240" s="3">
        <f t="shared" si="19"/>
        <v>45626</v>
      </c>
      <c r="K1240" s="4">
        <v>14236.580003000003</v>
      </c>
      <c r="L1240">
        <v>1247232</v>
      </c>
    </row>
    <row r="1241" spans="1:12" x14ac:dyDescent="0.35">
      <c r="A1241" t="s">
        <v>8</v>
      </c>
      <c r="B1241" t="s">
        <v>9</v>
      </c>
      <c r="C1241" t="s">
        <v>46</v>
      </c>
      <c r="D1241" t="str" cm="1">
        <f t="array" ref="D1241">INDEX(_xlfn.TEXTSPLIT(C1241,"_"),3)</f>
        <v>mult</v>
      </c>
      <c r="E1241" t="str">
        <f>VLOOKUP(D1241,FranchiseMapping!$A$1:$B$15,2,FALSE)</f>
        <v>Biolage</v>
      </c>
      <c r="F1241" s="1">
        <v>45658</v>
      </c>
      <c r="G1241" t="s">
        <v>12</v>
      </c>
      <c r="H1241" s="2">
        <v>45717</v>
      </c>
      <c r="I1241" s="3">
        <v>45730</v>
      </c>
      <c r="J1241" s="3">
        <f t="shared" si="19"/>
        <v>45731</v>
      </c>
      <c r="K1241" s="4">
        <v>2623.7399999999989</v>
      </c>
      <c r="L1241">
        <v>473720</v>
      </c>
    </row>
    <row r="1242" spans="1:12" x14ac:dyDescent="0.35">
      <c r="A1242" t="s">
        <v>8</v>
      </c>
      <c r="B1242" t="s">
        <v>9</v>
      </c>
      <c r="C1242" t="s">
        <v>77</v>
      </c>
      <c r="D1242" t="str" cm="1">
        <f t="array" ref="D1242">INDEX(_xlfn.TEXTSPLIT(C1242,"_"),3)</f>
        <v>prime-day</v>
      </c>
      <c r="E1242" t="str">
        <f>VLOOKUP(D1242,FranchiseMapping!$A$1:$B$15,2,FALSE)</f>
        <v>Prime Day</v>
      </c>
      <c r="F1242" s="1">
        <v>45292</v>
      </c>
      <c r="G1242" t="s">
        <v>10</v>
      </c>
      <c r="H1242" s="2">
        <v>45474</v>
      </c>
      <c r="I1242" s="3">
        <v>45490</v>
      </c>
      <c r="J1242" s="3">
        <f t="shared" si="19"/>
        <v>45493</v>
      </c>
      <c r="K1242" s="4">
        <v>13370.609999000004</v>
      </c>
      <c r="L1242">
        <v>2117328</v>
      </c>
    </row>
    <row r="1243" spans="1:12" x14ac:dyDescent="0.35">
      <c r="A1243" t="s">
        <v>8</v>
      </c>
      <c r="B1243" t="s">
        <v>13</v>
      </c>
      <c r="C1243" t="s">
        <v>59</v>
      </c>
      <c r="D1243" t="str" cm="1">
        <f t="array" ref="D1243">INDEX(_xlfn.TEXTSPLIT(C1243,"_"),3)</f>
        <v>scalp-sync</v>
      </c>
      <c r="E1243" t="str">
        <f>VLOOKUP(D1243,FranchiseMapping!$A$1:$B$15,2,FALSE)</f>
        <v>Scalp Sync</v>
      </c>
      <c r="F1243" s="1">
        <v>45292</v>
      </c>
      <c r="G1243" t="s">
        <v>11</v>
      </c>
      <c r="H1243" s="2">
        <v>45413</v>
      </c>
      <c r="I1243" s="3">
        <v>45436</v>
      </c>
      <c r="J1243" s="3">
        <f t="shared" si="19"/>
        <v>45437</v>
      </c>
      <c r="K1243" s="4">
        <v>3340.7892810000008</v>
      </c>
      <c r="L1243">
        <v>1345968</v>
      </c>
    </row>
    <row r="1244" spans="1:12" x14ac:dyDescent="0.35">
      <c r="A1244" t="s">
        <v>8</v>
      </c>
      <c r="B1244" t="s">
        <v>13</v>
      </c>
      <c r="C1244" t="s">
        <v>59</v>
      </c>
      <c r="D1244" t="str" cm="1">
        <f t="array" ref="D1244">INDEX(_xlfn.TEXTSPLIT(C1244,"_"),3)</f>
        <v>scalp-sync</v>
      </c>
      <c r="E1244" t="str">
        <f>VLOOKUP(D1244,FranchiseMapping!$A$1:$B$15,2,FALSE)</f>
        <v>Scalp Sync</v>
      </c>
      <c r="F1244" s="1">
        <v>45292</v>
      </c>
      <c r="G1244" t="s">
        <v>11</v>
      </c>
      <c r="H1244" s="2">
        <v>45413</v>
      </c>
      <c r="I1244" s="3">
        <v>45437</v>
      </c>
      <c r="J1244" s="3">
        <f t="shared" si="19"/>
        <v>45437</v>
      </c>
      <c r="K1244" s="4">
        <v>3325.1892050000001</v>
      </c>
      <c r="L1244">
        <v>1296340</v>
      </c>
    </row>
    <row r="1245" spans="1:12" x14ac:dyDescent="0.35">
      <c r="A1245" t="s">
        <v>8</v>
      </c>
      <c r="B1245" t="s">
        <v>9</v>
      </c>
      <c r="C1245" t="s">
        <v>50</v>
      </c>
      <c r="D1245" t="str" cm="1">
        <f t="array" ref="D1245">INDEX(_xlfn.TEXTSPLIT(C1245,"_"),3)</f>
        <v>bond-therapy</v>
      </c>
      <c r="E1245" t="str">
        <f>VLOOKUP(D1245,FranchiseMapping!$A$1:$B$15,2,FALSE)</f>
        <v>Bond Therapy</v>
      </c>
      <c r="F1245" s="1">
        <v>44927</v>
      </c>
      <c r="G1245" t="s">
        <v>12</v>
      </c>
      <c r="H1245" s="2">
        <v>45231</v>
      </c>
      <c r="I1245" s="3">
        <v>45249</v>
      </c>
      <c r="J1245" s="3">
        <f t="shared" si="19"/>
        <v>45255</v>
      </c>
      <c r="K1245" s="4">
        <v>3310.0600039999999</v>
      </c>
      <c r="L1245">
        <v>320306</v>
      </c>
    </row>
    <row r="1246" spans="1:12" x14ac:dyDescent="0.35">
      <c r="A1246" t="s">
        <v>8</v>
      </c>
      <c r="B1246" t="s">
        <v>9</v>
      </c>
      <c r="C1246" t="s">
        <v>31</v>
      </c>
      <c r="D1246" t="str" cm="1">
        <f t="array" ref="D1246">INDEX(_xlfn.TEXTSPLIT(C1246,"_"),3)</f>
        <v>scalp</v>
      </c>
      <c r="E1246" t="str">
        <f>VLOOKUP(D1246,FranchiseMapping!$A$1:$B$15,2,FALSE)</f>
        <v>Scalp Sync</v>
      </c>
      <c r="F1246" s="1">
        <v>45292</v>
      </c>
      <c r="G1246" t="s">
        <v>12</v>
      </c>
      <c r="H1246" s="2">
        <v>45383</v>
      </c>
      <c r="I1246" s="3">
        <v>45392</v>
      </c>
      <c r="J1246" s="3">
        <f t="shared" si="19"/>
        <v>45395</v>
      </c>
      <c r="K1246" s="4">
        <v>1349.0500000000002</v>
      </c>
      <c r="L1246">
        <v>225698</v>
      </c>
    </row>
    <row r="1247" spans="1:12" x14ac:dyDescent="0.35">
      <c r="A1247" t="s">
        <v>8</v>
      </c>
      <c r="B1247" t="s">
        <v>13</v>
      </c>
      <c r="C1247" t="s">
        <v>42</v>
      </c>
      <c r="D1247" t="str" cm="1">
        <f t="array" ref="D1247">INDEX(_xlfn.TEXTSPLIT(C1247,"_"),3)</f>
        <v>bfr</v>
      </c>
      <c r="E1247" t="str">
        <f>VLOOKUP(D1247,FranchiseMapping!$A$1:$B$15,2,FALSE)</f>
        <v>Full Rescue</v>
      </c>
      <c r="F1247" s="1">
        <v>45658</v>
      </c>
      <c r="G1247" t="s">
        <v>12</v>
      </c>
      <c r="H1247" s="2">
        <v>45809</v>
      </c>
      <c r="I1247" s="3">
        <v>45818</v>
      </c>
      <c r="J1247" s="3">
        <f t="shared" si="19"/>
        <v>45822</v>
      </c>
      <c r="K1247" s="4">
        <v>1306.1576210000001</v>
      </c>
      <c r="L1247">
        <v>582447</v>
      </c>
    </row>
    <row r="1248" spans="1:12" x14ac:dyDescent="0.35">
      <c r="A1248" t="s">
        <v>8</v>
      </c>
      <c r="B1248" t="s">
        <v>13</v>
      </c>
      <c r="C1248" t="s">
        <v>28</v>
      </c>
      <c r="D1248" t="str" cm="1">
        <f t="array" ref="D1248">INDEX(_xlfn.TEXTSPLIT(C1248,"_"),3)</f>
        <v>na</v>
      </c>
      <c r="E1248" t="str">
        <f>VLOOKUP(D1248,FranchiseMapping!$A$1:$B$15,2,FALSE)</f>
        <v>Biolage</v>
      </c>
      <c r="F1248" s="1">
        <v>44927</v>
      </c>
      <c r="G1248" t="s">
        <v>12</v>
      </c>
      <c r="H1248" s="2">
        <v>45108</v>
      </c>
      <c r="I1248" s="3">
        <v>45127</v>
      </c>
      <c r="J1248" s="3">
        <f t="shared" si="19"/>
        <v>45129</v>
      </c>
      <c r="K1248" s="4">
        <v>114.503737</v>
      </c>
      <c r="L1248">
        <v>55462</v>
      </c>
    </row>
    <row r="1249" spans="1:12" x14ac:dyDescent="0.35">
      <c r="A1249" t="s">
        <v>8</v>
      </c>
      <c r="B1249" t="s">
        <v>9</v>
      </c>
      <c r="C1249" t="s">
        <v>53</v>
      </c>
      <c r="D1249" t="str" cm="1">
        <f t="array" ref="D1249">INDEX(_xlfn.TEXTSPLIT(C1249,"_"),3)</f>
        <v>bond-therapy</v>
      </c>
      <c r="E1249" t="str">
        <f>VLOOKUP(D1249,FranchiseMapping!$A$1:$B$15,2,FALSE)</f>
        <v>Bond Therapy</v>
      </c>
      <c r="F1249" s="1">
        <v>44927</v>
      </c>
      <c r="G1249" t="s">
        <v>11</v>
      </c>
      <c r="H1249" s="2">
        <v>45231</v>
      </c>
      <c r="I1249" s="3">
        <v>45248</v>
      </c>
      <c r="J1249" s="3">
        <f t="shared" si="19"/>
        <v>45248</v>
      </c>
      <c r="K1249" s="4">
        <v>1260.0100000000002</v>
      </c>
      <c r="L1249">
        <v>218768</v>
      </c>
    </row>
    <row r="1250" spans="1:12" x14ac:dyDescent="0.35">
      <c r="A1250" t="s">
        <v>8</v>
      </c>
      <c r="B1250" t="s">
        <v>9</v>
      </c>
      <c r="C1250" t="s">
        <v>56</v>
      </c>
      <c r="D1250" t="str" cm="1">
        <f t="array" ref="D1250">INDEX(_xlfn.TEXTSPLIT(C1250,"_"),3)</f>
        <v>haca-colorlast-q3</v>
      </c>
      <c r="E1250" t="str">
        <f>VLOOKUP(D1250,FranchiseMapping!$A$1:$B$15,2,FALSE)</f>
        <v>Color Last</v>
      </c>
      <c r="F1250" s="1">
        <v>44927</v>
      </c>
      <c r="G1250" t="s">
        <v>10</v>
      </c>
      <c r="H1250" s="2">
        <v>45108</v>
      </c>
      <c r="I1250" s="3">
        <v>45126</v>
      </c>
      <c r="J1250" s="3">
        <f t="shared" si="19"/>
        <v>45129</v>
      </c>
      <c r="K1250" s="4">
        <v>2132.599999</v>
      </c>
      <c r="L1250">
        <v>329222</v>
      </c>
    </row>
    <row r="1251" spans="1:12" x14ac:dyDescent="0.35">
      <c r="A1251" t="s">
        <v>8</v>
      </c>
      <c r="B1251" t="s">
        <v>9</v>
      </c>
      <c r="C1251" t="s">
        <v>36</v>
      </c>
      <c r="D1251" t="str" cm="1">
        <f t="array" ref="D1251">INDEX(_xlfn.TEXTSPLIT(C1251,"_"),3)</f>
        <v>bfr</v>
      </c>
      <c r="E1251" t="str">
        <f>VLOOKUP(D1251,FranchiseMapping!$A$1:$B$15,2,FALSE)</f>
        <v>Full Rescue</v>
      </c>
      <c r="F1251" s="1">
        <v>45658</v>
      </c>
      <c r="G1251" t="s">
        <v>10</v>
      </c>
      <c r="H1251" s="2">
        <v>45778</v>
      </c>
      <c r="I1251" s="3">
        <v>45800</v>
      </c>
      <c r="J1251" s="3">
        <f t="shared" si="19"/>
        <v>45801</v>
      </c>
      <c r="K1251" s="4">
        <v>17.470000000000002</v>
      </c>
      <c r="L1251">
        <v>932</v>
      </c>
    </row>
    <row r="1252" spans="1:12" x14ac:dyDescent="0.35">
      <c r="A1252" t="s">
        <v>8</v>
      </c>
      <c r="B1252" t="s">
        <v>9</v>
      </c>
      <c r="C1252" t="s">
        <v>33</v>
      </c>
      <c r="D1252" t="str" cm="1">
        <f t="array" ref="D1252">INDEX(_xlfn.TEXTSPLIT(C1252,"_"),3)</f>
        <v>hydrasource</v>
      </c>
      <c r="E1252" t="str">
        <f>VLOOKUP(D1252,FranchiseMapping!$A$1:$B$15,2,FALSE)</f>
        <v>Hydrasource</v>
      </c>
      <c r="F1252" s="1">
        <v>45292</v>
      </c>
      <c r="G1252" t="s">
        <v>11</v>
      </c>
      <c r="H1252" s="2">
        <v>45352</v>
      </c>
      <c r="I1252" s="3">
        <v>45358</v>
      </c>
      <c r="J1252" s="3">
        <f t="shared" si="19"/>
        <v>45360</v>
      </c>
      <c r="K1252" s="4">
        <v>1262.0699979999999</v>
      </c>
      <c r="L1252">
        <v>139518</v>
      </c>
    </row>
    <row r="1253" spans="1:12" x14ac:dyDescent="0.35">
      <c r="A1253" t="s">
        <v>8</v>
      </c>
      <c r="B1253" t="s">
        <v>9</v>
      </c>
      <c r="C1253" t="s">
        <v>64</v>
      </c>
      <c r="D1253" t="str" cm="1">
        <f t="array" ref="D1253">INDEX(_xlfn.TEXTSPLIT(C1253,"_"),3)</f>
        <v>mult</v>
      </c>
      <c r="E1253" t="str">
        <f>VLOOKUP(D1253,FranchiseMapping!$A$1:$B$15,2,FALSE)</f>
        <v>Biolage</v>
      </c>
      <c r="F1253" s="1">
        <v>45292</v>
      </c>
      <c r="G1253" t="s">
        <v>12</v>
      </c>
      <c r="H1253" s="2">
        <v>45597</v>
      </c>
      <c r="I1253" s="3">
        <v>45624</v>
      </c>
      <c r="J1253" s="3">
        <f t="shared" si="19"/>
        <v>45626</v>
      </c>
      <c r="K1253" s="4">
        <v>6242.4900039999993</v>
      </c>
      <c r="L1253">
        <v>502356</v>
      </c>
    </row>
    <row r="1254" spans="1:12" x14ac:dyDescent="0.35">
      <c r="A1254" t="s">
        <v>8</v>
      </c>
      <c r="B1254" t="s">
        <v>9</v>
      </c>
      <c r="C1254" t="s">
        <v>36</v>
      </c>
      <c r="D1254" t="str" cm="1">
        <f t="array" ref="D1254">INDEX(_xlfn.TEXTSPLIT(C1254,"_"),3)</f>
        <v>bfr</v>
      </c>
      <c r="E1254" t="str">
        <f>VLOOKUP(D1254,FranchiseMapping!$A$1:$B$15,2,FALSE)</f>
        <v>Full Rescue</v>
      </c>
      <c r="F1254" s="1">
        <v>45658</v>
      </c>
      <c r="G1254" t="s">
        <v>10</v>
      </c>
      <c r="H1254" s="2">
        <v>45778</v>
      </c>
      <c r="I1254" s="3">
        <v>45795</v>
      </c>
      <c r="J1254" s="3">
        <f t="shared" si="19"/>
        <v>45801</v>
      </c>
      <c r="K1254" s="4">
        <v>6.3999999999999995</v>
      </c>
      <c r="L1254">
        <v>468</v>
      </c>
    </row>
    <row r="1255" spans="1:12" x14ac:dyDescent="0.35">
      <c r="A1255" t="s">
        <v>8</v>
      </c>
      <c r="B1255" t="s">
        <v>9</v>
      </c>
      <c r="C1255" t="s">
        <v>36</v>
      </c>
      <c r="D1255" t="str" cm="1">
        <f t="array" ref="D1255">INDEX(_xlfn.TEXTSPLIT(C1255,"_"),3)</f>
        <v>bfr</v>
      </c>
      <c r="E1255" t="str">
        <f>VLOOKUP(D1255,FranchiseMapping!$A$1:$B$15,2,FALSE)</f>
        <v>Full Rescue</v>
      </c>
      <c r="F1255" s="1">
        <v>45658</v>
      </c>
      <c r="G1255" t="s">
        <v>10</v>
      </c>
      <c r="H1255" s="2">
        <v>45809</v>
      </c>
      <c r="I1255" s="3">
        <v>45820</v>
      </c>
      <c r="J1255" s="3">
        <f t="shared" si="19"/>
        <v>45822</v>
      </c>
      <c r="K1255" s="4">
        <v>1890.5900060000008</v>
      </c>
      <c r="L1255">
        <v>269184</v>
      </c>
    </row>
    <row r="1256" spans="1:12" x14ac:dyDescent="0.35">
      <c r="A1256" t="s">
        <v>8</v>
      </c>
      <c r="B1256" t="s">
        <v>9</v>
      </c>
      <c r="C1256" t="s">
        <v>35</v>
      </c>
      <c r="D1256" t="str" cm="1">
        <f t="array" ref="D1256">INDEX(_xlfn.TEXTSPLIT(C1256,"_"),3)</f>
        <v>bfr</v>
      </c>
      <c r="E1256" t="str">
        <f>VLOOKUP(D1256,FranchiseMapping!$A$1:$B$15,2,FALSE)</f>
        <v>Full Rescue</v>
      </c>
      <c r="F1256" s="1">
        <v>45658</v>
      </c>
      <c r="G1256" t="s">
        <v>10</v>
      </c>
      <c r="H1256" s="2">
        <v>45778</v>
      </c>
      <c r="I1256" s="3">
        <v>45794</v>
      </c>
      <c r="J1256" s="3">
        <f t="shared" si="19"/>
        <v>45794</v>
      </c>
      <c r="K1256" s="4">
        <v>6.1700000000000008</v>
      </c>
      <c r="L1256">
        <v>643</v>
      </c>
    </row>
    <row r="1257" spans="1:12" x14ac:dyDescent="0.35">
      <c r="A1257" t="s">
        <v>8</v>
      </c>
      <c r="B1257" t="s">
        <v>13</v>
      </c>
      <c r="C1257" t="s">
        <v>44</v>
      </c>
      <c r="D1257" t="str" cm="1">
        <f t="array" ref="D1257">INDEX(_xlfn.TEXTSPLIT(C1257,"_"),3)</f>
        <v>na</v>
      </c>
      <c r="E1257" t="str">
        <f>VLOOKUP(D1257,FranchiseMapping!$A$1:$B$15,2,FALSE)</f>
        <v>Biolage</v>
      </c>
      <c r="F1257" s="1">
        <v>44927</v>
      </c>
      <c r="G1257" t="s">
        <v>11</v>
      </c>
      <c r="H1257" s="2">
        <v>45108</v>
      </c>
      <c r="I1257" s="3">
        <v>45109</v>
      </c>
      <c r="J1257" s="3">
        <f t="shared" si="19"/>
        <v>45115</v>
      </c>
      <c r="K1257" s="4">
        <v>673.64462200000003</v>
      </c>
      <c r="L1257">
        <v>285440</v>
      </c>
    </row>
    <row r="1258" spans="1:12" x14ac:dyDescent="0.35">
      <c r="A1258" t="s">
        <v>8</v>
      </c>
      <c r="B1258" t="s">
        <v>9</v>
      </c>
      <c r="C1258" t="s">
        <v>31</v>
      </c>
      <c r="D1258" t="str" cm="1">
        <f t="array" ref="D1258">INDEX(_xlfn.TEXTSPLIT(C1258,"_"),3)</f>
        <v>scalp</v>
      </c>
      <c r="E1258" t="str">
        <f>VLOOKUP(D1258,FranchiseMapping!$A$1:$B$15,2,FALSE)</f>
        <v>Scalp Sync</v>
      </c>
      <c r="F1258" s="1">
        <v>45292</v>
      </c>
      <c r="G1258" t="s">
        <v>12</v>
      </c>
      <c r="H1258" s="2">
        <v>45383</v>
      </c>
      <c r="I1258" s="3">
        <v>45399</v>
      </c>
      <c r="J1258" s="3">
        <f t="shared" si="19"/>
        <v>45402</v>
      </c>
      <c r="K1258" s="4">
        <v>1566.1399979999999</v>
      </c>
      <c r="L1258">
        <v>243617</v>
      </c>
    </row>
    <row r="1259" spans="1:12" x14ac:dyDescent="0.35">
      <c r="A1259" t="s">
        <v>8</v>
      </c>
      <c r="B1259" t="s">
        <v>9</v>
      </c>
      <c r="C1259" t="s">
        <v>33</v>
      </c>
      <c r="D1259" t="str" cm="1">
        <f t="array" ref="D1259">INDEX(_xlfn.TEXTSPLIT(C1259,"_"),3)</f>
        <v>hydrasource</v>
      </c>
      <c r="E1259" t="str">
        <f>VLOOKUP(D1259,FranchiseMapping!$A$1:$B$15,2,FALSE)</f>
        <v>Hydrasource</v>
      </c>
      <c r="F1259" s="1">
        <v>45292</v>
      </c>
      <c r="G1259" t="s">
        <v>11</v>
      </c>
      <c r="H1259" s="2">
        <v>45323</v>
      </c>
      <c r="I1259" s="3">
        <v>45326</v>
      </c>
      <c r="J1259" s="3">
        <f t="shared" si="19"/>
        <v>45332</v>
      </c>
      <c r="K1259" s="4">
        <v>1612.9399959999998</v>
      </c>
      <c r="L1259">
        <v>337565</v>
      </c>
    </row>
    <row r="1260" spans="1:12" x14ac:dyDescent="0.35">
      <c r="A1260" t="s">
        <v>8</v>
      </c>
      <c r="B1260" t="s">
        <v>9</v>
      </c>
      <c r="C1260" t="s">
        <v>46</v>
      </c>
      <c r="D1260" t="str" cm="1">
        <f t="array" ref="D1260">INDEX(_xlfn.TEXTSPLIT(C1260,"_"),3)</f>
        <v>mult</v>
      </c>
      <c r="E1260" t="str">
        <f>VLOOKUP(D1260,FranchiseMapping!$A$1:$B$15,2,FALSE)</f>
        <v>Biolage</v>
      </c>
      <c r="F1260" s="1">
        <v>45658</v>
      </c>
      <c r="G1260" t="s">
        <v>10</v>
      </c>
      <c r="H1260" s="2">
        <v>45748</v>
      </c>
      <c r="I1260" s="3">
        <v>45754</v>
      </c>
      <c r="J1260" s="3">
        <f t="shared" si="19"/>
        <v>45759</v>
      </c>
      <c r="K1260" s="4">
        <v>415.05999999999989</v>
      </c>
      <c r="L1260">
        <v>89220</v>
      </c>
    </row>
    <row r="1261" spans="1:12" x14ac:dyDescent="0.35">
      <c r="A1261" t="s">
        <v>8</v>
      </c>
      <c r="B1261" t="s">
        <v>9</v>
      </c>
      <c r="C1261" t="s">
        <v>41</v>
      </c>
      <c r="D1261" t="str" cm="1">
        <f t="array" ref="D1261">INDEX(_xlfn.TEXTSPLIT(C1261,"_"),3)</f>
        <v>hys</v>
      </c>
      <c r="E1261" t="str">
        <f>VLOOKUP(D1261,FranchiseMapping!$A$1:$B$15,2,FALSE)</f>
        <v>Hydrasource</v>
      </c>
      <c r="F1261" s="1">
        <v>45658</v>
      </c>
      <c r="G1261" t="s">
        <v>12</v>
      </c>
      <c r="H1261" s="2">
        <v>45748</v>
      </c>
      <c r="I1261" s="3">
        <v>45769</v>
      </c>
      <c r="J1261" s="3">
        <f t="shared" si="19"/>
        <v>45773</v>
      </c>
      <c r="K1261" s="4">
        <v>3670.7200000000016</v>
      </c>
      <c r="L1261">
        <v>379588</v>
      </c>
    </row>
    <row r="1262" spans="1:12" x14ac:dyDescent="0.35">
      <c r="A1262" t="s">
        <v>8</v>
      </c>
      <c r="B1262" t="s">
        <v>9</v>
      </c>
      <c r="C1262" t="s">
        <v>74</v>
      </c>
      <c r="D1262" t="str" cm="1">
        <f t="array" ref="D1262">INDEX(_xlfn.TEXTSPLIT(C1262,"_"),3)</f>
        <v>mult</v>
      </c>
      <c r="E1262" t="str">
        <f>VLOOKUP(D1262,FranchiseMapping!$A$1:$B$15,2,FALSE)</f>
        <v>Biolage</v>
      </c>
      <c r="F1262" s="1">
        <v>45658</v>
      </c>
      <c r="G1262" t="s">
        <v>12</v>
      </c>
      <c r="H1262" s="2">
        <v>45658</v>
      </c>
      <c r="I1262" s="3">
        <v>45679</v>
      </c>
      <c r="J1262" s="3">
        <f t="shared" si="19"/>
        <v>45682</v>
      </c>
      <c r="K1262" s="4">
        <v>3803.8400029999998</v>
      </c>
      <c r="L1262">
        <v>579044</v>
      </c>
    </row>
    <row r="1263" spans="1:12" x14ac:dyDescent="0.35">
      <c r="A1263" t="s">
        <v>8</v>
      </c>
      <c r="B1263" t="s">
        <v>14</v>
      </c>
      <c r="C1263" t="s">
        <v>43</v>
      </c>
      <c r="D1263" t="str" cm="1">
        <f t="array" ref="D1263">INDEX(_xlfn.TEXTSPLIT(C1263,"_"),3)</f>
        <v>bfr</v>
      </c>
      <c r="E1263" t="str">
        <f>VLOOKUP(D1263,FranchiseMapping!$A$1:$B$15,2,FALSE)</f>
        <v>Full Rescue</v>
      </c>
      <c r="F1263" s="1">
        <v>45658</v>
      </c>
      <c r="G1263" t="s">
        <v>12</v>
      </c>
      <c r="H1263" s="2">
        <v>45809</v>
      </c>
      <c r="I1263" s="3">
        <v>45830</v>
      </c>
      <c r="J1263" s="3">
        <f t="shared" si="19"/>
        <v>45836</v>
      </c>
      <c r="K1263" s="4">
        <v>3372.1099999999997</v>
      </c>
      <c r="L1263">
        <v>609249</v>
      </c>
    </row>
    <row r="1264" spans="1:12" x14ac:dyDescent="0.35">
      <c r="A1264" t="s">
        <v>8</v>
      </c>
      <c r="B1264" t="s">
        <v>9</v>
      </c>
      <c r="C1264" t="s">
        <v>35</v>
      </c>
      <c r="D1264" t="str" cm="1">
        <f t="array" ref="D1264">INDEX(_xlfn.TEXTSPLIT(C1264,"_"),3)</f>
        <v>bfr</v>
      </c>
      <c r="E1264" t="str">
        <f>VLOOKUP(D1264,FranchiseMapping!$A$1:$B$15,2,FALSE)</f>
        <v>Full Rescue</v>
      </c>
      <c r="F1264" s="1">
        <v>45658</v>
      </c>
      <c r="G1264" t="s">
        <v>12</v>
      </c>
      <c r="H1264" s="2">
        <v>45778</v>
      </c>
      <c r="I1264" s="3">
        <v>45805</v>
      </c>
      <c r="J1264" s="3">
        <f t="shared" si="19"/>
        <v>45808</v>
      </c>
      <c r="K1264" s="4">
        <v>1694.3400000000001</v>
      </c>
      <c r="L1264">
        <v>129234</v>
      </c>
    </row>
    <row r="1265" spans="1:12" x14ac:dyDescent="0.35">
      <c r="A1265" t="s">
        <v>8</v>
      </c>
      <c r="B1265" t="s">
        <v>9</v>
      </c>
      <c r="C1265" t="s">
        <v>31</v>
      </c>
      <c r="D1265" t="str" cm="1">
        <f t="array" ref="D1265">INDEX(_xlfn.TEXTSPLIT(C1265,"_"),3)</f>
        <v>scalp</v>
      </c>
      <c r="E1265" t="str">
        <f>VLOOKUP(D1265,FranchiseMapping!$A$1:$B$15,2,FALSE)</f>
        <v>Scalp Sync</v>
      </c>
      <c r="F1265" s="1">
        <v>45292</v>
      </c>
      <c r="G1265" t="s">
        <v>12</v>
      </c>
      <c r="H1265" s="2">
        <v>45383</v>
      </c>
      <c r="I1265" s="3">
        <v>45383</v>
      </c>
      <c r="J1265" s="3">
        <f t="shared" si="19"/>
        <v>45388</v>
      </c>
      <c r="K1265" s="4">
        <v>1570.8399989999996</v>
      </c>
      <c r="L1265">
        <v>291588</v>
      </c>
    </row>
    <row r="1266" spans="1:12" x14ac:dyDescent="0.35">
      <c r="A1266" t="s">
        <v>8</v>
      </c>
      <c r="B1266" t="s">
        <v>9</v>
      </c>
      <c r="C1266" t="s">
        <v>35</v>
      </c>
      <c r="D1266" t="str" cm="1">
        <f t="array" ref="D1266">INDEX(_xlfn.TEXTSPLIT(C1266,"_"),3)</f>
        <v>bfr</v>
      </c>
      <c r="E1266" t="str">
        <f>VLOOKUP(D1266,FranchiseMapping!$A$1:$B$15,2,FALSE)</f>
        <v>Full Rescue</v>
      </c>
      <c r="F1266" s="1">
        <v>45658</v>
      </c>
      <c r="G1266" t="s">
        <v>12</v>
      </c>
      <c r="H1266" s="2">
        <v>45809</v>
      </c>
      <c r="I1266" s="3">
        <v>45821</v>
      </c>
      <c r="J1266" s="3">
        <f t="shared" si="19"/>
        <v>45822</v>
      </c>
      <c r="K1266" s="4">
        <v>1686.54</v>
      </c>
      <c r="L1266">
        <v>140228</v>
      </c>
    </row>
    <row r="1267" spans="1:12" x14ac:dyDescent="0.35">
      <c r="A1267" t="s">
        <v>8</v>
      </c>
      <c r="B1267" t="s">
        <v>9</v>
      </c>
      <c r="C1267" t="s">
        <v>52</v>
      </c>
      <c r="D1267" t="str" cm="1">
        <f t="array" ref="D1267">INDEX(_xlfn.TEXTSPLIT(C1267,"_"),3)</f>
        <v>bond-therapy</v>
      </c>
      <c r="E1267" t="str">
        <f>VLOOKUP(D1267,FranchiseMapping!$A$1:$B$15,2,FALSE)</f>
        <v>Bond Therapy</v>
      </c>
      <c r="F1267" s="1">
        <v>44927</v>
      </c>
      <c r="G1267" t="s">
        <v>11</v>
      </c>
      <c r="H1267" s="2">
        <v>45261</v>
      </c>
      <c r="I1267" s="3">
        <v>45283</v>
      </c>
      <c r="J1267" s="3">
        <f t="shared" si="19"/>
        <v>45283</v>
      </c>
      <c r="K1267" s="4">
        <v>2845.6599920000003</v>
      </c>
      <c r="L1267">
        <v>397549</v>
      </c>
    </row>
    <row r="1268" spans="1:12" x14ac:dyDescent="0.35">
      <c r="A1268" t="s">
        <v>8</v>
      </c>
      <c r="B1268" t="s">
        <v>9</v>
      </c>
      <c r="C1268" t="s">
        <v>74</v>
      </c>
      <c r="D1268" t="str" cm="1">
        <f t="array" ref="D1268">INDEX(_xlfn.TEXTSPLIT(C1268,"_"),3)</f>
        <v>mult</v>
      </c>
      <c r="E1268" t="str">
        <f>VLOOKUP(D1268,FranchiseMapping!$A$1:$B$15,2,FALSE)</f>
        <v>Biolage</v>
      </c>
      <c r="F1268" s="1">
        <v>45658</v>
      </c>
      <c r="G1268" t="s">
        <v>12</v>
      </c>
      <c r="H1268" s="2">
        <v>45658</v>
      </c>
      <c r="I1268" s="3">
        <v>45675</v>
      </c>
      <c r="J1268" s="3">
        <f t="shared" si="19"/>
        <v>45675</v>
      </c>
      <c r="K1268" s="4">
        <v>4118.7000050000006</v>
      </c>
      <c r="L1268">
        <v>708044</v>
      </c>
    </row>
    <row r="1269" spans="1:12" x14ac:dyDescent="0.35">
      <c r="A1269" t="s">
        <v>8</v>
      </c>
      <c r="B1269" t="s">
        <v>9</v>
      </c>
      <c r="C1269" t="s">
        <v>53</v>
      </c>
      <c r="D1269" t="str" cm="1">
        <f t="array" ref="D1269">INDEX(_xlfn.TEXTSPLIT(C1269,"_"),3)</f>
        <v>bond-therapy</v>
      </c>
      <c r="E1269" t="str">
        <f>VLOOKUP(D1269,FranchiseMapping!$A$1:$B$15,2,FALSE)</f>
        <v>Bond Therapy</v>
      </c>
      <c r="F1269" s="1">
        <v>44927</v>
      </c>
      <c r="G1269" t="s">
        <v>11</v>
      </c>
      <c r="H1269" s="2">
        <v>45261</v>
      </c>
      <c r="I1269" s="3">
        <v>45275</v>
      </c>
      <c r="J1269" s="3">
        <f t="shared" si="19"/>
        <v>45276</v>
      </c>
      <c r="K1269" s="4">
        <v>1200.02</v>
      </c>
      <c r="L1269">
        <v>184110</v>
      </c>
    </row>
    <row r="1270" spans="1:12" x14ac:dyDescent="0.35">
      <c r="A1270" t="s">
        <v>8</v>
      </c>
      <c r="B1270" t="s">
        <v>9</v>
      </c>
      <c r="C1270" t="s">
        <v>48</v>
      </c>
      <c r="D1270" t="str" cm="1">
        <f t="array" ref="D1270">INDEX(_xlfn.TEXTSPLIT(C1270,"_"),3)</f>
        <v>scalp</v>
      </c>
      <c r="E1270" t="str">
        <f>VLOOKUP(D1270,FranchiseMapping!$A$1:$B$15,2,FALSE)</f>
        <v>Scalp Sync</v>
      </c>
      <c r="F1270" s="1">
        <v>45292</v>
      </c>
      <c r="G1270" t="s">
        <v>12</v>
      </c>
      <c r="H1270" s="2">
        <v>45383</v>
      </c>
      <c r="I1270" s="3">
        <v>45397</v>
      </c>
      <c r="J1270" s="3">
        <f t="shared" si="19"/>
        <v>45402</v>
      </c>
      <c r="K1270" s="4">
        <v>789.3500019999999</v>
      </c>
      <c r="L1270">
        <v>197737</v>
      </c>
    </row>
    <row r="1271" spans="1:12" x14ac:dyDescent="0.35">
      <c r="A1271" t="s">
        <v>8</v>
      </c>
      <c r="B1271" t="s">
        <v>9</v>
      </c>
      <c r="C1271" t="s">
        <v>50</v>
      </c>
      <c r="D1271" t="str" cm="1">
        <f t="array" ref="D1271">INDEX(_xlfn.TEXTSPLIT(C1271,"_"),3)</f>
        <v>bond-therapy</v>
      </c>
      <c r="E1271" t="str">
        <f>VLOOKUP(D1271,FranchiseMapping!$A$1:$B$15,2,FALSE)</f>
        <v>Bond Therapy</v>
      </c>
      <c r="F1271" s="1">
        <v>44927</v>
      </c>
      <c r="G1271" t="s">
        <v>12</v>
      </c>
      <c r="H1271" s="2">
        <v>45261</v>
      </c>
      <c r="I1271" s="3">
        <v>45274</v>
      </c>
      <c r="J1271" s="3">
        <f t="shared" si="19"/>
        <v>45276</v>
      </c>
      <c r="K1271" s="4">
        <v>3100.33</v>
      </c>
      <c r="L1271">
        <v>253908</v>
      </c>
    </row>
    <row r="1272" spans="1:12" x14ac:dyDescent="0.35">
      <c r="A1272" t="s">
        <v>8</v>
      </c>
      <c r="B1272" t="s">
        <v>9</v>
      </c>
      <c r="C1272" t="s">
        <v>71</v>
      </c>
      <c r="D1272" t="str" cm="1">
        <f t="array" ref="D1272">INDEX(_xlfn.TEXTSPLIT(C1272,"_"),3)</f>
        <v>bondtherapy</v>
      </c>
      <c r="E1272" t="str">
        <f>VLOOKUP(D1272,FranchiseMapping!$A$1:$B$15,2,FALSE)</f>
        <v>Bond Therapy</v>
      </c>
      <c r="F1272" s="1">
        <v>44927</v>
      </c>
      <c r="G1272" t="s">
        <v>11</v>
      </c>
      <c r="H1272" s="2">
        <v>45261</v>
      </c>
      <c r="I1272" s="3">
        <v>45274</v>
      </c>
      <c r="J1272" s="3">
        <f t="shared" si="19"/>
        <v>45276</v>
      </c>
      <c r="K1272" s="4">
        <v>1843.429999</v>
      </c>
      <c r="L1272">
        <v>129510</v>
      </c>
    </row>
    <row r="1273" spans="1:12" x14ac:dyDescent="0.35">
      <c r="A1273" t="s">
        <v>8</v>
      </c>
      <c r="B1273" t="s">
        <v>13</v>
      </c>
      <c r="C1273" t="s">
        <v>59</v>
      </c>
      <c r="D1273" t="str" cm="1">
        <f t="array" ref="D1273">INDEX(_xlfn.TEXTSPLIT(C1273,"_"),3)</f>
        <v>scalp-sync</v>
      </c>
      <c r="E1273" t="str">
        <f>VLOOKUP(D1273,FranchiseMapping!$A$1:$B$15,2,FALSE)</f>
        <v>Scalp Sync</v>
      </c>
      <c r="F1273" s="1">
        <v>45292</v>
      </c>
      <c r="G1273" t="s">
        <v>11</v>
      </c>
      <c r="H1273" s="2">
        <v>45383</v>
      </c>
      <c r="I1273" s="3">
        <v>45411</v>
      </c>
      <c r="J1273" s="3">
        <f t="shared" si="19"/>
        <v>45416</v>
      </c>
      <c r="K1273" s="4">
        <v>3356.0239930000012</v>
      </c>
      <c r="L1273">
        <v>1582525</v>
      </c>
    </row>
    <row r="1274" spans="1:12" x14ac:dyDescent="0.35">
      <c r="A1274" t="s">
        <v>8</v>
      </c>
      <c r="B1274" t="s">
        <v>9</v>
      </c>
      <c r="C1274" t="s">
        <v>45</v>
      </c>
      <c r="D1274" t="str" cm="1">
        <f t="array" ref="D1274">INDEX(_xlfn.TEXTSPLIT(C1274,"_"),3)</f>
        <v>hydrasource</v>
      </c>
      <c r="E1274" t="str">
        <f>VLOOKUP(D1274,FranchiseMapping!$A$1:$B$15,2,FALSE)</f>
        <v>Hydrasource</v>
      </c>
      <c r="F1274" s="1">
        <v>45292</v>
      </c>
      <c r="G1274" t="s">
        <v>12</v>
      </c>
      <c r="H1274" s="2">
        <v>45566</v>
      </c>
      <c r="I1274" s="3">
        <v>45581</v>
      </c>
      <c r="J1274" s="3">
        <f t="shared" si="19"/>
        <v>45584</v>
      </c>
      <c r="K1274" s="4">
        <v>2653.4799989999992</v>
      </c>
      <c r="L1274">
        <v>261261</v>
      </c>
    </row>
    <row r="1275" spans="1:12" x14ac:dyDescent="0.35">
      <c r="A1275" t="s">
        <v>8</v>
      </c>
      <c r="B1275" t="s">
        <v>9</v>
      </c>
      <c r="C1275" t="s">
        <v>52</v>
      </c>
      <c r="D1275" t="str" cm="1">
        <f t="array" ref="D1275">INDEX(_xlfn.TEXTSPLIT(C1275,"_"),3)</f>
        <v>bond-therapy</v>
      </c>
      <c r="E1275" t="str">
        <f>VLOOKUP(D1275,FranchiseMapping!$A$1:$B$15,2,FALSE)</f>
        <v>Bond Therapy</v>
      </c>
      <c r="F1275" s="1">
        <v>44927</v>
      </c>
      <c r="G1275" t="s">
        <v>11</v>
      </c>
      <c r="H1275" s="2">
        <v>45231</v>
      </c>
      <c r="I1275" s="3">
        <v>45255</v>
      </c>
      <c r="J1275" s="3">
        <f t="shared" si="19"/>
        <v>45255</v>
      </c>
      <c r="K1275" s="4">
        <v>2995.5299990000008</v>
      </c>
      <c r="L1275">
        <v>451230</v>
      </c>
    </row>
    <row r="1276" spans="1:12" x14ac:dyDescent="0.35">
      <c r="A1276" t="s">
        <v>8</v>
      </c>
      <c r="B1276" t="s">
        <v>14</v>
      </c>
      <c r="C1276" t="s">
        <v>47</v>
      </c>
      <c r="D1276" t="str" cm="1">
        <f t="array" ref="D1276">INDEX(_xlfn.TEXTSPLIT(C1276,"_"),3)</f>
        <v>hys</v>
      </c>
      <c r="E1276" t="str">
        <f>VLOOKUP(D1276,FranchiseMapping!$A$1:$B$15,2,FALSE)</f>
        <v>Hydrasource</v>
      </c>
      <c r="F1276" s="1">
        <v>45658</v>
      </c>
      <c r="G1276" t="s">
        <v>10</v>
      </c>
      <c r="H1276" s="2">
        <v>45748</v>
      </c>
      <c r="I1276" s="3">
        <v>45765</v>
      </c>
      <c r="J1276" s="3">
        <f t="shared" si="19"/>
        <v>45766</v>
      </c>
      <c r="K1276" s="4">
        <v>47.04</v>
      </c>
      <c r="L1276">
        <v>12717</v>
      </c>
    </row>
    <row r="1277" spans="1:12" x14ac:dyDescent="0.35">
      <c r="A1277" t="s">
        <v>8</v>
      </c>
      <c r="B1277" t="s">
        <v>9</v>
      </c>
      <c r="C1277" t="s">
        <v>46</v>
      </c>
      <c r="D1277" t="str" cm="1">
        <f t="array" ref="D1277">INDEX(_xlfn.TEXTSPLIT(C1277,"_"),3)</f>
        <v>mult</v>
      </c>
      <c r="E1277" t="str">
        <f>VLOOKUP(D1277,FranchiseMapping!$A$1:$B$15,2,FALSE)</f>
        <v>Biolage</v>
      </c>
      <c r="F1277" s="1">
        <v>45658</v>
      </c>
      <c r="G1277" t="s">
        <v>10</v>
      </c>
      <c r="H1277" s="2">
        <v>45748</v>
      </c>
      <c r="I1277" s="3">
        <v>45777</v>
      </c>
      <c r="J1277" s="3">
        <f t="shared" si="19"/>
        <v>45780</v>
      </c>
      <c r="K1277" s="4">
        <v>740.20000200000015</v>
      </c>
      <c r="L1277">
        <v>150920</v>
      </c>
    </row>
    <row r="1278" spans="1:12" x14ac:dyDescent="0.35">
      <c r="A1278" t="s">
        <v>8</v>
      </c>
      <c r="B1278" t="s">
        <v>14</v>
      </c>
      <c r="C1278" t="s">
        <v>43</v>
      </c>
      <c r="D1278" t="str" cm="1">
        <f t="array" ref="D1278">INDEX(_xlfn.TEXTSPLIT(C1278,"_"),3)</f>
        <v>bfr</v>
      </c>
      <c r="E1278" t="str">
        <f>VLOOKUP(D1278,FranchiseMapping!$A$1:$B$15,2,FALSE)</f>
        <v>Full Rescue</v>
      </c>
      <c r="F1278" s="1">
        <v>45658</v>
      </c>
      <c r="G1278" t="s">
        <v>10</v>
      </c>
      <c r="H1278" s="2">
        <v>45809</v>
      </c>
      <c r="I1278" s="3">
        <v>45828</v>
      </c>
      <c r="J1278" s="3">
        <f t="shared" si="19"/>
        <v>45829</v>
      </c>
      <c r="K1278" s="4">
        <v>1568.49</v>
      </c>
      <c r="L1278">
        <v>281100</v>
      </c>
    </row>
    <row r="1279" spans="1:12" x14ac:dyDescent="0.35">
      <c r="A1279" t="s">
        <v>8</v>
      </c>
      <c r="B1279" t="s">
        <v>9</v>
      </c>
      <c r="C1279" t="s">
        <v>73</v>
      </c>
      <c r="D1279" t="str" cm="1">
        <f t="array" ref="D1279">INDEX(_xlfn.TEXTSPLIT(C1279,"_"),3)</f>
        <v>prime-day</v>
      </c>
      <c r="E1279" t="str">
        <f>VLOOKUP(D1279,FranchiseMapping!$A$1:$B$15,2,FALSE)</f>
        <v>Prime Day</v>
      </c>
      <c r="F1279" s="1">
        <v>45292</v>
      </c>
      <c r="G1279" t="s">
        <v>11</v>
      </c>
      <c r="H1279" s="2">
        <v>45474</v>
      </c>
      <c r="I1279" s="3">
        <v>45484</v>
      </c>
      <c r="J1279" s="3">
        <f t="shared" si="19"/>
        <v>45486</v>
      </c>
      <c r="K1279" s="4">
        <v>10784.400003999999</v>
      </c>
      <c r="L1279">
        <v>1101542</v>
      </c>
    </row>
    <row r="1280" spans="1:12" x14ac:dyDescent="0.35">
      <c r="A1280" t="s">
        <v>8</v>
      </c>
      <c r="B1280" t="s">
        <v>9</v>
      </c>
      <c r="C1280" t="s">
        <v>69</v>
      </c>
      <c r="D1280" t="str" cm="1">
        <f t="array" ref="D1280">INDEX(_xlfn.TEXTSPLIT(C1280,"_"),3)</f>
        <v>prime-day</v>
      </c>
      <c r="E1280" t="str">
        <f>VLOOKUP(D1280,FranchiseMapping!$A$1:$B$15,2,FALSE)</f>
        <v>Prime Day</v>
      </c>
      <c r="F1280" s="1">
        <v>45292</v>
      </c>
      <c r="G1280" t="s">
        <v>10</v>
      </c>
      <c r="H1280" s="2">
        <v>45474</v>
      </c>
      <c r="I1280" s="3">
        <v>45482</v>
      </c>
      <c r="J1280" s="3">
        <f t="shared" si="19"/>
        <v>45486</v>
      </c>
      <c r="K1280" s="4">
        <v>3527.1700029999988</v>
      </c>
      <c r="L1280">
        <v>590127</v>
      </c>
    </row>
    <row r="1281" spans="1:12" x14ac:dyDescent="0.35">
      <c r="A1281" t="s">
        <v>8</v>
      </c>
      <c r="B1281" t="s">
        <v>9</v>
      </c>
      <c r="C1281" t="s">
        <v>54</v>
      </c>
      <c r="D1281" t="str" cm="1">
        <f t="array" ref="D1281">INDEX(_xlfn.TEXTSPLIT(C1281,"_"),3)</f>
        <v>scalp</v>
      </c>
      <c r="E1281" t="str">
        <f>VLOOKUP(D1281,FranchiseMapping!$A$1:$B$15,2,FALSE)</f>
        <v>Scalp Sync</v>
      </c>
      <c r="F1281" s="1">
        <v>45292</v>
      </c>
      <c r="G1281" t="s">
        <v>10</v>
      </c>
      <c r="H1281" s="2">
        <v>45352</v>
      </c>
      <c r="I1281" s="3">
        <v>45357</v>
      </c>
      <c r="J1281" s="3">
        <f t="shared" si="19"/>
        <v>45360</v>
      </c>
      <c r="K1281" s="4">
        <v>2320.3000029999989</v>
      </c>
      <c r="L1281">
        <v>560174</v>
      </c>
    </row>
    <row r="1282" spans="1:12" x14ac:dyDescent="0.35">
      <c r="A1282" t="s">
        <v>8</v>
      </c>
      <c r="B1282" t="s">
        <v>9</v>
      </c>
      <c r="C1282" t="s">
        <v>55</v>
      </c>
      <c r="D1282" t="str" cm="1">
        <f t="array" ref="D1282">INDEX(_xlfn.TEXTSPLIT(C1282,"_"),3)</f>
        <v>hydrasource</v>
      </c>
      <c r="E1282" t="str">
        <f>VLOOKUP(D1282,FranchiseMapping!$A$1:$B$15,2,FALSE)</f>
        <v>Hydrasource</v>
      </c>
      <c r="F1282" s="1">
        <v>45292</v>
      </c>
      <c r="G1282" t="s">
        <v>12</v>
      </c>
      <c r="H1282" s="2">
        <v>45566</v>
      </c>
      <c r="I1282" s="3">
        <v>45590</v>
      </c>
      <c r="J1282" s="3">
        <f t="shared" si="19"/>
        <v>45591</v>
      </c>
      <c r="K1282" s="4">
        <v>3422.8900020000001</v>
      </c>
      <c r="L1282">
        <v>692026</v>
      </c>
    </row>
    <row r="1283" spans="1:12" x14ac:dyDescent="0.35">
      <c r="A1283" t="s">
        <v>8</v>
      </c>
      <c r="B1283" t="s">
        <v>9</v>
      </c>
      <c r="C1283" t="s">
        <v>46</v>
      </c>
      <c r="D1283" t="str" cm="1">
        <f t="array" ref="D1283">INDEX(_xlfn.TEXTSPLIT(C1283,"_"),3)</f>
        <v>mult</v>
      </c>
      <c r="E1283" t="str">
        <f>VLOOKUP(D1283,FranchiseMapping!$A$1:$B$15,2,FALSE)</f>
        <v>Biolage</v>
      </c>
      <c r="F1283" s="1">
        <v>45658</v>
      </c>
      <c r="G1283" t="s">
        <v>12</v>
      </c>
      <c r="H1283" s="2">
        <v>45717</v>
      </c>
      <c r="I1283" s="3">
        <v>45737</v>
      </c>
      <c r="J1283" s="3">
        <f t="shared" ref="J1283:J1346" si="20">I1283 + (7 - WEEKDAY(I1283, 1))</f>
        <v>45738</v>
      </c>
      <c r="K1283" s="4">
        <v>2608.37</v>
      </c>
      <c r="L1283">
        <v>478056</v>
      </c>
    </row>
    <row r="1284" spans="1:12" x14ac:dyDescent="0.35">
      <c r="A1284" t="s">
        <v>8</v>
      </c>
      <c r="B1284" t="s">
        <v>9</v>
      </c>
      <c r="C1284" t="s">
        <v>48</v>
      </c>
      <c r="D1284" t="str" cm="1">
        <f t="array" ref="D1284">INDEX(_xlfn.TEXTSPLIT(C1284,"_"),3)</f>
        <v>scalp</v>
      </c>
      <c r="E1284" t="str">
        <f>VLOOKUP(D1284,FranchiseMapping!$A$1:$B$15,2,FALSE)</f>
        <v>Scalp Sync</v>
      </c>
      <c r="F1284" s="1">
        <v>45292</v>
      </c>
      <c r="G1284" t="s">
        <v>12</v>
      </c>
      <c r="H1284" s="2">
        <v>45383</v>
      </c>
      <c r="I1284" s="3">
        <v>45402</v>
      </c>
      <c r="J1284" s="3">
        <f t="shared" si="20"/>
        <v>45402</v>
      </c>
      <c r="K1284" s="4">
        <v>786.93999900000017</v>
      </c>
      <c r="L1284">
        <v>189297</v>
      </c>
    </row>
    <row r="1285" spans="1:12" x14ac:dyDescent="0.35">
      <c r="A1285" t="s">
        <v>8</v>
      </c>
      <c r="B1285" t="s">
        <v>9</v>
      </c>
      <c r="C1285" t="s">
        <v>53</v>
      </c>
      <c r="D1285" t="str" cm="1">
        <f t="array" ref="D1285">INDEX(_xlfn.TEXTSPLIT(C1285,"_"),3)</f>
        <v>bond-therapy</v>
      </c>
      <c r="E1285" t="str">
        <f>VLOOKUP(D1285,FranchiseMapping!$A$1:$B$15,2,FALSE)</f>
        <v>Bond Therapy</v>
      </c>
      <c r="F1285" s="1">
        <v>44927</v>
      </c>
      <c r="G1285" t="s">
        <v>11</v>
      </c>
      <c r="H1285" s="2">
        <v>45261</v>
      </c>
      <c r="I1285" s="3">
        <v>45287</v>
      </c>
      <c r="J1285" s="3">
        <f t="shared" si="20"/>
        <v>45290</v>
      </c>
      <c r="K1285" s="4">
        <v>1020.8699990000001</v>
      </c>
      <c r="L1285">
        <v>234623</v>
      </c>
    </row>
    <row r="1286" spans="1:12" x14ac:dyDescent="0.35">
      <c r="A1286" t="s">
        <v>8</v>
      </c>
      <c r="B1286" t="s">
        <v>9</v>
      </c>
      <c r="C1286" t="s">
        <v>46</v>
      </c>
      <c r="D1286" t="str" cm="1">
        <f t="array" ref="D1286">INDEX(_xlfn.TEXTSPLIT(C1286,"_"),3)</f>
        <v>mult</v>
      </c>
      <c r="E1286" t="str">
        <f>VLOOKUP(D1286,FranchiseMapping!$A$1:$B$15,2,FALSE)</f>
        <v>Biolage</v>
      </c>
      <c r="F1286" s="1">
        <v>45658</v>
      </c>
      <c r="G1286" t="s">
        <v>10</v>
      </c>
      <c r="H1286" s="2">
        <v>45778</v>
      </c>
      <c r="I1286" s="3">
        <v>45783</v>
      </c>
      <c r="J1286" s="3">
        <f t="shared" si="20"/>
        <v>45787</v>
      </c>
      <c r="K1286" s="4">
        <v>1643.3999949999998</v>
      </c>
      <c r="L1286">
        <v>345170</v>
      </c>
    </row>
    <row r="1287" spans="1:12" x14ac:dyDescent="0.35">
      <c r="A1287" t="s">
        <v>8</v>
      </c>
      <c r="B1287" t="s">
        <v>9</v>
      </c>
      <c r="C1287" t="s">
        <v>56</v>
      </c>
      <c r="D1287" t="str" cm="1">
        <f t="array" ref="D1287">INDEX(_xlfn.TEXTSPLIT(C1287,"_"),3)</f>
        <v>haca-colorlast-q3</v>
      </c>
      <c r="E1287" t="str">
        <f>VLOOKUP(D1287,FranchiseMapping!$A$1:$B$15,2,FALSE)</f>
        <v>Color Last</v>
      </c>
      <c r="F1287" s="1">
        <v>44927</v>
      </c>
      <c r="G1287" t="s">
        <v>10</v>
      </c>
      <c r="H1287" s="2">
        <v>45139</v>
      </c>
      <c r="I1287" s="3">
        <v>45157</v>
      </c>
      <c r="J1287" s="3">
        <f t="shared" si="20"/>
        <v>45157</v>
      </c>
      <c r="K1287" s="4">
        <v>784.3900000000001</v>
      </c>
      <c r="L1287">
        <v>118844</v>
      </c>
    </row>
    <row r="1288" spans="1:12" x14ac:dyDescent="0.35">
      <c r="A1288" t="s">
        <v>8</v>
      </c>
      <c r="B1288" t="s">
        <v>13</v>
      </c>
      <c r="C1288" t="s">
        <v>42</v>
      </c>
      <c r="D1288" t="str" cm="1">
        <f t="array" ref="D1288">INDEX(_xlfn.TEXTSPLIT(C1288,"_"),3)</f>
        <v>bfr</v>
      </c>
      <c r="E1288" t="str">
        <f>VLOOKUP(D1288,FranchiseMapping!$A$1:$B$15,2,FALSE)</f>
        <v>Full Rescue</v>
      </c>
      <c r="F1288" s="1">
        <v>45658</v>
      </c>
      <c r="G1288" t="s">
        <v>12</v>
      </c>
      <c r="H1288" s="2">
        <v>45809</v>
      </c>
      <c r="I1288" s="3">
        <v>45819</v>
      </c>
      <c r="J1288" s="3">
        <f t="shared" si="20"/>
        <v>45822</v>
      </c>
      <c r="K1288" s="4">
        <v>1305.713395</v>
      </c>
      <c r="L1288">
        <v>594584</v>
      </c>
    </row>
    <row r="1289" spans="1:12" x14ac:dyDescent="0.35">
      <c r="A1289" t="s">
        <v>8</v>
      </c>
      <c r="B1289" t="s">
        <v>9</v>
      </c>
      <c r="C1289" t="s">
        <v>36</v>
      </c>
      <c r="D1289" t="str" cm="1">
        <f t="array" ref="D1289">INDEX(_xlfn.TEXTSPLIT(C1289,"_"),3)</f>
        <v>bfr</v>
      </c>
      <c r="E1289" t="str">
        <f>VLOOKUP(D1289,FranchiseMapping!$A$1:$B$15,2,FALSE)</f>
        <v>Full Rescue</v>
      </c>
      <c r="F1289" s="1">
        <v>45658</v>
      </c>
      <c r="G1289" t="s">
        <v>12</v>
      </c>
      <c r="H1289" s="2">
        <v>45778</v>
      </c>
      <c r="I1289" s="3">
        <v>45782</v>
      </c>
      <c r="J1289" s="3">
        <f t="shared" si="20"/>
        <v>45787</v>
      </c>
      <c r="K1289" s="4">
        <v>1297.1399999999999</v>
      </c>
      <c r="L1289">
        <v>257828</v>
      </c>
    </row>
    <row r="1290" spans="1:12" x14ac:dyDescent="0.35">
      <c r="A1290" t="s">
        <v>8</v>
      </c>
      <c r="B1290" t="s">
        <v>9</v>
      </c>
      <c r="C1290" t="s">
        <v>72</v>
      </c>
      <c r="D1290" t="str" cm="1">
        <f t="array" ref="D1290">INDEX(_xlfn.TEXTSPLIT(C1290,"_"),3)</f>
        <v>mult</v>
      </c>
      <c r="E1290" t="str">
        <f>VLOOKUP(D1290,FranchiseMapping!$A$1:$B$15,2,FALSE)</f>
        <v>Biolage</v>
      </c>
      <c r="F1290" s="1">
        <v>45658</v>
      </c>
      <c r="G1290" t="s">
        <v>12</v>
      </c>
      <c r="H1290" s="2">
        <v>45689</v>
      </c>
      <c r="I1290" s="3">
        <v>45714</v>
      </c>
      <c r="J1290" s="3">
        <f t="shared" si="20"/>
        <v>45717</v>
      </c>
      <c r="K1290" s="4">
        <v>7244.3299969999998</v>
      </c>
      <c r="L1290">
        <v>842040</v>
      </c>
    </row>
    <row r="1291" spans="1:12" x14ac:dyDescent="0.35">
      <c r="A1291" t="s">
        <v>8</v>
      </c>
      <c r="B1291" t="s">
        <v>13</v>
      </c>
      <c r="C1291" t="s">
        <v>28</v>
      </c>
      <c r="D1291" t="str" cm="1">
        <f t="array" ref="D1291">INDEX(_xlfn.TEXTSPLIT(C1291,"_"),3)</f>
        <v>na</v>
      </c>
      <c r="E1291" t="str">
        <f>VLOOKUP(D1291,FranchiseMapping!$A$1:$B$15,2,FALSE)</f>
        <v>Biolage</v>
      </c>
      <c r="F1291" s="1">
        <v>44927</v>
      </c>
      <c r="G1291" t="s">
        <v>12</v>
      </c>
      <c r="H1291" s="2">
        <v>45139</v>
      </c>
      <c r="I1291" s="3">
        <v>45142</v>
      </c>
      <c r="J1291" s="3">
        <f t="shared" si="20"/>
        <v>45143</v>
      </c>
      <c r="K1291" s="4">
        <v>255.31774200000001</v>
      </c>
      <c r="L1291">
        <v>90615</v>
      </c>
    </row>
    <row r="1292" spans="1:12" x14ac:dyDescent="0.35">
      <c r="A1292" t="s">
        <v>8</v>
      </c>
      <c r="B1292" t="s">
        <v>9</v>
      </c>
      <c r="C1292" t="s">
        <v>50</v>
      </c>
      <c r="D1292" t="str" cm="1">
        <f t="array" ref="D1292">INDEX(_xlfn.TEXTSPLIT(C1292,"_"),3)</f>
        <v>bond-therapy</v>
      </c>
      <c r="E1292" t="str">
        <f>VLOOKUP(D1292,FranchiseMapping!$A$1:$B$15,2,FALSE)</f>
        <v>Bond Therapy</v>
      </c>
      <c r="F1292" s="1">
        <v>44927</v>
      </c>
      <c r="G1292" t="s">
        <v>12</v>
      </c>
      <c r="H1292" s="2">
        <v>45261</v>
      </c>
      <c r="I1292" s="3">
        <v>45267</v>
      </c>
      <c r="J1292" s="3">
        <f t="shared" si="20"/>
        <v>45269</v>
      </c>
      <c r="K1292" s="4">
        <v>3033.9588180000001</v>
      </c>
      <c r="L1292">
        <v>319273</v>
      </c>
    </row>
    <row r="1293" spans="1:12" x14ac:dyDescent="0.35">
      <c r="A1293" t="s">
        <v>8</v>
      </c>
      <c r="B1293" t="s">
        <v>9</v>
      </c>
      <c r="C1293" t="s">
        <v>53</v>
      </c>
      <c r="D1293" t="str" cm="1">
        <f t="array" ref="D1293">INDEX(_xlfn.TEXTSPLIT(C1293,"_"),3)</f>
        <v>bond-therapy</v>
      </c>
      <c r="E1293" t="str">
        <f>VLOOKUP(D1293,FranchiseMapping!$A$1:$B$15,2,FALSE)</f>
        <v>Bond Therapy</v>
      </c>
      <c r="F1293" s="1">
        <v>44927</v>
      </c>
      <c r="G1293" t="s">
        <v>11</v>
      </c>
      <c r="H1293" s="2">
        <v>45261</v>
      </c>
      <c r="I1293" s="3">
        <v>45267</v>
      </c>
      <c r="J1293" s="3">
        <f t="shared" si="20"/>
        <v>45269</v>
      </c>
      <c r="K1293" s="4">
        <v>1214.1797689999999</v>
      </c>
      <c r="L1293">
        <v>200057</v>
      </c>
    </row>
    <row r="1294" spans="1:12" x14ac:dyDescent="0.35">
      <c r="A1294" t="s">
        <v>8</v>
      </c>
      <c r="B1294" t="s">
        <v>9</v>
      </c>
      <c r="C1294" t="s">
        <v>54</v>
      </c>
      <c r="D1294" t="str" cm="1">
        <f t="array" ref="D1294">INDEX(_xlfn.TEXTSPLIT(C1294,"_"),3)</f>
        <v>scalp</v>
      </c>
      <c r="E1294" t="str">
        <f>VLOOKUP(D1294,FranchiseMapping!$A$1:$B$15,2,FALSE)</f>
        <v>Scalp Sync</v>
      </c>
      <c r="F1294" s="1">
        <v>45292</v>
      </c>
      <c r="G1294" t="s">
        <v>10</v>
      </c>
      <c r="H1294" s="2">
        <v>45383</v>
      </c>
      <c r="I1294" s="3">
        <v>45384</v>
      </c>
      <c r="J1294" s="3">
        <f t="shared" si="20"/>
        <v>45388</v>
      </c>
      <c r="K1294" s="4">
        <v>2158.3099990000001</v>
      </c>
      <c r="L1294">
        <v>524236</v>
      </c>
    </row>
    <row r="1295" spans="1:12" x14ac:dyDescent="0.35">
      <c r="A1295" t="s">
        <v>8</v>
      </c>
      <c r="B1295" t="s">
        <v>9</v>
      </c>
      <c r="C1295" t="s">
        <v>31</v>
      </c>
      <c r="D1295" t="str" cm="1">
        <f t="array" ref="D1295">INDEX(_xlfn.TEXTSPLIT(C1295,"_"),3)</f>
        <v>scalp</v>
      </c>
      <c r="E1295" t="str">
        <f>VLOOKUP(D1295,FranchiseMapping!$A$1:$B$15,2,FALSE)</f>
        <v>Scalp Sync</v>
      </c>
      <c r="F1295" s="1">
        <v>45292</v>
      </c>
      <c r="G1295" t="s">
        <v>10</v>
      </c>
      <c r="H1295" s="2">
        <v>45383</v>
      </c>
      <c r="I1295" s="3">
        <v>45389</v>
      </c>
      <c r="J1295" s="3">
        <f t="shared" si="20"/>
        <v>45395</v>
      </c>
      <c r="K1295" s="4">
        <v>178.01000000000002</v>
      </c>
      <c r="L1295">
        <v>27163</v>
      </c>
    </row>
    <row r="1296" spans="1:12" x14ac:dyDescent="0.35">
      <c r="A1296" t="s">
        <v>8</v>
      </c>
      <c r="B1296" t="s">
        <v>9</v>
      </c>
      <c r="C1296" t="s">
        <v>41</v>
      </c>
      <c r="D1296" t="str" cm="1">
        <f t="array" ref="D1296">INDEX(_xlfn.TEXTSPLIT(C1296,"_"),3)</f>
        <v>hys</v>
      </c>
      <c r="E1296" t="str">
        <f>VLOOKUP(D1296,FranchiseMapping!$A$1:$B$15,2,FALSE)</f>
        <v>Hydrasource</v>
      </c>
      <c r="F1296" s="1">
        <v>45658</v>
      </c>
      <c r="G1296" t="s">
        <v>12</v>
      </c>
      <c r="H1296" s="2">
        <v>45778</v>
      </c>
      <c r="I1296" s="3">
        <v>45779</v>
      </c>
      <c r="J1296" s="3">
        <f t="shared" si="20"/>
        <v>45780</v>
      </c>
      <c r="K1296" s="4">
        <v>3160.3499989999996</v>
      </c>
      <c r="L1296">
        <v>346410</v>
      </c>
    </row>
    <row r="1297" spans="1:12" x14ac:dyDescent="0.35">
      <c r="A1297" t="s">
        <v>8</v>
      </c>
      <c r="B1297" t="s">
        <v>14</v>
      </c>
      <c r="C1297" t="s">
        <v>37</v>
      </c>
      <c r="D1297" t="str" cm="1">
        <f t="array" ref="D1297">INDEX(_xlfn.TEXTSPLIT(C1297,"_"),3)</f>
        <v>mult</v>
      </c>
      <c r="E1297" t="str">
        <f>VLOOKUP(D1297,FranchiseMapping!$A$1:$B$15,2,FALSE)</f>
        <v>Biolage</v>
      </c>
      <c r="F1297" s="1">
        <v>45658</v>
      </c>
      <c r="G1297" t="s">
        <v>12</v>
      </c>
      <c r="H1297" s="2">
        <v>45778</v>
      </c>
      <c r="I1297" s="3">
        <v>45787</v>
      </c>
      <c r="J1297" s="3">
        <f t="shared" si="20"/>
        <v>45787</v>
      </c>
      <c r="K1297" s="4">
        <v>784.89</v>
      </c>
      <c r="L1297">
        <v>236965</v>
      </c>
    </row>
    <row r="1298" spans="1:12" x14ac:dyDescent="0.35">
      <c r="A1298" t="s">
        <v>8</v>
      </c>
      <c r="B1298" t="s">
        <v>9</v>
      </c>
      <c r="C1298" t="s">
        <v>46</v>
      </c>
      <c r="D1298" t="str" cm="1">
        <f t="array" ref="D1298">INDEX(_xlfn.TEXTSPLIT(C1298,"_"),3)</f>
        <v>mult</v>
      </c>
      <c r="E1298" t="str">
        <f>VLOOKUP(D1298,FranchiseMapping!$A$1:$B$15,2,FALSE)</f>
        <v>Biolage</v>
      </c>
      <c r="F1298" s="1">
        <v>45658</v>
      </c>
      <c r="G1298" t="s">
        <v>10</v>
      </c>
      <c r="H1298" s="2">
        <v>45748</v>
      </c>
      <c r="I1298" s="3">
        <v>45759</v>
      </c>
      <c r="J1298" s="3">
        <f t="shared" si="20"/>
        <v>45759</v>
      </c>
      <c r="K1298" s="4">
        <v>679.09000000000026</v>
      </c>
      <c r="L1298">
        <v>138659</v>
      </c>
    </row>
    <row r="1299" spans="1:12" x14ac:dyDescent="0.35">
      <c r="A1299" t="s">
        <v>8</v>
      </c>
      <c r="B1299" t="s">
        <v>13</v>
      </c>
      <c r="C1299" t="s">
        <v>44</v>
      </c>
      <c r="D1299" t="str" cm="1">
        <f t="array" ref="D1299">INDEX(_xlfn.TEXTSPLIT(C1299,"_"),3)</f>
        <v>na</v>
      </c>
      <c r="E1299" t="str">
        <f>VLOOKUP(D1299,FranchiseMapping!$A$1:$B$15,2,FALSE)</f>
        <v>Biolage</v>
      </c>
      <c r="F1299" s="1">
        <v>44927</v>
      </c>
      <c r="G1299" t="s">
        <v>11</v>
      </c>
      <c r="H1299" s="2">
        <v>45108</v>
      </c>
      <c r="I1299" s="3">
        <v>45121</v>
      </c>
      <c r="J1299" s="3">
        <f t="shared" si="20"/>
        <v>45122</v>
      </c>
      <c r="K1299" s="4">
        <v>380.85477099999997</v>
      </c>
      <c r="L1299">
        <v>196406</v>
      </c>
    </row>
    <row r="1300" spans="1:12" x14ac:dyDescent="0.35">
      <c r="A1300" t="s">
        <v>8</v>
      </c>
      <c r="B1300" t="s">
        <v>9</v>
      </c>
      <c r="C1300" t="s">
        <v>35</v>
      </c>
      <c r="D1300" t="str" cm="1">
        <f t="array" ref="D1300">INDEX(_xlfn.TEXTSPLIT(C1300,"_"),3)</f>
        <v>bfr</v>
      </c>
      <c r="E1300" t="str">
        <f>VLOOKUP(D1300,FranchiseMapping!$A$1:$B$15,2,FALSE)</f>
        <v>Full Rescue</v>
      </c>
      <c r="F1300" s="1">
        <v>45658</v>
      </c>
      <c r="G1300" t="s">
        <v>10</v>
      </c>
      <c r="H1300" s="2">
        <v>45809</v>
      </c>
      <c r="I1300" s="3">
        <v>45828</v>
      </c>
      <c r="J1300" s="3">
        <f t="shared" si="20"/>
        <v>45829</v>
      </c>
      <c r="K1300" s="4">
        <v>40.85</v>
      </c>
      <c r="L1300">
        <v>5664</v>
      </c>
    </row>
    <row r="1301" spans="1:12" x14ac:dyDescent="0.35">
      <c r="A1301" t="s">
        <v>8</v>
      </c>
      <c r="B1301" t="s">
        <v>9</v>
      </c>
      <c r="C1301" t="s">
        <v>55</v>
      </c>
      <c r="D1301" t="str" cm="1">
        <f t="array" ref="D1301">INDEX(_xlfn.TEXTSPLIT(C1301,"_"),3)</f>
        <v>hydrasource</v>
      </c>
      <c r="E1301" t="str">
        <f>VLOOKUP(D1301,FranchiseMapping!$A$1:$B$15,2,FALSE)</f>
        <v>Hydrasource</v>
      </c>
      <c r="F1301" s="1">
        <v>45292</v>
      </c>
      <c r="G1301" t="s">
        <v>12</v>
      </c>
      <c r="H1301" s="2">
        <v>45536</v>
      </c>
      <c r="I1301" s="3">
        <v>45565</v>
      </c>
      <c r="J1301" s="3">
        <f t="shared" si="20"/>
        <v>45570</v>
      </c>
      <c r="K1301" s="4">
        <v>3784.6999989999995</v>
      </c>
      <c r="L1301">
        <v>670222</v>
      </c>
    </row>
    <row r="1302" spans="1:12" x14ac:dyDescent="0.35">
      <c r="A1302" t="s">
        <v>8</v>
      </c>
      <c r="B1302" t="s">
        <v>9</v>
      </c>
      <c r="C1302" t="s">
        <v>48</v>
      </c>
      <c r="D1302" t="str" cm="1">
        <f t="array" ref="D1302">INDEX(_xlfn.TEXTSPLIT(C1302,"_"),3)</f>
        <v>scalp</v>
      </c>
      <c r="E1302" t="str">
        <f>VLOOKUP(D1302,FranchiseMapping!$A$1:$B$15,2,FALSE)</f>
        <v>Scalp Sync</v>
      </c>
      <c r="F1302" s="1">
        <v>45292</v>
      </c>
      <c r="G1302" t="s">
        <v>10</v>
      </c>
      <c r="H1302" s="2">
        <v>45383</v>
      </c>
      <c r="I1302" s="3">
        <v>45392</v>
      </c>
      <c r="J1302" s="3">
        <f t="shared" si="20"/>
        <v>45395</v>
      </c>
      <c r="K1302" s="4">
        <v>188.85</v>
      </c>
      <c r="L1302">
        <v>48166</v>
      </c>
    </row>
    <row r="1303" spans="1:12" x14ac:dyDescent="0.35">
      <c r="A1303" t="s">
        <v>8</v>
      </c>
      <c r="B1303" t="s">
        <v>9</v>
      </c>
      <c r="C1303" t="s">
        <v>56</v>
      </c>
      <c r="D1303" t="str" cm="1">
        <f t="array" ref="D1303">INDEX(_xlfn.TEXTSPLIT(C1303,"_"),3)</f>
        <v>haca-colorlast-q3</v>
      </c>
      <c r="E1303" t="str">
        <f>VLOOKUP(D1303,FranchiseMapping!$A$1:$B$15,2,FALSE)</f>
        <v>Color Last</v>
      </c>
      <c r="F1303" s="1">
        <v>44927</v>
      </c>
      <c r="G1303" t="s">
        <v>10</v>
      </c>
      <c r="H1303" s="2">
        <v>45139</v>
      </c>
      <c r="I1303" s="3">
        <v>45143</v>
      </c>
      <c r="J1303" s="3">
        <f t="shared" si="20"/>
        <v>45143</v>
      </c>
      <c r="K1303" s="4">
        <v>2183.3100019999997</v>
      </c>
      <c r="L1303">
        <v>365597</v>
      </c>
    </row>
    <row r="1304" spans="1:12" x14ac:dyDescent="0.35">
      <c r="A1304" t="s">
        <v>8</v>
      </c>
      <c r="B1304" t="s">
        <v>9</v>
      </c>
      <c r="C1304" t="s">
        <v>54</v>
      </c>
      <c r="D1304" t="str" cm="1">
        <f t="array" ref="D1304">INDEX(_xlfn.TEXTSPLIT(C1304,"_"),3)</f>
        <v>scalp</v>
      </c>
      <c r="E1304" t="str">
        <f>VLOOKUP(D1304,FranchiseMapping!$A$1:$B$15,2,FALSE)</f>
        <v>Scalp Sync</v>
      </c>
      <c r="F1304" s="1">
        <v>45292</v>
      </c>
      <c r="G1304" t="s">
        <v>10</v>
      </c>
      <c r="H1304" s="2">
        <v>45352</v>
      </c>
      <c r="I1304" s="3">
        <v>45382</v>
      </c>
      <c r="J1304" s="3">
        <f t="shared" si="20"/>
        <v>45388</v>
      </c>
      <c r="K1304" s="4">
        <v>2503.7899970000003</v>
      </c>
      <c r="L1304">
        <v>565050</v>
      </c>
    </row>
    <row r="1305" spans="1:12" x14ac:dyDescent="0.35">
      <c r="A1305" t="s">
        <v>8</v>
      </c>
      <c r="B1305" t="s">
        <v>9</v>
      </c>
      <c r="C1305" t="s">
        <v>46</v>
      </c>
      <c r="D1305" t="str" cm="1">
        <f t="array" ref="D1305">INDEX(_xlfn.TEXTSPLIT(C1305,"_"),3)</f>
        <v>mult</v>
      </c>
      <c r="E1305" t="str">
        <f>VLOOKUP(D1305,FranchiseMapping!$A$1:$B$15,2,FALSE)</f>
        <v>Biolage</v>
      </c>
      <c r="F1305" s="1">
        <v>45658</v>
      </c>
      <c r="G1305" t="s">
        <v>10</v>
      </c>
      <c r="H1305" s="2">
        <v>45778</v>
      </c>
      <c r="I1305" s="3">
        <v>45799</v>
      </c>
      <c r="J1305" s="3">
        <f t="shared" si="20"/>
        <v>45801</v>
      </c>
      <c r="K1305" s="4">
        <v>1419.6100000000004</v>
      </c>
      <c r="L1305">
        <v>221974</v>
      </c>
    </row>
    <row r="1306" spans="1:12" x14ac:dyDescent="0.35">
      <c r="A1306" t="s">
        <v>8</v>
      </c>
      <c r="B1306" t="s">
        <v>9</v>
      </c>
      <c r="C1306" t="s">
        <v>35</v>
      </c>
      <c r="D1306" t="str" cm="1">
        <f t="array" ref="D1306">INDEX(_xlfn.TEXTSPLIT(C1306,"_"),3)</f>
        <v>bfr</v>
      </c>
      <c r="E1306" t="str">
        <f>VLOOKUP(D1306,FranchiseMapping!$A$1:$B$15,2,FALSE)</f>
        <v>Full Rescue</v>
      </c>
      <c r="F1306" s="1">
        <v>45658</v>
      </c>
      <c r="G1306" t="s">
        <v>12</v>
      </c>
      <c r="H1306" s="2">
        <v>45809</v>
      </c>
      <c r="I1306" s="3">
        <v>45813</v>
      </c>
      <c r="J1306" s="3">
        <f t="shared" si="20"/>
        <v>45815</v>
      </c>
      <c r="K1306" s="4">
        <v>1650.2200010000001</v>
      </c>
      <c r="L1306">
        <v>125573</v>
      </c>
    </row>
    <row r="1307" spans="1:12" x14ac:dyDescent="0.35">
      <c r="A1307" t="s">
        <v>8</v>
      </c>
      <c r="B1307" t="s">
        <v>14</v>
      </c>
      <c r="C1307" t="s">
        <v>43</v>
      </c>
      <c r="D1307" t="str" cm="1">
        <f t="array" ref="D1307">INDEX(_xlfn.TEXTSPLIT(C1307,"_"),3)</f>
        <v>bfr</v>
      </c>
      <c r="E1307" t="str">
        <f>VLOOKUP(D1307,FranchiseMapping!$A$1:$B$15,2,FALSE)</f>
        <v>Full Rescue</v>
      </c>
      <c r="F1307" s="1">
        <v>45658</v>
      </c>
      <c r="G1307" t="s">
        <v>10</v>
      </c>
      <c r="H1307" s="2">
        <v>45809</v>
      </c>
      <c r="I1307" s="3">
        <v>45838</v>
      </c>
      <c r="J1307" s="3">
        <f t="shared" si="20"/>
        <v>45843</v>
      </c>
      <c r="K1307" s="4">
        <v>5205.09</v>
      </c>
      <c r="L1307">
        <v>803879</v>
      </c>
    </row>
    <row r="1308" spans="1:12" x14ac:dyDescent="0.35">
      <c r="A1308" t="s">
        <v>8</v>
      </c>
      <c r="B1308" t="s">
        <v>9</v>
      </c>
      <c r="C1308" t="s">
        <v>56</v>
      </c>
      <c r="D1308" t="str" cm="1">
        <f t="array" ref="D1308">INDEX(_xlfn.TEXTSPLIT(C1308,"_"),3)</f>
        <v>haca-colorlast-q3</v>
      </c>
      <c r="E1308" t="str">
        <f>VLOOKUP(D1308,FranchiseMapping!$A$1:$B$15,2,FALSE)</f>
        <v>Color Last</v>
      </c>
      <c r="F1308" s="1">
        <v>44927</v>
      </c>
      <c r="G1308" t="s">
        <v>10</v>
      </c>
      <c r="H1308" s="2">
        <v>45139</v>
      </c>
      <c r="I1308" s="3">
        <v>45155</v>
      </c>
      <c r="J1308" s="3">
        <f t="shared" si="20"/>
        <v>45157</v>
      </c>
      <c r="K1308" s="4">
        <v>694.62999999999988</v>
      </c>
      <c r="L1308">
        <v>95868</v>
      </c>
    </row>
    <row r="1309" spans="1:12" x14ac:dyDescent="0.35">
      <c r="A1309" t="s">
        <v>8</v>
      </c>
      <c r="B1309" t="s">
        <v>13</v>
      </c>
      <c r="C1309" t="s">
        <v>39</v>
      </c>
      <c r="D1309" t="str" cm="1">
        <f t="array" ref="D1309">INDEX(_xlfn.TEXTSPLIT(C1309,"_"),3)</f>
        <v>scalp-sync</v>
      </c>
      <c r="E1309" t="str">
        <f>VLOOKUP(D1309,FranchiseMapping!$A$1:$B$15,2,FALSE)</f>
        <v>Scalp Sync</v>
      </c>
      <c r="F1309" s="1">
        <v>45292</v>
      </c>
      <c r="G1309" t="s">
        <v>12</v>
      </c>
      <c r="H1309" s="2">
        <v>45383</v>
      </c>
      <c r="I1309" s="3">
        <v>45412</v>
      </c>
      <c r="J1309" s="3">
        <f t="shared" si="20"/>
        <v>45416</v>
      </c>
      <c r="K1309" s="4">
        <v>1777.4257890000001</v>
      </c>
      <c r="L1309">
        <v>476770</v>
      </c>
    </row>
    <row r="1310" spans="1:12" x14ac:dyDescent="0.35">
      <c r="A1310" t="s">
        <v>8</v>
      </c>
      <c r="B1310" t="s">
        <v>9</v>
      </c>
      <c r="C1310" t="s">
        <v>38</v>
      </c>
      <c r="D1310" t="str" cm="1">
        <f t="array" ref="D1310">INDEX(_xlfn.TEXTSPLIT(C1310,"_"),3)</f>
        <v>hys</v>
      </c>
      <c r="E1310" t="str">
        <f>VLOOKUP(D1310,FranchiseMapping!$A$1:$B$15,2,FALSE)</f>
        <v>Hydrasource</v>
      </c>
      <c r="F1310" s="1">
        <v>45658</v>
      </c>
      <c r="G1310" t="s">
        <v>12</v>
      </c>
      <c r="H1310" s="2">
        <v>45748</v>
      </c>
      <c r="I1310" s="3">
        <v>45757</v>
      </c>
      <c r="J1310" s="3">
        <f t="shared" si="20"/>
        <v>45759</v>
      </c>
      <c r="K1310" s="4">
        <v>2163.6000010000002</v>
      </c>
      <c r="L1310">
        <v>270799</v>
      </c>
    </row>
    <row r="1311" spans="1:12" x14ac:dyDescent="0.35">
      <c r="A1311" t="s">
        <v>8</v>
      </c>
      <c r="B1311" t="s">
        <v>9</v>
      </c>
      <c r="C1311" t="s">
        <v>38</v>
      </c>
      <c r="D1311" t="str" cm="1">
        <f t="array" ref="D1311">INDEX(_xlfn.TEXTSPLIT(C1311,"_"),3)</f>
        <v>hys</v>
      </c>
      <c r="E1311" t="str">
        <f>VLOOKUP(D1311,FranchiseMapping!$A$1:$B$15,2,FALSE)</f>
        <v>Hydrasource</v>
      </c>
      <c r="F1311" s="1">
        <v>45658</v>
      </c>
      <c r="G1311" t="s">
        <v>10</v>
      </c>
      <c r="H1311" s="2">
        <v>45748</v>
      </c>
      <c r="I1311" s="3">
        <v>45760</v>
      </c>
      <c r="J1311" s="3">
        <f t="shared" si="20"/>
        <v>45766</v>
      </c>
      <c r="K1311" s="4">
        <v>321.60000000000002</v>
      </c>
      <c r="L1311">
        <v>12521</v>
      </c>
    </row>
    <row r="1312" spans="1:12" x14ac:dyDescent="0.35">
      <c r="A1312" t="s">
        <v>8</v>
      </c>
      <c r="B1312" t="s">
        <v>9</v>
      </c>
      <c r="C1312" t="s">
        <v>31</v>
      </c>
      <c r="D1312" t="str" cm="1">
        <f t="array" ref="D1312">INDEX(_xlfn.TEXTSPLIT(C1312,"_"),3)</f>
        <v>scalp</v>
      </c>
      <c r="E1312" t="str">
        <f>VLOOKUP(D1312,FranchiseMapping!$A$1:$B$15,2,FALSE)</f>
        <v>Scalp Sync</v>
      </c>
      <c r="F1312" s="1">
        <v>45292</v>
      </c>
      <c r="G1312" t="s">
        <v>12</v>
      </c>
      <c r="H1312" s="2">
        <v>45352</v>
      </c>
      <c r="I1312" s="3">
        <v>45381</v>
      </c>
      <c r="J1312" s="3">
        <f t="shared" si="20"/>
        <v>45381</v>
      </c>
      <c r="K1312" s="4">
        <v>1547.46</v>
      </c>
      <c r="L1312">
        <v>240524</v>
      </c>
    </row>
    <row r="1313" spans="1:12" x14ac:dyDescent="0.35">
      <c r="A1313" t="s">
        <v>8</v>
      </c>
      <c r="B1313" t="s">
        <v>14</v>
      </c>
      <c r="C1313" t="s">
        <v>29</v>
      </c>
      <c r="D1313" t="str" cm="1">
        <f t="array" ref="D1313">INDEX(_xlfn.TEXTSPLIT(C1313,"_"),3)</f>
        <v>bfr</v>
      </c>
      <c r="E1313" t="str">
        <f>VLOOKUP(D1313,FranchiseMapping!$A$1:$B$15,2,FALSE)</f>
        <v>Full Rescue</v>
      </c>
      <c r="F1313" s="1">
        <v>45658</v>
      </c>
      <c r="G1313" t="s">
        <v>10</v>
      </c>
      <c r="H1313" s="2">
        <v>45809</v>
      </c>
      <c r="I1313" s="3">
        <v>45819</v>
      </c>
      <c r="J1313" s="3">
        <f t="shared" si="20"/>
        <v>45822</v>
      </c>
      <c r="K1313" s="4">
        <v>1747.53</v>
      </c>
      <c r="L1313">
        <v>258286</v>
      </c>
    </row>
    <row r="1314" spans="1:12" x14ac:dyDescent="0.35">
      <c r="A1314" t="s">
        <v>8</v>
      </c>
      <c r="B1314" t="s">
        <v>9</v>
      </c>
      <c r="C1314" t="s">
        <v>60</v>
      </c>
      <c r="D1314" t="str" cm="1">
        <f t="array" ref="D1314">INDEX(_xlfn.TEXTSPLIT(C1314,"_"),3)</f>
        <v>blowdrycream</v>
      </c>
      <c r="E1314" t="str">
        <f>VLOOKUP(D1314,FranchiseMapping!$A$1:$B$15,2,FALSE)</f>
        <v>Blowdry Cream</v>
      </c>
      <c r="F1314" s="1">
        <v>44927</v>
      </c>
      <c r="G1314" t="s">
        <v>11</v>
      </c>
      <c r="H1314" s="2">
        <v>45170</v>
      </c>
      <c r="I1314" s="3">
        <v>45191</v>
      </c>
      <c r="J1314" s="3">
        <f t="shared" si="20"/>
        <v>45192</v>
      </c>
      <c r="K1314" s="4">
        <v>1926.9700030000008</v>
      </c>
      <c r="L1314">
        <v>115333</v>
      </c>
    </row>
    <row r="1315" spans="1:12" x14ac:dyDescent="0.35">
      <c r="A1315" t="s">
        <v>8</v>
      </c>
      <c r="B1315" t="s">
        <v>9</v>
      </c>
      <c r="C1315" t="s">
        <v>35</v>
      </c>
      <c r="D1315" t="str" cm="1">
        <f t="array" ref="D1315">INDEX(_xlfn.TEXTSPLIT(C1315,"_"),3)</f>
        <v>bfr</v>
      </c>
      <c r="E1315" t="str">
        <f>VLOOKUP(D1315,FranchiseMapping!$A$1:$B$15,2,FALSE)</f>
        <v>Full Rescue</v>
      </c>
      <c r="F1315" s="1">
        <v>45658</v>
      </c>
      <c r="G1315" t="s">
        <v>10</v>
      </c>
      <c r="H1315" s="2">
        <v>45809</v>
      </c>
      <c r="I1315" s="3">
        <v>45809</v>
      </c>
      <c r="J1315" s="3">
        <f t="shared" si="20"/>
        <v>45815</v>
      </c>
      <c r="K1315" s="4">
        <v>12.899998999999998</v>
      </c>
      <c r="L1315">
        <v>1470</v>
      </c>
    </row>
    <row r="1316" spans="1:12" x14ac:dyDescent="0.35">
      <c r="A1316" t="s">
        <v>8</v>
      </c>
      <c r="B1316" t="s">
        <v>14</v>
      </c>
      <c r="C1316" t="s">
        <v>47</v>
      </c>
      <c r="D1316" t="str" cm="1">
        <f t="array" ref="D1316">INDEX(_xlfn.TEXTSPLIT(C1316,"_"),3)</f>
        <v>hys</v>
      </c>
      <c r="E1316" t="str">
        <f>VLOOKUP(D1316,FranchiseMapping!$A$1:$B$15,2,FALSE)</f>
        <v>Hydrasource</v>
      </c>
      <c r="F1316" s="1">
        <v>45658</v>
      </c>
      <c r="G1316" t="s">
        <v>12</v>
      </c>
      <c r="H1316" s="2">
        <v>45748</v>
      </c>
      <c r="I1316" s="3">
        <v>45762</v>
      </c>
      <c r="J1316" s="3">
        <f t="shared" si="20"/>
        <v>45766</v>
      </c>
      <c r="K1316" s="4">
        <v>2799.81</v>
      </c>
      <c r="L1316">
        <v>690023</v>
      </c>
    </row>
    <row r="1317" spans="1:12" x14ac:dyDescent="0.35">
      <c r="A1317" t="s">
        <v>8</v>
      </c>
      <c r="B1317" t="s">
        <v>9</v>
      </c>
      <c r="C1317" t="s">
        <v>46</v>
      </c>
      <c r="D1317" t="str" cm="1">
        <f t="array" ref="D1317">INDEX(_xlfn.TEXTSPLIT(C1317,"_"),3)</f>
        <v>mult</v>
      </c>
      <c r="E1317" t="str">
        <f>VLOOKUP(D1317,FranchiseMapping!$A$1:$B$15,2,FALSE)</f>
        <v>Biolage</v>
      </c>
      <c r="F1317" s="1">
        <v>45658</v>
      </c>
      <c r="G1317" t="s">
        <v>10</v>
      </c>
      <c r="H1317" s="2">
        <v>45809</v>
      </c>
      <c r="I1317" s="3">
        <v>45824</v>
      </c>
      <c r="J1317" s="3">
        <f t="shared" si="20"/>
        <v>45829</v>
      </c>
      <c r="K1317" s="4">
        <v>1819.5400009999998</v>
      </c>
      <c r="L1317">
        <v>220636</v>
      </c>
    </row>
    <row r="1318" spans="1:12" x14ac:dyDescent="0.35">
      <c r="A1318" t="s">
        <v>8</v>
      </c>
      <c r="B1318" t="s">
        <v>9</v>
      </c>
      <c r="C1318" t="s">
        <v>72</v>
      </c>
      <c r="D1318" t="str" cm="1">
        <f t="array" ref="D1318">INDEX(_xlfn.TEXTSPLIT(C1318,"_"),3)</f>
        <v>mult</v>
      </c>
      <c r="E1318" t="str">
        <f>VLOOKUP(D1318,FranchiseMapping!$A$1:$B$15,2,FALSE)</f>
        <v>Biolage</v>
      </c>
      <c r="F1318" s="1">
        <v>45658</v>
      </c>
      <c r="G1318" t="s">
        <v>12</v>
      </c>
      <c r="H1318" s="2">
        <v>45689</v>
      </c>
      <c r="I1318" s="3">
        <v>45710</v>
      </c>
      <c r="J1318" s="3">
        <f t="shared" si="20"/>
        <v>45710</v>
      </c>
      <c r="K1318" s="4">
        <v>7448.2299969999995</v>
      </c>
      <c r="L1318">
        <v>970763</v>
      </c>
    </row>
    <row r="1319" spans="1:12" x14ac:dyDescent="0.35">
      <c r="A1319" t="s">
        <v>8</v>
      </c>
      <c r="B1319" t="s">
        <v>9</v>
      </c>
      <c r="C1319" t="s">
        <v>52</v>
      </c>
      <c r="D1319" t="str" cm="1">
        <f t="array" ref="D1319">INDEX(_xlfn.TEXTSPLIT(C1319,"_"),3)</f>
        <v>bond-therapy</v>
      </c>
      <c r="E1319" t="str">
        <f>VLOOKUP(D1319,FranchiseMapping!$A$1:$B$15,2,FALSE)</f>
        <v>Bond Therapy</v>
      </c>
      <c r="F1319" s="1">
        <v>44927</v>
      </c>
      <c r="G1319" t="s">
        <v>11</v>
      </c>
      <c r="H1319" s="2">
        <v>45231</v>
      </c>
      <c r="I1319" s="3">
        <v>45258</v>
      </c>
      <c r="J1319" s="3">
        <f t="shared" si="20"/>
        <v>45262</v>
      </c>
      <c r="K1319" s="4">
        <v>2966.5600019999997</v>
      </c>
      <c r="L1319">
        <v>423480</v>
      </c>
    </row>
    <row r="1320" spans="1:12" x14ac:dyDescent="0.35">
      <c r="A1320" t="s">
        <v>8</v>
      </c>
      <c r="B1320" t="s">
        <v>9</v>
      </c>
      <c r="C1320" t="s">
        <v>38</v>
      </c>
      <c r="D1320" t="str" cm="1">
        <f t="array" ref="D1320">INDEX(_xlfn.TEXTSPLIT(C1320,"_"),3)</f>
        <v>hys</v>
      </c>
      <c r="E1320" t="str">
        <f>VLOOKUP(D1320,FranchiseMapping!$A$1:$B$15,2,FALSE)</f>
        <v>Hydrasource</v>
      </c>
      <c r="F1320" s="1">
        <v>45658</v>
      </c>
      <c r="G1320" t="s">
        <v>10</v>
      </c>
      <c r="H1320" s="2">
        <v>45748</v>
      </c>
      <c r="I1320" s="3">
        <v>45751</v>
      </c>
      <c r="J1320" s="3">
        <f t="shared" si="20"/>
        <v>45752</v>
      </c>
      <c r="K1320" s="4">
        <v>724.88000199999988</v>
      </c>
      <c r="L1320">
        <v>60710</v>
      </c>
    </row>
    <row r="1321" spans="1:12" x14ac:dyDescent="0.35">
      <c r="A1321" t="s">
        <v>8</v>
      </c>
      <c r="B1321" t="s">
        <v>9</v>
      </c>
      <c r="C1321" t="s">
        <v>34</v>
      </c>
      <c r="D1321" t="str" cm="1">
        <f t="array" ref="D1321">INDEX(_xlfn.TEXTSPLIT(C1321,"_"),3)</f>
        <v>hydrasource</v>
      </c>
      <c r="E1321" t="str">
        <f>VLOOKUP(D1321,FranchiseMapping!$A$1:$B$15,2,FALSE)</f>
        <v>Hydrasource</v>
      </c>
      <c r="F1321" s="1">
        <v>45292</v>
      </c>
      <c r="G1321" t="s">
        <v>12</v>
      </c>
      <c r="H1321" s="2">
        <v>45352</v>
      </c>
      <c r="I1321" s="3">
        <v>45354</v>
      </c>
      <c r="J1321" s="3">
        <f t="shared" si="20"/>
        <v>45360</v>
      </c>
      <c r="K1321" s="4">
        <v>944.2</v>
      </c>
      <c r="L1321">
        <v>206826</v>
      </c>
    </row>
    <row r="1322" spans="1:12" x14ac:dyDescent="0.35">
      <c r="A1322" t="s">
        <v>8</v>
      </c>
      <c r="B1322" t="s">
        <v>9</v>
      </c>
      <c r="C1322" t="s">
        <v>33</v>
      </c>
      <c r="D1322" t="str" cm="1">
        <f t="array" ref="D1322">INDEX(_xlfn.TEXTSPLIT(C1322,"_"),3)</f>
        <v>hydrasource</v>
      </c>
      <c r="E1322" t="str">
        <f>VLOOKUP(D1322,FranchiseMapping!$A$1:$B$15,2,FALSE)</f>
        <v>Hydrasource</v>
      </c>
      <c r="F1322" s="1">
        <v>45292</v>
      </c>
      <c r="G1322" t="s">
        <v>11</v>
      </c>
      <c r="H1322" s="2">
        <v>45323</v>
      </c>
      <c r="I1322" s="3">
        <v>45332</v>
      </c>
      <c r="J1322" s="3">
        <f t="shared" si="20"/>
        <v>45332</v>
      </c>
      <c r="K1322" s="4">
        <v>1183.789998</v>
      </c>
      <c r="L1322">
        <v>193883</v>
      </c>
    </row>
    <row r="1323" spans="1:12" x14ac:dyDescent="0.35">
      <c r="A1323" t="s">
        <v>8</v>
      </c>
      <c r="B1323" t="s">
        <v>9</v>
      </c>
      <c r="C1323" t="s">
        <v>53</v>
      </c>
      <c r="D1323" t="str" cm="1">
        <f t="array" ref="D1323">INDEX(_xlfn.TEXTSPLIT(C1323,"_"),3)</f>
        <v>bond-therapy</v>
      </c>
      <c r="E1323" t="str">
        <f>VLOOKUP(D1323,FranchiseMapping!$A$1:$B$15,2,FALSE)</f>
        <v>Bond Therapy</v>
      </c>
      <c r="F1323" s="1">
        <v>44927</v>
      </c>
      <c r="G1323" t="s">
        <v>11</v>
      </c>
      <c r="H1323" s="2">
        <v>45231</v>
      </c>
      <c r="I1323" s="3">
        <v>45259</v>
      </c>
      <c r="J1323" s="3">
        <f t="shared" si="20"/>
        <v>45262</v>
      </c>
      <c r="K1323" s="4">
        <v>1259.1100000000001</v>
      </c>
      <c r="L1323">
        <v>215896</v>
      </c>
    </row>
    <row r="1324" spans="1:12" x14ac:dyDescent="0.35">
      <c r="A1324" t="s">
        <v>8</v>
      </c>
      <c r="B1324" t="s">
        <v>9</v>
      </c>
      <c r="C1324" t="s">
        <v>46</v>
      </c>
      <c r="D1324" t="str" cm="1">
        <f t="array" ref="D1324">INDEX(_xlfn.TEXTSPLIT(C1324,"_"),3)</f>
        <v>mult</v>
      </c>
      <c r="E1324" t="str">
        <f>VLOOKUP(D1324,FranchiseMapping!$A$1:$B$15,2,FALSE)</f>
        <v>Biolage</v>
      </c>
      <c r="F1324" s="1">
        <v>45658</v>
      </c>
      <c r="G1324" t="s">
        <v>12</v>
      </c>
      <c r="H1324" s="2">
        <v>45748</v>
      </c>
      <c r="I1324" s="3">
        <v>45767</v>
      </c>
      <c r="J1324" s="3">
        <f t="shared" si="20"/>
        <v>45773</v>
      </c>
      <c r="K1324" s="4">
        <v>986.03999999999985</v>
      </c>
      <c r="L1324">
        <v>238972</v>
      </c>
    </row>
    <row r="1325" spans="1:12" x14ac:dyDescent="0.35">
      <c r="A1325" t="s">
        <v>8</v>
      </c>
      <c r="B1325" t="s">
        <v>14</v>
      </c>
      <c r="C1325" t="s">
        <v>49</v>
      </c>
      <c r="D1325" t="str" cm="1">
        <f t="array" ref="D1325">INDEX(_xlfn.TEXTSPLIT(C1325,"_"),3)</f>
        <v>hys</v>
      </c>
      <c r="E1325" t="str">
        <f>VLOOKUP(D1325,FranchiseMapping!$A$1:$B$15,2,FALSE)</f>
        <v>Hydrasource</v>
      </c>
      <c r="F1325" s="1">
        <v>45658</v>
      </c>
      <c r="G1325" t="s">
        <v>12</v>
      </c>
      <c r="H1325" s="2">
        <v>45748</v>
      </c>
      <c r="I1325" s="3">
        <v>45767</v>
      </c>
      <c r="J1325" s="3">
        <f t="shared" si="20"/>
        <v>45773</v>
      </c>
      <c r="K1325" s="4">
        <v>5324.16</v>
      </c>
      <c r="L1325">
        <v>1205943</v>
      </c>
    </row>
    <row r="1326" spans="1:12" x14ac:dyDescent="0.35">
      <c r="A1326" t="s">
        <v>8</v>
      </c>
      <c r="B1326" t="s">
        <v>14</v>
      </c>
      <c r="C1326" t="s">
        <v>29</v>
      </c>
      <c r="D1326" t="str" cm="1">
        <f t="array" ref="D1326">INDEX(_xlfn.TEXTSPLIT(C1326,"_"),3)</f>
        <v>bfr</v>
      </c>
      <c r="E1326" t="str">
        <f>VLOOKUP(D1326,FranchiseMapping!$A$1:$B$15,2,FALSE)</f>
        <v>Full Rescue</v>
      </c>
      <c r="F1326" s="1">
        <v>45658</v>
      </c>
      <c r="G1326" t="s">
        <v>10</v>
      </c>
      <c r="H1326" s="2">
        <v>45809</v>
      </c>
      <c r="I1326" s="3">
        <v>45814</v>
      </c>
      <c r="J1326" s="3">
        <f t="shared" si="20"/>
        <v>45815</v>
      </c>
      <c r="K1326" s="4">
        <v>1757.63</v>
      </c>
      <c r="L1326">
        <v>266441</v>
      </c>
    </row>
    <row r="1327" spans="1:12" x14ac:dyDescent="0.35">
      <c r="A1327" t="s">
        <v>8</v>
      </c>
      <c r="B1327" t="s">
        <v>13</v>
      </c>
      <c r="C1327" t="s">
        <v>39</v>
      </c>
      <c r="D1327" t="str" cm="1">
        <f t="array" ref="D1327">INDEX(_xlfn.TEXTSPLIT(C1327,"_"),3)</f>
        <v>scalp-sync</v>
      </c>
      <c r="E1327" t="str">
        <f>VLOOKUP(D1327,FranchiseMapping!$A$1:$B$15,2,FALSE)</f>
        <v>Scalp Sync</v>
      </c>
      <c r="F1327" s="1">
        <v>45292</v>
      </c>
      <c r="G1327" t="s">
        <v>12</v>
      </c>
      <c r="H1327" s="2">
        <v>45383</v>
      </c>
      <c r="I1327" s="3">
        <v>45411</v>
      </c>
      <c r="J1327" s="3">
        <f t="shared" si="20"/>
        <v>45416</v>
      </c>
      <c r="K1327" s="4">
        <v>1768.766832</v>
      </c>
      <c r="L1327">
        <v>455917</v>
      </c>
    </row>
    <row r="1328" spans="1:12" x14ac:dyDescent="0.35">
      <c r="A1328" t="s">
        <v>8</v>
      </c>
      <c r="B1328" t="s">
        <v>9</v>
      </c>
      <c r="C1328" t="s">
        <v>55</v>
      </c>
      <c r="D1328" t="str" cm="1">
        <f t="array" ref="D1328">INDEX(_xlfn.TEXTSPLIT(C1328,"_"),3)</f>
        <v>hydrasource</v>
      </c>
      <c r="E1328" t="str">
        <f>VLOOKUP(D1328,FranchiseMapping!$A$1:$B$15,2,FALSE)</f>
        <v>Hydrasource</v>
      </c>
      <c r="F1328" s="1">
        <v>45292</v>
      </c>
      <c r="G1328" t="s">
        <v>12</v>
      </c>
      <c r="H1328" s="2">
        <v>45566</v>
      </c>
      <c r="I1328" s="3">
        <v>45581</v>
      </c>
      <c r="J1328" s="3">
        <f t="shared" si="20"/>
        <v>45584</v>
      </c>
      <c r="K1328" s="4">
        <v>3630.5099979999995</v>
      </c>
      <c r="L1328">
        <v>778171</v>
      </c>
    </row>
    <row r="1329" spans="1:12" x14ac:dyDescent="0.35">
      <c r="A1329" t="s">
        <v>8</v>
      </c>
      <c r="B1329" t="s">
        <v>13</v>
      </c>
      <c r="C1329" t="s">
        <v>28</v>
      </c>
      <c r="D1329" t="str" cm="1">
        <f t="array" ref="D1329">INDEX(_xlfn.TEXTSPLIT(C1329,"_"),3)</f>
        <v>na</v>
      </c>
      <c r="E1329" t="str">
        <f>VLOOKUP(D1329,FranchiseMapping!$A$1:$B$15,2,FALSE)</f>
        <v>Biolage</v>
      </c>
      <c r="F1329" s="1">
        <v>44927</v>
      </c>
      <c r="G1329" t="s">
        <v>12</v>
      </c>
      <c r="H1329" s="2">
        <v>45139</v>
      </c>
      <c r="I1329" s="3">
        <v>45140</v>
      </c>
      <c r="J1329" s="3">
        <f t="shared" si="20"/>
        <v>45143</v>
      </c>
      <c r="K1329" s="4">
        <v>186.43880200000001</v>
      </c>
      <c r="L1329">
        <v>49704</v>
      </c>
    </row>
    <row r="1330" spans="1:12" x14ac:dyDescent="0.35">
      <c r="A1330" t="s">
        <v>8</v>
      </c>
      <c r="B1330" t="s">
        <v>9</v>
      </c>
      <c r="C1330" t="s">
        <v>46</v>
      </c>
      <c r="D1330" t="str" cm="1">
        <f t="array" ref="D1330">INDEX(_xlfn.TEXTSPLIT(C1330,"_"),3)</f>
        <v>mult</v>
      </c>
      <c r="E1330" t="str">
        <f>VLOOKUP(D1330,FranchiseMapping!$A$1:$B$15,2,FALSE)</f>
        <v>Biolage</v>
      </c>
      <c r="F1330" s="1">
        <v>45658</v>
      </c>
      <c r="G1330" t="s">
        <v>10</v>
      </c>
      <c r="H1330" s="2">
        <v>45778</v>
      </c>
      <c r="I1330" s="3">
        <v>45797</v>
      </c>
      <c r="J1330" s="3">
        <f t="shared" si="20"/>
        <v>45801</v>
      </c>
      <c r="K1330" s="4">
        <v>1360.4399999999998</v>
      </c>
      <c r="L1330">
        <v>216287</v>
      </c>
    </row>
    <row r="1331" spans="1:12" x14ac:dyDescent="0.35">
      <c r="A1331" t="s">
        <v>8</v>
      </c>
      <c r="B1331" t="s">
        <v>9</v>
      </c>
      <c r="C1331" t="s">
        <v>46</v>
      </c>
      <c r="D1331" t="str" cm="1">
        <f t="array" ref="D1331">INDEX(_xlfn.TEXTSPLIT(C1331,"_"),3)</f>
        <v>mult</v>
      </c>
      <c r="E1331" t="str">
        <f>VLOOKUP(D1331,FranchiseMapping!$A$1:$B$15,2,FALSE)</f>
        <v>Biolage</v>
      </c>
      <c r="F1331" s="1">
        <v>45658</v>
      </c>
      <c r="G1331" t="s">
        <v>12</v>
      </c>
      <c r="H1331" s="2">
        <v>45717</v>
      </c>
      <c r="I1331" s="3">
        <v>45731</v>
      </c>
      <c r="J1331" s="3">
        <f t="shared" si="20"/>
        <v>45731</v>
      </c>
      <c r="K1331" s="4">
        <v>2776.7600000000007</v>
      </c>
      <c r="L1331">
        <v>507345</v>
      </c>
    </row>
    <row r="1332" spans="1:12" x14ac:dyDescent="0.35">
      <c r="A1332" t="s">
        <v>8</v>
      </c>
      <c r="B1332" t="s">
        <v>9</v>
      </c>
      <c r="C1332" t="s">
        <v>33</v>
      </c>
      <c r="D1332" t="str" cm="1">
        <f t="array" ref="D1332">INDEX(_xlfn.TEXTSPLIT(C1332,"_"),3)</f>
        <v>hydrasource</v>
      </c>
      <c r="E1332" t="str">
        <f>VLOOKUP(D1332,FranchiseMapping!$A$1:$B$15,2,FALSE)</f>
        <v>Hydrasource</v>
      </c>
      <c r="F1332" s="1">
        <v>45292</v>
      </c>
      <c r="G1332" t="s">
        <v>11</v>
      </c>
      <c r="H1332" s="2">
        <v>45292</v>
      </c>
      <c r="I1332" s="3">
        <v>45316</v>
      </c>
      <c r="J1332" s="3">
        <f t="shared" si="20"/>
        <v>45318</v>
      </c>
      <c r="K1332" s="4">
        <v>1428.2800059999997</v>
      </c>
      <c r="L1332">
        <v>294287</v>
      </c>
    </row>
    <row r="1333" spans="1:12" x14ac:dyDescent="0.35">
      <c r="A1333" t="s">
        <v>8</v>
      </c>
      <c r="B1333" t="s">
        <v>9</v>
      </c>
      <c r="C1333" t="s">
        <v>36</v>
      </c>
      <c r="D1333" t="str" cm="1">
        <f t="array" ref="D1333">INDEX(_xlfn.TEXTSPLIT(C1333,"_"),3)</f>
        <v>bfr</v>
      </c>
      <c r="E1333" t="str">
        <f>VLOOKUP(D1333,FranchiseMapping!$A$1:$B$15,2,FALSE)</f>
        <v>Full Rescue</v>
      </c>
      <c r="F1333" s="1">
        <v>45658</v>
      </c>
      <c r="G1333" t="s">
        <v>12</v>
      </c>
      <c r="H1333" s="2">
        <v>45809</v>
      </c>
      <c r="I1333" s="3">
        <v>45816</v>
      </c>
      <c r="J1333" s="3">
        <f t="shared" si="20"/>
        <v>45822</v>
      </c>
      <c r="K1333" s="4">
        <v>980.19000099999982</v>
      </c>
      <c r="L1333">
        <v>166746</v>
      </c>
    </row>
    <row r="1334" spans="1:12" x14ac:dyDescent="0.35">
      <c r="A1334" t="s">
        <v>8</v>
      </c>
      <c r="B1334" t="s">
        <v>13</v>
      </c>
      <c r="C1334" t="s">
        <v>59</v>
      </c>
      <c r="D1334" t="str" cm="1">
        <f t="array" ref="D1334">INDEX(_xlfn.TEXTSPLIT(C1334,"_"),3)</f>
        <v>scalp-sync</v>
      </c>
      <c r="E1334" t="str">
        <f>VLOOKUP(D1334,FranchiseMapping!$A$1:$B$15,2,FALSE)</f>
        <v>Scalp Sync</v>
      </c>
      <c r="F1334" s="1">
        <v>45292</v>
      </c>
      <c r="G1334" t="s">
        <v>11</v>
      </c>
      <c r="H1334" s="2">
        <v>45413</v>
      </c>
      <c r="I1334" s="3">
        <v>45425</v>
      </c>
      <c r="J1334" s="3">
        <f t="shared" si="20"/>
        <v>45430</v>
      </c>
      <c r="K1334" s="4">
        <v>3399.0721109999999</v>
      </c>
      <c r="L1334">
        <v>1474447</v>
      </c>
    </row>
    <row r="1335" spans="1:12" x14ac:dyDescent="0.35">
      <c r="A1335" t="s">
        <v>8</v>
      </c>
      <c r="B1335" t="s">
        <v>13</v>
      </c>
      <c r="C1335" t="s">
        <v>28</v>
      </c>
      <c r="D1335" t="str" cm="1">
        <f t="array" ref="D1335">INDEX(_xlfn.TEXTSPLIT(C1335,"_"),3)</f>
        <v>na</v>
      </c>
      <c r="E1335" t="str">
        <f>VLOOKUP(D1335,FranchiseMapping!$A$1:$B$15,2,FALSE)</f>
        <v>Biolage</v>
      </c>
      <c r="F1335" s="1">
        <v>44927</v>
      </c>
      <c r="G1335" t="s">
        <v>12</v>
      </c>
      <c r="H1335" s="2">
        <v>45108</v>
      </c>
      <c r="I1335" s="3">
        <v>45138</v>
      </c>
      <c r="J1335" s="3">
        <f t="shared" si="20"/>
        <v>45143</v>
      </c>
      <c r="K1335" s="4">
        <v>243.897535</v>
      </c>
      <c r="L1335">
        <v>74762</v>
      </c>
    </row>
    <row r="1336" spans="1:12" x14ac:dyDescent="0.35">
      <c r="A1336" t="s">
        <v>8</v>
      </c>
      <c r="B1336" t="s">
        <v>14</v>
      </c>
      <c r="C1336" t="s">
        <v>29</v>
      </c>
      <c r="D1336" t="str" cm="1">
        <f t="array" ref="D1336">INDEX(_xlfn.TEXTSPLIT(C1336,"_"),3)</f>
        <v>bfr</v>
      </c>
      <c r="E1336" t="str">
        <f>VLOOKUP(D1336,FranchiseMapping!$A$1:$B$15,2,FALSE)</f>
        <v>Full Rescue</v>
      </c>
      <c r="F1336" s="1">
        <v>45658</v>
      </c>
      <c r="G1336" t="s">
        <v>12</v>
      </c>
      <c r="H1336" s="2">
        <v>45809</v>
      </c>
      <c r="I1336" s="3">
        <v>45835</v>
      </c>
      <c r="J1336" s="3">
        <f t="shared" si="20"/>
        <v>45836</v>
      </c>
      <c r="K1336" s="4">
        <v>334.91999999999996</v>
      </c>
      <c r="L1336">
        <v>53682</v>
      </c>
    </row>
    <row r="1337" spans="1:12" x14ac:dyDescent="0.35">
      <c r="A1337" t="s">
        <v>8</v>
      </c>
      <c r="B1337" t="s">
        <v>9</v>
      </c>
      <c r="C1337" t="s">
        <v>52</v>
      </c>
      <c r="D1337" t="str" cm="1">
        <f t="array" ref="D1337">INDEX(_xlfn.TEXTSPLIT(C1337,"_"),3)</f>
        <v>bond-therapy</v>
      </c>
      <c r="E1337" t="str">
        <f>VLOOKUP(D1337,FranchiseMapping!$A$1:$B$15,2,FALSE)</f>
        <v>Bond Therapy</v>
      </c>
      <c r="F1337" s="1">
        <v>44927</v>
      </c>
      <c r="G1337" t="s">
        <v>11</v>
      </c>
      <c r="H1337" s="2">
        <v>45231</v>
      </c>
      <c r="I1337" s="3">
        <v>45245</v>
      </c>
      <c r="J1337" s="3">
        <f t="shared" si="20"/>
        <v>45248</v>
      </c>
      <c r="K1337" s="4">
        <v>981.4899979999999</v>
      </c>
      <c r="L1337">
        <v>176413</v>
      </c>
    </row>
    <row r="1338" spans="1:12" x14ac:dyDescent="0.35">
      <c r="A1338" t="s">
        <v>8</v>
      </c>
      <c r="B1338" t="s">
        <v>14</v>
      </c>
      <c r="C1338" t="s">
        <v>29</v>
      </c>
      <c r="D1338" t="str" cm="1">
        <f t="array" ref="D1338">INDEX(_xlfn.TEXTSPLIT(C1338,"_"),3)</f>
        <v>bfr</v>
      </c>
      <c r="E1338" t="str">
        <f>VLOOKUP(D1338,FranchiseMapping!$A$1:$B$15,2,FALSE)</f>
        <v>Full Rescue</v>
      </c>
      <c r="F1338" s="1">
        <v>45658</v>
      </c>
      <c r="G1338" t="s">
        <v>12</v>
      </c>
      <c r="H1338" s="2">
        <v>45809</v>
      </c>
      <c r="I1338" s="3">
        <v>45820</v>
      </c>
      <c r="J1338" s="3">
        <f t="shared" si="20"/>
        <v>45822</v>
      </c>
      <c r="K1338" s="4">
        <v>21.960000000000004</v>
      </c>
      <c r="L1338">
        <v>3925</v>
      </c>
    </row>
    <row r="1339" spans="1:12" x14ac:dyDescent="0.35">
      <c r="A1339" t="s">
        <v>8</v>
      </c>
      <c r="B1339" t="s">
        <v>14</v>
      </c>
      <c r="C1339" t="s">
        <v>43</v>
      </c>
      <c r="D1339" t="str" cm="1">
        <f t="array" ref="D1339">INDEX(_xlfn.TEXTSPLIT(C1339,"_"),3)</f>
        <v>bfr</v>
      </c>
      <c r="E1339" t="str">
        <f>VLOOKUP(D1339,FranchiseMapping!$A$1:$B$15,2,FALSE)</f>
        <v>Full Rescue</v>
      </c>
      <c r="F1339" s="1">
        <v>45658</v>
      </c>
      <c r="G1339" t="s">
        <v>10</v>
      </c>
      <c r="H1339" s="2">
        <v>45809</v>
      </c>
      <c r="I1339" s="3">
        <v>45817</v>
      </c>
      <c r="J1339" s="3">
        <f t="shared" si="20"/>
        <v>45822</v>
      </c>
      <c r="K1339" s="4">
        <v>601.49</v>
      </c>
      <c r="L1339">
        <v>123472</v>
      </c>
    </row>
    <row r="1340" spans="1:12" x14ac:dyDescent="0.35">
      <c r="A1340" t="s">
        <v>8</v>
      </c>
      <c r="B1340" t="s">
        <v>9</v>
      </c>
      <c r="C1340" t="s">
        <v>46</v>
      </c>
      <c r="D1340" t="str" cm="1">
        <f t="array" ref="D1340">INDEX(_xlfn.TEXTSPLIT(C1340,"_"),3)</f>
        <v>mult</v>
      </c>
      <c r="E1340" t="str">
        <f>VLOOKUP(D1340,FranchiseMapping!$A$1:$B$15,2,FALSE)</f>
        <v>Biolage</v>
      </c>
      <c r="F1340" s="1">
        <v>45658</v>
      </c>
      <c r="G1340" t="s">
        <v>10</v>
      </c>
      <c r="H1340" s="2">
        <v>45748</v>
      </c>
      <c r="I1340" s="3">
        <v>45758</v>
      </c>
      <c r="J1340" s="3">
        <f t="shared" si="20"/>
        <v>45759</v>
      </c>
      <c r="K1340" s="4">
        <v>633.66999799999985</v>
      </c>
      <c r="L1340">
        <v>134409</v>
      </c>
    </row>
    <row r="1341" spans="1:12" x14ac:dyDescent="0.35">
      <c r="A1341" t="s">
        <v>8</v>
      </c>
      <c r="B1341" t="s">
        <v>9</v>
      </c>
      <c r="C1341" t="s">
        <v>48</v>
      </c>
      <c r="D1341" t="str" cm="1">
        <f t="array" ref="D1341">INDEX(_xlfn.TEXTSPLIT(C1341,"_"),3)</f>
        <v>scalp</v>
      </c>
      <c r="E1341" t="str">
        <f>VLOOKUP(D1341,FranchiseMapping!$A$1:$B$15,2,FALSE)</f>
        <v>Scalp Sync</v>
      </c>
      <c r="F1341" s="1">
        <v>45292</v>
      </c>
      <c r="G1341" t="s">
        <v>12</v>
      </c>
      <c r="H1341" s="2">
        <v>45383</v>
      </c>
      <c r="I1341" s="3">
        <v>45393</v>
      </c>
      <c r="J1341" s="3">
        <f t="shared" si="20"/>
        <v>45395</v>
      </c>
      <c r="K1341" s="4">
        <v>712.61999899999989</v>
      </c>
      <c r="L1341">
        <v>176771</v>
      </c>
    </row>
    <row r="1342" spans="1:12" x14ac:dyDescent="0.35">
      <c r="A1342" t="s">
        <v>8</v>
      </c>
      <c r="B1342" t="s">
        <v>9</v>
      </c>
      <c r="C1342" t="s">
        <v>56</v>
      </c>
      <c r="D1342" t="str" cm="1">
        <f t="array" ref="D1342">INDEX(_xlfn.TEXTSPLIT(C1342,"_"),3)</f>
        <v>haca-colorlast-q3</v>
      </c>
      <c r="E1342" t="str">
        <f>VLOOKUP(D1342,FranchiseMapping!$A$1:$B$15,2,FALSE)</f>
        <v>Color Last</v>
      </c>
      <c r="F1342" s="1">
        <v>44927</v>
      </c>
      <c r="G1342" t="s">
        <v>10</v>
      </c>
      <c r="H1342" s="2">
        <v>45108</v>
      </c>
      <c r="I1342" s="3">
        <v>45125</v>
      </c>
      <c r="J1342" s="3">
        <f t="shared" si="20"/>
        <v>45129</v>
      </c>
      <c r="K1342" s="4">
        <v>2247.6899969999999</v>
      </c>
      <c r="L1342">
        <v>359258</v>
      </c>
    </row>
    <row r="1343" spans="1:12" x14ac:dyDescent="0.35">
      <c r="A1343" t="s">
        <v>8</v>
      </c>
      <c r="B1343" t="s">
        <v>9</v>
      </c>
      <c r="C1343" t="s">
        <v>30</v>
      </c>
      <c r="D1343" t="str" cm="1">
        <f t="array" ref="D1343">INDEX(_xlfn.TEXTSPLIT(C1343,"_"),3)</f>
        <v>q3-haca-colorlast</v>
      </c>
      <c r="E1343" t="str">
        <f>VLOOKUP(D1343,FranchiseMapping!$A$1:$B$15,2,FALSE)</f>
        <v>Color Last</v>
      </c>
      <c r="F1343" s="1">
        <v>44927</v>
      </c>
      <c r="G1343" t="s">
        <v>10</v>
      </c>
      <c r="H1343" s="2">
        <v>45139</v>
      </c>
      <c r="I1343" s="3">
        <v>45147</v>
      </c>
      <c r="J1343" s="3">
        <f t="shared" si="20"/>
        <v>45150</v>
      </c>
      <c r="K1343" s="4">
        <v>3974.130001999999</v>
      </c>
      <c r="L1343">
        <v>595967</v>
      </c>
    </row>
    <row r="1344" spans="1:12" x14ac:dyDescent="0.35">
      <c r="A1344" t="s">
        <v>8</v>
      </c>
      <c r="B1344" t="s">
        <v>14</v>
      </c>
      <c r="C1344" t="s">
        <v>49</v>
      </c>
      <c r="D1344" t="str" cm="1">
        <f t="array" ref="D1344">INDEX(_xlfn.TEXTSPLIT(C1344,"_"),3)</f>
        <v>hys</v>
      </c>
      <c r="E1344" t="str">
        <f>VLOOKUP(D1344,FranchiseMapping!$A$1:$B$15,2,FALSE)</f>
        <v>Hydrasource</v>
      </c>
      <c r="F1344" s="1">
        <v>45658</v>
      </c>
      <c r="G1344" t="s">
        <v>10</v>
      </c>
      <c r="H1344" s="2">
        <v>45748</v>
      </c>
      <c r="I1344" s="3">
        <v>45764</v>
      </c>
      <c r="J1344" s="3">
        <f t="shared" si="20"/>
        <v>45766</v>
      </c>
      <c r="K1344" s="4">
        <v>103.33</v>
      </c>
      <c r="L1344">
        <v>38403</v>
      </c>
    </row>
    <row r="1345" spans="1:12" x14ac:dyDescent="0.35">
      <c r="A1345" t="s">
        <v>8</v>
      </c>
      <c r="B1345" t="s">
        <v>13</v>
      </c>
      <c r="C1345" t="s">
        <v>28</v>
      </c>
      <c r="D1345" t="str" cm="1">
        <f t="array" ref="D1345">INDEX(_xlfn.TEXTSPLIT(C1345,"_"),3)</f>
        <v>na</v>
      </c>
      <c r="E1345" t="str">
        <f>VLOOKUP(D1345,FranchiseMapping!$A$1:$B$15,2,FALSE)</f>
        <v>Biolage</v>
      </c>
      <c r="F1345" s="1">
        <v>44927</v>
      </c>
      <c r="G1345" t="s">
        <v>10</v>
      </c>
      <c r="H1345" s="2">
        <v>45139</v>
      </c>
      <c r="I1345" s="3">
        <v>45145</v>
      </c>
      <c r="J1345" s="3">
        <f t="shared" si="20"/>
        <v>45150</v>
      </c>
      <c r="K1345" s="4">
        <v>1493.2814169999999</v>
      </c>
      <c r="L1345">
        <v>178319</v>
      </c>
    </row>
    <row r="1346" spans="1:12" x14ac:dyDescent="0.35">
      <c r="A1346" t="s">
        <v>8</v>
      </c>
      <c r="B1346" t="s">
        <v>9</v>
      </c>
      <c r="C1346" t="s">
        <v>38</v>
      </c>
      <c r="D1346" t="str" cm="1">
        <f t="array" ref="D1346">INDEX(_xlfn.TEXTSPLIT(C1346,"_"),3)</f>
        <v>hys</v>
      </c>
      <c r="E1346" t="str">
        <f>VLOOKUP(D1346,FranchiseMapping!$A$1:$B$15,2,FALSE)</f>
        <v>Hydrasource</v>
      </c>
      <c r="F1346" s="1">
        <v>45658</v>
      </c>
      <c r="G1346" t="s">
        <v>12</v>
      </c>
      <c r="H1346" s="2">
        <v>45748</v>
      </c>
      <c r="I1346" s="3">
        <v>45766</v>
      </c>
      <c r="J1346" s="3">
        <f t="shared" si="20"/>
        <v>45766</v>
      </c>
      <c r="K1346" s="4">
        <v>2275.1099989999998</v>
      </c>
      <c r="L1346">
        <v>342011</v>
      </c>
    </row>
    <row r="1347" spans="1:12" x14ac:dyDescent="0.35">
      <c r="A1347" t="s">
        <v>8</v>
      </c>
      <c r="B1347" t="s">
        <v>9</v>
      </c>
      <c r="C1347" t="s">
        <v>50</v>
      </c>
      <c r="D1347" t="str" cm="1">
        <f t="array" ref="D1347">INDEX(_xlfn.TEXTSPLIT(C1347,"_"),3)</f>
        <v>bond-therapy</v>
      </c>
      <c r="E1347" t="str">
        <f>VLOOKUP(D1347,FranchiseMapping!$A$1:$B$15,2,FALSE)</f>
        <v>Bond Therapy</v>
      </c>
      <c r="F1347" s="1">
        <v>44927</v>
      </c>
      <c r="G1347" t="s">
        <v>12</v>
      </c>
      <c r="H1347" s="2">
        <v>45231</v>
      </c>
      <c r="I1347" s="3">
        <v>45252</v>
      </c>
      <c r="J1347" s="3">
        <f t="shared" ref="J1347:J1410" si="21">I1347 + (7 - WEEKDAY(I1347, 1))</f>
        <v>45255</v>
      </c>
      <c r="K1347" s="4">
        <v>3098.7099960000005</v>
      </c>
      <c r="L1347">
        <v>302984</v>
      </c>
    </row>
    <row r="1348" spans="1:12" x14ac:dyDescent="0.35">
      <c r="A1348" t="s">
        <v>8</v>
      </c>
      <c r="B1348" t="s">
        <v>9</v>
      </c>
      <c r="C1348" t="s">
        <v>52</v>
      </c>
      <c r="D1348" t="str" cm="1">
        <f t="array" ref="D1348">INDEX(_xlfn.TEXTSPLIT(C1348,"_"),3)</f>
        <v>bond-therapy</v>
      </c>
      <c r="E1348" t="str">
        <f>VLOOKUP(D1348,FranchiseMapping!$A$1:$B$15,2,FALSE)</f>
        <v>Bond Therapy</v>
      </c>
      <c r="F1348" s="1">
        <v>44927</v>
      </c>
      <c r="G1348" t="s">
        <v>11</v>
      </c>
      <c r="H1348" s="2">
        <v>45261</v>
      </c>
      <c r="I1348" s="3">
        <v>45279</v>
      </c>
      <c r="J1348" s="3">
        <f t="shared" si="21"/>
        <v>45283</v>
      </c>
      <c r="K1348" s="4">
        <v>2878.979996</v>
      </c>
      <c r="L1348">
        <v>402514</v>
      </c>
    </row>
    <row r="1349" spans="1:12" x14ac:dyDescent="0.35">
      <c r="A1349" t="s">
        <v>8</v>
      </c>
      <c r="B1349" t="s">
        <v>9</v>
      </c>
      <c r="C1349" t="s">
        <v>52</v>
      </c>
      <c r="D1349" t="str" cm="1">
        <f t="array" ref="D1349">INDEX(_xlfn.TEXTSPLIT(C1349,"_"),3)</f>
        <v>bond-therapy</v>
      </c>
      <c r="E1349" t="str">
        <f>VLOOKUP(D1349,FranchiseMapping!$A$1:$B$15,2,FALSE)</f>
        <v>Bond Therapy</v>
      </c>
      <c r="F1349" s="1">
        <v>44927</v>
      </c>
      <c r="G1349" t="s">
        <v>11</v>
      </c>
      <c r="H1349" s="2">
        <v>45231</v>
      </c>
      <c r="I1349" s="3">
        <v>45256</v>
      </c>
      <c r="J1349" s="3">
        <f t="shared" si="21"/>
        <v>45262</v>
      </c>
      <c r="K1349" s="4">
        <v>3098.3700009999998</v>
      </c>
      <c r="L1349">
        <v>474738</v>
      </c>
    </row>
    <row r="1350" spans="1:12" x14ac:dyDescent="0.35">
      <c r="A1350" t="s">
        <v>8</v>
      </c>
      <c r="B1350" t="s">
        <v>9</v>
      </c>
      <c r="C1350" t="s">
        <v>35</v>
      </c>
      <c r="D1350" t="str" cm="1">
        <f t="array" ref="D1350">INDEX(_xlfn.TEXTSPLIT(C1350,"_"),3)</f>
        <v>bfr</v>
      </c>
      <c r="E1350" t="str">
        <f>VLOOKUP(D1350,FranchiseMapping!$A$1:$B$15,2,FALSE)</f>
        <v>Full Rescue</v>
      </c>
      <c r="F1350" s="1">
        <v>45658</v>
      </c>
      <c r="G1350" t="s">
        <v>12</v>
      </c>
      <c r="H1350" s="2">
        <v>45778</v>
      </c>
      <c r="I1350" s="3">
        <v>45800</v>
      </c>
      <c r="J1350" s="3">
        <f t="shared" si="21"/>
        <v>45801</v>
      </c>
      <c r="K1350" s="4">
        <v>1716.1700000000003</v>
      </c>
      <c r="L1350">
        <v>128280</v>
      </c>
    </row>
    <row r="1351" spans="1:12" x14ac:dyDescent="0.35">
      <c r="A1351" t="s">
        <v>8</v>
      </c>
      <c r="B1351" t="s">
        <v>13</v>
      </c>
      <c r="C1351" t="s">
        <v>51</v>
      </c>
      <c r="D1351" t="str" cm="1">
        <f t="array" ref="D1351">INDEX(_xlfn.TEXTSPLIT(C1351,"_"),3)</f>
        <v>na</v>
      </c>
      <c r="E1351" t="str">
        <f>VLOOKUP(D1351,FranchiseMapping!$A$1:$B$15,2,FALSE)</f>
        <v>Biolage</v>
      </c>
      <c r="F1351" s="1">
        <v>44927</v>
      </c>
      <c r="G1351" t="s">
        <v>11</v>
      </c>
      <c r="H1351" s="2">
        <v>45139</v>
      </c>
      <c r="I1351" s="3">
        <v>45158</v>
      </c>
      <c r="J1351" s="3">
        <f t="shared" si="21"/>
        <v>45164</v>
      </c>
      <c r="K1351" s="4">
        <v>748.33034199999997</v>
      </c>
      <c r="L1351">
        <v>285109</v>
      </c>
    </row>
    <row r="1352" spans="1:12" x14ac:dyDescent="0.35">
      <c r="A1352" t="s">
        <v>8</v>
      </c>
      <c r="B1352" t="s">
        <v>14</v>
      </c>
      <c r="C1352" t="s">
        <v>49</v>
      </c>
      <c r="D1352" t="str" cm="1">
        <f t="array" ref="D1352">INDEX(_xlfn.TEXTSPLIT(C1352,"_"),3)</f>
        <v>hys</v>
      </c>
      <c r="E1352" t="str">
        <f>VLOOKUP(D1352,FranchiseMapping!$A$1:$B$15,2,FALSE)</f>
        <v>Hydrasource</v>
      </c>
      <c r="F1352" s="1">
        <v>45658</v>
      </c>
      <c r="G1352" t="s">
        <v>10</v>
      </c>
      <c r="H1352" s="2">
        <v>45748</v>
      </c>
      <c r="I1352" s="3">
        <v>45750</v>
      </c>
      <c r="J1352" s="3">
        <f t="shared" si="21"/>
        <v>45752</v>
      </c>
      <c r="K1352" s="4">
        <v>487.21000000000004</v>
      </c>
      <c r="L1352">
        <v>150110</v>
      </c>
    </row>
    <row r="1353" spans="1:12" x14ac:dyDescent="0.35">
      <c r="A1353" t="s">
        <v>8</v>
      </c>
      <c r="B1353" t="s">
        <v>13</v>
      </c>
      <c r="C1353" t="s">
        <v>42</v>
      </c>
      <c r="D1353" t="str" cm="1">
        <f t="array" ref="D1353">INDEX(_xlfn.TEXTSPLIT(C1353,"_"),3)</f>
        <v>bfr</v>
      </c>
      <c r="E1353" t="str">
        <f>VLOOKUP(D1353,FranchiseMapping!$A$1:$B$15,2,FALSE)</f>
        <v>Full Rescue</v>
      </c>
      <c r="F1353" s="1">
        <v>45658</v>
      </c>
      <c r="G1353" t="s">
        <v>12</v>
      </c>
      <c r="H1353" s="2">
        <v>45809</v>
      </c>
      <c r="I1353" s="3">
        <v>45813</v>
      </c>
      <c r="J1353" s="3">
        <f t="shared" si="21"/>
        <v>45815</v>
      </c>
      <c r="K1353" s="4">
        <v>1305.249159</v>
      </c>
      <c r="L1353">
        <v>624900</v>
      </c>
    </row>
    <row r="1354" spans="1:12" x14ac:dyDescent="0.35">
      <c r="A1354" t="s">
        <v>8</v>
      </c>
      <c r="B1354" t="s">
        <v>9</v>
      </c>
      <c r="C1354" t="s">
        <v>70</v>
      </c>
      <c r="D1354" t="str" cm="1">
        <f t="array" ref="D1354">INDEX(_xlfn.TEXTSPLIT(C1354,"_"),3)</f>
        <v>mult</v>
      </c>
      <c r="E1354" t="str">
        <f>VLOOKUP(D1354,FranchiseMapping!$A$1:$B$15,2,FALSE)</f>
        <v>Biolage</v>
      </c>
      <c r="F1354" s="1">
        <v>45292</v>
      </c>
      <c r="G1354" t="s">
        <v>12</v>
      </c>
      <c r="H1354" s="2">
        <v>45597</v>
      </c>
      <c r="I1354" s="3">
        <v>45623</v>
      </c>
      <c r="J1354" s="3">
        <f t="shared" si="21"/>
        <v>45626</v>
      </c>
      <c r="K1354" s="4">
        <v>14643.889996000004</v>
      </c>
      <c r="L1354">
        <v>1414461</v>
      </c>
    </row>
    <row r="1355" spans="1:12" x14ac:dyDescent="0.35">
      <c r="A1355" t="s">
        <v>8</v>
      </c>
      <c r="B1355" t="s">
        <v>9</v>
      </c>
      <c r="C1355" t="s">
        <v>35</v>
      </c>
      <c r="D1355" t="str" cm="1">
        <f t="array" ref="D1355">INDEX(_xlfn.TEXTSPLIT(C1355,"_"),3)</f>
        <v>bfr</v>
      </c>
      <c r="E1355" t="str">
        <f>VLOOKUP(D1355,FranchiseMapping!$A$1:$B$15,2,FALSE)</f>
        <v>Full Rescue</v>
      </c>
      <c r="F1355" s="1">
        <v>45658</v>
      </c>
      <c r="G1355" t="s">
        <v>10</v>
      </c>
      <c r="H1355" s="2">
        <v>45809</v>
      </c>
      <c r="I1355" s="3">
        <v>45812</v>
      </c>
      <c r="J1355" s="3">
        <f t="shared" si="21"/>
        <v>45815</v>
      </c>
      <c r="K1355" s="4">
        <v>42.949999999999996</v>
      </c>
      <c r="L1355">
        <v>4680</v>
      </c>
    </row>
    <row r="1356" spans="1:12" x14ac:dyDescent="0.35">
      <c r="A1356" t="s">
        <v>8</v>
      </c>
      <c r="B1356" t="s">
        <v>13</v>
      </c>
      <c r="C1356" t="s">
        <v>28</v>
      </c>
      <c r="D1356" t="str" cm="1">
        <f t="array" ref="D1356">INDEX(_xlfn.TEXTSPLIT(C1356,"_"),3)</f>
        <v>na</v>
      </c>
      <c r="E1356" t="str">
        <f>VLOOKUP(D1356,FranchiseMapping!$A$1:$B$15,2,FALSE)</f>
        <v>Biolage</v>
      </c>
      <c r="F1356" s="1">
        <v>44927</v>
      </c>
      <c r="G1356" t="s">
        <v>10</v>
      </c>
      <c r="H1356" s="2">
        <v>45108</v>
      </c>
      <c r="I1356" s="3">
        <v>45134</v>
      </c>
      <c r="J1356" s="3">
        <f t="shared" si="21"/>
        <v>45136</v>
      </c>
      <c r="K1356" s="4">
        <v>1238.2752379999999</v>
      </c>
      <c r="L1356">
        <v>126404</v>
      </c>
    </row>
    <row r="1357" spans="1:12" x14ac:dyDescent="0.35">
      <c r="A1357" t="s">
        <v>8</v>
      </c>
      <c r="B1357" t="s">
        <v>9</v>
      </c>
      <c r="C1357" t="s">
        <v>48</v>
      </c>
      <c r="D1357" t="str" cm="1">
        <f t="array" ref="D1357">INDEX(_xlfn.TEXTSPLIT(C1357,"_"),3)</f>
        <v>scalp</v>
      </c>
      <c r="E1357" t="str">
        <f>VLOOKUP(D1357,FranchiseMapping!$A$1:$B$15,2,FALSE)</f>
        <v>Scalp Sync</v>
      </c>
      <c r="F1357" s="1">
        <v>45292</v>
      </c>
      <c r="G1357" t="s">
        <v>10</v>
      </c>
      <c r="H1357" s="2">
        <v>45383</v>
      </c>
      <c r="I1357" s="3">
        <v>45402</v>
      </c>
      <c r="J1357" s="3">
        <f t="shared" si="21"/>
        <v>45402</v>
      </c>
      <c r="K1357" s="4">
        <v>186.10999999999999</v>
      </c>
      <c r="L1357">
        <v>44108</v>
      </c>
    </row>
    <row r="1358" spans="1:12" x14ac:dyDescent="0.35">
      <c r="A1358" t="s">
        <v>8</v>
      </c>
      <c r="B1358" t="s">
        <v>9</v>
      </c>
      <c r="C1358" t="s">
        <v>31</v>
      </c>
      <c r="D1358" t="str" cm="1">
        <f t="array" ref="D1358">INDEX(_xlfn.TEXTSPLIT(C1358,"_"),3)</f>
        <v>scalp</v>
      </c>
      <c r="E1358" t="str">
        <f>VLOOKUP(D1358,FranchiseMapping!$A$1:$B$15,2,FALSE)</f>
        <v>Scalp Sync</v>
      </c>
      <c r="F1358" s="1">
        <v>45292</v>
      </c>
      <c r="G1358" t="s">
        <v>12</v>
      </c>
      <c r="H1358" s="2">
        <v>45383</v>
      </c>
      <c r="I1358" s="3">
        <v>45387</v>
      </c>
      <c r="J1358" s="3">
        <f t="shared" si="21"/>
        <v>45388</v>
      </c>
      <c r="K1358" s="4">
        <v>1313.629999</v>
      </c>
      <c r="L1358">
        <v>223300</v>
      </c>
    </row>
    <row r="1359" spans="1:12" x14ac:dyDescent="0.35">
      <c r="A1359" t="s">
        <v>8</v>
      </c>
      <c r="B1359" t="s">
        <v>9</v>
      </c>
      <c r="C1359" t="s">
        <v>48</v>
      </c>
      <c r="D1359" t="str" cm="1">
        <f t="array" ref="D1359">INDEX(_xlfn.TEXTSPLIT(C1359,"_"),3)</f>
        <v>scalp</v>
      </c>
      <c r="E1359" t="str">
        <f>VLOOKUP(D1359,FranchiseMapping!$A$1:$B$15,2,FALSE)</f>
        <v>Scalp Sync</v>
      </c>
      <c r="F1359" s="1">
        <v>45292</v>
      </c>
      <c r="G1359" t="s">
        <v>12</v>
      </c>
      <c r="H1359" s="2">
        <v>45383</v>
      </c>
      <c r="I1359" s="3">
        <v>45403</v>
      </c>
      <c r="J1359" s="3">
        <f t="shared" si="21"/>
        <v>45409</v>
      </c>
      <c r="K1359" s="4">
        <v>708.49000299999989</v>
      </c>
      <c r="L1359">
        <v>175984</v>
      </c>
    </row>
    <row r="1360" spans="1:12" x14ac:dyDescent="0.35">
      <c r="A1360" t="s">
        <v>8</v>
      </c>
      <c r="B1360" t="s">
        <v>9</v>
      </c>
      <c r="C1360" t="s">
        <v>41</v>
      </c>
      <c r="D1360" t="str" cm="1">
        <f t="array" ref="D1360">INDEX(_xlfn.TEXTSPLIT(C1360,"_"),3)</f>
        <v>hys</v>
      </c>
      <c r="E1360" t="str">
        <f>VLOOKUP(D1360,FranchiseMapping!$A$1:$B$15,2,FALSE)</f>
        <v>Hydrasource</v>
      </c>
      <c r="F1360" s="1">
        <v>45658</v>
      </c>
      <c r="G1360" t="s">
        <v>12</v>
      </c>
      <c r="H1360" s="2">
        <v>45748</v>
      </c>
      <c r="I1360" s="3">
        <v>45752</v>
      </c>
      <c r="J1360" s="3">
        <f t="shared" si="21"/>
        <v>45752</v>
      </c>
      <c r="K1360" s="4">
        <v>4025.0799990000014</v>
      </c>
      <c r="L1360">
        <v>510146</v>
      </c>
    </row>
    <row r="1361" spans="1:12" x14ac:dyDescent="0.35">
      <c r="A1361" t="s">
        <v>8</v>
      </c>
      <c r="B1361" t="s">
        <v>9</v>
      </c>
      <c r="C1361" t="s">
        <v>52</v>
      </c>
      <c r="D1361" t="str" cm="1">
        <f t="array" ref="D1361">INDEX(_xlfn.TEXTSPLIT(C1361,"_"),3)</f>
        <v>bond-therapy</v>
      </c>
      <c r="E1361" t="str">
        <f>VLOOKUP(D1361,FranchiseMapping!$A$1:$B$15,2,FALSE)</f>
        <v>Bond Therapy</v>
      </c>
      <c r="F1361" s="1">
        <v>44927</v>
      </c>
      <c r="G1361" t="s">
        <v>11</v>
      </c>
      <c r="H1361" s="2">
        <v>45261</v>
      </c>
      <c r="I1361" s="3">
        <v>45280</v>
      </c>
      <c r="J1361" s="3">
        <f t="shared" si="21"/>
        <v>45283</v>
      </c>
      <c r="K1361" s="4">
        <v>2718.010002</v>
      </c>
      <c r="L1361">
        <v>388108</v>
      </c>
    </row>
    <row r="1362" spans="1:12" x14ac:dyDescent="0.35">
      <c r="A1362" t="s">
        <v>8</v>
      </c>
      <c r="B1362" t="s">
        <v>9</v>
      </c>
      <c r="C1362" t="s">
        <v>31</v>
      </c>
      <c r="D1362" t="str" cm="1">
        <f t="array" ref="D1362">INDEX(_xlfn.TEXTSPLIT(C1362,"_"),3)</f>
        <v>scalp</v>
      </c>
      <c r="E1362" t="str">
        <f>VLOOKUP(D1362,FranchiseMapping!$A$1:$B$15,2,FALSE)</f>
        <v>Scalp Sync</v>
      </c>
      <c r="F1362" s="1">
        <v>45292</v>
      </c>
      <c r="G1362" t="s">
        <v>10</v>
      </c>
      <c r="H1362" s="2">
        <v>45383</v>
      </c>
      <c r="I1362" s="3">
        <v>45399</v>
      </c>
      <c r="J1362" s="3">
        <f t="shared" si="21"/>
        <v>45402</v>
      </c>
      <c r="K1362" s="4">
        <v>72.860000000000014</v>
      </c>
      <c r="L1362">
        <v>8785</v>
      </c>
    </row>
    <row r="1363" spans="1:12" x14ac:dyDescent="0.35">
      <c r="A1363" t="s">
        <v>8</v>
      </c>
      <c r="B1363" t="s">
        <v>9</v>
      </c>
      <c r="C1363" t="s">
        <v>50</v>
      </c>
      <c r="D1363" t="str" cm="1">
        <f t="array" ref="D1363">INDEX(_xlfn.TEXTSPLIT(C1363,"_"),3)</f>
        <v>bond-therapy</v>
      </c>
      <c r="E1363" t="str">
        <f>VLOOKUP(D1363,FranchiseMapping!$A$1:$B$15,2,FALSE)</f>
        <v>Bond Therapy</v>
      </c>
      <c r="F1363" s="1">
        <v>44927</v>
      </c>
      <c r="G1363" t="s">
        <v>12</v>
      </c>
      <c r="H1363" s="2">
        <v>45261</v>
      </c>
      <c r="I1363" s="3">
        <v>45286</v>
      </c>
      <c r="J1363" s="3">
        <f t="shared" si="21"/>
        <v>45290</v>
      </c>
      <c r="K1363" s="4">
        <v>2814.5000010000008</v>
      </c>
      <c r="L1363">
        <v>319214</v>
      </c>
    </row>
    <row r="1364" spans="1:12" x14ac:dyDescent="0.35">
      <c r="A1364" t="s">
        <v>8</v>
      </c>
      <c r="B1364" t="s">
        <v>14</v>
      </c>
      <c r="C1364" t="s">
        <v>49</v>
      </c>
      <c r="D1364" t="str" cm="1">
        <f t="array" ref="D1364">INDEX(_xlfn.TEXTSPLIT(C1364,"_"),3)</f>
        <v>hys</v>
      </c>
      <c r="E1364" t="str">
        <f>VLOOKUP(D1364,FranchiseMapping!$A$1:$B$15,2,FALSE)</f>
        <v>Hydrasource</v>
      </c>
      <c r="F1364" s="1">
        <v>45658</v>
      </c>
      <c r="G1364" t="s">
        <v>10</v>
      </c>
      <c r="H1364" s="2">
        <v>45748</v>
      </c>
      <c r="I1364" s="3">
        <v>45755</v>
      </c>
      <c r="J1364" s="3">
        <f t="shared" si="21"/>
        <v>45759</v>
      </c>
      <c r="K1364" s="4">
        <v>122.29</v>
      </c>
      <c r="L1364">
        <v>38516</v>
      </c>
    </row>
    <row r="1365" spans="1:12" x14ac:dyDescent="0.35">
      <c r="A1365" t="s">
        <v>8</v>
      </c>
      <c r="B1365" t="s">
        <v>9</v>
      </c>
      <c r="C1365" t="s">
        <v>31</v>
      </c>
      <c r="D1365" t="str" cm="1">
        <f t="array" ref="D1365">INDEX(_xlfn.TEXTSPLIT(C1365,"_"),3)</f>
        <v>scalp</v>
      </c>
      <c r="E1365" t="str">
        <f>VLOOKUP(D1365,FranchiseMapping!$A$1:$B$15,2,FALSE)</f>
        <v>Scalp Sync</v>
      </c>
      <c r="F1365" s="1">
        <v>45292</v>
      </c>
      <c r="G1365" t="s">
        <v>10</v>
      </c>
      <c r="H1365" s="2">
        <v>45352</v>
      </c>
      <c r="I1365" s="3">
        <v>45367</v>
      </c>
      <c r="J1365" s="3">
        <f t="shared" si="21"/>
        <v>45367</v>
      </c>
      <c r="K1365" s="4">
        <v>1634.1799979999998</v>
      </c>
      <c r="L1365">
        <v>234188</v>
      </c>
    </row>
    <row r="1366" spans="1:12" x14ac:dyDescent="0.35">
      <c r="A1366" t="s">
        <v>8</v>
      </c>
      <c r="B1366" t="s">
        <v>9</v>
      </c>
      <c r="C1366" t="s">
        <v>36</v>
      </c>
      <c r="D1366" t="str" cm="1">
        <f t="array" ref="D1366">INDEX(_xlfn.TEXTSPLIT(C1366,"_"),3)</f>
        <v>bfr</v>
      </c>
      <c r="E1366" t="str">
        <f>VLOOKUP(D1366,FranchiseMapping!$A$1:$B$15,2,FALSE)</f>
        <v>Full Rescue</v>
      </c>
      <c r="F1366" s="1">
        <v>45658</v>
      </c>
      <c r="G1366" t="s">
        <v>10</v>
      </c>
      <c r="H1366" s="2">
        <v>45809</v>
      </c>
      <c r="I1366" s="3">
        <v>45830</v>
      </c>
      <c r="J1366" s="3">
        <f t="shared" si="21"/>
        <v>45836</v>
      </c>
      <c r="K1366" s="4">
        <v>1481.2</v>
      </c>
      <c r="L1366">
        <v>253570</v>
      </c>
    </row>
    <row r="1367" spans="1:12" x14ac:dyDescent="0.35">
      <c r="A1367" t="s">
        <v>8</v>
      </c>
      <c r="B1367" t="s">
        <v>9</v>
      </c>
      <c r="C1367" t="s">
        <v>46</v>
      </c>
      <c r="D1367" t="str" cm="1">
        <f t="array" ref="D1367">INDEX(_xlfn.TEXTSPLIT(C1367,"_"),3)</f>
        <v>mult</v>
      </c>
      <c r="E1367" t="str">
        <f>VLOOKUP(D1367,FranchiseMapping!$A$1:$B$15,2,FALSE)</f>
        <v>Biolage</v>
      </c>
      <c r="F1367" s="1">
        <v>45658</v>
      </c>
      <c r="G1367" t="s">
        <v>12</v>
      </c>
      <c r="H1367" s="2">
        <v>45778</v>
      </c>
      <c r="I1367" s="3">
        <v>45785</v>
      </c>
      <c r="J1367" s="3">
        <f t="shared" si="21"/>
        <v>45787</v>
      </c>
      <c r="K1367" s="4">
        <v>66.47999999999999</v>
      </c>
      <c r="L1367">
        <v>14264</v>
      </c>
    </row>
    <row r="1368" spans="1:12" x14ac:dyDescent="0.35">
      <c r="A1368" t="s">
        <v>8</v>
      </c>
      <c r="B1368" t="s">
        <v>9</v>
      </c>
      <c r="C1368" t="s">
        <v>35</v>
      </c>
      <c r="D1368" t="str" cm="1">
        <f t="array" ref="D1368">INDEX(_xlfn.TEXTSPLIT(C1368,"_"),3)</f>
        <v>bfr</v>
      </c>
      <c r="E1368" t="str">
        <f>VLOOKUP(D1368,FranchiseMapping!$A$1:$B$15,2,FALSE)</f>
        <v>Full Rescue</v>
      </c>
      <c r="F1368" s="1">
        <v>45658</v>
      </c>
      <c r="G1368" t="s">
        <v>10</v>
      </c>
      <c r="H1368" s="2">
        <v>45809</v>
      </c>
      <c r="I1368" s="3">
        <v>45837</v>
      </c>
      <c r="J1368" s="3">
        <f t="shared" si="21"/>
        <v>45843</v>
      </c>
      <c r="K1368" s="4">
        <v>296.17000400000001</v>
      </c>
      <c r="L1368">
        <v>30479</v>
      </c>
    </row>
    <row r="1369" spans="1:12" x14ac:dyDescent="0.35">
      <c r="A1369" t="s">
        <v>8</v>
      </c>
      <c r="B1369" t="s">
        <v>9</v>
      </c>
      <c r="C1369" t="s">
        <v>31</v>
      </c>
      <c r="D1369" t="str" cm="1">
        <f t="array" ref="D1369">INDEX(_xlfn.TEXTSPLIT(C1369,"_"),3)</f>
        <v>scalp</v>
      </c>
      <c r="E1369" t="str">
        <f>VLOOKUP(D1369,FranchiseMapping!$A$1:$B$15,2,FALSE)</f>
        <v>Scalp Sync</v>
      </c>
      <c r="F1369" s="1">
        <v>45292</v>
      </c>
      <c r="G1369" t="s">
        <v>12</v>
      </c>
      <c r="H1369" s="2">
        <v>45383</v>
      </c>
      <c r="I1369" s="3">
        <v>45389</v>
      </c>
      <c r="J1369" s="3">
        <f t="shared" si="21"/>
        <v>45395</v>
      </c>
      <c r="K1369" s="4">
        <v>1555.5699979999997</v>
      </c>
      <c r="L1369">
        <v>252101</v>
      </c>
    </row>
    <row r="1370" spans="1:12" x14ac:dyDescent="0.35">
      <c r="A1370" t="s">
        <v>8</v>
      </c>
      <c r="B1370" t="s">
        <v>9</v>
      </c>
      <c r="C1370" t="s">
        <v>36</v>
      </c>
      <c r="D1370" t="str" cm="1">
        <f t="array" ref="D1370">INDEX(_xlfn.TEXTSPLIT(C1370,"_"),3)</f>
        <v>bfr</v>
      </c>
      <c r="E1370" t="str">
        <f>VLOOKUP(D1370,FranchiseMapping!$A$1:$B$15,2,FALSE)</f>
        <v>Full Rescue</v>
      </c>
      <c r="F1370" s="1">
        <v>45658</v>
      </c>
      <c r="G1370" t="s">
        <v>10</v>
      </c>
      <c r="H1370" s="2">
        <v>45778</v>
      </c>
      <c r="I1370" s="3">
        <v>45792</v>
      </c>
      <c r="J1370" s="3">
        <f t="shared" si="21"/>
        <v>45794</v>
      </c>
      <c r="K1370" s="4">
        <v>735.19999999999993</v>
      </c>
      <c r="L1370">
        <v>115592</v>
      </c>
    </row>
    <row r="1371" spans="1:12" x14ac:dyDescent="0.35">
      <c r="A1371" t="s">
        <v>8</v>
      </c>
      <c r="B1371" t="s">
        <v>9</v>
      </c>
      <c r="C1371" t="s">
        <v>48</v>
      </c>
      <c r="D1371" t="str" cm="1">
        <f t="array" ref="D1371">INDEX(_xlfn.TEXTSPLIT(C1371,"_"),3)</f>
        <v>scalp</v>
      </c>
      <c r="E1371" t="str">
        <f>VLOOKUP(D1371,FranchiseMapping!$A$1:$B$15,2,FALSE)</f>
        <v>Scalp Sync</v>
      </c>
      <c r="F1371" s="1">
        <v>45292</v>
      </c>
      <c r="G1371" t="s">
        <v>10</v>
      </c>
      <c r="H1371" s="2">
        <v>45383</v>
      </c>
      <c r="I1371" s="3">
        <v>45385</v>
      </c>
      <c r="J1371" s="3">
        <f t="shared" si="21"/>
        <v>45388</v>
      </c>
      <c r="K1371" s="4">
        <v>267.21999899999992</v>
      </c>
      <c r="L1371">
        <v>74004</v>
      </c>
    </row>
    <row r="1372" spans="1:12" x14ac:dyDescent="0.35">
      <c r="A1372" t="s">
        <v>8</v>
      </c>
      <c r="B1372" t="s">
        <v>9</v>
      </c>
      <c r="C1372" t="s">
        <v>46</v>
      </c>
      <c r="D1372" t="str" cm="1">
        <f t="array" ref="D1372">INDEX(_xlfn.TEXTSPLIT(C1372,"_"),3)</f>
        <v>mult</v>
      </c>
      <c r="E1372" t="str">
        <f>VLOOKUP(D1372,FranchiseMapping!$A$1:$B$15,2,FALSE)</f>
        <v>Biolage</v>
      </c>
      <c r="F1372" s="1">
        <v>45658</v>
      </c>
      <c r="G1372" t="s">
        <v>10</v>
      </c>
      <c r="H1372" s="2">
        <v>45748</v>
      </c>
      <c r="I1372" s="3">
        <v>45771</v>
      </c>
      <c r="J1372" s="3">
        <f t="shared" si="21"/>
        <v>45773</v>
      </c>
      <c r="K1372" s="4">
        <v>750.63999999999987</v>
      </c>
      <c r="L1372">
        <v>153303</v>
      </c>
    </row>
    <row r="1373" spans="1:12" x14ac:dyDescent="0.35">
      <c r="A1373" t="s">
        <v>8</v>
      </c>
      <c r="B1373" t="s">
        <v>9</v>
      </c>
      <c r="C1373" t="s">
        <v>34</v>
      </c>
      <c r="D1373" t="str" cm="1">
        <f t="array" ref="D1373">INDEX(_xlfn.TEXTSPLIT(C1373,"_"),3)</f>
        <v>hydrasource</v>
      </c>
      <c r="E1373" t="str">
        <f>VLOOKUP(D1373,FranchiseMapping!$A$1:$B$15,2,FALSE)</f>
        <v>Hydrasource</v>
      </c>
      <c r="F1373" s="1">
        <v>45292</v>
      </c>
      <c r="G1373" t="s">
        <v>12</v>
      </c>
      <c r="H1373" s="2">
        <v>45323</v>
      </c>
      <c r="I1373" s="3">
        <v>45338</v>
      </c>
      <c r="J1373" s="3">
        <f t="shared" si="21"/>
        <v>45339</v>
      </c>
      <c r="K1373" s="4">
        <v>899.65999600000009</v>
      </c>
      <c r="L1373">
        <v>192936</v>
      </c>
    </row>
    <row r="1374" spans="1:12" x14ac:dyDescent="0.35">
      <c r="A1374" t="s">
        <v>8</v>
      </c>
      <c r="B1374" t="s">
        <v>9</v>
      </c>
      <c r="C1374" t="s">
        <v>35</v>
      </c>
      <c r="D1374" t="str" cm="1">
        <f t="array" ref="D1374">INDEX(_xlfn.TEXTSPLIT(C1374,"_"),3)</f>
        <v>bfr</v>
      </c>
      <c r="E1374" t="str">
        <f>VLOOKUP(D1374,FranchiseMapping!$A$1:$B$15,2,FALSE)</f>
        <v>Full Rescue</v>
      </c>
      <c r="F1374" s="1">
        <v>45658</v>
      </c>
      <c r="G1374" t="s">
        <v>10</v>
      </c>
      <c r="H1374" s="2">
        <v>45809</v>
      </c>
      <c r="I1374" s="3">
        <v>45814</v>
      </c>
      <c r="J1374" s="3">
        <f t="shared" si="21"/>
        <v>45815</v>
      </c>
      <c r="K1374" s="4">
        <v>50.359998000000004</v>
      </c>
      <c r="L1374">
        <v>5141</v>
      </c>
    </row>
    <row r="1375" spans="1:12" x14ac:dyDescent="0.35">
      <c r="A1375" t="s">
        <v>8</v>
      </c>
      <c r="B1375" t="s">
        <v>9</v>
      </c>
      <c r="C1375" t="s">
        <v>40</v>
      </c>
      <c r="D1375" t="str" cm="1">
        <f t="array" ref="D1375">INDEX(_xlfn.TEXTSPLIT(C1375,"_"),3)</f>
        <v>hydrasource</v>
      </c>
      <c r="E1375" t="str">
        <f>VLOOKUP(D1375,FranchiseMapping!$A$1:$B$15,2,FALSE)</f>
        <v>Hydrasource</v>
      </c>
      <c r="F1375" s="1">
        <v>45292</v>
      </c>
      <c r="G1375" t="s">
        <v>12</v>
      </c>
      <c r="H1375" s="2">
        <v>45292</v>
      </c>
      <c r="I1375" s="3">
        <v>45307</v>
      </c>
      <c r="J1375" s="3">
        <f t="shared" si="21"/>
        <v>45311</v>
      </c>
      <c r="K1375" s="4">
        <v>3116.3999999999996</v>
      </c>
      <c r="L1375">
        <v>640787</v>
      </c>
    </row>
    <row r="1376" spans="1:12" x14ac:dyDescent="0.35">
      <c r="A1376" t="s">
        <v>8</v>
      </c>
      <c r="B1376" t="s">
        <v>14</v>
      </c>
      <c r="C1376" t="s">
        <v>43</v>
      </c>
      <c r="D1376" t="str" cm="1">
        <f t="array" ref="D1376">INDEX(_xlfn.TEXTSPLIT(C1376,"_"),3)</f>
        <v>bfr</v>
      </c>
      <c r="E1376" t="str">
        <f>VLOOKUP(D1376,FranchiseMapping!$A$1:$B$15,2,FALSE)</f>
        <v>Full Rescue</v>
      </c>
      <c r="F1376" s="1">
        <v>45658</v>
      </c>
      <c r="G1376" t="s">
        <v>12</v>
      </c>
      <c r="H1376" s="2">
        <v>45809</v>
      </c>
      <c r="I1376" s="3">
        <v>45828</v>
      </c>
      <c r="J1376" s="3">
        <f t="shared" si="21"/>
        <v>45829</v>
      </c>
      <c r="K1376" s="4">
        <v>4541.5099999999993</v>
      </c>
      <c r="L1376">
        <v>767141</v>
      </c>
    </row>
    <row r="1377" spans="1:12" x14ac:dyDescent="0.35">
      <c r="A1377" t="s">
        <v>8</v>
      </c>
      <c r="B1377" t="s">
        <v>9</v>
      </c>
      <c r="C1377" t="s">
        <v>36</v>
      </c>
      <c r="D1377" t="str" cm="1">
        <f t="array" ref="D1377">INDEX(_xlfn.TEXTSPLIT(C1377,"_"),3)</f>
        <v>bfr</v>
      </c>
      <c r="E1377" t="str">
        <f>VLOOKUP(D1377,FranchiseMapping!$A$1:$B$15,2,FALSE)</f>
        <v>Full Rescue</v>
      </c>
      <c r="F1377" s="1">
        <v>45658</v>
      </c>
      <c r="G1377" t="s">
        <v>10</v>
      </c>
      <c r="H1377" s="2">
        <v>45809</v>
      </c>
      <c r="I1377" s="3">
        <v>45829</v>
      </c>
      <c r="J1377" s="3">
        <f t="shared" si="21"/>
        <v>45829</v>
      </c>
      <c r="K1377" s="4">
        <v>1078.17</v>
      </c>
      <c r="L1377">
        <v>176918</v>
      </c>
    </row>
    <row r="1378" spans="1:12" x14ac:dyDescent="0.35">
      <c r="A1378" t="s">
        <v>8</v>
      </c>
      <c r="B1378" t="s">
        <v>9</v>
      </c>
      <c r="C1378" t="s">
        <v>46</v>
      </c>
      <c r="D1378" t="str" cm="1">
        <f t="array" ref="D1378">INDEX(_xlfn.TEXTSPLIT(C1378,"_"),3)</f>
        <v>mult</v>
      </c>
      <c r="E1378" t="str">
        <f>VLOOKUP(D1378,FranchiseMapping!$A$1:$B$15,2,FALSE)</f>
        <v>Biolage</v>
      </c>
      <c r="F1378" s="1">
        <v>45658</v>
      </c>
      <c r="G1378" t="s">
        <v>10</v>
      </c>
      <c r="H1378" s="2">
        <v>45809</v>
      </c>
      <c r="I1378" s="3">
        <v>45812</v>
      </c>
      <c r="J1378" s="3">
        <f t="shared" si="21"/>
        <v>45815</v>
      </c>
      <c r="K1378" s="4">
        <v>1335.31</v>
      </c>
      <c r="L1378">
        <v>217470</v>
      </c>
    </row>
    <row r="1379" spans="1:12" x14ac:dyDescent="0.35">
      <c r="A1379" t="s">
        <v>8</v>
      </c>
      <c r="B1379" t="s">
        <v>14</v>
      </c>
      <c r="C1379" t="s">
        <v>49</v>
      </c>
      <c r="D1379" t="str" cm="1">
        <f t="array" ref="D1379">INDEX(_xlfn.TEXTSPLIT(C1379,"_"),3)</f>
        <v>hys</v>
      </c>
      <c r="E1379" t="str">
        <f>VLOOKUP(D1379,FranchiseMapping!$A$1:$B$15,2,FALSE)</f>
        <v>Hydrasource</v>
      </c>
      <c r="F1379" s="1">
        <v>45658</v>
      </c>
      <c r="G1379" t="s">
        <v>12</v>
      </c>
      <c r="H1379" s="2">
        <v>45748</v>
      </c>
      <c r="I1379" s="3">
        <v>45758</v>
      </c>
      <c r="J1379" s="3">
        <f t="shared" si="21"/>
        <v>45759</v>
      </c>
      <c r="K1379" s="4">
        <v>5416.73</v>
      </c>
      <c r="L1379">
        <v>1144407</v>
      </c>
    </row>
    <row r="1380" spans="1:12" x14ac:dyDescent="0.35">
      <c r="A1380" t="s">
        <v>8</v>
      </c>
      <c r="B1380" t="s">
        <v>13</v>
      </c>
      <c r="C1380" t="s">
        <v>28</v>
      </c>
      <c r="D1380" t="str" cm="1">
        <f t="array" ref="D1380">INDEX(_xlfn.TEXTSPLIT(C1380,"_"),3)</f>
        <v>na</v>
      </c>
      <c r="E1380" t="str">
        <f>VLOOKUP(D1380,FranchiseMapping!$A$1:$B$15,2,FALSE)</f>
        <v>Biolage</v>
      </c>
      <c r="F1380" s="1">
        <v>44927</v>
      </c>
      <c r="G1380" t="s">
        <v>12</v>
      </c>
      <c r="H1380" s="2">
        <v>45139</v>
      </c>
      <c r="I1380" s="3">
        <v>45141</v>
      </c>
      <c r="J1380" s="3">
        <f t="shared" si="21"/>
        <v>45143</v>
      </c>
      <c r="K1380" s="4">
        <v>245.25578200000001</v>
      </c>
      <c r="L1380">
        <v>103724</v>
      </c>
    </row>
    <row r="1381" spans="1:12" x14ac:dyDescent="0.35">
      <c r="A1381" t="s">
        <v>8</v>
      </c>
      <c r="B1381" t="s">
        <v>9</v>
      </c>
      <c r="C1381" t="s">
        <v>45</v>
      </c>
      <c r="D1381" t="str" cm="1">
        <f t="array" ref="D1381">INDEX(_xlfn.TEXTSPLIT(C1381,"_"),3)</f>
        <v>hydrasource</v>
      </c>
      <c r="E1381" t="str">
        <f>VLOOKUP(D1381,FranchiseMapping!$A$1:$B$15,2,FALSE)</f>
        <v>Hydrasource</v>
      </c>
      <c r="F1381" s="1">
        <v>45292</v>
      </c>
      <c r="G1381" t="s">
        <v>12</v>
      </c>
      <c r="H1381" s="2">
        <v>45566</v>
      </c>
      <c r="I1381" s="3">
        <v>45579</v>
      </c>
      <c r="J1381" s="3">
        <f t="shared" si="21"/>
        <v>45584</v>
      </c>
      <c r="K1381" s="4">
        <v>2537.6200009999998</v>
      </c>
      <c r="L1381">
        <v>274264</v>
      </c>
    </row>
    <row r="1382" spans="1:12" x14ac:dyDescent="0.35">
      <c r="A1382" t="s">
        <v>8</v>
      </c>
      <c r="B1382" t="s">
        <v>9</v>
      </c>
      <c r="C1382" t="s">
        <v>70</v>
      </c>
      <c r="D1382" t="str" cm="1">
        <f t="array" ref="D1382">INDEX(_xlfn.TEXTSPLIT(C1382,"_"),3)</f>
        <v>mult</v>
      </c>
      <c r="E1382" t="str">
        <f>VLOOKUP(D1382,FranchiseMapping!$A$1:$B$15,2,FALSE)</f>
        <v>Biolage</v>
      </c>
      <c r="F1382" s="1">
        <v>45292</v>
      </c>
      <c r="G1382" t="s">
        <v>12</v>
      </c>
      <c r="H1382" s="2">
        <v>45597</v>
      </c>
      <c r="I1382" s="3">
        <v>45621</v>
      </c>
      <c r="J1382" s="3">
        <f t="shared" si="21"/>
        <v>45626</v>
      </c>
      <c r="K1382" s="4">
        <v>15162.370006000003</v>
      </c>
      <c r="L1382">
        <v>1202929</v>
      </c>
    </row>
    <row r="1383" spans="1:12" x14ac:dyDescent="0.35">
      <c r="A1383" t="s">
        <v>8</v>
      </c>
      <c r="B1383" t="s">
        <v>9</v>
      </c>
      <c r="C1383" t="s">
        <v>31</v>
      </c>
      <c r="D1383" t="str" cm="1">
        <f t="array" ref="D1383">INDEX(_xlfn.TEXTSPLIT(C1383,"_"),3)</f>
        <v>scalp</v>
      </c>
      <c r="E1383" t="str">
        <f>VLOOKUP(D1383,FranchiseMapping!$A$1:$B$15,2,FALSE)</f>
        <v>Scalp Sync</v>
      </c>
      <c r="F1383" s="1">
        <v>45292</v>
      </c>
      <c r="G1383" t="s">
        <v>10</v>
      </c>
      <c r="H1383" s="2">
        <v>45352</v>
      </c>
      <c r="I1383" s="3">
        <v>45374</v>
      </c>
      <c r="J1383" s="3">
        <f t="shared" si="21"/>
        <v>45374</v>
      </c>
      <c r="K1383" s="4">
        <v>1630.63</v>
      </c>
      <c r="L1383">
        <v>240822</v>
      </c>
    </row>
    <row r="1384" spans="1:12" x14ac:dyDescent="0.35">
      <c r="A1384" t="s">
        <v>8</v>
      </c>
      <c r="B1384" t="s">
        <v>14</v>
      </c>
      <c r="C1384" t="s">
        <v>37</v>
      </c>
      <c r="D1384" t="str" cm="1">
        <f t="array" ref="D1384">INDEX(_xlfn.TEXTSPLIT(C1384,"_"),3)</f>
        <v>mult</v>
      </c>
      <c r="E1384" t="str">
        <f>VLOOKUP(D1384,FranchiseMapping!$A$1:$B$15,2,FALSE)</f>
        <v>Biolage</v>
      </c>
      <c r="F1384" s="1">
        <v>45658</v>
      </c>
      <c r="G1384" t="s">
        <v>12</v>
      </c>
      <c r="H1384" s="2">
        <v>45748</v>
      </c>
      <c r="I1384" s="3">
        <v>45757</v>
      </c>
      <c r="J1384" s="3">
        <f t="shared" si="21"/>
        <v>45759</v>
      </c>
      <c r="K1384" s="4">
        <v>1.87</v>
      </c>
      <c r="L1384">
        <v>783</v>
      </c>
    </row>
    <row r="1385" spans="1:12" x14ac:dyDescent="0.35">
      <c r="A1385" t="s">
        <v>8</v>
      </c>
      <c r="B1385" t="s">
        <v>9</v>
      </c>
      <c r="C1385" t="s">
        <v>52</v>
      </c>
      <c r="D1385" t="str" cm="1">
        <f t="array" ref="D1385">INDEX(_xlfn.TEXTSPLIT(C1385,"_"),3)</f>
        <v>bond-therapy</v>
      </c>
      <c r="E1385" t="str">
        <f>VLOOKUP(D1385,FranchiseMapping!$A$1:$B$15,2,FALSE)</f>
        <v>Bond Therapy</v>
      </c>
      <c r="F1385" s="1">
        <v>44927</v>
      </c>
      <c r="G1385" t="s">
        <v>11</v>
      </c>
      <c r="H1385" s="2">
        <v>45261</v>
      </c>
      <c r="I1385" s="3">
        <v>45287</v>
      </c>
      <c r="J1385" s="3">
        <f t="shared" si="21"/>
        <v>45290</v>
      </c>
      <c r="K1385" s="4">
        <v>2641.9200039999996</v>
      </c>
      <c r="L1385">
        <v>409688</v>
      </c>
    </row>
    <row r="1386" spans="1:12" x14ac:dyDescent="0.35">
      <c r="A1386" t="s">
        <v>8</v>
      </c>
      <c r="B1386" t="s">
        <v>9</v>
      </c>
      <c r="C1386" t="s">
        <v>41</v>
      </c>
      <c r="D1386" t="str" cm="1">
        <f t="array" ref="D1386">INDEX(_xlfn.TEXTSPLIT(C1386,"_"),3)</f>
        <v>hys</v>
      </c>
      <c r="E1386" t="str">
        <f>VLOOKUP(D1386,FranchiseMapping!$A$1:$B$15,2,FALSE)</f>
        <v>Hydrasource</v>
      </c>
      <c r="F1386" s="1">
        <v>45658</v>
      </c>
      <c r="G1386" t="s">
        <v>12</v>
      </c>
      <c r="H1386" s="2">
        <v>45748</v>
      </c>
      <c r="I1386" s="3">
        <v>45776</v>
      </c>
      <c r="J1386" s="3">
        <f t="shared" si="21"/>
        <v>45780</v>
      </c>
      <c r="K1386" s="4">
        <v>3602.4999990000001</v>
      </c>
      <c r="L1386">
        <v>345324</v>
      </c>
    </row>
    <row r="1387" spans="1:12" x14ac:dyDescent="0.35">
      <c r="A1387" t="s">
        <v>8</v>
      </c>
      <c r="B1387" t="s">
        <v>9</v>
      </c>
      <c r="C1387" t="s">
        <v>35</v>
      </c>
      <c r="D1387" t="str" cm="1">
        <f t="array" ref="D1387">INDEX(_xlfn.TEXTSPLIT(C1387,"_"),3)</f>
        <v>bfr</v>
      </c>
      <c r="E1387" t="str">
        <f>VLOOKUP(D1387,FranchiseMapping!$A$1:$B$15,2,FALSE)</f>
        <v>Full Rescue</v>
      </c>
      <c r="F1387" s="1">
        <v>45658</v>
      </c>
      <c r="G1387" t="s">
        <v>10</v>
      </c>
      <c r="H1387" s="2">
        <v>45778</v>
      </c>
      <c r="I1387" s="3">
        <v>45804</v>
      </c>
      <c r="J1387" s="3">
        <f t="shared" si="21"/>
        <v>45808</v>
      </c>
      <c r="K1387" s="4">
        <v>13.549999999999999</v>
      </c>
      <c r="L1387">
        <v>1621</v>
      </c>
    </row>
    <row r="1388" spans="1:12" x14ac:dyDescent="0.35">
      <c r="A1388" t="s">
        <v>8</v>
      </c>
      <c r="B1388" t="s">
        <v>9</v>
      </c>
      <c r="C1388" t="s">
        <v>46</v>
      </c>
      <c r="D1388" t="str" cm="1">
        <f t="array" ref="D1388">INDEX(_xlfn.TEXTSPLIT(C1388,"_"),3)</f>
        <v>mult</v>
      </c>
      <c r="E1388" t="str">
        <f>VLOOKUP(D1388,FranchiseMapping!$A$1:$B$15,2,FALSE)</f>
        <v>Biolage</v>
      </c>
      <c r="F1388" s="1">
        <v>45658</v>
      </c>
      <c r="G1388" t="s">
        <v>12</v>
      </c>
      <c r="H1388" s="2">
        <v>45778</v>
      </c>
      <c r="I1388" s="3">
        <v>45804</v>
      </c>
      <c r="J1388" s="3">
        <f t="shared" si="21"/>
        <v>45808</v>
      </c>
      <c r="K1388" s="4">
        <v>263.37</v>
      </c>
      <c r="L1388">
        <v>46891</v>
      </c>
    </row>
    <row r="1389" spans="1:12" x14ac:dyDescent="0.35">
      <c r="A1389" t="s">
        <v>8</v>
      </c>
      <c r="B1389" t="s">
        <v>14</v>
      </c>
      <c r="C1389" t="s">
        <v>43</v>
      </c>
      <c r="D1389" t="str" cm="1">
        <f t="array" ref="D1389">INDEX(_xlfn.TEXTSPLIT(C1389,"_"),3)</f>
        <v>bfr</v>
      </c>
      <c r="E1389" t="str">
        <f>VLOOKUP(D1389,FranchiseMapping!$A$1:$B$15,2,FALSE)</f>
        <v>Full Rescue</v>
      </c>
      <c r="F1389" s="1">
        <v>45658</v>
      </c>
      <c r="G1389" t="s">
        <v>12</v>
      </c>
      <c r="H1389" s="2">
        <v>45809</v>
      </c>
      <c r="I1389" s="3">
        <v>45836</v>
      </c>
      <c r="J1389" s="3">
        <f t="shared" si="21"/>
        <v>45836</v>
      </c>
      <c r="K1389" s="4">
        <v>328.04999999999995</v>
      </c>
      <c r="L1389">
        <v>62287</v>
      </c>
    </row>
    <row r="1390" spans="1:12" x14ac:dyDescent="0.35">
      <c r="A1390" t="s">
        <v>8</v>
      </c>
      <c r="B1390" t="s">
        <v>9</v>
      </c>
      <c r="C1390" t="s">
        <v>38</v>
      </c>
      <c r="D1390" t="str" cm="1">
        <f t="array" ref="D1390">INDEX(_xlfn.TEXTSPLIT(C1390,"_"),3)</f>
        <v>hys</v>
      </c>
      <c r="E1390" t="str">
        <f>VLOOKUP(D1390,FranchiseMapping!$A$1:$B$15,2,FALSE)</f>
        <v>Hydrasource</v>
      </c>
      <c r="F1390" s="1">
        <v>45658</v>
      </c>
      <c r="G1390" t="s">
        <v>12</v>
      </c>
      <c r="H1390" s="2">
        <v>45748</v>
      </c>
      <c r="I1390" s="3">
        <v>45751</v>
      </c>
      <c r="J1390" s="3">
        <f t="shared" si="21"/>
        <v>45752</v>
      </c>
      <c r="K1390" s="4">
        <v>1902.0899970000003</v>
      </c>
      <c r="L1390">
        <v>274199</v>
      </c>
    </row>
    <row r="1391" spans="1:12" x14ac:dyDescent="0.35">
      <c r="A1391" t="s">
        <v>8</v>
      </c>
      <c r="B1391" t="s">
        <v>9</v>
      </c>
      <c r="C1391" t="s">
        <v>40</v>
      </c>
      <c r="D1391" t="str" cm="1">
        <f t="array" ref="D1391">INDEX(_xlfn.TEXTSPLIT(C1391,"_"),3)</f>
        <v>hydrasource</v>
      </c>
      <c r="E1391" t="str">
        <f>VLOOKUP(D1391,FranchiseMapping!$A$1:$B$15,2,FALSE)</f>
        <v>Hydrasource</v>
      </c>
      <c r="F1391" s="1">
        <v>45292</v>
      </c>
      <c r="G1391" t="s">
        <v>12</v>
      </c>
      <c r="H1391" s="2">
        <v>45323</v>
      </c>
      <c r="I1391" s="3">
        <v>45338</v>
      </c>
      <c r="J1391" s="3">
        <f t="shared" si="21"/>
        <v>45339</v>
      </c>
      <c r="K1391" s="4">
        <v>2965.5000080000004</v>
      </c>
      <c r="L1391">
        <v>466312</v>
      </c>
    </row>
    <row r="1392" spans="1:12" x14ac:dyDescent="0.35">
      <c r="A1392" t="s">
        <v>8</v>
      </c>
      <c r="B1392" t="s">
        <v>9</v>
      </c>
      <c r="C1392" t="s">
        <v>34</v>
      </c>
      <c r="D1392" t="str" cm="1">
        <f t="array" ref="D1392">INDEX(_xlfn.TEXTSPLIT(C1392,"_"),3)</f>
        <v>hydrasource</v>
      </c>
      <c r="E1392" t="str">
        <f>VLOOKUP(D1392,FranchiseMapping!$A$1:$B$15,2,FALSE)</f>
        <v>Hydrasource</v>
      </c>
      <c r="F1392" s="1">
        <v>45292</v>
      </c>
      <c r="G1392" t="s">
        <v>12</v>
      </c>
      <c r="H1392" s="2">
        <v>45323</v>
      </c>
      <c r="I1392" s="3">
        <v>45328</v>
      </c>
      <c r="J1392" s="3">
        <f t="shared" si="21"/>
        <v>45332</v>
      </c>
      <c r="K1392" s="4">
        <v>767.1599990000002</v>
      </c>
      <c r="L1392">
        <v>178374</v>
      </c>
    </row>
    <row r="1393" spans="1:12" x14ac:dyDescent="0.35">
      <c r="A1393" t="s">
        <v>8</v>
      </c>
      <c r="B1393" t="s">
        <v>14</v>
      </c>
      <c r="C1393" t="s">
        <v>43</v>
      </c>
      <c r="D1393" t="str" cm="1">
        <f t="array" ref="D1393">INDEX(_xlfn.TEXTSPLIT(C1393,"_"),3)</f>
        <v>bfr</v>
      </c>
      <c r="E1393" t="str">
        <f>VLOOKUP(D1393,FranchiseMapping!$A$1:$B$15,2,FALSE)</f>
        <v>Full Rescue</v>
      </c>
      <c r="F1393" s="1">
        <v>45658</v>
      </c>
      <c r="G1393" t="s">
        <v>12</v>
      </c>
      <c r="H1393" s="2">
        <v>45809</v>
      </c>
      <c r="I1393" s="3">
        <v>45816</v>
      </c>
      <c r="J1393" s="3">
        <f t="shared" si="21"/>
        <v>45822</v>
      </c>
      <c r="K1393" s="4">
        <v>5503.0300000000007</v>
      </c>
      <c r="L1393">
        <v>1220747</v>
      </c>
    </row>
    <row r="1394" spans="1:12" x14ac:dyDescent="0.35">
      <c r="A1394" t="s">
        <v>8</v>
      </c>
      <c r="B1394" t="s">
        <v>9</v>
      </c>
      <c r="C1394" t="s">
        <v>46</v>
      </c>
      <c r="D1394" t="str" cm="1">
        <f t="array" ref="D1394">INDEX(_xlfn.TEXTSPLIT(C1394,"_"),3)</f>
        <v>mult</v>
      </c>
      <c r="E1394" t="str">
        <f>VLOOKUP(D1394,FranchiseMapping!$A$1:$B$15,2,FALSE)</f>
        <v>Biolage</v>
      </c>
      <c r="F1394" s="1">
        <v>45658</v>
      </c>
      <c r="G1394" t="s">
        <v>10</v>
      </c>
      <c r="H1394" s="2">
        <v>45778</v>
      </c>
      <c r="I1394" s="3">
        <v>45786</v>
      </c>
      <c r="J1394" s="3">
        <f t="shared" si="21"/>
        <v>45787</v>
      </c>
      <c r="K1394" s="4">
        <v>1450.96</v>
      </c>
      <c r="L1394">
        <v>274384</v>
      </c>
    </row>
    <row r="1395" spans="1:12" x14ac:dyDescent="0.35">
      <c r="A1395" t="s">
        <v>8</v>
      </c>
      <c r="B1395" t="s">
        <v>9</v>
      </c>
      <c r="C1395" t="s">
        <v>36</v>
      </c>
      <c r="D1395" t="str" cm="1">
        <f t="array" ref="D1395">INDEX(_xlfn.TEXTSPLIT(C1395,"_"),3)</f>
        <v>bfr</v>
      </c>
      <c r="E1395" t="str">
        <f>VLOOKUP(D1395,FranchiseMapping!$A$1:$B$15,2,FALSE)</f>
        <v>Full Rescue</v>
      </c>
      <c r="F1395" s="1">
        <v>45658</v>
      </c>
      <c r="G1395" t="s">
        <v>12</v>
      </c>
      <c r="H1395" s="2">
        <v>45778</v>
      </c>
      <c r="I1395" s="3">
        <v>45788</v>
      </c>
      <c r="J1395" s="3">
        <f t="shared" si="21"/>
        <v>45794</v>
      </c>
      <c r="K1395" s="4">
        <v>763.37999999999988</v>
      </c>
      <c r="L1395">
        <v>144714</v>
      </c>
    </row>
    <row r="1396" spans="1:12" x14ac:dyDescent="0.35">
      <c r="A1396" t="s">
        <v>8</v>
      </c>
      <c r="B1396" t="s">
        <v>9</v>
      </c>
      <c r="C1396" t="s">
        <v>41</v>
      </c>
      <c r="D1396" t="str" cm="1">
        <f t="array" ref="D1396">INDEX(_xlfn.TEXTSPLIT(C1396,"_"),3)</f>
        <v>hys</v>
      </c>
      <c r="E1396" t="str">
        <f>VLOOKUP(D1396,FranchiseMapping!$A$1:$B$15,2,FALSE)</f>
        <v>Hydrasource</v>
      </c>
      <c r="F1396" s="1">
        <v>45658</v>
      </c>
      <c r="G1396" t="s">
        <v>12</v>
      </c>
      <c r="H1396" s="2">
        <v>45748</v>
      </c>
      <c r="I1396" s="3">
        <v>45761</v>
      </c>
      <c r="J1396" s="3">
        <f t="shared" si="21"/>
        <v>45766</v>
      </c>
      <c r="K1396" s="4">
        <v>3970.1400009999998</v>
      </c>
      <c r="L1396">
        <v>361271</v>
      </c>
    </row>
    <row r="1397" spans="1:12" x14ac:dyDescent="0.35">
      <c r="A1397" t="s">
        <v>8</v>
      </c>
      <c r="B1397" t="s">
        <v>9</v>
      </c>
      <c r="C1397" t="s">
        <v>36</v>
      </c>
      <c r="D1397" t="str" cm="1">
        <f t="array" ref="D1397">INDEX(_xlfn.TEXTSPLIT(C1397,"_"),3)</f>
        <v>bfr</v>
      </c>
      <c r="E1397" t="str">
        <f>VLOOKUP(D1397,FranchiseMapping!$A$1:$B$15,2,FALSE)</f>
        <v>Full Rescue</v>
      </c>
      <c r="F1397" s="1">
        <v>45658</v>
      </c>
      <c r="G1397" t="s">
        <v>10</v>
      </c>
      <c r="H1397" s="2">
        <v>45778</v>
      </c>
      <c r="I1397" s="3">
        <v>45808</v>
      </c>
      <c r="J1397" s="3">
        <f t="shared" si="21"/>
        <v>45808</v>
      </c>
      <c r="K1397" s="4">
        <v>37.689997999999996</v>
      </c>
      <c r="L1397">
        <v>1678</v>
      </c>
    </row>
    <row r="1398" spans="1:12" x14ac:dyDescent="0.35">
      <c r="A1398" t="s">
        <v>8</v>
      </c>
      <c r="B1398" t="s">
        <v>14</v>
      </c>
      <c r="C1398" t="s">
        <v>29</v>
      </c>
      <c r="D1398" t="str" cm="1">
        <f t="array" ref="D1398">INDEX(_xlfn.TEXTSPLIT(C1398,"_"),3)</f>
        <v>bfr</v>
      </c>
      <c r="E1398" t="str">
        <f>VLOOKUP(D1398,FranchiseMapping!$A$1:$B$15,2,FALSE)</f>
        <v>Full Rescue</v>
      </c>
      <c r="F1398" s="1">
        <v>45658</v>
      </c>
      <c r="G1398" t="s">
        <v>10</v>
      </c>
      <c r="H1398" s="2">
        <v>45809</v>
      </c>
      <c r="I1398" s="3">
        <v>45817</v>
      </c>
      <c r="J1398" s="3">
        <f t="shared" si="21"/>
        <v>45822</v>
      </c>
      <c r="K1398" s="4">
        <v>1724.5299999999997</v>
      </c>
      <c r="L1398">
        <v>234891</v>
      </c>
    </row>
    <row r="1399" spans="1:12" x14ac:dyDescent="0.35">
      <c r="A1399" t="s">
        <v>8</v>
      </c>
      <c r="B1399" t="s">
        <v>14</v>
      </c>
      <c r="C1399" t="s">
        <v>37</v>
      </c>
      <c r="D1399" t="str" cm="1">
        <f t="array" ref="D1399">INDEX(_xlfn.TEXTSPLIT(C1399,"_"),3)</f>
        <v>mult</v>
      </c>
      <c r="E1399" t="str">
        <f>VLOOKUP(D1399,FranchiseMapping!$A$1:$B$15,2,FALSE)</f>
        <v>Biolage</v>
      </c>
      <c r="F1399" s="1">
        <v>45658</v>
      </c>
      <c r="G1399" t="s">
        <v>10</v>
      </c>
      <c r="H1399" s="2">
        <v>45748</v>
      </c>
      <c r="I1399" s="3">
        <v>45760</v>
      </c>
      <c r="J1399" s="3">
        <f t="shared" si="21"/>
        <v>45766</v>
      </c>
      <c r="K1399" s="4">
        <v>1323.5700000000002</v>
      </c>
      <c r="L1399">
        <v>373244</v>
      </c>
    </row>
    <row r="1400" spans="1:12" x14ac:dyDescent="0.35">
      <c r="A1400" t="s">
        <v>8</v>
      </c>
      <c r="B1400" t="s">
        <v>9</v>
      </c>
      <c r="C1400" t="s">
        <v>50</v>
      </c>
      <c r="D1400" t="str" cm="1">
        <f t="array" ref="D1400">INDEX(_xlfn.TEXTSPLIT(C1400,"_"),3)</f>
        <v>bond-therapy</v>
      </c>
      <c r="E1400" t="str">
        <f>VLOOKUP(D1400,FranchiseMapping!$A$1:$B$15,2,FALSE)</f>
        <v>Bond Therapy</v>
      </c>
      <c r="F1400" s="1">
        <v>44927</v>
      </c>
      <c r="G1400" t="s">
        <v>12</v>
      </c>
      <c r="H1400" s="2">
        <v>45231</v>
      </c>
      <c r="I1400" s="3">
        <v>45247</v>
      </c>
      <c r="J1400" s="3">
        <f t="shared" si="21"/>
        <v>45248</v>
      </c>
      <c r="K1400" s="4">
        <v>3027.4300000000007</v>
      </c>
      <c r="L1400">
        <v>245037</v>
      </c>
    </row>
    <row r="1401" spans="1:12" x14ac:dyDescent="0.35">
      <c r="A1401" t="s">
        <v>8</v>
      </c>
      <c r="B1401" t="s">
        <v>9</v>
      </c>
      <c r="C1401" t="s">
        <v>71</v>
      </c>
      <c r="D1401" t="str" cm="1">
        <f t="array" ref="D1401">INDEX(_xlfn.TEXTSPLIT(C1401,"_"),3)</f>
        <v>bondtherapy</v>
      </c>
      <c r="E1401" t="str">
        <f>VLOOKUP(D1401,FranchiseMapping!$A$1:$B$15,2,FALSE)</f>
        <v>Bond Therapy</v>
      </c>
      <c r="F1401" s="1">
        <v>44927</v>
      </c>
      <c r="G1401" t="s">
        <v>11</v>
      </c>
      <c r="H1401" s="2">
        <v>45261</v>
      </c>
      <c r="I1401" s="3">
        <v>45280</v>
      </c>
      <c r="J1401" s="3">
        <f t="shared" si="21"/>
        <v>45283</v>
      </c>
      <c r="K1401" s="4">
        <v>1730.0699979999999</v>
      </c>
      <c r="L1401">
        <v>145950</v>
      </c>
    </row>
    <row r="1402" spans="1:12" x14ac:dyDescent="0.35">
      <c r="A1402" t="s">
        <v>8</v>
      </c>
      <c r="B1402" t="s">
        <v>9</v>
      </c>
      <c r="C1402" t="s">
        <v>38</v>
      </c>
      <c r="D1402" t="str" cm="1">
        <f t="array" ref="D1402">INDEX(_xlfn.TEXTSPLIT(C1402,"_"),3)</f>
        <v>hys</v>
      </c>
      <c r="E1402" t="str">
        <f>VLOOKUP(D1402,FranchiseMapping!$A$1:$B$15,2,FALSE)</f>
        <v>Hydrasource</v>
      </c>
      <c r="F1402" s="1">
        <v>45658</v>
      </c>
      <c r="G1402" t="s">
        <v>12</v>
      </c>
      <c r="H1402" s="2">
        <v>45748</v>
      </c>
      <c r="I1402" s="3">
        <v>45753</v>
      </c>
      <c r="J1402" s="3">
        <f t="shared" si="21"/>
        <v>45759</v>
      </c>
      <c r="K1402" s="4">
        <v>1636.6500040000001</v>
      </c>
      <c r="L1402">
        <v>172352</v>
      </c>
    </row>
    <row r="1403" spans="1:12" x14ac:dyDescent="0.35">
      <c r="A1403" t="s">
        <v>8</v>
      </c>
      <c r="B1403" t="s">
        <v>14</v>
      </c>
      <c r="C1403" t="s">
        <v>37</v>
      </c>
      <c r="D1403" t="str" cm="1">
        <f t="array" ref="D1403">INDEX(_xlfn.TEXTSPLIT(C1403,"_"),3)</f>
        <v>mult</v>
      </c>
      <c r="E1403" t="str">
        <f>VLOOKUP(D1403,FranchiseMapping!$A$1:$B$15,2,FALSE)</f>
        <v>Biolage</v>
      </c>
      <c r="F1403" s="1">
        <v>45658</v>
      </c>
      <c r="G1403" t="s">
        <v>10</v>
      </c>
      <c r="H1403" s="2">
        <v>45748</v>
      </c>
      <c r="I1403" s="3">
        <v>45754</v>
      </c>
      <c r="J1403" s="3">
        <f t="shared" si="21"/>
        <v>45759</v>
      </c>
      <c r="K1403" s="4">
        <v>895.28</v>
      </c>
      <c r="L1403">
        <v>272273</v>
      </c>
    </row>
    <row r="1404" spans="1:12" x14ac:dyDescent="0.35">
      <c r="A1404" t="s">
        <v>8</v>
      </c>
      <c r="B1404" t="s">
        <v>9</v>
      </c>
      <c r="C1404" t="s">
        <v>40</v>
      </c>
      <c r="D1404" t="str" cm="1">
        <f t="array" ref="D1404">INDEX(_xlfn.TEXTSPLIT(C1404,"_"),3)</f>
        <v>hydrasource</v>
      </c>
      <c r="E1404" t="str">
        <f>VLOOKUP(D1404,FranchiseMapping!$A$1:$B$15,2,FALSE)</f>
        <v>Hydrasource</v>
      </c>
      <c r="F1404" s="1">
        <v>45292</v>
      </c>
      <c r="G1404" t="s">
        <v>12</v>
      </c>
      <c r="H1404" s="2">
        <v>45292</v>
      </c>
      <c r="I1404" s="3">
        <v>45306</v>
      </c>
      <c r="J1404" s="3">
        <f t="shared" si="21"/>
        <v>45311</v>
      </c>
      <c r="K1404" s="4">
        <v>3469.709996999999</v>
      </c>
      <c r="L1404">
        <v>724043</v>
      </c>
    </row>
    <row r="1405" spans="1:12" x14ac:dyDescent="0.35">
      <c r="A1405" t="s">
        <v>8</v>
      </c>
      <c r="B1405" t="s">
        <v>9</v>
      </c>
      <c r="C1405" t="s">
        <v>33</v>
      </c>
      <c r="D1405" t="str" cm="1">
        <f t="array" ref="D1405">INDEX(_xlfn.TEXTSPLIT(C1405,"_"),3)</f>
        <v>hydrasource</v>
      </c>
      <c r="E1405" t="str">
        <f>VLOOKUP(D1405,FranchiseMapping!$A$1:$B$15,2,FALSE)</f>
        <v>Hydrasource</v>
      </c>
      <c r="F1405" s="1">
        <v>45292</v>
      </c>
      <c r="G1405" t="s">
        <v>11</v>
      </c>
      <c r="H1405" s="2">
        <v>45323</v>
      </c>
      <c r="I1405" s="3">
        <v>45351</v>
      </c>
      <c r="J1405" s="3">
        <f t="shared" si="21"/>
        <v>45353</v>
      </c>
      <c r="K1405" s="4">
        <v>1268.2099909999999</v>
      </c>
      <c r="L1405">
        <v>170413</v>
      </c>
    </row>
    <row r="1406" spans="1:12" x14ac:dyDescent="0.35">
      <c r="A1406" t="s">
        <v>8</v>
      </c>
      <c r="B1406" t="s">
        <v>9</v>
      </c>
      <c r="C1406" t="s">
        <v>35</v>
      </c>
      <c r="D1406" t="str" cm="1">
        <f t="array" ref="D1406">INDEX(_xlfn.TEXTSPLIT(C1406,"_"),3)</f>
        <v>bfr</v>
      </c>
      <c r="E1406" t="str">
        <f>VLOOKUP(D1406,FranchiseMapping!$A$1:$B$15,2,FALSE)</f>
        <v>Full Rescue</v>
      </c>
      <c r="F1406" s="1">
        <v>45658</v>
      </c>
      <c r="G1406" t="s">
        <v>12</v>
      </c>
      <c r="H1406" s="2">
        <v>45778</v>
      </c>
      <c r="I1406" s="3">
        <v>45791</v>
      </c>
      <c r="J1406" s="3">
        <f t="shared" si="21"/>
        <v>45794</v>
      </c>
      <c r="K1406" s="4">
        <v>1757.9500029999999</v>
      </c>
      <c r="L1406">
        <v>138455</v>
      </c>
    </row>
    <row r="1407" spans="1:12" x14ac:dyDescent="0.35">
      <c r="A1407" t="s">
        <v>8</v>
      </c>
      <c r="B1407" t="s">
        <v>9</v>
      </c>
      <c r="C1407" t="s">
        <v>38</v>
      </c>
      <c r="D1407" t="str" cm="1">
        <f t="array" ref="D1407">INDEX(_xlfn.TEXTSPLIT(C1407,"_"),3)</f>
        <v>hys</v>
      </c>
      <c r="E1407" t="str">
        <f>VLOOKUP(D1407,FranchiseMapping!$A$1:$B$15,2,FALSE)</f>
        <v>Hydrasource</v>
      </c>
      <c r="F1407" s="1">
        <v>45658</v>
      </c>
      <c r="G1407" t="s">
        <v>10</v>
      </c>
      <c r="H1407" s="2">
        <v>45748</v>
      </c>
      <c r="I1407" s="3">
        <v>45775</v>
      </c>
      <c r="J1407" s="3">
        <f t="shared" si="21"/>
        <v>45780</v>
      </c>
      <c r="K1407" s="4">
        <v>397.77</v>
      </c>
      <c r="L1407">
        <v>18029</v>
      </c>
    </row>
    <row r="1408" spans="1:12" x14ac:dyDescent="0.35">
      <c r="A1408" t="s">
        <v>8</v>
      </c>
      <c r="B1408" t="s">
        <v>9</v>
      </c>
      <c r="C1408" t="s">
        <v>33</v>
      </c>
      <c r="D1408" t="str" cm="1">
        <f t="array" ref="D1408">INDEX(_xlfn.TEXTSPLIT(C1408,"_"),3)</f>
        <v>hydrasource</v>
      </c>
      <c r="E1408" t="str">
        <f>VLOOKUP(D1408,FranchiseMapping!$A$1:$B$15,2,FALSE)</f>
        <v>Hydrasource</v>
      </c>
      <c r="F1408" s="1">
        <v>45292</v>
      </c>
      <c r="G1408" t="s">
        <v>11</v>
      </c>
      <c r="H1408" s="2">
        <v>45292</v>
      </c>
      <c r="I1408" s="3">
        <v>45319</v>
      </c>
      <c r="J1408" s="3">
        <f t="shared" si="21"/>
        <v>45325</v>
      </c>
      <c r="K1408" s="4">
        <v>1620.7999989999996</v>
      </c>
      <c r="L1408">
        <v>372274</v>
      </c>
    </row>
    <row r="1409" spans="1:12" x14ac:dyDescent="0.35">
      <c r="A1409" t="s">
        <v>8</v>
      </c>
      <c r="B1409" t="s">
        <v>13</v>
      </c>
      <c r="C1409" t="s">
        <v>42</v>
      </c>
      <c r="D1409" t="str" cm="1">
        <f t="array" ref="D1409">INDEX(_xlfn.TEXTSPLIT(C1409,"_"),3)</f>
        <v>bfr</v>
      </c>
      <c r="E1409" t="str">
        <f>VLOOKUP(D1409,FranchiseMapping!$A$1:$B$15,2,FALSE)</f>
        <v>Full Rescue</v>
      </c>
      <c r="F1409" s="1">
        <v>45658</v>
      </c>
      <c r="G1409" t="s">
        <v>10</v>
      </c>
      <c r="H1409" s="2">
        <v>45809</v>
      </c>
      <c r="I1409" s="3">
        <v>45837</v>
      </c>
      <c r="J1409" s="3">
        <f t="shared" si="21"/>
        <v>45843</v>
      </c>
      <c r="K1409" s="4">
        <v>404.43541499999998</v>
      </c>
      <c r="L1409">
        <v>174572</v>
      </c>
    </row>
    <row r="1410" spans="1:12" x14ac:dyDescent="0.35">
      <c r="A1410" t="s">
        <v>8</v>
      </c>
      <c r="B1410" t="s">
        <v>13</v>
      </c>
      <c r="C1410" t="s">
        <v>42</v>
      </c>
      <c r="D1410" t="str" cm="1">
        <f t="array" ref="D1410">INDEX(_xlfn.TEXTSPLIT(C1410,"_"),3)</f>
        <v>bfr</v>
      </c>
      <c r="E1410" t="str">
        <f>VLOOKUP(D1410,FranchiseMapping!$A$1:$B$15,2,FALSE)</f>
        <v>Full Rescue</v>
      </c>
      <c r="F1410" s="1">
        <v>45658</v>
      </c>
      <c r="G1410" t="s">
        <v>10</v>
      </c>
      <c r="H1410" s="2">
        <v>45809</v>
      </c>
      <c r="I1410" s="3">
        <v>45811</v>
      </c>
      <c r="J1410" s="3">
        <f t="shared" si="21"/>
        <v>45815</v>
      </c>
      <c r="K1410" s="4">
        <v>514.6858749999999</v>
      </c>
      <c r="L1410">
        <v>252085</v>
      </c>
    </row>
    <row r="1411" spans="1:12" x14ac:dyDescent="0.35">
      <c r="A1411" t="s">
        <v>8</v>
      </c>
      <c r="B1411" t="s">
        <v>9</v>
      </c>
      <c r="C1411" t="s">
        <v>46</v>
      </c>
      <c r="D1411" t="str" cm="1">
        <f t="array" ref="D1411">INDEX(_xlfn.TEXTSPLIT(C1411,"_"),3)</f>
        <v>mult</v>
      </c>
      <c r="E1411" t="str">
        <f>VLOOKUP(D1411,FranchiseMapping!$A$1:$B$15,2,FALSE)</f>
        <v>Biolage</v>
      </c>
      <c r="F1411" s="1">
        <v>45658</v>
      </c>
      <c r="G1411" t="s">
        <v>10</v>
      </c>
      <c r="H1411" s="2">
        <v>45778</v>
      </c>
      <c r="I1411" s="3">
        <v>45790</v>
      </c>
      <c r="J1411" s="3">
        <f t="shared" ref="J1411:J1474" si="22">I1411 + (7 - WEEKDAY(I1411, 1))</f>
        <v>45794</v>
      </c>
      <c r="K1411" s="4">
        <v>1344.470002</v>
      </c>
      <c r="L1411">
        <v>237604</v>
      </c>
    </row>
    <row r="1412" spans="1:12" x14ac:dyDescent="0.35">
      <c r="A1412" t="s">
        <v>8</v>
      </c>
      <c r="B1412" t="s">
        <v>9</v>
      </c>
      <c r="C1412" t="s">
        <v>54</v>
      </c>
      <c r="D1412" t="str" cm="1">
        <f t="array" ref="D1412">INDEX(_xlfn.TEXTSPLIT(C1412,"_"),3)</f>
        <v>scalp</v>
      </c>
      <c r="E1412" t="str">
        <f>VLOOKUP(D1412,FranchiseMapping!$A$1:$B$15,2,FALSE)</f>
        <v>Scalp Sync</v>
      </c>
      <c r="F1412" s="1">
        <v>45292</v>
      </c>
      <c r="G1412" t="s">
        <v>10</v>
      </c>
      <c r="H1412" s="2">
        <v>45383</v>
      </c>
      <c r="I1412" s="3">
        <v>45397</v>
      </c>
      <c r="J1412" s="3">
        <f t="shared" si="22"/>
        <v>45402</v>
      </c>
      <c r="K1412" s="4">
        <v>2265.5699970000001</v>
      </c>
      <c r="L1412">
        <v>541997</v>
      </c>
    </row>
    <row r="1413" spans="1:12" x14ac:dyDescent="0.35">
      <c r="A1413" t="s">
        <v>8</v>
      </c>
      <c r="B1413" t="s">
        <v>9</v>
      </c>
      <c r="C1413" t="s">
        <v>33</v>
      </c>
      <c r="D1413" t="str" cm="1">
        <f t="array" ref="D1413">INDEX(_xlfn.TEXTSPLIT(C1413,"_"),3)</f>
        <v>hydrasource</v>
      </c>
      <c r="E1413" t="str">
        <f>VLOOKUP(D1413,FranchiseMapping!$A$1:$B$15,2,FALSE)</f>
        <v>Hydrasource</v>
      </c>
      <c r="F1413" s="1">
        <v>45292</v>
      </c>
      <c r="G1413" t="s">
        <v>11</v>
      </c>
      <c r="H1413" s="2">
        <v>45323</v>
      </c>
      <c r="I1413" s="3">
        <v>45327</v>
      </c>
      <c r="J1413" s="3">
        <f t="shared" si="22"/>
        <v>45332</v>
      </c>
      <c r="K1413" s="4">
        <v>1471.370007</v>
      </c>
      <c r="L1413">
        <v>295380</v>
      </c>
    </row>
    <row r="1414" spans="1:12" x14ac:dyDescent="0.35">
      <c r="A1414" t="s">
        <v>8</v>
      </c>
      <c r="B1414" t="s">
        <v>14</v>
      </c>
      <c r="C1414" t="s">
        <v>47</v>
      </c>
      <c r="D1414" t="str" cm="1">
        <f t="array" ref="D1414">INDEX(_xlfn.TEXTSPLIT(C1414,"_"),3)</f>
        <v>hys</v>
      </c>
      <c r="E1414" t="str">
        <f>VLOOKUP(D1414,FranchiseMapping!$A$1:$B$15,2,FALSE)</f>
        <v>Hydrasource</v>
      </c>
      <c r="F1414" s="1">
        <v>45658</v>
      </c>
      <c r="G1414" t="s">
        <v>12</v>
      </c>
      <c r="H1414" s="2">
        <v>45748</v>
      </c>
      <c r="I1414" s="3">
        <v>45764</v>
      </c>
      <c r="J1414" s="3">
        <f t="shared" si="22"/>
        <v>45766</v>
      </c>
      <c r="K1414" s="4">
        <v>3695.72</v>
      </c>
      <c r="L1414">
        <v>883391</v>
      </c>
    </row>
    <row r="1415" spans="1:12" x14ac:dyDescent="0.35">
      <c r="A1415" t="s">
        <v>8</v>
      </c>
      <c r="B1415" t="s">
        <v>9</v>
      </c>
      <c r="C1415" t="s">
        <v>35</v>
      </c>
      <c r="D1415" t="str" cm="1">
        <f t="array" ref="D1415">INDEX(_xlfn.TEXTSPLIT(C1415,"_"),3)</f>
        <v>bfr</v>
      </c>
      <c r="E1415" t="str">
        <f>VLOOKUP(D1415,FranchiseMapping!$A$1:$B$15,2,FALSE)</f>
        <v>Full Rescue</v>
      </c>
      <c r="F1415" s="1">
        <v>45658</v>
      </c>
      <c r="G1415" t="s">
        <v>10</v>
      </c>
      <c r="H1415" s="2">
        <v>45809</v>
      </c>
      <c r="I1415" s="3">
        <v>45833</v>
      </c>
      <c r="J1415" s="3">
        <f t="shared" si="22"/>
        <v>45836</v>
      </c>
      <c r="K1415" s="4">
        <v>360.15999699999992</v>
      </c>
      <c r="L1415">
        <v>39104</v>
      </c>
    </row>
    <row r="1416" spans="1:12" x14ac:dyDescent="0.35">
      <c r="A1416" t="s">
        <v>8</v>
      </c>
      <c r="B1416" t="s">
        <v>9</v>
      </c>
      <c r="C1416" t="s">
        <v>35</v>
      </c>
      <c r="D1416" t="str" cm="1">
        <f t="array" ref="D1416">INDEX(_xlfn.TEXTSPLIT(C1416,"_"),3)</f>
        <v>bfr</v>
      </c>
      <c r="E1416" t="str">
        <f>VLOOKUP(D1416,FranchiseMapping!$A$1:$B$15,2,FALSE)</f>
        <v>Full Rescue</v>
      </c>
      <c r="F1416" s="1">
        <v>45658</v>
      </c>
      <c r="G1416" t="s">
        <v>12</v>
      </c>
      <c r="H1416" s="2">
        <v>45809</v>
      </c>
      <c r="I1416" s="3">
        <v>45829</v>
      </c>
      <c r="J1416" s="3">
        <f t="shared" si="22"/>
        <v>45829</v>
      </c>
      <c r="K1416" s="4">
        <v>1755.1199999999994</v>
      </c>
      <c r="L1416">
        <v>148579</v>
      </c>
    </row>
    <row r="1417" spans="1:12" x14ac:dyDescent="0.35">
      <c r="A1417" t="s">
        <v>8</v>
      </c>
      <c r="B1417" t="s">
        <v>9</v>
      </c>
      <c r="C1417" t="s">
        <v>31</v>
      </c>
      <c r="D1417" t="str" cm="1">
        <f t="array" ref="D1417">INDEX(_xlfn.TEXTSPLIT(C1417,"_"),3)</f>
        <v>scalp</v>
      </c>
      <c r="E1417" t="str">
        <f>VLOOKUP(D1417,FranchiseMapping!$A$1:$B$15,2,FALSE)</f>
        <v>Scalp Sync</v>
      </c>
      <c r="F1417" s="1">
        <v>45292</v>
      </c>
      <c r="G1417" t="s">
        <v>10</v>
      </c>
      <c r="H1417" s="2">
        <v>45352</v>
      </c>
      <c r="I1417" s="3">
        <v>45369</v>
      </c>
      <c r="J1417" s="3">
        <f t="shared" si="22"/>
        <v>45374</v>
      </c>
      <c r="K1417" s="4">
        <v>1736.4199990000002</v>
      </c>
      <c r="L1417">
        <v>249202</v>
      </c>
    </row>
    <row r="1418" spans="1:12" x14ac:dyDescent="0.35">
      <c r="A1418" t="s">
        <v>8</v>
      </c>
      <c r="B1418" t="s">
        <v>9</v>
      </c>
      <c r="C1418" t="s">
        <v>40</v>
      </c>
      <c r="D1418" t="str" cm="1">
        <f t="array" ref="D1418">INDEX(_xlfn.TEXTSPLIT(C1418,"_"),3)</f>
        <v>hydrasource</v>
      </c>
      <c r="E1418" t="str">
        <f>VLOOKUP(D1418,FranchiseMapping!$A$1:$B$15,2,FALSE)</f>
        <v>Hydrasource</v>
      </c>
      <c r="F1418" s="1">
        <v>45292</v>
      </c>
      <c r="G1418" t="s">
        <v>12</v>
      </c>
      <c r="H1418" s="2">
        <v>45323</v>
      </c>
      <c r="I1418" s="3">
        <v>45335</v>
      </c>
      <c r="J1418" s="3">
        <f t="shared" si="22"/>
        <v>45339</v>
      </c>
      <c r="K1418" s="4">
        <v>3086.6799979999992</v>
      </c>
      <c r="L1418">
        <v>457497</v>
      </c>
    </row>
    <row r="1419" spans="1:12" x14ac:dyDescent="0.35">
      <c r="A1419" t="s">
        <v>8</v>
      </c>
      <c r="B1419" t="s">
        <v>9</v>
      </c>
      <c r="C1419" t="s">
        <v>35</v>
      </c>
      <c r="D1419" t="str" cm="1">
        <f t="array" ref="D1419">INDEX(_xlfn.TEXTSPLIT(C1419,"_"),3)</f>
        <v>bfr</v>
      </c>
      <c r="E1419" t="str">
        <f>VLOOKUP(D1419,FranchiseMapping!$A$1:$B$15,2,FALSE)</f>
        <v>Full Rescue</v>
      </c>
      <c r="F1419" s="1">
        <v>45658</v>
      </c>
      <c r="G1419" t="s">
        <v>10</v>
      </c>
      <c r="H1419" s="2">
        <v>45778</v>
      </c>
      <c r="I1419" s="3">
        <v>45808</v>
      </c>
      <c r="J1419" s="3">
        <f t="shared" si="22"/>
        <v>45808</v>
      </c>
      <c r="K1419" s="4">
        <v>14.479999999999997</v>
      </c>
      <c r="L1419">
        <v>1714</v>
      </c>
    </row>
    <row r="1420" spans="1:12" x14ac:dyDescent="0.35">
      <c r="A1420" t="s">
        <v>8</v>
      </c>
      <c r="B1420" t="s">
        <v>9</v>
      </c>
      <c r="C1420" t="s">
        <v>33</v>
      </c>
      <c r="D1420" t="str" cm="1">
        <f t="array" ref="D1420">INDEX(_xlfn.TEXTSPLIT(C1420,"_"),3)</f>
        <v>hydrasource</v>
      </c>
      <c r="E1420" t="str">
        <f>VLOOKUP(D1420,FranchiseMapping!$A$1:$B$15,2,FALSE)</f>
        <v>Hydrasource</v>
      </c>
      <c r="F1420" s="1">
        <v>45292</v>
      </c>
      <c r="G1420" t="s">
        <v>11</v>
      </c>
      <c r="H1420" s="2">
        <v>45323</v>
      </c>
      <c r="I1420" s="3">
        <v>45324</v>
      </c>
      <c r="J1420" s="3">
        <f t="shared" si="22"/>
        <v>45325</v>
      </c>
      <c r="K1420" s="4">
        <v>1225.4200049999999</v>
      </c>
      <c r="L1420">
        <v>223415</v>
      </c>
    </row>
    <row r="1421" spans="1:12" x14ac:dyDescent="0.35">
      <c r="A1421" t="s">
        <v>8</v>
      </c>
      <c r="B1421" t="s">
        <v>9</v>
      </c>
      <c r="C1421" t="s">
        <v>46</v>
      </c>
      <c r="D1421" t="str" cm="1">
        <f t="array" ref="D1421">INDEX(_xlfn.TEXTSPLIT(C1421,"_"),3)</f>
        <v>mult</v>
      </c>
      <c r="E1421" t="str">
        <f>VLOOKUP(D1421,FranchiseMapping!$A$1:$B$15,2,FALSE)</f>
        <v>Biolage</v>
      </c>
      <c r="F1421" s="1">
        <v>45658</v>
      </c>
      <c r="G1421" t="s">
        <v>12</v>
      </c>
      <c r="H1421" s="2">
        <v>45748</v>
      </c>
      <c r="I1421" s="3">
        <v>45758</v>
      </c>
      <c r="J1421" s="3">
        <f t="shared" si="22"/>
        <v>45759</v>
      </c>
      <c r="K1421" s="4">
        <v>1166.940002</v>
      </c>
      <c r="L1421">
        <v>255285</v>
      </c>
    </row>
    <row r="1422" spans="1:12" x14ac:dyDescent="0.35">
      <c r="A1422" t="s">
        <v>8</v>
      </c>
      <c r="B1422" t="s">
        <v>9</v>
      </c>
      <c r="C1422" t="s">
        <v>50</v>
      </c>
      <c r="D1422" t="str" cm="1">
        <f t="array" ref="D1422">INDEX(_xlfn.TEXTSPLIT(C1422,"_"),3)</f>
        <v>bond-therapy</v>
      </c>
      <c r="E1422" t="str">
        <f>VLOOKUP(D1422,FranchiseMapping!$A$1:$B$15,2,FALSE)</f>
        <v>Bond Therapy</v>
      </c>
      <c r="F1422" s="1">
        <v>44927</v>
      </c>
      <c r="G1422" t="s">
        <v>12</v>
      </c>
      <c r="H1422" s="2">
        <v>45261</v>
      </c>
      <c r="I1422" s="3">
        <v>45287</v>
      </c>
      <c r="J1422" s="3">
        <f t="shared" si="22"/>
        <v>45290</v>
      </c>
      <c r="K1422" s="4">
        <v>2477.09</v>
      </c>
      <c r="L1422">
        <v>274814</v>
      </c>
    </row>
    <row r="1423" spans="1:12" x14ac:dyDescent="0.35">
      <c r="A1423" t="s">
        <v>8</v>
      </c>
      <c r="B1423" t="s">
        <v>9</v>
      </c>
      <c r="C1423" t="s">
        <v>48</v>
      </c>
      <c r="D1423" t="str" cm="1">
        <f t="array" ref="D1423">INDEX(_xlfn.TEXTSPLIT(C1423,"_"),3)</f>
        <v>scalp</v>
      </c>
      <c r="E1423" t="str">
        <f>VLOOKUP(D1423,FranchiseMapping!$A$1:$B$15,2,FALSE)</f>
        <v>Scalp Sync</v>
      </c>
      <c r="F1423" s="1">
        <v>45292</v>
      </c>
      <c r="G1423" t="s">
        <v>12</v>
      </c>
      <c r="H1423" s="2">
        <v>45383</v>
      </c>
      <c r="I1423" s="3">
        <v>45391</v>
      </c>
      <c r="J1423" s="3">
        <f t="shared" si="22"/>
        <v>45395</v>
      </c>
      <c r="K1423" s="4">
        <v>777.09999900000003</v>
      </c>
      <c r="L1423">
        <v>200656</v>
      </c>
    </row>
    <row r="1424" spans="1:12" x14ac:dyDescent="0.35">
      <c r="A1424" t="s">
        <v>8</v>
      </c>
      <c r="B1424" t="s">
        <v>9</v>
      </c>
      <c r="C1424" t="s">
        <v>50</v>
      </c>
      <c r="D1424" t="str" cm="1">
        <f t="array" ref="D1424">INDEX(_xlfn.TEXTSPLIT(C1424,"_"),3)</f>
        <v>bond-therapy</v>
      </c>
      <c r="E1424" t="str">
        <f>VLOOKUP(D1424,FranchiseMapping!$A$1:$B$15,2,FALSE)</f>
        <v>Bond Therapy</v>
      </c>
      <c r="F1424" s="1">
        <v>44927</v>
      </c>
      <c r="G1424" t="s">
        <v>12</v>
      </c>
      <c r="H1424" s="2">
        <v>45261</v>
      </c>
      <c r="I1424" s="3">
        <v>45264</v>
      </c>
      <c r="J1424" s="3">
        <f t="shared" si="22"/>
        <v>45269</v>
      </c>
      <c r="K1424" s="4">
        <v>3011.8499980000015</v>
      </c>
      <c r="L1424">
        <v>298132</v>
      </c>
    </row>
    <row r="1425" spans="1:12" x14ac:dyDescent="0.35">
      <c r="A1425" t="s">
        <v>8</v>
      </c>
      <c r="B1425" t="s">
        <v>9</v>
      </c>
      <c r="C1425" t="s">
        <v>33</v>
      </c>
      <c r="D1425" t="str" cm="1">
        <f t="array" ref="D1425">INDEX(_xlfn.TEXTSPLIT(C1425,"_"),3)</f>
        <v>hydrasource</v>
      </c>
      <c r="E1425" t="str">
        <f>VLOOKUP(D1425,FranchiseMapping!$A$1:$B$15,2,FALSE)</f>
        <v>Hydrasource</v>
      </c>
      <c r="F1425" s="1">
        <v>45292</v>
      </c>
      <c r="G1425" t="s">
        <v>11</v>
      </c>
      <c r="H1425" s="2">
        <v>45323</v>
      </c>
      <c r="I1425" s="3">
        <v>45330</v>
      </c>
      <c r="J1425" s="3">
        <f t="shared" si="22"/>
        <v>45332</v>
      </c>
      <c r="K1425" s="4">
        <v>1123.359997</v>
      </c>
      <c r="L1425">
        <v>190217</v>
      </c>
    </row>
    <row r="1426" spans="1:12" x14ac:dyDescent="0.35">
      <c r="A1426" t="s">
        <v>8</v>
      </c>
      <c r="B1426" t="s">
        <v>9</v>
      </c>
      <c r="C1426" t="s">
        <v>46</v>
      </c>
      <c r="D1426" t="str" cm="1">
        <f t="array" ref="D1426">INDEX(_xlfn.TEXTSPLIT(C1426,"_"),3)</f>
        <v>mult</v>
      </c>
      <c r="E1426" t="str">
        <f>VLOOKUP(D1426,FranchiseMapping!$A$1:$B$15,2,FALSE)</f>
        <v>Biolage</v>
      </c>
      <c r="F1426" s="1">
        <v>45658</v>
      </c>
      <c r="G1426" t="s">
        <v>10</v>
      </c>
      <c r="H1426" s="2">
        <v>45778</v>
      </c>
      <c r="I1426" s="3">
        <v>45806</v>
      </c>
      <c r="J1426" s="3">
        <f t="shared" si="22"/>
        <v>45808</v>
      </c>
      <c r="K1426" s="4">
        <v>927.1000019999999</v>
      </c>
      <c r="L1426">
        <v>144441</v>
      </c>
    </row>
    <row r="1427" spans="1:12" x14ac:dyDescent="0.35">
      <c r="A1427" t="s">
        <v>8</v>
      </c>
      <c r="B1427" t="s">
        <v>9</v>
      </c>
      <c r="C1427" t="s">
        <v>45</v>
      </c>
      <c r="D1427" t="str" cm="1">
        <f t="array" ref="D1427">INDEX(_xlfn.TEXTSPLIT(C1427,"_"),3)</f>
        <v>hydrasource</v>
      </c>
      <c r="E1427" t="str">
        <f>VLOOKUP(D1427,FranchiseMapping!$A$1:$B$15,2,FALSE)</f>
        <v>Hydrasource</v>
      </c>
      <c r="F1427" s="1">
        <v>45292</v>
      </c>
      <c r="G1427" t="s">
        <v>12</v>
      </c>
      <c r="H1427" s="2">
        <v>45566</v>
      </c>
      <c r="I1427" s="3">
        <v>45583</v>
      </c>
      <c r="J1427" s="3">
        <f t="shared" si="22"/>
        <v>45584</v>
      </c>
      <c r="K1427" s="4">
        <v>2541.599999</v>
      </c>
      <c r="L1427">
        <v>258071</v>
      </c>
    </row>
    <row r="1428" spans="1:12" x14ac:dyDescent="0.35">
      <c r="A1428" t="s">
        <v>8</v>
      </c>
      <c r="B1428" t="s">
        <v>9</v>
      </c>
      <c r="C1428" t="s">
        <v>36</v>
      </c>
      <c r="D1428" t="str" cm="1">
        <f t="array" ref="D1428">INDEX(_xlfn.TEXTSPLIT(C1428,"_"),3)</f>
        <v>bfr</v>
      </c>
      <c r="E1428" t="str">
        <f>VLOOKUP(D1428,FranchiseMapping!$A$1:$B$15,2,FALSE)</f>
        <v>Full Rescue</v>
      </c>
      <c r="F1428" s="1">
        <v>45658</v>
      </c>
      <c r="G1428" t="s">
        <v>12</v>
      </c>
      <c r="H1428" s="2">
        <v>45809</v>
      </c>
      <c r="I1428" s="3">
        <v>45810</v>
      </c>
      <c r="J1428" s="3">
        <f t="shared" si="22"/>
        <v>45815</v>
      </c>
      <c r="K1428" s="4">
        <v>1695.6800010000002</v>
      </c>
      <c r="L1428">
        <v>281207</v>
      </c>
    </row>
    <row r="1429" spans="1:12" x14ac:dyDescent="0.35">
      <c r="A1429" t="s">
        <v>8</v>
      </c>
      <c r="B1429" t="s">
        <v>9</v>
      </c>
      <c r="C1429" t="s">
        <v>33</v>
      </c>
      <c r="D1429" t="str" cm="1">
        <f t="array" ref="D1429">INDEX(_xlfn.TEXTSPLIT(C1429,"_"),3)</f>
        <v>hydrasource</v>
      </c>
      <c r="E1429" t="str">
        <f>VLOOKUP(D1429,FranchiseMapping!$A$1:$B$15,2,FALSE)</f>
        <v>Hydrasource</v>
      </c>
      <c r="F1429" s="1">
        <v>45292</v>
      </c>
      <c r="G1429" t="s">
        <v>11</v>
      </c>
      <c r="H1429" s="2">
        <v>45292</v>
      </c>
      <c r="I1429" s="3">
        <v>45321</v>
      </c>
      <c r="J1429" s="3">
        <f t="shared" si="22"/>
        <v>45325</v>
      </c>
      <c r="K1429" s="4">
        <v>1469.3899960000001</v>
      </c>
      <c r="L1429">
        <v>293066</v>
      </c>
    </row>
    <row r="1430" spans="1:12" x14ac:dyDescent="0.35">
      <c r="A1430" t="s">
        <v>8</v>
      </c>
      <c r="B1430" t="s">
        <v>9</v>
      </c>
      <c r="C1430" t="s">
        <v>36</v>
      </c>
      <c r="D1430" t="str" cm="1">
        <f t="array" ref="D1430">INDEX(_xlfn.TEXTSPLIT(C1430,"_"),3)</f>
        <v>bfr</v>
      </c>
      <c r="E1430" t="str">
        <f>VLOOKUP(D1430,FranchiseMapping!$A$1:$B$15,2,FALSE)</f>
        <v>Full Rescue</v>
      </c>
      <c r="F1430" s="1">
        <v>45658</v>
      </c>
      <c r="G1430" t="s">
        <v>10</v>
      </c>
      <c r="H1430" s="2">
        <v>45778</v>
      </c>
      <c r="I1430" s="3">
        <v>45798</v>
      </c>
      <c r="J1430" s="3">
        <f t="shared" si="22"/>
        <v>45801</v>
      </c>
      <c r="K1430" s="4">
        <v>17.920000000000002</v>
      </c>
      <c r="L1430">
        <v>1189</v>
      </c>
    </row>
    <row r="1431" spans="1:12" x14ac:dyDescent="0.35">
      <c r="A1431" t="s">
        <v>8</v>
      </c>
      <c r="B1431" t="s">
        <v>9</v>
      </c>
      <c r="C1431" t="s">
        <v>36</v>
      </c>
      <c r="D1431" t="str" cm="1">
        <f t="array" ref="D1431">INDEX(_xlfn.TEXTSPLIT(C1431,"_"),3)</f>
        <v>bfr</v>
      </c>
      <c r="E1431" t="str">
        <f>VLOOKUP(D1431,FranchiseMapping!$A$1:$B$15,2,FALSE)</f>
        <v>Full Rescue</v>
      </c>
      <c r="F1431" s="1">
        <v>45658</v>
      </c>
      <c r="G1431" t="s">
        <v>10</v>
      </c>
      <c r="H1431" s="2">
        <v>45778</v>
      </c>
      <c r="I1431" s="3">
        <v>45802</v>
      </c>
      <c r="J1431" s="3">
        <f t="shared" si="22"/>
        <v>45808</v>
      </c>
      <c r="K1431" s="4">
        <v>17.05</v>
      </c>
      <c r="L1431">
        <v>699</v>
      </c>
    </row>
    <row r="1432" spans="1:12" x14ac:dyDescent="0.35">
      <c r="A1432" t="s">
        <v>8</v>
      </c>
      <c r="B1432" t="s">
        <v>14</v>
      </c>
      <c r="C1432" t="s">
        <v>29</v>
      </c>
      <c r="D1432" t="str" cm="1">
        <f t="array" ref="D1432">INDEX(_xlfn.TEXTSPLIT(C1432,"_"),3)</f>
        <v>bfr</v>
      </c>
      <c r="E1432" t="str">
        <f>VLOOKUP(D1432,FranchiseMapping!$A$1:$B$15,2,FALSE)</f>
        <v>Full Rescue</v>
      </c>
      <c r="F1432" s="1">
        <v>45658</v>
      </c>
      <c r="G1432" t="s">
        <v>12</v>
      </c>
      <c r="H1432" s="2">
        <v>45809</v>
      </c>
      <c r="I1432" s="3">
        <v>45814</v>
      </c>
      <c r="J1432" s="3">
        <f t="shared" si="22"/>
        <v>45815</v>
      </c>
      <c r="K1432" s="4">
        <v>2.72</v>
      </c>
      <c r="L1432">
        <v>613</v>
      </c>
    </row>
    <row r="1433" spans="1:12" x14ac:dyDescent="0.35">
      <c r="A1433" t="s">
        <v>8</v>
      </c>
      <c r="B1433" t="s">
        <v>9</v>
      </c>
      <c r="C1433" t="s">
        <v>48</v>
      </c>
      <c r="D1433" t="str" cm="1">
        <f t="array" ref="D1433">INDEX(_xlfn.TEXTSPLIT(C1433,"_"),3)</f>
        <v>scalp</v>
      </c>
      <c r="E1433" t="str">
        <f>VLOOKUP(D1433,FranchiseMapping!$A$1:$B$15,2,FALSE)</f>
        <v>Scalp Sync</v>
      </c>
      <c r="F1433" s="1">
        <v>45292</v>
      </c>
      <c r="G1433" t="s">
        <v>10</v>
      </c>
      <c r="H1433" s="2">
        <v>45383</v>
      </c>
      <c r="I1433" s="3">
        <v>45397</v>
      </c>
      <c r="J1433" s="3">
        <f t="shared" si="22"/>
        <v>45402</v>
      </c>
      <c r="K1433" s="4">
        <v>187.22</v>
      </c>
      <c r="L1433">
        <v>44527</v>
      </c>
    </row>
    <row r="1434" spans="1:12" x14ac:dyDescent="0.35">
      <c r="A1434" t="s">
        <v>8</v>
      </c>
      <c r="B1434" t="s">
        <v>13</v>
      </c>
      <c r="C1434" t="s">
        <v>59</v>
      </c>
      <c r="D1434" t="str" cm="1">
        <f t="array" ref="D1434">INDEX(_xlfn.TEXTSPLIT(C1434,"_"),3)</f>
        <v>scalp-sync</v>
      </c>
      <c r="E1434" t="str">
        <f>VLOOKUP(D1434,FranchiseMapping!$A$1:$B$15,2,FALSE)</f>
        <v>Scalp Sync</v>
      </c>
      <c r="F1434" s="1">
        <v>45292</v>
      </c>
      <c r="G1434" t="s">
        <v>11</v>
      </c>
      <c r="H1434" s="2">
        <v>45413</v>
      </c>
      <c r="I1434" s="3">
        <v>45416</v>
      </c>
      <c r="J1434" s="3">
        <f t="shared" si="22"/>
        <v>45416</v>
      </c>
      <c r="K1434" s="4">
        <v>3360.4204820000004</v>
      </c>
      <c r="L1434">
        <v>1553940</v>
      </c>
    </row>
    <row r="1435" spans="1:12" x14ac:dyDescent="0.35">
      <c r="A1435" t="s">
        <v>8</v>
      </c>
      <c r="B1435" t="s">
        <v>9</v>
      </c>
      <c r="C1435" t="s">
        <v>34</v>
      </c>
      <c r="D1435" t="str" cm="1">
        <f t="array" ref="D1435">INDEX(_xlfn.TEXTSPLIT(C1435,"_"),3)</f>
        <v>hydrasource</v>
      </c>
      <c r="E1435" t="str">
        <f>VLOOKUP(D1435,FranchiseMapping!$A$1:$B$15,2,FALSE)</f>
        <v>Hydrasource</v>
      </c>
      <c r="F1435" s="1">
        <v>45292</v>
      </c>
      <c r="G1435" t="s">
        <v>12</v>
      </c>
      <c r="H1435" s="2">
        <v>45323</v>
      </c>
      <c r="I1435" s="3">
        <v>45325</v>
      </c>
      <c r="J1435" s="3">
        <f t="shared" si="22"/>
        <v>45325</v>
      </c>
      <c r="K1435" s="4">
        <v>665.04000000000008</v>
      </c>
      <c r="L1435">
        <v>154184</v>
      </c>
    </row>
    <row r="1436" spans="1:12" x14ac:dyDescent="0.35">
      <c r="A1436" t="s">
        <v>8</v>
      </c>
      <c r="B1436" t="s">
        <v>9</v>
      </c>
      <c r="C1436" t="s">
        <v>64</v>
      </c>
      <c r="D1436" t="str" cm="1">
        <f t="array" ref="D1436">INDEX(_xlfn.TEXTSPLIT(C1436,"_"),3)</f>
        <v>mult</v>
      </c>
      <c r="E1436" t="str">
        <f>VLOOKUP(D1436,FranchiseMapping!$A$1:$B$15,2,FALSE)</f>
        <v>Biolage</v>
      </c>
      <c r="F1436" s="1">
        <v>45292</v>
      </c>
      <c r="G1436" t="s">
        <v>12</v>
      </c>
      <c r="H1436" s="2">
        <v>45597</v>
      </c>
      <c r="I1436" s="3">
        <v>45616</v>
      </c>
      <c r="J1436" s="3">
        <f t="shared" si="22"/>
        <v>45619</v>
      </c>
      <c r="K1436" s="4">
        <v>4980.360001</v>
      </c>
      <c r="L1436">
        <v>599602</v>
      </c>
    </row>
    <row r="1437" spans="1:12" x14ac:dyDescent="0.35">
      <c r="A1437" t="s">
        <v>8</v>
      </c>
      <c r="B1437" t="s">
        <v>9</v>
      </c>
      <c r="C1437" t="s">
        <v>34</v>
      </c>
      <c r="D1437" t="str" cm="1">
        <f t="array" ref="D1437">INDEX(_xlfn.TEXTSPLIT(C1437,"_"),3)</f>
        <v>hydrasource</v>
      </c>
      <c r="E1437" t="str">
        <f>VLOOKUP(D1437,FranchiseMapping!$A$1:$B$15,2,FALSE)</f>
        <v>Hydrasource</v>
      </c>
      <c r="F1437" s="1">
        <v>45292</v>
      </c>
      <c r="G1437" t="s">
        <v>12</v>
      </c>
      <c r="H1437" s="2">
        <v>45292</v>
      </c>
      <c r="I1437" s="3">
        <v>45307</v>
      </c>
      <c r="J1437" s="3">
        <f t="shared" si="22"/>
        <v>45311</v>
      </c>
      <c r="K1437" s="4">
        <v>627.26</v>
      </c>
      <c r="L1437">
        <v>168449</v>
      </c>
    </row>
    <row r="1438" spans="1:12" x14ac:dyDescent="0.35">
      <c r="A1438" t="s">
        <v>8</v>
      </c>
      <c r="B1438" t="s">
        <v>9</v>
      </c>
      <c r="C1438" t="s">
        <v>46</v>
      </c>
      <c r="D1438" t="str" cm="1">
        <f t="array" ref="D1438">INDEX(_xlfn.TEXTSPLIT(C1438,"_"),3)</f>
        <v>mult</v>
      </c>
      <c r="E1438" t="str">
        <f>VLOOKUP(D1438,FranchiseMapping!$A$1:$B$15,2,FALSE)</f>
        <v>Biolage</v>
      </c>
      <c r="F1438" s="1">
        <v>45658</v>
      </c>
      <c r="G1438" t="s">
        <v>12</v>
      </c>
      <c r="H1438" s="2">
        <v>45748</v>
      </c>
      <c r="I1438" s="3">
        <v>45773</v>
      </c>
      <c r="J1438" s="3">
        <f t="shared" si="22"/>
        <v>45773</v>
      </c>
      <c r="K1438" s="4">
        <v>945.27999999999986</v>
      </c>
      <c r="L1438">
        <v>216168</v>
      </c>
    </row>
    <row r="1439" spans="1:12" x14ac:dyDescent="0.35">
      <c r="A1439" t="s">
        <v>8</v>
      </c>
      <c r="B1439" t="s">
        <v>9</v>
      </c>
      <c r="C1439" t="s">
        <v>36</v>
      </c>
      <c r="D1439" t="str" cm="1">
        <f t="array" ref="D1439">INDEX(_xlfn.TEXTSPLIT(C1439,"_"),3)</f>
        <v>bfr</v>
      </c>
      <c r="E1439" t="str">
        <f>VLOOKUP(D1439,FranchiseMapping!$A$1:$B$15,2,FALSE)</f>
        <v>Full Rescue</v>
      </c>
      <c r="F1439" s="1">
        <v>45658</v>
      </c>
      <c r="G1439" t="s">
        <v>10</v>
      </c>
      <c r="H1439" s="2">
        <v>45809</v>
      </c>
      <c r="I1439" s="3">
        <v>45815</v>
      </c>
      <c r="J1439" s="3">
        <f t="shared" si="22"/>
        <v>45815</v>
      </c>
      <c r="K1439" s="4">
        <v>1864.2700020000002</v>
      </c>
      <c r="L1439">
        <v>267920</v>
      </c>
    </row>
    <row r="1440" spans="1:12" x14ac:dyDescent="0.35">
      <c r="A1440" t="s">
        <v>8</v>
      </c>
      <c r="B1440" t="s">
        <v>13</v>
      </c>
      <c r="C1440" t="s">
        <v>59</v>
      </c>
      <c r="D1440" t="str" cm="1">
        <f t="array" ref="D1440">INDEX(_xlfn.TEXTSPLIT(C1440,"_"),3)</f>
        <v>scalp-sync</v>
      </c>
      <c r="E1440" t="str">
        <f>VLOOKUP(D1440,FranchiseMapping!$A$1:$B$15,2,FALSE)</f>
        <v>Scalp Sync</v>
      </c>
      <c r="F1440" s="1">
        <v>45292</v>
      </c>
      <c r="G1440" t="s">
        <v>11</v>
      </c>
      <c r="H1440" s="2">
        <v>45413</v>
      </c>
      <c r="I1440" s="3">
        <v>45427</v>
      </c>
      <c r="J1440" s="3">
        <f t="shared" si="22"/>
        <v>45430</v>
      </c>
      <c r="K1440" s="4">
        <v>3393.5012029999998</v>
      </c>
      <c r="L1440">
        <v>1480304</v>
      </c>
    </row>
    <row r="1441" spans="1:12" x14ac:dyDescent="0.35">
      <c r="A1441" t="s">
        <v>8</v>
      </c>
      <c r="B1441" t="s">
        <v>9</v>
      </c>
      <c r="C1441" t="s">
        <v>61</v>
      </c>
      <c r="D1441" t="str" cm="1">
        <f t="array" ref="D1441">INDEX(_xlfn.TEXTSPLIT(C1441,"_"),3)</f>
        <v>prime-day</v>
      </c>
      <c r="E1441" t="str">
        <f>VLOOKUP(D1441,FranchiseMapping!$A$1:$B$15,2,FALSE)</f>
        <v>Prime Day</v>
      </c>
      <c r="F1441" s="1">
        <v>45292</v>
      </c>
      <c r="G1441" t="s">
        <v>10</v>
      </c>
      <c r="H1441" s="2">
        <v>45474</v>
      </c>
      <c r="I1441" s="3">
        <v>45482</v>
      </c>
      <c r="J1441" s="3">
        <f t="shared" si="22"/>
        <v>45486</v>
      </c>
      <c r="K1441" s="4">
        <v>3522.229996</v>
      </c>
      <c r="L1441">
        <v>606502</v>
      </c>
    </row>
    <row r="1442" spans="1:12" x14ac:dyDescent="0.35">
      <c r="A1442" t="s">
        <v>8</v>
      </c>
      <c r="B1442" t="s">
        <v>9</v>
      </c>
      <c r="C1442" t="s">
        <v>68</v>
      </c>
      <c r="D1442" t="str" cm="1">
        <f t="array" ref="D1442">INDEX(_xlfn.TEXTSPLIT(C1442,"_"),3)</f>
        <v>na</v>
      </c>
      <c r="E1442" t="str">
        <f>VLOOKUP(D1442,FranchiseMapping!$A$1:$B$15,2,FALSE)</f>
        <v>Biolage</v>
      </c>
      <c r="F1442" s="1">
        <v>44927</v>
      </c>
      <c r="G1442" t="s">
        <v>11</v>
      </c>
      <c r="H1442" s="2">
        <v>45231</v>
      </c>
      <c r="I1442" s="3">
        <v>45231</v>
      </c>
      <c r="J1442" s="3">
        <f t="shared" si="22"/>
        <v>45234</v>
      </c>
      <c r="K1442" s="4">
        <v>344.37000099999989</v>
      </c>
      <c r="L1442">
        <v>45181</v>
      </c>
    </row>
    <row r="1443" spans="1:12" x14ac:dyDescent="0.35">
      <c r="A1443" t="s">
        <v>8</v>
      </c>
      <c r="B1443" t="s">
        <v>9</v>
      </c>
      <c r="C1443" t="s">
        <v>35</v>
      </c>
      <c r="D1443" t="str" cm="1">
        <f t="array" ref="D1443">INDEX(_xlfn.TEXTSPLIT(C1443,"_"),3)</f>
        <v>bfr</v>
      </c>
      <c r="E1443" t="str">
        <f>VLOOKUP(D1443,FranchiseMapping!$A$1:$B$15,2,FALSE)</f>
        <v>Full Rescue</v>
      </c>
      <c r="F1443" s="1">
        <v>45658</v>
      </c>
      <c r="G1443" t="s">
        <v>12</v>
      </c>
      <c r="H1443" s="2">
        <v>45809</v>
      </c>
      <c r="I1443" s="3">
        <v>45833</v>
      </c>
      <c r="J1443" s="3">
        <f t="shared" si="22"/>
        <v>45836</v>
      </c>
      <c r="K1443" s="4">
        <v>1337.52</v>
      </c>
      <c r="L1443">
        <v>120039</v>
      </c>
    </row>
    <row r="1444" spans="1:12" x14ac:dyDescent="0.35">
      <c r="A1444" t="s">
        <v>8</v>
      </c>
      <c r="B1444" t="s">
        <v>9</v>
      </c>
      <c r="C1444" t="s">
        <v>38</v>
      </c>
      <c r="D1444" t="str" cm="1">
        <f t="array" ref="D1444">INDEX(_xlfn.TEXTSPLIT(C1444,"_"),3)</f>
        <v>hys</v>
      </c>
      <c r="E1444" t="str">
        <f>VLOOKUP(D1444,FranchiseMapping!$A$1:$B$15,2,FALSE)</f>
        <v>Hydrasource</v>
      </c>
      <c r="F1444" s="1">
        <v>45658</v>
      </c>
      <c r="G1444" t="s">
        <v>10</v>
      </c>
      <c r="H1444" s="2">
        <v>45748</v>
      </c>
      <c r="I1444" s="3">
        <v>45750</v>
      </c>
      <c r="J1444" s="3">
        <f t="shared" si="22"/>
        <v>45752</v>
      </c>
      <c r="K1444" s="4">
        <v>720.43999999999983</v>
      </c>
      <c r="L1444">
        <v>43835</v>
      </c>
    </row>
    <row r="1445" spans="1:12" x14ac:dyDescent="0.35">
      <c r="A1445" t="s">
        <v>8</v>
      </c>
      <c r="B1445" t="s">
        <v>9</v>
      </c>
      <c r="C1445" t="s">
        <v>33</v>
      </c>
      <c r="D1445" t="str" cm="1">
        <f t="array" ref="D1445">INDEX(_xlfn.TEXTSPLIT(C1445,"_"),3)</f>
        <v>hydrasource</v>
      </c>
      <c r="E1445" t="str">
        <f>VLOOKUP(D1445,FranchiseMapping!$A$1:$B$15,2,FALSE)</f>
        <v>Hydrasource</v>
      </c>
      <c r="F1445" s="1">
        <v>45292</v>
      </c>
      <c r="G1445" t="s">
        <v>11</v>
      </c>
      <c r="H1445" s="2">
        <v>45323</v>
      </c>
      <c r="I1445" s="3">
        <v>45335</v>
      </c>
      <c r="J1445" s="3">
        <f t="shared" si="22"/>
        <v>45339</v>
      </c>
      <c r="K1445" s="4">
        <v>1182.0300050000001</v>
      </c>
      <c r="L1445">
        <v>170729</v>
      </c>
    </row>
    <row r="1446" spans="1:12" x14ac:dyDescent="0.35">
      <c r="A1446" t="s">
        <v>8</v>
      </c>
      <c r="B1446" t="s">
        <v>9</v>
      </c>
      <c r="C1446" t="s">
        <v>64</v>
      </c>
      <c r="D1446" t="str" cm="1">
        <f t="array" ref="D1446">INDEX(_xlfn.TEXTSPLIT(C1446,"_"),3)</f>
        <v>mult</v>
      </c>
      <c r="E1446" t="str">
        <f>VLOOKUP(D1446,FranchiseMapping!$A$1:$B$15,2,FALSE)</f>
        <v>Biolage</v>
      </c>
      <c r="F1446" s="1">
        <v>45292</v>
      </c>
      <c r="G1446" t="s">
        <v>12</v>
      </c>
      <c r="H1446" s="2">
        <v>45597</v>
      </c>
      <c r="I1446" s="3">
        <v>45621</v>
      </c>
      <c r="J1446" s="3">
        <f t="shared" si="22"/>
        <v>45626</v>
      </c>
      <c r="K1446" s="4">
        <v>6467.0900009999996</v>
      </c>
      <c r="L1446">
        <v>435737</v>
      </c>
    </row>
    <row r="1447" spans="1:12" x14ac:dyDescent="0.35">
      <c r="A1447" t="s">
        <v>8</v>
      </c>
      <c r="B1447" t="s">
        <v>13</v>
      </c>
      <c r="C1447" t="s">
        <v>28</v>
      </c>
      <c r="D1447" t="str" cm="1">
        <f t="array" ref="D1447">INDEX(_xlfn.TEXTSPLIT(C1447,"_"),3)</f>
        <v>na</v>
      </c>
      <c r="E1447" t="str">
        <f>VLOOKUP(D1447,FranchiseMapping!$A$1:$B$15,2,FALSE)</f>
        <v>Biolage</v>
      </c>
      <c r="F1447" s="1">
        <v>44927</v>
      </c>
      <c r="G1447" t="s">
        <v>10</v>
      </c>
      <c r="H1447" s="2">
        <v>45139</v>
      </c>
      <c r="I1447" s="3">
        <v>45146</v>
      </c>
      <c r="J1447" s="3">
        <f t="shared" si="22"/>
        <v>45150</v>
      </c>
      <c r="K1447" s="4">
        <v>1153.7340899999999</v>
      </c>
      <c r="L1447">
        <v>150095</v>
      </c>
    </row>
    <row r="1448" spans="1:12" x14ac:dyDescent="0.35">
      <c r="A1448" t="s">
        <v>8</v>
      </c>
      <c r="B1448" t="s">
        <v>14</v>
      </c>
      <c r="C1448" t="s">
        <v>43</v>
      </c>
      <c r="D1448" t="str" cm="1">
        <f t="array" ref="D1448">INDEX(_xlfn.TEXTSPLIT(C1448,"_"),3)</f>
        <v>bfr</v>
      </c>
      <c r="E1448" t="str">
        <f>VLOOKUP(D1448,FranchiseMapping!$A$1:$B$15,2,FALSE)</f>
        <v>Full Rescue</v>
      </c>
      <c r="F1448" s="1">
        <v>45658</v>
      </c>
      <c r="G1448" t="s">
        <v>12</v>
      </c>
      <c r="H1448" s="2">
        <v>45809</v>
      </c>
      <c r="I1448" s="3">
        <v>45827</v>
      </c>
      <c r="J1448" s="3">
        <f t="shared" si="22"/>
        <v>45829</v>
      </c>
      <c r="K1448" s="4">
        <v>4198.53</v>
      </c>
      <c r="L1448">
        <v>746870</v>
      </c>
    </row>
    <row r="1449" spans="1:12" x14ac:dyDescent="0.35">
      <c r="A1449" t="s">
        <v>8</v>
      </c>
      <c r="B1449" t="s">
        <v>9</v>
      </c>
      <c r="C1449" t="s">
        <v>35</v>
      </c>
      <c r="D1449" t="str" cm="1">
        <f t="array" ref="D1449">INDEX(_xlfn.TEXTSPLIT(C1449,"_"),3)</f>
        <v>bfr</v>
      </c>
      <c r="E1449" t="str">
        <f>VLOOKUP(D1449,FranchiseMapping!$A$1:$B$15,2,FALSE)</f>
        <v>Full Rescue</v>
      </c>
      <c r="F1449" s="1">
        <v>45658</v>
      </c>
      <c r="G1449" t="s">
        <v>10</v>
      </c>
      <c r="H1449" s="2">
        <v>45778</v>
      </c>
      <c r="I1449" s="3">
        <v>45789</v>
      </c>
      <c r="J1449" s="3">
        <f t="shared" si="22"/>
        <v>45794</v>
      </c>
      <c r="K1449" s="4">
        <v>6.13</v>
      </c>
      <c r="L1449">
        <v>768</v>
      </c>
    </row>
    <row r="1450" spans="1:12" x14ac:dyDescent="0.35">
      <c r="A1450" t="s">
        <v>8</v>
      </c>
      <c r="B1450" t="s">
        <v>9</v>
      </c>
      <c r="C1450" t="s">
        <v>34</v>
      </c>
      <c r="D1450" t="str" cm="1">
        <f t="array" ref="D1450">INDEX(_xlfn.TEXTSPLIT(C1450,"_"),3)</f>
        <v>hydrasource</v>
      </c>
      <c r="E1450" t="str">
        <f>VLOOKUP(D1450,FranchiseMapping!$A$1:$B$15,2,FALSE)</f>
        <v>Hydrasource</v>
      </c>
      <c r="F1450" s="1">
        <v>45292</v>
      </c>
      <c r="G1450" t="s">
        <v>12</v>
      </c>
      <c r="H1450" s="2">
        <v>45323</v>
      </c>
      <c r="I1450" s="3">
        <v>45326</v>
      </c>
      <c r="J1450" s="3">
        <f t="shared" si="22"/>
        <v>45332</v>
      </c>
      <c r="K1450" s="4">
        <v>690.92999899999984</v>
      </c>
      <c r="L1450">
        <v>171820</v>
      </c>
    </row>
    <row r="1451" spans="1:12" x14ac:dyDescent="0.35">
      <c r="A1451" t="s">
        <v>8</v>
      </c>
      <c r="B1451" t="s">
        <v>13</v>
      </c>
      <c r="C1451" t="s">
        <v>42</v>
      </c>
      <c r="D1451" t="str" cm="1">
        <f t="array" ref="D1451">INDEX(_xlfn.TEXTSPLIT(C1451,"_"),3)</f>
        <v>bfr</v>
      </c>
      <c r="E1451" t="str">
        <f>VLOOKUP(D1451,FranchiseMapping!$A$1:$B$15,2,FALSE)</f>
        <v>Full Rescue</v>
      </c>
      <c r="F1451" s="1">
        <v>45658</v>
      </c>
      <c r="G1451" t="s">
        <v>10</v>
      </c>
      <c r="H1451" s="2">
        <v>45809</v>
      </c>
      <c r="I1451" s="3">
        <v>45819</v>
      </c>
      <c r="J1451" s="3">
        <f t="shared" si="22"/>
        <v>45822</v>
      </c>
      <c r="K1451" s="4">
        <v>430.898438</v>
      </c>
      <c r="L1451">
        <v>198122</v>
      </c>
    </row>
    <row r="1452" spans="1:12" x14ac:dyDescent="0.35">
      <c r="A1452" t="s">
        <v>8</v>
      </c>
      <c r="B1452" t="s">
        <v>14</v>
      </c>
      <c r="C1452" t="s">
        <v>43</v>
      </c>
      <c r="D1452" t="str" cm="1">
        <f t="array" ref="D1452">INDEX(_xlfn.TEXTSPLIT(C1452,"_"),3)</f>
        <v>bfr</v>
      </c>
      <c r="E1452" t="str">
        <f>VLOOKUP(D1452,FranchiseMapping!$A$1:$B$15,2,FALSE)</f>
        <v>Full Rescue</v>
      </c>
      <c r="F1452" s="1">
        <v>45658</v>
      </c>
      <c r="G1452" t="s">
        <v>10</v>
      </c>
      <c r="H1452" s="2">
        <v>45809</v>
      </c>
      <c r="I1452" s="3">
        <v>45819</v>
      </c>
      <c r="J1452" s="3">
        <f t="shared" si="22"/>
        <v>45822</v>
      </c>
      <c r="K1452" s="4">
        <v>487.86999999999995</v>
      </c>
      <c r="L1452">
        <v>99323</v>
      </c>
    </row>
    <row r="1453" spans="1:12" x14ac:dyDescent="0.35">
      <c r="A1453" t="s">
        <v>8</v>
      </c>
      <c r="B1453" t="s">
        <v>13</v>
      </c>
      <c r="C1453" t="s">
        <v>59</v>
      </c>
      <c r="D1453" t="str" cm="1">
        <f t="array" ref="D1453">INDEX(_xlfn.TEXTSPLIT(C1453,"_"),3)</f>
        <v>scalp-sync</v>
      </c>
      <c r="E1453" t="str">
        <f>VLOOKUP(D1453,FranchiseMapping!$A$1:$B$15,2,FALSE)</f>
        <v>Scalp Sync</v>
      </c>
      <c r="F1453" s="1">
        <v>45292</v>
      </c>
      <c r="G1453" t="s">
        <v>11</v>
      </c>
      <c r="H1453" s="2">
        <v>45413</v>
      </c>
      <c r="I1453" s="3">
        <v>45419</v>
      </c>
      <c r="J1453" s="3">
        <f t="shared" si="22"/>
        <v>45423</v>
      </c>
      <c r="K1453" s="4">
        <v>3370.5613399999997</v>
      </c>
      <c r="L1453">
        <v>1536687</v>
      </c>
    </row>
    <row r="1454" spans="1:12" x14ac:dyDescent="0.35">
      <c r="A1454" t="s">
        <v>8</v>
      </c>
      <c r="B1454" t="s">
        <v>14</v>
      </c>
      <c r="C1454" t="s">
        <v>29</v>
      </c>
      <c r="D1454" t="str" cm="1">
        <f t="array" ref="D1454">INDEX(_xlfn.TEXTSPLIT(C1454,"_"),3)</f>
        <v>bfr</v>
      </c>
      <c r="E1454" t="str">
        <f>VLOOKUP(D1454,FranchiseMapping!$A$1:$B$15,2,FALSE)</f>
        <v>Full Rescue</v>
      </c>
      <c r="F1454" s="1">
        <v>45658</v>
      </c>
      <c r="G1454" t="s">
        <v>10</v>
      </c>
      <c r="H1454" s="2">
        <v>45809</v>
      </c>
      <c r="I1454" s="3">
        <v>45824</v>
      </c>
      <c r="J1454" s="3">
        <f t="shared" si="22"/>
        <v>45829</v>
      </c>
      <c r="K1454" s="4">
        <v>1666.4599999999998</v>
      </c>
      <c r="L1454">
        <v>259310</v>
      </c>
    </row>
    <row r="1455" spans="1:12" x14ac:dyDescent="0.35">
      <c r="A1455" t="s">
        <v>8</v>
      </c>
      <c r="B1455" t="s">
        <v>9</v>
      </c>
      <c r="C1455" t="s">
        <v>46</v>
      </c>
      <c r="D1455" t="str" cm="1">
        <f t="array" ref="D1455">INDEX(_xlfn.TEXTSPLIT(C1455,"_"),3)</f>
        <v>mult</v>
      </c>
      <c r="E1455" t="str">
        <f>VLOOKUP(D1455,FranchiseMapping!$A$1:$B$15,2,FALSE)</f>
        <v>Biolage</v>
      </c>
      <c r="F1455" s="1">
        <v>45658</v>
      </c>
      <c r="G1455" t="s">
        <v>12</v>
      </c>
      <c r="H1455" s="2">
        <v>45778</v>
      </c>
      <c r="I1455" s="3">
        <v>45806</v>
      </c>
      <c r="J1455" s="3">
        <f t="shared" si="22"/>
        <v>45808</v>
      </c>
      <c r="K1455" s="4">
        <v>263.30999999999989</v>
      </c>
      <c r="L1455">
        <v>45379</v>
      </c>
    </row>
    <row r="1456" spans="1:12" x14ac:dyDescent="0.35">
      <c r="A1456" t="s">
        <v>8</v>
      </c>
      <c r="B1456" t="s">
        <v>14</v>
      </c>
      <c r="C1456" t="s">
        <v>37</v>
      </c>
      <c r="D1456" t="str" cm="1">
        <f t="array" ref="D1456">INDEX(_xlfn.TEXTSPLIT(C1456,"_"),3)</f>
        <v>mult</v>
      </c>
      <c r="E1456" t="str">
        <f>VLOOKUP(D1456,FranchiseMapping!$A$1:$B$15,2,FALSE)</f>
        <v>Biolage</v>
      </c>
      <c r="F1456" s="1">
        <v>45658</v>
      </c>
      <c r="G1456" t="s">
        <v>12</v>
      </c>
      <c r="H1456" s="2">
        <v>45778</v>
      </c>
      <c r="I1456" s="3">
        <v>45785</v>
      </c>
      <c r="J1456" s="3">
        <f t="shared" si="22"/>
        <v>45787</v>
      </c>
      <c r="K1456" s="4">
        <v>773.65</v>
      </c>
      <c r="L1456">
        <v>262303</v>
      </c>
    </row>
    <row r="1457" spans="1:12" x14ac:dyDescent="0.35">
      <c r="A1457" t="s">
        <v>8</v>
      </c>
      <c r="B1457" t="s">
        <v>9</v>
      </c>
      <c r="C1457" t="s">
        <v>45</v>
      </c>
      <c r="D1457" t="str" cm="1">
        <f t="array" ref="D1457">INDEX(_xlfn.TEXTSPLIT(C1457,"_"),3)</f>
        <v>hydrasource</v>
      </c>
      <c r="E1457" t="str">
        <f>VLOOKUP(D1457,FranchiseMapping!$A$1:$B$15,2,FALSE)</f>
        <v>Hydrasource</v>
      </c>
      <c r="F1457" s="1">
        <v>45292</v>
      </c>
      <c r="G1457" t="s">
        <v>12</v>
      </c>
      <c r="H1457" s="2">
        <v>45566</v>
      </c>
      <c r="I1457" s="3">
        <v>45574</v>
      </c>
      <c r="J1457" s="3">
        <f t="shared" si="22"/>
        <v>45577</v>
      </c>
      <c r="K1457" s="4">
        <v>2588.2099990000002</v>
      </c>
      <c r="L1457">
        <v>272361</v>
      </c>
    </row>
    <row r="1458" spans="1:12" x14ac:dyDescent="0.35">
      <c r="A1458" t="s">
        <v>8</v>
      </c>
      <c r="B1458" t="s">
        <v>14</v>
      </c>
      <c r="C1458" t="s">
        <v>49</v>
      </c>
      <c r="D1458" t="str" cm="1">
        <f t="array" ref="D1458">INDEX(_xlfn.TEXTSPLIT(C1458,"_"),3)</f>
        <v>hys</v>
      </c>
      <c r="E1458" t="str">
        <f>VLOOKUP(D1458,FranchiseMapping!$A$1:$B$15,2,FALSE)</f>
        <v>Hydrasource</v>
      </c>
      <c r="F1458" s="1">
        <v>45658</v>
      </c>
      <c r="G1458" t="s">
        <v>12</v>
      </c>
      <c r="H1458" s="2">
        <v>45748</v>
      </c>
      <c r="I1458" s="3">
        <v>45751</v>
      </c>
      <c r="J1458" s="3">
        <f t="shared" si="22"/>
        <v>45752</v>
      </c>
      <c r="K1458" s="4">
        <v>5340.78</v>
      </c>
      <c r="L1458">
        <v>1252565</v>
      </c>
    </row>
    <row r="1459" spans="1:12" x14ac:dyDescent="0.35">
      <c r="A1459" t="s">
        <v>8</v>
      </c>
      <c r="B1459" t="s">
        <v>9</v>
      </c>
      <c r="C1459" t="s">
        <v>35</v>
      </c>
      <c r="D1459" t="str" cm="1">
        <f t="array" ref="D1459">INDEX(_xlfn.TEXTSPLIT(C1459,"_"),3)</f>
        <v>bfr</v>
      </c>
      <c r="E1459" t="str">
        <f>VLOOKUP(D1459,FranchiseMapping!$A$1:$B$15,2,FALSE)</f>
        <v>Full Rescue</v>
      </c>
      <c r="F1459" s="1">
        <v>45658</v>
      </c>
      <c r="G1459" t="s">
        <v>10</v>
      </c>
      <c r="H1459" s="2">
        <v>45778</v>
      </c>
      <c r="I1459" s="3">
        <v>45792</v>
      </c>
      <c r="J1459" s="3">
        <f t="shared" si="22"/>
        <v>45794</v>
      </c>
      <c r="K1459" s="4">
        <v>5.36</v>
      </c>
      <c r="L1459">
        <v>577</v>
      </c>
    </row>
    <row r="1460" spans="1:12" x14ac:dyDescent="0.35">
      <c r="A1460" t="s">
        <v>8</v>
      </c>
      <c r="B1460" t="s">
        <v>9</v>
      </c>
      <c r="C1460" t="s">
        <v>38</v>
      </c>
      <c r="D1460" t="str" cm="1">
        <f t="array" ref="D1460">INDEX(_xlfn.TEXTSPLIT(C1460,"_"),3)</f>
        <v>hys</v>
      </c>
      <c r="E1460" t="str">
        <f>VLOOKUP(D1460,FranchiseMapping!$A$1:$B$15,2,FALSE)</f>
        <v>Hydrasource</v>
      </c>
      <c r="F1460" s="1">
        <v>45658</v>
      </c>
      <c r="G1460" t="s">
        <v>10</v>
      </c>
      <c r="H1460" s="2">
        <v>45778</v>
      </c>
      <c r="I1460" s="3">
        <v>45779</v>
      </c>
      <c r="J1460" s="3">
        <f t="shared" si="22"/>
        <v>45780</v>
      </c>
      <c r="K1460" s="4">
        <v>371.01000000000005</v>
      </c>
      <c r="L1460">
        <v>14435</v>
      </c>
    </row>
    <row r="1461" spans="1:12" x14ac:dyDescent="0.35">
      <c r="A1461" t="s">
        <v>8</v>
      </c>
      <c r="B1461" t="s">
        <v>9</v>
      </c>
      <c r="C1461" t="s">
        <v>56</v>
      </c>
      <c r="D1461" t="str" cm="1">
        <f t="array" ref="D1461">INDEX(_xlfn.TEXTSPLIT(C1461,"_"),3)</f>
        <v>haca-colorlast-q3</v>
      </c>
      <c r="E1461" t="str">
        <f>VLOOKUP(D1461,FranchiseMapping!$A$1:$B$15,2,FALSE)</f>
        <v>Color Last</v>
      </c>
      <c r="F1461" s="1">
        <v>44927</v>
      </c>
      <c r="G1461" t="s">
        <v>10</v>
      </c>
      <c r="H1461" s="2">
        <v>45108</v>
      </c>
      <c r="I1461" s="3">
        <v>45129</v>
      </c>
      <c r="J1461" s="3">
        <f t="shared" si="22"/>
        <v>45129</v>
      </c>
      <c r="K1461" s="4">
        <v>2232.85</v>
      </c>
      <c r="L1461">
        <v>325951</v>
      </c>
    </row>
    <row r="1462" spans="1:12" x14ac:dyDescent="0.35">
      <c r="A1462" t="s">
        <v>8</v>
      </c>
      <c r="B1462" t="s">
        <v>9</v>
      </c>
      <c r="C1462" t="s">
        <v>50</v>
      </c>
      <c r="D1462" t="str" cm="1">
        <f t="array" ref="D1462">INDEX(_xlfn.TEXTSPLIT(C1462,"_"),3)</f>
        <v>bond-therapy</v>
      </c>
      <c r="E1462" t="str">
        <f>VLOOKUP(D1462,FranchiseMapping!$A$1:$B$15,2,FALSE)</f>
        <v>Bond Therapy</v>
      </c>
      <c r="F1462" s="1">
        <v>44927</v>
      </c>
      <c r="G1462" t="s">
        <v>12</v>
      </c>
      <c r="H1462" s="2">
        <v>45261</v>
      </c>
      <c r="I1462" s="3">
        <v>45261</v>
      </c>
      <c r="J1462" s="3">
        <f t="shared" si="22"/>
        <v>45262</v>
      </c>
      <c r="K1462" s="4">
        <v>3114.4099959999999</v>
      </c>
      <c r="L1462">
        <v>321374</v>
      </c>
    </row>
    <row r="1463" spans="1:12" x14ac:dyDescent="0.35">
      <c r="A1463" t="s">
        <v>8</v>
      </c>
      <c r="B1463" t="s">
        <v>9</v>
      </c>
      <c r="C1463" t="s">
        <v>35</v>
      </c>
      <c r="D1463" t="str" cm="1">
        <f t="array" ref="D1463">INDEX(_xlfn.TEXTSPLIT(C1463,"_"),3)</f>
        <v>bfr</v>
      </c>
      <c r="E1463" t="str">
        <f>VLOOKUP(D1463,FranchiseMapping!$A$1:$B$15,2,FALSE)</f>
        <v>Full Rescue</v>
      </c>
      <c r="F1463" s="1">
        <v>45658</v>
      </c>
      <c r="G1463" t="s">
        <v>10</v>
      </c>
      <c r="H1463" s="2">
        <v>45778</v>
      </c>
      <c r="I1463" s="3">
        <v>45781</v>
      </c>
      <c r="J1463" s="3">
        <f t="shared" si="22"/>
        <v>45787</v>
      </c>
      <c r="K1463" s="4">
        <v>15.64</v>
      </c>
      <c r="L1463">
        <v>1798</v>
      </c>
    </row>
    <row r="1464" spans="1:12" x14ac:dyDescent="0.35">
      <c r="A1464" t="s">
        <v>8</v>
      </c>
      <c r="B1464" t="s">
        <v>13</v>
      </c>
      <c r="C1464" t="s">
        <v>59</v>
      </c>
      <c r="D1464" t="str" cm="1">
        <f t="array" ref="D1464">INDEX(_xlfn.TEXTSPLIT(C1464,"_"),3)</f>
        <v>scalp-sync</v>
      </c>
      <c r="E1464" t="str">
        <f>VLOOKUP(D1464,FranchiseMapping!$A$1:$B$15,2,FALSE)</f>
        <v>Scalp Sync</v>
      </c>
      <c r="F1464" s="1">
        <v>45292</v>
      </c>
      <c r="G1464" t="s">
        <v>11</v>
      </c>
      <c r="H1464" s="2">
        <v>45413</v>
      </c>
      <c r="I1464" s="3">
        <v>45434</v>
      </c>
      <c r="J1464" s="3">
        <f t="shared" si="22"/>
        <v>45437</v>
      </c>
      <c r="K1464" s="4">
        <v>3358.7889400000004</v>
      </c>
      <c r="L1464">
        <v>1390494</v>
      </c>
    </row>
    <row r="1465" spans="1:12" x14ac:dyDescent="0.35">
      <c r="A1465" t="s">
        <v>8</v>
      </c>
      <c r="B1465" t="s">
        <v>14</v>
      </c>
      <c r="C1465" t="s">
        <v>37</v>
      </c>
      <c r="D1465" t="str" cm="1">
        <f t="array" ref="D1465">INDEX(_xlfn.TEXTSPLIT(C1465,"_"),3)</f>
        <v>mult</v>
      </c>
      <c r="E1465" t="str">
        <f>VLOOKUP(D1465,FranchiseMapping!$A$1:$B$15,2,FALSE)</f>
        <v>Biolage</v>
      </c>
      <c r="F1465" s="1">
        <v>45658</v>
      </c>
      <c r="G1465" t="s">
        <v>10</v>
      </c>
      <c r="H1465" s="2">
        <v>45748</v>
      </c>
      <c r="I1465" s="3">
        <v>45773</v>
      </c>
      <c r="J1465" s="3">
        <f t="shared" si="22"/>
        <v>45773</v>
      </c>
      <c r="K1465" s="4">
        <v>1473.63</v>
      </c>
      <c r="L1465">
        <v>362737</v>
      </c>
    </row>
    <row r="1466" spans="1:12" x14ac:dyDescent="0.35">
      <c r="A1466" t="s">
        <v>8</v>
      </c>
      <c r="B1466" t="s">
        <v>9</v>
      </c>
      <c r="C1466" t="s">
        <v>69</v>
      </c>
      <c r="D1466" t="str" cm="1">
        <f t="array" ref="D1466">INDEX(_xlfn.TEXTSPLIT(C1466,"_"),3)</f>
        <v>prime-day</v>
      </c>
      <c r="E1466" t="str">
        <f>VLOOKUP(D1466,FranchiseMapping!$A$1:$B$15,2,FALSE)</f>
        <v>Prime Day</v>
      </c>
      <c r="F1466" s="1">
        <v>45292</v>
      </c>
      <c r="G1466" t="s">
        <v>10</v>
      </c>
      <c r="H1466" s="2">
        <v>45474</v>
      </c>
      <c r="I1466" s="3">
        <v>45484</v>
      </c>
      <c r="J1466" s="3">
        <f t="shared" si="22"/>
        <v>45486</v>
      </c>
      <c r="K1466" s="4">
        <v>3260.9799990000001</v>
      </c>
      <c r="L1466">
        <v>545383</v>
      </c>
    </row>
    <row r="1467" spans="1:12" x14ac:dyDescent="0.35">
      <c r="A1467" t="s">
        <v>8</v>
      </c>
      <c r="B1467" t="s">
        <v>14</v>
      </c>
      <c r="C1467" t="s">
        <v>57</v>
      </c>
      <c r="D1467" t="str" cm="1">
        <f t="array" ref="D1467">INDEX(_xlfn.TEXTSPLIT(C1467,"_"),3)</f>
        <v>bfr</v>
      </c>
      <c r="E1467" t="str">
        <f>VLOOKUP(D1467,FranchiseMapping!$A$1:$B$15,2,FALSE)</f>
        <v>Full Rescue</v>
      </c>
      <c r="F1467" s="1">
        <v>45658</v>
      </c>
      <c r="G1467" t="s">
        <v>10</v>
      </c>
      <c r="H1467" s="2">
        <v>45809</v>
      </c>
      <c r="I1467" s="3">
        <v>45816</v>
      </c>
      <c r="J1467" s="3">
        <f t="shared" si="22"/>
        <v>45822</v>
      </c>
      <c r="K1467" s="4">
        <v>14145.369999999999</v>
      </c>
      <c r="L1467">
        <v>1031735</v>
      </c>
    </row>
    <row r="1468" spans="1:12" x14ac:dyDescent="0.35">
      <c r="A1468" t="s">
        <v>8</v>
      </c>
      <c r="B1468" t="s">
        <v>13</v>
      </c>
      <c r="C1468" t="s">
        <v>28</v>
      </c>
      <c r="D1468" t="str" cm="1">
        <f t="array" ref="D1468">INDEX(_xlfn.TEXTSPLIT(C1468,"_"),3)</f>
        <v>na</v>
      </c>
      <c r="E1468" t="str">
        <f>VLOOKUP(D1468,FranchiseMapping!$A$1:$B$15,2,FALSE)</f>
        <v>Biolage</v>
      </c>
      <c r="F1468" s="1">
        <v>44927</v>
      </c>
      <c r="G1468" t="s">
        <v>10</v>
      </c>
      <c r="H1468" s="2">
        <v>45139</v>
      </c>
      <c r="I1468" s="3">
        <v>45151</v>
      </c>
      <c r="J1468" s="3">
        <f t="shared" si="22"/>
        <v>45157</v>
      </c>
      <c r="K1468" s="4">
        <v>1044.1317940000001</v>
      </c>
      <c r="L1468">
        <v>139736</v>
      </c>
    </row>
    <row r="1469" spans="1:12" x14ac:dyDescent="0.35">
      <c r="A1469" t="s">
        <v>8</v>
      </c>
      <c r="B1469" t="s">
        <v>9</v>
      </c>
      <c r="C1469" t="s">
        <v>31</v>
      </c>
      <c r="D1469" t="str" cm="1">
        <f t="array" ref="D1469">INDEX(_xlfn.TEXTSPLIT(C1469,"_"),3)</f>
        <v>scalp</v>
      </c>
      <c r="E1469" t="str">
        <f>VLOOKUP(D1469,FranchiseMapping!$A$1:$B$15,2,FALSE)</f>
        <v>Scalp Sync</v>
      </c>
      <c r="F1469" s="1">
        <v>45292</v>
      </c>
      <c r="G1469" t="s">
        <v>10</v>
      </c>
      <c r="H1469" s="2">
        <v>45383</v>
      </c>
      <c r="I1469" s="3">
        <v>45394</v>
      </c>
      <c r="J1469" s="3">
        <f t="shared" si="22"/>
        <v>45395</v>
      </c>
      <c r="K1469" s="4">
        <v>110.10000299999999</v>
      </c>
      <c r="L1469">
        <v>17048</v>
      </c>
    </row>
    <row r="1470" spans="1:12" x14ac:dyDescent="0.35">
      <c r="A1470" t="s">
        <v>8</v>
      </c>
      <c r="B1470" t="s">
        <v>9</v>
      </c>
      <c r="C1470" t="s">
        <v>48</v>
      </c>
      <c r="D1470" t="str" cm="1">
        <f t="array" ref="D1470">INDEX(_xlfn.TEXTSPLIT(C1470,"_"),3)</f>
        <v>scalp</v>
      </c>
      <c r="E1470" t="str">
        <f>VLOOKUP(D1470,FranchiseMapping!$A$1:$B$15,2,FALSE)</f>
        <v>Scalp Sync</v>
      </c>
      <c r="F1470" s="1">
        <v>45292</v>
      </c>
      <c r="G1470" t="s">
        <v>10</v>
      </c>
      <c r="H1470" s="2">
        <v>45352</v>
      </c>
      <c r="I1470" s="3">
        <v>45357</v>
      </c>
      <c r="J1470" s="3">
        <f t="shared" si="22"/>
        <v>45360</v>
      </c>
      <c r="K1470" s="4">
        <v>993.27000099999998</v>
      </c>
      <c r="L1470">
        <v>207660</v>
      </c>
    </row>
    <row r="1471" spans="1:12" x14ac:dyDescent="0.35">
      <c r="A1471" t="s">
        <v>8</v>
      </c>
      <c r="B1471" t="s">
        <v>14</v>
      </c>
      <c r="C1471" t="s">
        <v>43</v>
      </c>
      <c r="D1471" t="str" cm="1">
        <f t="array" ref="D1471">INDEX(_xlfn.TEXTSPLIT(C1471,"_"),3)</f>
        <v>bfr</v>
      </c>
      <c r="E1471" t="str">
        <f>VLOOKUP(D1471,FranchiseMapping!$A$1:$B$15,2,FALSE)</f>
        <v>Full Rescue</v>
      </c>
      <c r="F1471" s="1">
        <v>45658</v>
      </c>
      <c r="G1471" t="s">
        <v>12</v>
      </c>
      <c r="H1471" s="2">
        <v>45809</v>
      </c>
      <c r="I1471" s="3">
        <v>45813</v>
      </c>
      <c r="J1471" s="3">
        <f t="shared" si="22"/>
        <v>45815</v>
      </c>
      <c r="K1471" s="4">
        <v>5452.3799999999992</v>
      </c>
      <c r="L1471">
        <v>1156588</v>
      </c>
    </row>
    <row r="1472" spans="1:12" x14ac:dyDescent="0.35">
      <c r="A1472" t="s">
        <v>8</v>
      </c>
      <c r="B1472" t="s">
        <v>9</v>
      </c>
      <c r="C1472" t="s">
        <v>40</v>
      </c>
      <c r="D1472" t="str" cm="1">
        <f t="array" ref="D1472">INDEX(_xlfn.TEXTSPLIT(C1472,"_"),3)</f>
        <v>hydrasource</v>
      </c>
      <c r="E1472" t="str">
        <f>VLOOKUP(D1472,FranchiseMapping!$A$1:$B$15,2,FALSE)</f>
        <v>Hydrasource</v>
      </c>
      <c r="F1472" s="1">
        <v>45292</v>
      </c>
      <c r="G1472" t="s">
        <v>12</v>
      </c>
      <c r="H1472" s="2">
        <v>45292</v>
      </c>
      <c r="I1472" s="3">
        <v>45315</v>
      </c>
      <c r="J1472" s="3">
        <f t="shared" si="22"/>
        <v>45318</v>
      </c>
      <c r="K1472" s="4">
        <v>3219.5900050000005</v>
      </c>
      <c r="L1472">
        <v>555024</v>
      </c>
    </row>
    <row r="1473" spans="1:12" x14ac:dyDescent="0.35">
      <c r="A1473" t="s">
        <v>8</v>
      </c>
      <c r="B1473" t="s">
        <v>9</v>
      </c>
      <c r="C1473" t="s">
        <v>31</v>
      </c>
      <c r="D1473" t="str" cm="1">
        <f t="array" ref="D1473">INDEX(_xlfn.TEXTSPLIT(C1473,"_"),3)</f>
        <v>scalp</v>
      </c>
      <c r="E1473" t="str">
        <f>VLOOKUP(D1473,FranchiseMapping!$A$1:$B$15,2,FALSE)</f>
        <v>Scalp Sync</v>
      </c>
      <c r="F1473" s="1">
        <v>45292</v>
      </c>
      <c r="G1473" t="s">
        <v>12</v>
      </c>
      <c r="H1473" s="2">
        <v>45383</v>
      </c>
      <c r="I1473" s="3">
        <v>45401</v>
      </c>
      <c r="J1473" s="3">
        <f t="shared" si="22"/>
        <v>45402</v>
      </c>
      <c r="K1473" s="4">
        <v>1550.3599990000002</v>
      </c>
      <c r="L1473">
        <v>249491</v>
      </c>
    </row>
    <row r="1474" spans="1:12" x14ac:dyDescent="0.35">
      <c r="A1474" t="s">
        <v>8</v>
      </c>
      <c r="B1474" t="s">
        <v>9</v>
      </c>
      <c r="C1474" t="s">
        <v>46</v>
      </c>
      <c r="D1474" t="str" cm="1">
        <f t="array" ref="D1474">INDEX(_xlfn.TEXTSPLIT(C1474,"_"),3)</f>
        <v>mult</v>
      </c>
      <c r="E1474" t="str">
        <f>VLOOKUP(D1474,FranchiseMapping!$A$1:$B$15,2,FALSE)</f>
        <v>Biolage</v>
      </c>
      <c r="F1474" s="1">
        <v>45658</v>
      </c>
      <c r="G1474" t="s">
        <v>12</v>
      </c>
      <c r="H1474" s="2">
        <v>45778</v>
      </c>
      <c r="I1474" s="3">
        <v>45807</v>
      </c>
      <c r="J1474" s="3">
        <f t="shared" si="22"/>
        <v>45808</v>
      </c>
      <c r="K1474" s="4">
        <v>54.589999999999989</v>
      </c>
      <c r="L1474">
        <v>9181</v>
      </c>
    </row>
    <row r="1475" spans="1:12" x14ac:dyDescent="0.35">
      <c r="A1475" t="s">
        <v>8</v>
      </c>
      <c r="B1475" t="s">
        <v>9</v>
      </c>
      <c r="C1475" t="s">
        <v>53</v>
      </c>
      <c r="D1475" t="str" cm="1">
        <f t="array" ref="D1475">INDEX(_xlfn.TEXTSPLIT(C1475,"_"),3)</f>
        <v>bond-therapy</v>
      </c>
      <c r="E1475" t="str">
        <f>VLOOKUP(D1475,FranchiseMapping!$A$1:$B$15,2,FALSE)</f>
        <v>Bond Therapy</v>
      </c>
      <c r="F1475" s="1">
        <v>44927</v>
      </c>
      <c r="G1475" t="s">
        <v>11</v>
      </c>
      <c r="H1475" s="2">
        <v>45261</v>
      </c>
      <c r="I1475" s="3">
        <v>45263</v>
      </c>
      <c r="J1475" s="3">
        <f t="shared" ref="J1475:J1538" si="23">I1475 + (7 - WEEKDAY(I1475, 1))</f>
        <v>45269</v>
      </c>
      <c r="K1475" s="4">
        <v>1287.1100010000005</v>
      </c>
      <c r="L1475">
        <v>212718</v>
      </c>
    </row>
    <row r="1476" spans="1:12" x14ac:dyDescent="0.35">
      <c r="A1476" t="s">
        <v>8</v>
      </c>
      <c r="B1476" t="s">
        <v>14</v>
      </c>
      <c r="C1476" t="s">
        <v>29</v>
      </c>
      <c r="D1476" t="str" cm="1">
        <f t="array" ref="D1476">INDEX(_xlfn.TEXTSPLIT(C1476,"_"),3)</f>
        <v>bfr</v>
      </c>
      <c r="E1476" t="str">
        <f>VLOOKUP(D1476,FranchiseMapping!$A$1:$B$15,2,FALSE)</f>
        <v>Full Rescue</v>
      </c>
      <c r="F1476" s="1">
        <v>45658</v>
      </c>
      <c r="G1476" t="s">
        <v>10</v>
      </c>
      <c r="H1476" s="2">
        <v>45809</v>
      </c>
      <c r="I1476" s="3">
        <v>45832</v>
      </c>
      <c r="J1476" s="3">
        <f t="shared" si="23"/>
        <v>45836</v>
      </c>
      <c r="K1476" s="4">
        <v>1437.0300000000002</v>
      </c>
      <c r="L1476">
        <v>236921</v>
      </c>
    </row>
    <row r="1477" spans="1:12" x14ac:dyDescent="0.35">
      <c r="A1477" t="s">
        <v>8</v>
      </c>
      <c r="B1477" t="s">
        <v>9</v>
      </c>
      <c r="C1477" t="s">
        <v>73</v>
      </c>
      <c r="D1477" t="str" cm="1">
        <f t="array" ref="D1477">INDEX(_xlfn.TEXTSPLIT(C1477,"_"),3)</f>
        <v>prime-day</v>
      </c>
      <c r="E1477" t="str">
        <f>VLOOKUP(D1477,FranchiseMapping!$A$1:$B$15,2,FALSE)</f>
        <v>Prime Day</v>
      </c>
      <c r="F1477" s="1">
        <v>45292</v>
      </c>
      <c r="G1477" t="s">
        <v>11</v>
      </c>
      <c r="H1477" s="2">
        <v>45474</v>
      </c>
      <c r="I1477" s="3">
        <v>45485</v>
      </c>
      <c r="J1477" s="3">
        <f t="shared" si="23"/>
        <v>45486</v>
      </c>
      <c r="K1477" s="4">
        <v>9410.7699990000001</v>
      </c>
      <c r="L1477">
        <v>936876</v>
      </c>
    </row>
    <row r="1478" spans="1:12" x14ac:dyDescent="0.35">
      <c r="A1478" t="s">
        <v>8</v>
      </c>
      <c r="B1478" t="s">
        <v>13</v>
      </c>
      <c r="C1478" t="s">
        <v>62</v>
      </c>
      <c r="D1478" t="str" cm="1">
        <f t="array" ref="D1478">INDEX(_xlfn.TEXTSPLIT(C1478,"_"),3)</f>
        <v>na</v>
      </c>
      <c r="E1478" t="str">
        <f>VLOOKUP(D1478,FranchiseMapping!$A$1:$B$15,2,FALSE)</f>
        <v>Biolage</v>
      </c>
      <c r="F1478" s="1">
        <v>44927</v>
      </c>
      <c r="G1478" t="s">
        <v>10</v>
      </c>
      <c r="H1478" s="2">
        <v>45108</v>
      </c>
      <c r="I1478" s="3">
        <v>45116</v>
      </c>
      <c r="J1478" s="3">
        <f t="shared" si="23"/>
        <v>45122</v>
      </c>
      <c r="K1478" s="4">
        <v>814.94076900000005</v>
      </c>
      <c r="L1478">
        <v>317003</v>
      </c>
    </row>
    <row r="1479" spans="1:12" x14ac:dyDescent="0.35">
      <c r="A1479" t="s">
        <v>8</v>
      </c>
      <c r="B1479" t="s">
        <v>9</v>
      </c>
      <c r="C1479" t="s">
        <v>35</v>
      </c>
      <c r="D1479" t="str" cm="1">
        <f t="array" ref="D1479">INDEX(_xlfn.TEXTSPLIT(C1479,"_"),3)</f>
        <v>bfr</v>
      </c>
      <c r="E1479" t="str">
        <f>VLOOKUP(D1479,FranchiseMapping!$A$1:$B$15,2,FALSE)</f>
        <v>Full Rescue</v>
      </c>
      <c r="F1479" s="1">
        <v>45658</v>
      </c>
      <c r="G1479" t="s">
        <v>10</v>
      </c>
      <c r="H1479" s="2">
        <v>45809</v>
      </c>
      <c r="I1479" s="3">
        <v>45830</v>
      </c>
      <c r="J1479" s="3">
        <f t="shared" si="23"/>
        <v>45836</v>
      </c>
      <c r="K1479" s="4">
        <v>126.52</v>
      </c>
      <c r="L1479">
        <v>16052</v>
      </c>
    </row>
    <row r="1480" spans="1:12" x14ac:dyDescent="0.35">
      <c r="A1480" t="s">
        <v>8</v>
      </c>
      <c r="B1480" t="s">
        <v>14</v>
      </c>
      <c r="C1480" t="s">
        <v>29</v>
      </c>
      <c r="D1480" t="str" cm="1">
        <f t="array" ref="D1480">INDEX(_xlfn.TEXTSPLIT(C1480,"_"),3)</f>
        <v>bfr</v>
      </c>
      <c r="E1480" t="str">
        <f>VLOOKUP(D1480,FranchiseMapping!$A$1:$B$15,2,FALSE)</f>
        <v>Full Rescue</v>
      </c>
      <c r="F1480" s="1">
        <v>45658</v>
      </c>
      <c r="G1480" t="s">
        <v>10</v>
      </c>
      <c r="H1480" s="2">
        <v>45809</v>
      </c>
      <c r="I1480" s="3">
        <v>45821</v>
      </c>
      <c r="J1480" s="3">
        <f t="shared" si="23"/>
        <v>45822</v>
      </c>
      <c r="K1480" s="4">
        <v>1708.7399999999996</v>
      </c>
      <c r="L1480">
        <v>263215</v>
      </c>
    </row>
    <row r="1481" spans="1:12" x14ac:dyDescent="0.35">
      <c r="A1481" t="s">
        <v>8</v>
      </c>
      <c r="B1481" t="s">
        <v>13</v>
      </c>
      <c r="C1481" t="s">
        <v>44</v>
      </c>
      <c r="D1481" t="str" cm="1">
        <f t="array" ref="D1481">INDEX(_xlfn.TEXTSPLIT(C1481,"_"),3)</f>
        <v>na</v>
      </c>
      <c r="E1481" t="str">
        <f>VLOOKUP(D1481,FranchiseMapping!$A$1:$B$15,2,FALSE)</f>
        <v>Biolage</v>
      </c>
      <c r="F1481" s="1">
        <v>44927</v>
      </c>
      <c r="G1481" t="s">
        <v>11</v>
      </c>
      <c r="H1481" s="2">
        <v>45108</v>
      </c>
      <c r="I1481" s="3">
        <v>45110</v>
      </c>
      <c r="J1481" s="3">
        <f t="shared" si="23"/>
        <v>45115</v>
      </c>
      <c r="K1481" s="4">
        <v>676.98911799999996</v>
      </c>
      <c r="L1481">
        <v>313044</v>
      </c>
    </row>
    <row r="1482" spans="1:12" x14ac:dyDescent="0.35">
      <c r="A1482" t="s">
        <v>8</v>
      </c>
      <c r="B1482" t="s">
        <v>13</v>
      </c>
      <c r="C1482" t="s">
        <v>51</v>
      </c>
      <c r="D1482" t="str" cm="1">
        <f t="array" ref="D1482">INDEX(_xlfn.TEXTSPLIT(C1482,"_"),3)</f>
        <v>na</v>
      </c>
      <c r="E1482" t="str">
        <f>VLOOKUP(D1482,FranchiseMapping!$A$1:$B$15,2,FALSE)</f>
        <v>Biolage</v>
      </c>
      <c r="F1482" s="1">
        <v>44927</v>
      </c>
      <c r="G1482" t="s">
        <v>11</v>
      </c>
      <c r="H1482" s="2">
        <v>45108</v>
      </c>
      <c r="I1482" s="3">
        <v>45131</v>
      </c>
      <c r="J1482" s="3">
        <f t="shared" si="23"/>
        <v>45136</v>
      </c>
      <c r="K1482" s="4">
        <v>636.90991199999996</v>
      </c>
      <c r="L1482">
        <v>349835</v>
      </c>
    </row>
    <row r="1483" spans="1:12" x14ac:dyDescent="0.35">
      <c r="A1483" t="s">
        <v>8</v>
      </c>
      <c r="B1483" t="s">
        <v>9</v>
      </c>
      <c r="C1483" t="s">
        <v>50</v>
      </c>
      <c r="D1483" t="str" cm="1">
        <f t="array" ref="D1483">INDEX(_xlfn.TEXTSPLIT(C1483,"_"),3)</f>
        <v>bond-therapy</v>
      </c>
      <c r="E1483" t="str">
        <f>VLOOKUP(D1483,FranchiseMapping!$A$1:$B$15,2,FALSE)</f>
        <v>Bond Therapy</v>
      </c>
      <c r="F1483" s="1">
        <v>44927</v>
      </c>
      <c r="G1483" t="s">
        <v>12</v>
      </c>
      <c r="H1483" s="2">
        <v>45231</v>
      </c>
      <c r="I1483" s="3">
        <v>45259</v>
      </c>
      <c r="J1483" s="3">
        <f t="shared" si="23"/>
        <v>45262</v>
      </c>
      <c r="K1483" s="4">
        <v>3177.4700020000005</v>
      </c>
      <c r="L1483">
        <v>281973</v>
      </c>
    </row>
    <row r="1484" spans="1:12" x14ac:dyDescent="0.35">
      <c r="A1484" t="s">
        <v>8</v>
      </c>
      <c r="B1484" t="s">
        <v>9</v>
      </c>
      <c r="C1484" t="s">
        <v>46</v>
      </c>
      <c r="D1484" t="str" cm="1">
        <f t="array" ref="D1484">INDEX(_xlfn.TEXTSPLIT(C1484,"_"),3)</f>
        <v>mult</v>
      </c>
      <c r="E1484" t="str">
        <f>VLOOKUP(D1484,FranchiseMapping!$A$1:$B$15,2,FALSE)</f>
        <v>Biolage</v>
      </c>
      <c r="F1484" s="1">
        <v>45658</v>
      </c>
      <c r="G1484" t="s">
        <v>10</v>
      </c>
      <c r="H1484" s="2">
        <v>45778</v>
      </c>
      <c r="I1484" s="3">
        <v>45792</v>
      </c>
      <c r="J1484" s="3">
        <f t="shared" si="23"/>
        <v>45794</v>
      </c>
      <c r="K1484" s="4">
        <v>1405.36</v>
      </c>
      <c r="L1484">
        <v>221648</v>
      </c>
    </row>
    <row r="1485" spans="1:12" x14ac:dyDescent="0.35">
      <c r="A1485" t="s">
        <v>8</v>
      </c>
      <c r="B1485" t="s">
        <v>9</v>
      </c>
      <c r="C1485" t="s">
        <v>31</v>
      </c>
      <c r="D1485" t="str" cm="1">
        <f t="array" ref="D1485">INDEX(_xlfn.TEXTSPLIT(C1485,"_"),3)</f>
        <v>scalp</v>
      </c>
      <c r="E1485" t="str">
        <f>VLOOKUP(D1485,FranchiseMapping!$A$1:$B$15,2,FALSE)</f>
        <v>Scalp Sync</v>
      </c>
      <c r="F1485" s="1">
        <v>45292</v>
      </c>
      <c r="G1485" t="s">
        <v>10</v>
      </c>
      <c r="H1485" s="2">
        <v>45383</v>
      </c>
      <c r="I1485" s="3">
        <v>45385</v>
      </c>
      <c r="J1485" s="3">
        <f t="shared" si="23"/>
        <v>45388</v>
      </c>
      <c r="K1485" s="4">
        <v>182.75999700000003</v>
      </c>
      <c r="L1485">
        <v>29829</v>
      </c>
    </row>
    <row r="1486" spans="1:12" x14ac:dyDescent="0.35">
      <c r="A1486" t="s">
        <v>8</v>
      </c>
      <c r="B1486" t="s">
        <v>9</v>
      </c>
      <c r="C1486" t="s">
        <v>35</v>
      </c>
      <c r="D1486" t="str" cm="1">
        <f t="array" ref="D1486">INDEX(_xlfn.TEXTSPLIT(C1486,"_"),3)</f>
        <v>bfr</v>
      </c>
      <c r="E1486" t="str">
        <f>VLOOKUP(D1486,FranchiseMapping!$A$1:$B$15,2,FALSE)</f>
        <v>Full Rescue</v>
      </c>
      <c r="F1486" s="1">
        <v>45658</v>
      </c>
      <c r="G1486" t="s">
        <v>10</v>
      </c>
      <c r="H1486" s="2">
        <v>45809</v>
      </c>
      <c r="I1486" s="3">
        <v>45811</v>
      </c>
      <c r="J1486" s="3">
        <f t="shared" si="23"/>
        <v>45815</v>
      </c>
      <c r="K1486" s="4">
        <v>58.179999999999993</v>
      </c>
      <c r="L1486">
        <v>5928</v>
      </c>
    </row>
    <row r="1487" spans="1:12" x14ac:dyDescent="0.35">
      <c r="A1487" t="s">
        <v>8</v>
      </c>
      <c r="B1487" t="s">
        <v>9</v>
      </c>
      <c r="C1487" t="s">
        <v>38</v>
      </c>
      <c r="D1487" t="str" cm="1">
        <f t="array" ref="D1487">INDEX(_xlfn.TEXTSPLIT(C1487,"_"),3)</f>
        <v>hys</v>
      </c>
      <c r="E1487" t="str">
        <f>VLOOKUP(D1487,FranchiseMapping!$A$1:$B$15,2,FALSE)</f>
        <v>Hydrasource</v>
      </c>
      <c r="F1487" s="1">
        <v>45658</v>
      </c>
      <c r="G1487" t="s">
        <v>12</v>
      </c>
      <c r="H1487" s="2">
        <v>45748</v>
      </c>
      <c r="I1487" s="3">
        <v>45771</v>
      </c>
      <c r="J1487" s="3">
        <f t="shared" si="23"/>
        <v>45773</v>
      </c>
      <c r="K1487" s="4">
        <v>2099.87</v>
      </c>
      <c r="L1487">
        <v>345950</v>
      </c>
    </row>
    <row r="1488" spans="1:12" x14ac:dyDescent="0.35">
      <c r="A1488" t="s">
        <v>8</v>
      </c>
      <c r="B1488" t="s">
        <v>9</v>
      </c>
      <c r="C1488" t="s">
        <v>36</v>
      </c>
      <c r="D1488" t="str" cm="1">
        <f t="array" ref="D1488">INDEX(_xlfn.TEXTSPLIT(C1488,"_"),3)</f>
        <v>bfr</v>
      </c>
      <c r="E1488" t="str">
        <f>VLOOKUP(D1488,FranchiseMapping!$A$1:$B$15,2,FALSE)</f>
        <v>Full Rescue</v>
      </c>
      <c r="F1488" s="1">
        <v>45658</v>
      </c>
      <c r="G1488" t="s">
        <v>10</v>
      </c>
      <c r="H1488" s="2">
        <v>45778</v>
      </c>
      <c r="I1488" s="3">
        <v>45801</v>
      </c>
      <c r="J1488" s="3">
        <f t="shared" si="23"/>
        <v>45801</v>
      </c>
      <c r="K1488" s="4">
        <v>20.239999999999998</v>
      </c>
      <c r="L1488">
        <v>801</v>
      </c>
    </row>
    <row r="1489" spans="1:12" x14ac:dyDescent="0.35">
      <c r="A1489" t="s">
        <v>8</v>
      </c>
      <c r="B1489" t="s">
        <v>9</v>
      </c>
      <c r="C1489" t="s">
        <v>55</v>
      </c>
      <c r="D1489" t="str" cm="1">
        <f t="array" ref="D1489">INDEX(_xlfn.TEXTSPLIT(C1489,"_"),3)</f>
        <v>hydrasource</v>
      </c>
      <c r="E1489" t="str">
        <f>VLOOKUP(D1489,FranchiseMapping!$A$1:$B$15,2,FALSE)</f>
        <v>Hydrasource</v>
      </c>
      <c r="F1489" s="1">
        <v>45292</v>
      </c>
      <c r="G1489" t="s">
        <v>12</v>
      </c>
      <c r="H1489" s="2">
        <v>45536</v>
      </c>
      <c r="I1489" s="3">
        <v>45563</v>
      </c>
      <c r="J1489" s="3">
        <f t="shared" si="23"/>
        <v>45563</v>
      </c>
      <c r="K1489" s="4">
        <v>3675.0800030000005</v>
      </c>
      <c r="L1489">
        <v>600191</v>
      </c>
    </row>
    <row r="1490" spans="1:12" x14ac:dyDescent="0.35">
      <c r="A1490" t="s">
        <v>8</v>
      </c>
      <c r="B1490" t="s">
        <v>9</v>
      </c>
      <c r="C1490" t="s">
        <v>31</v>
      </c>
      <c r="D1490" t="str" cm="1">
        <f t="array" ref="D1490">INDEX(_xlfn.TEXTSPLIT(C1490,"_"),3)</f>
        <v>scalp</v>
      </c>
      <c r="E1490" t="str">
        <f>VLOOKUP(D1490,FranchiseMapping!$A$1:$B$15,2,FALSE)</f>
        <v>Scalp Sync</v>
      </c>
      <c r="F1490" s="1">
        <v>45292</v>
      </c>
      <c r="G1490" t="s">
        <v>10</v>
      </c>
      <c r="H1490" s="2">
        <v>45352</v>
      </c>
      <c r="I1490" s="3">
        <v>45366</v>
      </c>
      <c r="J1490" s="3">
        <f t="shared" si="23"/>
        <v>45367</v>
      </c>
      <c r="K1490" s="4">
        <v>1540.0800040000004</v>
      </c>
      <c r="L1490">
        <v>218743</v>
      </c>
    </row>
    <row r="1491" spans="1:12" x14ac:dyDescent="0.35">
      <c r="A1491" t="s">
        <v>8</v>
      </c>
      <c r="B1491" t="s">
        <v>14</v>
      </c>
      <c r="C1491" t="s">
        <v>37</v>
      </c>
      <c r="D1491" t="str" cm="1">
        <f t="array" ref="D1491">INDEX(_xlfn.TEXTSPLIT(C1491,"_"),3)</f>
        <v>mult</v>
      </c>
      <c r="E1491" t="str">
        <f>VLOOKUP(D1491,FranchiseMapping!$A$1:$B$15,2,FALSE)</f>
        <v>Biolage</v>
      </c>
      <c r="F1491" s="1">
        <v>45658</v>
      </c>
      <c r="G1491" t="s">
        <v>12</v>
      </c>
      <c r="H1491" s="2">
        <v>45717</v>
      </c>
      <c r="I1491" s="3">
        <v>45746</v>
      </c>
      <c r="J1491" s="3">
        <f t="shared" si="23"/>
        <v>45752</v>
      </c>
      <c r="K1491" s="4">
        <v>2040.79</v>
      </c>
      <c r="L1491">
        <v>548140</v>
      </c>
    </row>
    <row r="1492" spans="1:12" x14ac:dyDescent="0.35">
      <c r="A1492" t="s">
        <v>8</v>
      </c>
      <c r="B1492" t="s">
        <v>9</v>
      </c>
      <c r="C1492" t="s">
        <v>64</v>
      </c>
      <c r="D1492" t="str" cm="1">
        <f t="array" ref="D1492">INDEX(_xlfn.TEXTSPLIT(C1492,"_"),3)</f>
        <v>mult</v>
      </c>
      <c r="E1492" t="str">
        <f>VLOOKUP(D1492,FranchiseMapping!$A$1:$B$15,2,FALSE)</f>
        <v>Biolage</v>
      </c>
      <c r="F1492" s="1">
        <v>45292</v>
      </c>
      <c r="G1492" t="s">
        <v>12</v>
      </c>
      <c r="H1492" s="2">
        <v>45597</v>
      </c>
      <c r="I1492" s="3">
        <v>45620</v>
      </c>
      <c r="J1492" s="3">
        <f t="shared" si="23"/>
        <v>45626</v>
      </c>
      <c r="K1492" s="4">
        <v>6747.3099989999992</v>
      </c>
      <c r="L1492">
        <v>433718</v>
      </c>
    </row>
    <row r="1493" spans="1:12" x14ac:dyDescent="0.35">
      <c r="A1493" t="s">
        <v>8</v>
      </c>
      <c r="B1493" t="s">
        <v>14</v>
      </c>
      <c r="C1493" t="s">
        <v>37</v>
      </c>
      <c r="D1493" t="str" cm="1">
        <f t="array" ref="D1493">INDEX(_xlfn.TEXTSPLIT(C1493,"_"),3)</f>
        <v>mult</v>
      </c>
      <c r="E1493" t="str">
        <f>VLOOKUP(D1493,FranchiseMapping!$A$1:$B$15,2,FALSE)</f>
        <v>Biolage</v>
      </c>
      <c r="F1493" s="1">
        <v>45658</v>
      </c>
      <c r="G1493" t="s">
        <v>12</v>
      </c>
      <c r="H1493" s="2">
        <v>45748</v>
      </c>
      <c r="I1493" s="3">
        <v>45766</v>
      </c>
      <c r="J1493" s="3">
        <f t="shared" si="23"/>
        <v>45766</v>
      </c>
      <c r="K1493" s="4">
        <v>7.0000000000000007E-2</v>
      </c>
      <c r="L1493">
        <v>41</v>
      </c>
    </row>
    <row r="1494" spans="1:12" x14ac:dyDescent="0.35">
      <c r="A1494" t="s">
        <v>8</v>
      </c>
      <c r="B1494" t="s">
        <v>9</v>
      </c>
      <c r="C1494" t="s">
        <v>31</v>
      </c>
      <c r="D1494" t="str" cm="1">
        <f t="array" ref="D1494">INDEX(_xlfn.TEXTSPLIT(C1494,"_"),3)</f>
        <v>scalp</v>
      </c>
      <c r="E1494" t="str">
        <f>VLOOKUP(D1494,FranchiseMapping!$A$1:$B$15,2,FALSE)</f>
        <v>Scalp Sync</v>
      </c>
      <c r="F1494" s="1">
        <v>45292</v>
      </c>
      <c r="G1494" t="s">
        <v>10</v>
      </c>
      <c r="H1494" s="2">
        <v>45383</v>
      </c>
      <c r="I1494" s="3">
        <v>45392</v>
      </c>
      <c r="J1494" s="3">
        <f t="shared" si="23"/>
        <v>45395</v>
      </c>
      <c r="K1494" s="4">
        <v>174.90000200000006</v>
      </c>
      <c r="L1494">
        <v>27215</v>
      </c>
    </row>
    <row r="1495" spans="1:12" x14ac:dyDescent="0.35">
      <c r="A1495" t="s">
        <v>8</v>
      </c>
      <c r="B1495" t="s">
        <v>9</v>
      </c>
      <c r="C1495" t="s">
        <v>40</v>
      </c>
      <c r="D1495" t="str" cm="1">
        <f t="array" ref="D1495">INDEX(_xlfn.TEXTSPLIT(C1495,"_"),3)</f>
        <v>hydrasource</v>
      </c>
      <c r="E1495" t="str">
        <f>VLOOKUP(D1495,FranchiseMapping!$A$1:$B$15,2,FALSE)</f>
        <v>Hydrasource</v>
      </c>
      <c r="F1495" s="1">
        <v>45292</v>
      </c>
      <c r="G1495" t="s">
        <v>12</v>
      </c>
      <c r="H1495" s="2">
        <v>45352</v>
      </c>
      <c r="I1495" s="3">
        <v>45356</v>
      </c>
      <c r="J1495" s="3">
        <f t="shared" si="23"/>
        <v>45360</v>
      </c>
      <c r="K1495" s="4">
        <v>2991.0900009999996</v>
      </c>
      <c r="L1495">
        <v>407635</v>
      </c>
    </row>
    <row r="1496" spans="1:12" x14ac:dyDescent="0.35">
      <c r="A1496" t="s">
        <v>8</v>
      </c>
      <c r="B1496" t="s">
        <v>13</v>
      </c>
      <c r="C1496" t="s">
        <v>59</v>
      </c>
      <c r="D1496" t="str" cm="1">
        <f t="array" ref="D1496">INDEX(_xlfn.TEXTSPLIT(C1496,"_"),3)</f>
        <v>scalp-sync</v>
      </c>
      <c r="E1496" t="str">
        <f>VLOOKUP(D1496,FranchiseMapping!$A$1:$B$15,2,FALSE)</f>
        <v>Scalp Sync</v>
      </c>
      <c r="F1496" s="1">
        <v>45292</v>
      </c>
      <c r="G1496" t="s">
        <v>11</v>
      </c>
      <c r="H1496" s="2">
        <v>45383</v>
      </c>
      <c r="I1496" s="3">
        <v>45404</v>
      </c>
      <c r="J1496" s="3">
        <f t="shared" si="23"/>
        <v>45409</v>
      </c>
      <c r="K1496" s="4">
        <v>3362.2390650000007</v>
      </c>
      <c r="L1496">
        <v>1582924</v>
      </c>
    </row>
    <row r="1497" spans="1:12" x14ac:dyDescent="0.35">
      <c r="A1497" t="s">
        <v>8</v>
      </c>
      <c r="B1497" t="s">
        <v>9</v>
      </c>
      <c r="C1497" t="s">
        <v>30</v>
      </c>
      <c r="D1497" t="str" cm="1">
        <f t="array" ref="D1497">INDEX(_xlfn.TEXTSPLIT(C1497,"_"),3)</f>
        <v>q3-haca-colorlast</v>
      </c>
      <c r="E1497" t="str">
        <f>VLOOKUP(D1497,FranchiseMapping!$A$1:$B$15,2,FALSE)</f>
        <v>Color Last</v>
      </c>
      <c r="F1497" s="1">
        <v>44927</v>
      </c>
      <c r="G1497" t="s">
        <v>10</v>
      </c>
      <c r="H1497" s="2">
        <v>45139</v>
      </c>
      <c r="I1497" s="3">
        <v>45149</v>
      </c>
      <c r="J1497" s="3">
        <f t="shared" si="23"/>
        <v>45150</v>
      </c>
      <c r="K1497" s="4">
        <v>3850.5899980000004</v>
      </c>
      <c r="L1497">
        <v>556656</v>
      </c>
    </row>
    <row r="1498" spans="1:12" x14ac:dyDescent="0.35">
      <c r="A1498" t="s">
        <v>8</v>
      </c>
      <c r="B1498" t="s">
        <v>9</v>
      </c>
      <c r="C1498" t="s">
        <v>46</v>
      </c>
      <c r="D1498" t="str" cm="1">
        <f t="array" ref="D1498">INDEX(_xlfn.TEXTSPLIT(C1498,"_"),3)</f>
        <v>mult</v>
      </c>
      <c r="E1498" t="str">
        <f>VLOOKUP(D1498,FranchiseMapping!$A$1:$B$15,2,FALSE)</f>
        <v>Biolage</v>
      </c>
      <c r="F1498" s="1">
        <v>45658</v>
      </c>
      <c r="G1498" t="s">
        <v>10</v>
      </c>
      <c r="H1498" s="2">
        <v>45778</v>
      </c>
      <c r="I1498" s="3">
        <v>45800</v>
      </c>
      <c r="J1498" s="3">
        <f t="shared" si="23"/>
        <v>45801</v>
      </c>
      <c r="K1498" s="4">
        <v>1511.79</v>
      </c>
      <c r="L1498">
        <v>235457</v>
      </c>
    </row>
    <row r="1499" spans="1:12" x14ac:dyDescent="0.35">
      <c r="A1499" t="s">
        <v>8</v>
      </c>
      <c r="B1499" t="s">
        <v>14</v>
      </c>
      <c r="C1499" t="s">
        <v>29</v>
      </c>
      <c r="D1499" t="str" cm="1">
        <f t="array" ref="D1499">INDEX(_xlfn.TEXTSPLIT(C1499,"_"),3)</f>
        <v>bfr</v>
      </c>
      <c r="E1499" t="str">
        <f>VLOOKUP(D1499,FranchiseMapping!$A$1:$B$15,2,FALSE)</f>
        <v>Full Rescue</v>
      </c>
      <c r="F1499" s="1">
        <v>45658</v>
      </c>
      <c r="G1499" t="s">
        <v>12</v>
      </c>
      <c r="H1499" s="2">
        <v>45809</v>
      </c>
      <c r="I1499" s="3">
        <v>45829</v>
      </c>
      <c r="J1499" s="3">
        <f t="shared" si="23"/>
        <v>45829</v>
      </c>
      <c r="K1499" s="4">
        <v>68.63</v>
      </c>
      <c r="L1499">
        <v>12114</v>
      </c>
    </row>
    <row r="1500" spans="1:12" x14ac:dyDescent="0.35">
      <c r="A1500" t="s">
        <v>8</v>
      </c>
      <c r="B1500" t="s">
        <v>14</v>
      </c>
      <c r="C1500" t="s">
        <v>37</v>
      </c>
      <c r="D1500" t="str" cm="1">
        <f t="array" ref="D1500">INDEX(_xlfn.TEXTSPLIT(C1500,"_"),3)</f>
        <v>mult</v>
      </c>
      <c r="E1500" t="str">
        <f>VLOOKUP(D1500,FranchiseMapping!$A$1:$B$15,2,FALSE)</f>
        <v>Biolage</v>
      </c>
      <c r="F1500" s="1">
        <v>45658</v>
      </c>
      <c r="G1500" t="s">
        <v>10</v>
      </c>
      <c r="H1500" s="2">
        <v>45748</v>
      </c>
      <c r="I1500" s="3">
        <v>45774</v>
      </c>
      <c r="J1500" s="3">
        <f t="shared" si="23"/>
        <v>45780</v>
      </c>
      <c r="K1500" s="4">
        <v>1490.3700000000001</v>
      </c>
      <c r="L1500">
        <v>372497</v>
      </c>
    </row>
    <row r="1501" spans="1:12" x14ac:dyDescent="0.35">
      <c r="A1501" t="s">
        <v>8</v>
      </c>
      <c r="B1501" t="s">
        <v>9</v>
      </c>
      <c r="C1501" t="s">
        <v>69</v>
      </c>
      <c r="D1501" t="str" cm="1">
        <f t="array" ref="D1501">INDEX(_xlfn.TEXTSPLIT(C1501,"_"),3)</f>
        <v>prime-day</v>
      </c>
      <c r="E1501" t="str">
        <f>VLOOKUP(D1501,FranchiseMapping!$A$1:$B$15,2,FALSE)</f>
        <v>Prime Day</v>
      </c>
      <c r="F1501" s="1">
        <v>45292</v>
      </c>
      <c r="G1501" t="s">
        <v>10</v>
      </c>
      <c r="H1501" s="2">
        <v>45474</v>
      </c>
      <c r="I1501" s="3">
        <v>45487</v>
      </c>
      <c r="J1501" s="3">
        <f t="shared" si="23"/>
        <v>45493</v>
      </c>
      <c r="K1501" s="4">
        <v>3565.8600000000006</v>
      </c>
      <c r="L1501">
        <v>634507</v>
      </c>
    </row>
    <row r="1502" spans="1:12" x14ac:dyDescent="0.35">
      <c r="A1502" t="s">
        <v>8</v>
      </c>
      <c r="B1502" t="s">
        <v>13</v>
      </c>
      <c r="C1502" t="s">
        <v>44</v>
      </c>
      <c r="D1502" t="str" cm="1">
        <f t="array" ref="D1502">INDEX(_xlfn.TEXTSPLIT(C1502,"_"),3)</f>
        <v>na</v>
      </c>
      <c r="E1502" t="str">
        <f>VLOOKUP(D1502,FranchiseMapping!$A$1:$B$15,2,FALSE)</f>
        <v>Biolage</v>
      </c>
      <c r="F1502" s="1">
        <v>44927</v>
      </c>
      <c r="G1502" t="s">
        <v>11</v>
      </c>
      <c r="H1502" s="2">
        <v>45108</v>
      </c>
      <c r="I1502" s="3">
        <v>45117</v>
      </c>
      <c r="J1502" s="3">
        <f t="shared" si="23"/>
        <v>45122</v>
      </c>
      <c r="K1502" s="4">
        <v>677.68456099999992</v>
      </c>
      <c r="L1502">
        <v>371619</v>
      </c>
    </row>
    <row r="1503" spans="1:12" x14ac:dyDescent="0.35">
      <c r="A1503" t="s">
        <v>8</v>
      </c>
      <c r="B1503" t="s">
        <v>9</v>
      </c>
      <c r="C1503" t="s">
        <v>45</v>
      </c>
      <c r="D1503" t="str" cm="1">
        <f t="array" ref="D1503">INDEX(_xlfn.TEXTSPLIT(C1503,"_"),3)</f>
        <v>hydrasource</v>
      </c>
      <c r="E1503" t="str">
        <f>VLOOKUP(D1503,FranchiseMapping!$A$1:$B$15,2,FALSE)</f>
        <v>Hydrasource</v>
      </c>
      <c r="F1503" s="1">
        <v>45292</v>
      </c>
      <c r="G1503" t="s">
        <v>12</v>
      </c>
      <c r="H1503" s="2">
        <v>45566</v>
      </c>
      <c r="I1503" s="3">
        <v>45570</v>
      </c>
      <c r="J1503" s="3">
        <f t="shared" si="23"/>
        <v>45570</v>
      </c>
      <c r="K1503" s="4">
        <v>2720.5800020000001</v>
      </c>
      <c r="L1503">
        <v>313267</v>
      </c>
    </row>
    <row r="1504" spans="1:12" x14ac:dyDescent="0.35">
      <c r="A1504" t="s">
        <v>8</v>
      </c>
      <c r="B1504" t="s">
        <v>14</v>
      </c>
      <c r="C1504" t="s">
        <v>49</v>
      </c>
      <c r="D1504" t="str" cm="1">
        <f t="array" ref="D1504">INDEX(_xlfn.TEXTSPLIT(C1504,"_"),3)</f>
        <v>hys</v>
      </c>
      <c r="E1504" t="str">
        <f>VLOOKUP(D1504,FranchiseMapping!$A$1:$B$15,2,FALSE)</f>
        <v>Hydrasource</v>
      </c>
      <c r="F1504" s="1">
        <v>45658</v>
      </c>
      <c r="G1504" t="s">
        <v>10</v>
      </c>
      <c r="H1504" s="2">
        <v>45748</v>
      </c>
      <c r="I1504" s="3">
        <v>45752</v>
      </c>
      <c r="J1504" s="3">
        <f t="shared" si="23"/>
        <v>45752</v>
      </c>
      <c r="K1504" s="4">
        <v>224.75</v>
      </c>
      <c r="L1504">
        <v>77886</v>
      </c>
    </row>
    <row r="1505" spans="1:12" x14ac:dyDescent="0.35">
      <c r="A1505" t="s">
        <v>8</v>
      </c>
      <c r="B1505" t="s">
        <v>9</v>
      </c>
      <c r="C1505" t="s">
        <v>41</v>
      </c>
      <c r="D1505" t="str" cm="1">
        <f t="array" ref="D1505">INDEX(_xlfn.TEXTSPLIT(C1505,"_"),3)</f>
        <v>hys</v>
      </c>
      <c r="E1505" t="str">
        <f>VLOOKUP(D1505,FranchiseMapping!$A$1:$B$15,2,FALSE)</f>
        <v>Hydrasource</v>
      </c>
      <c r="F1505" s="1">
        <v>45658</v>
      </c>
      <c r="G1505" t="s">
        <v>12</v>
      </c>
      <c r="H1505" s="2">
        <v>45748</v>
      </c>
      <c r="I1505" s="3">
        <v>45753</v>
      </c>
      <c r="J1505" s="3">
        <f t="shared" si="23"/>
        <v>45759</v>
      </c>
      <c r="K1505" s="4">
        <v>4003.590004000001</v>
      </c>
      <c r="L1505">
        <v>520969</v>
      </c>
    </row>
    <row r="1506" spans="1:12" x14ac:dyDescent="0.35">
      <c r="A1506" t="s">
        <v>8</v>
      </c>
      <c r="B1506" t="s">
        <v>13</v>
      </c>
      <c r="C1506" t="s">
        <v>59</v>
      </c>
      <c r="D1506" t="str" cm="1">
        <f t="array" ref="D1506">INDEX(_xlfn.TEXTSPLIT(C1506,"_"),3)</f>
        <v>scalp-sync</v>
      </c>
      <c r="E1506" t="str">
        <f>VLOOKUP(D1506,FranchiseMapping!$A$1:$B$15,2,FALSE)</f>
        <v>Scalp Sync</v>
      </c>
      <c r="F1506" s="1">
        <v>45292</v>
      </c>
      <c r="G1506" t="s">
        <v>11</v>
      </c>
      <c r="H1506" s="2">
        <v>45383</v>
      </c>
      <c r="I1506" s="3">
        <v>45399</v>
      </c>
      <c r="J1506" s="3">
        <f t="shared" si="23"/>
        <v>45402</v>
      </c>
      <c r="K1506" s="4">
        <v>3365.4851259999996</v>
      </c>
      <c r="L1506">
        <v>1499268</v>
      </c>
    </row>
    <row r="1507" spans="1:12" x14ac:dyDescent="0.35">
      <c r="A1507" t="s">
        <v>8</v>
      </c>
      <c r="B1507" t="s">
        <v>9</v>
      </c>
      <c r="C1507" t="s">
        <v>38</v>
      </c>
      <c r="D1507" t="str" cm="1">
        <f t="array" ref="D1507">INDEX(_xlfn.TEXTSPLIT(C1507,"_"),3)</f>
        <v>hys</v>
      </c>
      <c r="E1507" t="str">
        <f>VLOOKUP(D1507,FranchiseMapping!$A$1:$B$15,2,FALSE)</f>
        <v>Hydrasource</v>
      </c>
      <c r="F1507" s="1">
        <v>45658</v>
      </c>
      <c r="G1507" t="s">
        <v>12</v>
      </c>
      <c r="H1507" s="2">
        <v>45748</v>
      </c>
      <c r="I1507" s="3">
        <v>45754</v>
      </c>
      <c r="J1507" s="3">
        <f t="shared" si="23"/>
        <v>45759</v>
      </c>
      <c r="K1507" s="4">
        <v>1621.0699979999999</v>
      </c>
      <c r="L1507">
        <v>170680</v>
      </c>
    </row>
    <row r="1508" spans="1:12" x14ac:dyDescent="0.35">
      <c r="A1508" t="s">
        <v>8</v>
      </c>
      <c r="B1508" t="s">
        <v>9</v>
      </c>
      <c r="C1508" t="s">
        <v>31</v>
      </c>
      <c r="D1508" t="str" cm="1">
        <f t="array" ref="D1508">INDEX(_xlfn.TEXTSPLIT(C1508,"_"),3)</f>
        <v>scalp</v>
      </c>
      <c r="E1508" t="str">
        <f>VLOOKUP(D1508,FranchiseMapping!$A$1:$B$15,2,FALSE)</f>
        <v>Scalp Sync</v>
      </c>
      <c r="F1508" s="1">
        <v>45292</v>
      </c>
      <c r="G1508" t="s">
        <v>10</v>
      </c>
      <c r="H1508" s="2">
        <v>45383</v>
      </c>
      <c r="I1508" s="3">
        <v>45400</v>
      </c>
      <c r="J1508" s="3">
        <f t="shared" si="23"/>
        <v>45402</v>
      </c>
      <c r="K1508" s="4">
        <v>116.13999699999999</v>
      </c>
      <c r="L1508">
        <v>13294</v>
      </c>
    </row>
    <row r="1509" spans="1:12" x14ac:dyDescent="0.35">
      <c r="A1509" t="s">
        <v>8</v>
      </c>
      <c r="B1509" t="s">
        <v>9</v>
      </c>
      <c r="C1509" t="s">
        <v>46</v>
      </c>
      <c r="D1509" t="str" cm="1">
        <f t="array" ref="D1509">INDEX(_xlfn.TEXTSPLIT(C1509,"_"),3)</f>
        <v>mult</v>
      </c>
      <c r="E1509" t="str">
        <f>VLOOKUP(D1509,FranchiseMapping!$A$1:$B$15,2,FALSE)</f>
        <v>Biolage</v>
      </c>
      <c r="F1509" s="1">
        <v>45658</v>
      </c>
      <c r="G1509" t="s">
        <v>12</v>
      </c>
      <c r="H1509" s="2">
        <v>45748</v>
      </c>
      <c r="I1509" s="3">
        <v>45762</v>
      </c>
      <c r="J1509" s="3">
        <f t="shared" si="23"/>
        <v>45766</v>
      </c>
      <c r="K1509" s="4">
        <v>1124.5699999999997</v>
      </c>
      <c r="L1509">
        <v>259230</v>
      </c>
    </row>
    <row r="1510" spans="1:12" x14ac:dyDescent="0.35">
      <c r="A1510" t="s">
        <v>8</v>
      </c>
      <c r="B1510" t="s">
        <v>9</v>
      </c>
      <c r="C1510" t="s">
        <v>46</v>
      </c>
      <c r="D1510" t="str" cm="1">
        <f t="array" ref="D1510">INDEX(_xlfn.TEXTSPLIT(C1510,"_"),3)</f>
        <v>mult</v>
      </c>
      <c r="E1510" t="str">
        <f>VLOOKUP(D1510,FranchiseMapping!$A$1:$B$15,2,FALSE)</f>
        <v>Biolage</v>
      </c>
      <c r="F1510" s="1">
        <v>45658</v>
      </c>
      <c r="G1510" t="s">
        <v>10</v>
      </c>
      <c r="H1510" s="2">
        <v>45748</v>
      </c>
      <c r="I1510" s="3">
        <v>45762</v>
      </c>
      <c r="J1510" s="3">
        <f t="shared" si="23"/>
        <v>45766</v>
      </c>
      <c r="K1510" s="4">
        <v>670.09</v>
      </c>
      <c r="L1510">
        <v>141235</v>
      </c>
    </row>
    <row r="1511" spans="1:12" x14ac:dyDescent="0.35">
      <c r="A1511" t="s">
        <v>8</v>
      </c>
      <c r="B1511" t="s">
        <v>9</v>
      </c>
      <c r="C1511" t="s">
        <v>46</v>
      </c>
      <c r="D1511" t="str" cm="1">
        <f t="array" ref="D1511">INDEX(_xlfn.TEXTSPLIT(C1511,"_"),3)</f>
        <v>mult</v>
      </c>
      <c r="E1511" t="str">
        <f>VLOOKUP(D1511,FranchiseMapping!$A$1:$B$15,2,FALSE)</f>
        <v>Biolage</v>
      </c>
      <c r="F1511" s="1">
        <v>45658</v>
      </c>
      <c r="G1511" t="s">
        <v>12</v>
      </c>
      <c r="H1511" s="2">
        <v>45778</v>
      </c>
      <c r="I1511" s="3">
        <v>45791</v>
      </c>
      <c r="J1511" s="3">
        <f t="shared" si="23"/>
        <v>45794</v>
      </c>
      <c r="K1511" s="4">
        <v>288.99999999999994</v>
      </c>
      <c r="L1511">
        <v>49697</v>
      </c>
    </row>
    <row r="1512" spans="1:12" x14ac:dyDescent="0.35">
      <c r="A1512" t="s">
        <v>8</v>
      </c>
      <c r="B1512" t="s">
        <v>9</v>
      </c>
      <c r="C1512" t="s">
        <v>35</v>
      </c>
      <c r="D1512" t="str" cm="1">
        <f t="array" ref="D1512">INDEX(_xlfn.TEXTSPLIT(C1512,"_"),3)</f>
        <v>bfr</v>
      </c>
      <c r="E1512" t="str">
        <f>VLOOKUP(D1512,FranchiseMapping!$A$1:$B$15,2,FALSE)</f>
        <v>Full Rescue</v>
      </c>
      <c r="F1512" s="1">
        <v>45658</v>
      </c>
      <c r="G1512" t="s">
        <v>12</v>
      </c>
      <c r="H1512" s="2">
        <v>45778</v>
      </c>
      <c r="I1512" s="3">
        <v>45804</v>
      </c>
      <c r="J1512" s="3">
        <f t="shared" si="23"/>
        <v>45808</v>
      </c>
      <c r="K1512" s="4">
        <v>1726.5099999999998</v>
      </c>
      <c r="L1512">
        <v>139002</v>
      </c>
    </row>
    <row r="1513" spans="1:12" x14ac:dyDescent="0.35">
      <c r="A1513" t="s">
        <v>8</v>
      </c>
      <c r="B1513" t="s">
        <v>9</v>
      </c>
      <c r="C1513" t="s">
        <v>46</v>
      </c>
      <c r="D1513" t="str" cm="1">
        <f t="array" ref="D1513">INDEX(_xlfn.TEXTSPLIT(C1513,"_"),3)</f>
        <v>mult</v>
      </c>
      <c r="E1513" t="str">
        <f>VLOOKUP(D1513,FranchiseMapping!$A$1:$B$15,2,FALSE)</f>
        <v>Biolage</v>
      </c>
      <c r="F1513" s="1">
        <v>45658</v>
      </c>
      <c r="G1513" t="s">
        <v>10</v>
      </c>
      <c r="H1513" s="2">
        <v>45809</v>
      </c>
      <c r="I1513" s="3">
        <v>45810</v>
      </c>
      <c r="J1513" s="3">
        <f t="shared" si="23"/>
        <v>45815</v>
      </c>
      <c r="K1513" s="4">
        <v>956.43999799999983</v>
      </c>
      <c r="L1513">
        <v>184279</v>
      </c>
    </row>
    <row r="1514" spans="1:12" x14ac:dyDescent="0.35">
      <c r="A1514" t="s">
        <v>8</v>
      </c>
      <c r="B1514" t="s">
        <v>13</v>
      </c>
      <c r="C1514" t="s">
        <v>59</v>
      </c>
      <c r="D1514" t="str" cm="1">
        <f t="array" ref="D1514">INDEX(_xlfn.TEXTSPLIT(C1514,"_"),3)</f>
        <v>scalp-sync</v>
      </c>
      <c r="E1514" t="str">
        <f>VLOOKUP(D1514,FranchiseMapping!$A$1:$B$15,2,FALSE)</f>
        <v>Scalp Sync</v>
      </c>
      <c r="F1514" s="1">
        <v>45292</v>
      </c>
      <c r="G1514" t="s">
        <v>11</v>
      </c>
      <c r="H1514" s="2">
        <v>45413</v>
      </c>
      <c r="I1514" s="3">
        <v>45435</v>
      </c>
      <c r="J1514" s="3">
        <f t="shared" si="23"/>
        <v>45437</v>
      </c>
      <c r="K1514" s="4">
        <v>3349.4126130000009</v>
      </c>
      <c r="L1514">
        <v>1374011</v>
      </c>
    </row>
    <row r="1515" spans="1:12" x14ac:dyDescent="0.35">
      <c r="A1515" t="s">
        <v>8</v>
      </c>
      <c r="B1515" t="s">
        <v>13</v>
      </c>
      <c r="C1515" t="s">
        <v>39</v>
      </c>
      <c r="D1515" t="str" cm="1">
        <f t="array" ref="D1515">INDEX(_xlfn.TEXTSPLIT(C1515,"_"),3)</f>
        <v>scalp-sync</v>
      </c>
      <c r="E1515" t="str">
        <f>VLOOKUP(D1515,FranchiseMapping!$A$1:$B$15,2,FALSE)</f>
        <v>Scalp Sync</v>
      </c>
      <c r="F1515" s="1">
        <v>45292</v>
      </c>
      <c r="G1515" t="s">
        <v>12</v>
      </c>
      <c r="H1515" s="2">
        <v>45413</v>
      </c>
      <c r="I1515" s="3">
        <v>45440</v>
      </c>
      <c r="J1515" s="3">
        <f t="shared" si="23"/>
        <v>45444</v>
      </c>
      <c r="K1515" s="4">
        <v>1628.955915</v>
      </c>
      <c r="L1515">
        <v>443021</v>
      </c>
    </row>
    <row r="1516" spans="1:12" x14ac:dyDescent="0.35">
      <c r="A1516" t="s">
        <v>8</v>
      </c>
      <c r="B1516" t="s">
        <v>9</v>
      </c>
      <c r="C1516" t="s">
        <v>46</v>
      </c>
      <c r="D1516" t="str" cm="1">
        <f t="array" ref="D1516">INDEX(_xlfn.TEXTSPLIT(C1516,"_"),3)</f>
        <v>mult</v>
      </c>
      <c r="E1516" t="str">
        <f>VLOOKUP(D1516,FranchiseMapping!$A$1:$B$15,2,FALSE)</f>
        <v>Biolage</v>
      </c>
      <c r="F1516" s="1">
        <v>45658</v>
      </c>
      <c r="G1516" t="s">
        <v>12</v>
      </c>
      <c r="H1516" s="2">
        <v>45778</v>
      </c>
      <c r="I1516" s="3">
        <v>45798</v>
      </c>
      <c r="J1516" s="3">
        <f t="shared" si="23"/>
        <v>45801</v>
      </c>
      <c r="K1516" s="4">
        <v>230.58999799999992</v>
      </c>
      <c r="L1516">
        <v>38955</v>
      </c>
    </row>
    <row r="1517" spans="1:12" x14ac:dyDescent="0.35">
      <c r="A1517" t="s">
        <v>8</v>
      </c>
      <c r="B1517" t="s">
        <v>13</v>
      </c>
      <c r="C1517" t="s">
        <v>28</v>
      </c>
      <c r="D1517" t="str" cm="1">
        <f t="array" ref="D1517">INDEX(_xlfn.TEXTSPLIT(C1517,"_"),3)</f>
        <v>na</v>
      </c>
      <c r="E1517" t="str">
        <f>VLOOKUP(D1517,FranchiseMapping!$A$1:$B$15,2,FALSE)</f>
        <v>Biolage</v>
      </c>
      <c r="F1517" s="1">
        <v>44927</v>
      </c>
      <c r="G1517" t="s">
        <v>12</v>
      </c>
      <c r="H1517" s="2">
        <v>45108</v>
      </c>
      <c r="I1517" s="3">
        <v>45121</v>
      </c>
      <c r="J1517" s="3">
        <f t="shared" si="23"/>
        <v>45122</v>
      </c>
      <c r="K1517" s="4">
        <v>907.139544</v>
      </c>
      <c r="L1517">
        <v>166354</v>
      </c>
    </row>
    <row r="1518" spans="1:12" x14ac:dyDescent="0.35">
      <c r="A1518" t="s">
        <v>8</v>
      </c>
      <c r="B1518" t="s">
        <v>9</v>
      </c>
      <c r="C1518" t="s">
        <v>35</v>
      </c>
      <c r="D1518" t="str" cm="1">
        <f t="array" ref="D1518">INDEX(_xlfn.TEXTSPLIT(C1518,"_"),3)</f>
        <v>bfr</v>
      </c>
      <c r="E1518" t="str">
        <f>VLOOKUP(D1518,FranchiseMapping!$A$1:$B$15,2,FALSE)</f>
        <v>Full Rescue</v>
      </c>
      <c r="F1518" s="1">
        <v>45658</v>
      </c>
      <c r="G1518" t="s">
        <v>12</v>
      </c>
      <c r="H1518" s="2">
        <v>45778</v>
      </c>
      <c r="I1518" s="3">
        <v>45781</v>
      </c>
      <c r="J1518" s="3">
        <f t="shared" si="23"/>
        <v>45787</v>
      </c>
      <c r="K1518" s="4">
        <v>1867.4899999999998</v>
      </c>
      <c r="L1518">
        <v>116567</v>
      </c>
    </row>
    <row r="1519" spans="1:12" x14ac:dyDescent="0.35">
      <c r="A1519" t="s">
        <v>8</v>
      </c>
      <c r="B1519" t="s">
        <v>9</v>
      </c>
      <c r="C1519" t="s">
        <v>52</v>
      </c>
      <c r="D1519" t="str" cm="1">
        <f t="array" ref="D1519">INDEX(_xlfn.TEXTSPLIT(C1519,"_"),3)</f>
        <v>bond-therapy</v>
      </c>
      <c r="E1519" t="str">
        <f>VLOOKUP(D1519,FranchiseMapping!$A$1:$B$15,2,FALSE)</f>
        <v>Bond Therapy</v>
      </c>
      <c r="F1519" s="1">
        <v>44927</v>
      </c>
      <c r="G1519" t="s">
        <v>11</v>
      </c>
      <c r="H1519" s="2">
        <v>45261</v>
      </c>
      <c r="I1519" s="3">
        <v>45281</v>
      </c>
      <c r="J1519" s="3">
        <f t="shared" si="23"/>
        <v>45283</v>
      </c>
      <c r="K1519" s="4">
        <v>2712.6900009999999</v>
      </c>
      <c r="L1519">
        <v>390179</v>
      </c>
    </row>
    <row r="1520" spans="1:12" x14ac:dyDescent="0.35">
      <c r="A1520" t="s">
        <v>8</v>
      </c>
      <c r="B1520" t="s">
        <v>13</v>
      </c>
      <c r="C1520" t="s">
        <v>59</v>
      </c>
      <c r="D1520" t="str" cm="1">
        <f t="array" ref="D1520">INDEX(_xlfn.TEXTSPLIT(C1520,"_"),3)</f>
        <v>scalp-sync</v>
      </c>
      <c r="E1520" t="str">
        <f>VLOOKUP(D1520,FranchiseMapping!$A$1:$B$15,2,FALSE)</f>
        <v>Scalp Sync</v>
      </c>
      <c r="F1520" s="1">
        <v>45292</v>
      </c>
      <c r="G1520" t="s">
        <v>11</v>
      </c>
      <c r="H1520" s="2">
        <v>45413</v>
      </c>
      <c r="I1520" s="3">
        <v>45418</v>
      </c>
      <c r="J1520" s="3">
        <f t="shared" si="23"/>
        <v>45423</v>
      </c>
      <c r="K1520" s="4">
        <v>3356.3960549999997</v>
      </c>
      <c r="L1520">
        <v>1520238</v>
      </c>
    </row>
    <row r="1521" spans="1:12" x14ac:dyDescent="0.35">
      <c r="A1521" t="s">
        <v>8</v>
      </c>
      <c r="B1521" t="s">
        <v>13</v>
      </c>
      <c r="C1521" t="s">
        <v>39</v>
      </c>
      <c r="D1521" t="str" cm="1">
        <f t="array" ref="D1521">INDEX(_xlfn.TEXTSPLIT(C1521,"_"),3)</f>
        <v>scalp-sync</v>
      </c>
      <c r="E1521" t="str">
        <f>VLOOKUP(D1521,FranchiseMapping!$A$1:$B$15,2,FALSE)</f>
        <v>Scalp Sync</v>
      </c>
      <c r="F1521" s="1">
        <v>45292</v>
      </c>
      <c r="G1521" t="s">
        <v>12</v>
      </c>
      <c r="H1521" s="2">
        <v>45413</v>
      </c>
      <c r="I1521" s="3">
        <v>45437</v>
      </c>
      <c r="J1521" s="3">
        <f t="shared" si="23"/>
        <v>45437</v>
      </c>
      <c r="K1521" s="4">
        <v>1601.553711</v>
      </c>
      <c r="L1521">
        <v>368101</v>
      </c>
    </row>
    <row r="1522" spans="1:12" x14ac:dyDescent="0.35">
      <c r="A1522" t="s">
        <v>8</v>
      </c>
      <c r="B1522" t="s">
        <v>9</v>
      </c>
      <c r="C1522" t="s">
        <v>72</v>
      </c>
      <c r="D1522" t="str" cm="1">
        <f t="array" ref="D1522">INDEX(_xlfn.TEXTSPLIT(C1522,"_"),3)</f>
        <v>mult</v>
      </c>
      <c r="E1522" t="str">
        <f>VLOOKUP(D1522,FranchiseMapping!$A$1:$B$15,2,FALSE)</f>
        <v>Biolage</v>
      </c>
      <c r="F1522" s="1">
        <v>45658</v>
      </c>
      <c r="G1522" t="s">
        <v>12</v>
      </c>
      <c r="H1522" s="2">
        <v>45689</v>
      </c>
      <c r="I1522" s="3">
        <v>45711</v>
      </c>
      <c r="J1522" s="3">
        <f t="shared" si="23"/>
        <v>45717</v>
      </c>
      <c r="K1522" s="4">
        <v>7740.9700019999973</v>
      </c>
      <c r="L1522">
        <v>959906</v>
      </c>
    </row>
    <row r="1523" spans="1:12" x14ac:dyDescent="0.35">
      <c r="A1523" t="s">
        <v>8</v>
      </c>
      <c r="B1523" t="s">
        <v>14</v>
      </c>
      <c r="C1523" t="s">
        <v>43</v>
      </c>
      <c r="D1523" t="str" cm="1">
        <f t="array" ref="D1523">INDEX(_xlfn.TEXTSPLIT(C1523,"_"),3)</f>
        <v>bfr</v>
      </c>
      <c r="E1523" t="str">
        <f>VLOOKUP(D1523,FranchiseMapping!$A$1:$B$15,2,FALSE)</f>
        <v>Full Rescue</v>
      </c>
      <c r="F1523" s="1">
        <v>45658</v>
      </c>
      <c r="G1523" t="s">
        <v>12</v>
      </c>
      <c r="H1523" s="2">
        <v>45809</v>
      </c>
      <c r="I1523" s="3">
        <v>45826</v>
      </c>
      <c r="J1523" s="3">
        <f t="shared" si="23"/>
        <v>45829</v>
      </c>
      <c r="K1523" s="4">
        <v>5054.58</v>
      </c>
      <c r="L1523">
        <v>940618</v>
      </c>
    </row>
    <row r="1524" spans="1:12" x14ac:dyDescent="0.35">
      <c r="A1524" t="s">
        <v>8</v>
      </c>
      <c r="B1524" t="s">
        <v>13</v>
      </c>
      <c r="C1524" t="s">
        <v>39</v>
      </c>
      <c r="D1524" t="str" cm="1">
        <f t="array" ref="D1524">INDEX(_xlfn.TEXTSPLIT(C1524,"_"),3)</f>
        <v>scalp-sync</v>
      </c>
      <c r="E1524" t="str">
        <f>VLOOKUP(D1524,FranchiseMapping!$A$1:$B$15,2,FALSE)</f>
        <v>Scalp Sync</v>
      </c>
      <c r="F1524" s="1">
        <v>45292</v>
      </c>
      <c r="G1524" t="s">
        <v>12</v>
      </c>
      <c r="H1524" s="2">
        <v>45383</v>
      </c>
      <c r="I1524" s="3">
        <v>45410</v>
      </c>
      <c r="J1524" s="3">
        <f t="shared" si="23"/>
        <v>45416</v>
      </c>
      <c r="K1524" s="4">
        <v>1741.6472679999997</v>
      </c>
      <c r="L1524">
        <v>475993</v>
      </c>
    </row>
    <row r="1525" spans="1:12" x14ac:dyDescent="0.35">
      <c r="A1525" t="s">
        <v>8</v>
      </c>
      <c r="B1525" t="s">
        <v>9</v>
      </c>
      <c r="C1525" t="s">
        <v>34</v>
      </c>
      <c r="D1525" t="str" cm="1">
        <f t="array" ref="D1525">INDEX(_xlfn.TEXTSPLIT(C1525,"_"),3)</f>
        <v>hydrasource</v>
      </c>
      <c r="E1525" t="str">
        <f>VLOOKUP(D1525,FranchiseMapping!$A$1:$B$15,2,FALSE)</f>
        <v>Hydrasource</v>
      </c>
      <c r="F1525" s="1">
        <v>45292</v>
      </c>
      <c r="G1525" t="s">
        <v>12</v>
      </c>
      <c r="H1525" s="2">
        <v>45292</v>
      </c>
      <c r="I1525" s="3">
        <v>45317</v>
      </c>
      <c r="J1525" s="3">
        <f t="shared" si="23"/>
        <v>45318</v>
      </c>
      <c r="K1525" s="4">
        <v>638.20999900000004</v>
      </c>
      <c r="L1525">
        <v>151737</v>
      </c>
    </row>
    <row r="1526" spans="1:12" x14ac:dyDescent="0.35">
      <c r="A1526" t="s">
        <v>8</v>
      </c>
      <c r="B1526" t="s">
        <v>9</v>
      </c>
      <c r="C1526" t="s">
        <v>30</v>
      </c>
      <c r="D1526" t="str" cm="1">
        <f t="array" ref="D1526">INDEX(_xlfn.TEXTSPLIT(C1526,"_"),3)</f>
        <v>q3-haca-colorlast</v>
      </c>
      <c r="E1526" t="str">
        <f>VLOOKUP(D1526,FranchiseMapping!$A$1:$B$15,2,FALSE)</f>
        <v>Color Last</v>
      </c>
      <c r="F1526" s="1">
        <v>44927</v>
      </c>
      <c r="G1526" t="s">
        <v>10</v>
      </c>
      <c r="H1526" s="2">
        <v>45108</v>
      </c>
      <c r="I1526" s="3">
        <v>45122</v>
      </c>
      <c r="J1526" s="3">
        <f t="shared" si="23"/>
        <v>45122</v>
      </c>
      <c r="K1526" s="4">
        <v>2587.4599990000006</v>
      </c>
      <c r="L1526">
        <v>322971</v>
      </c>
    </row>
    <row r="1527" spans="1:12" x14ac:dyDescent="0.35">
      <c r="A1527" t="s">
        <v>8</v>
      </c>
      <c r="B1527" t="s">
        <v>13</v>
      </c>
      <c r="C1527" t="s">
        <v>32</v>
      </c>
      <c r="D1527" t="str" cm="1">
        <f t="array" ref="D1527">INDEX(_xlfn.TEXTSPLIT(C1527,"_"),3)</f>
        <v>na</v>
      </c>
      <c r="E1527" t="str">
        <f>VLOOKUP(D1527,FranchiseMapping!$A$1:$B$15,2,FALSE)</f>
        <v>Biolage</v>
      </c>
      <c r="F1527" s="1">
        <v>44927</v>
      </c>
      <c r="G1527" t="s">
        <v>11</v>
      </c>
      <c r="H1527" s="2">
        <v>45170</v>
      </c>
      <c r="I1527" s="3">
        <v>45171</v>
      </c>
      <c r="J1527" s="3">
        <f t="shared" si="23"/>
        <v>45171</v>
      </c>
      <c r="K1527" s="4">
        <v>1756.247582</v>
      </c>
      <c r="L1527">
        <v>547465</v>
      </c>
    </row>
    <row r="1528" spans="1:12" x14ac:dyDescent="0.35">
      <c r="A1528" t="s">
        <v>8</v>
      </c>
      <c r="B1528" t="s">
        <v>9</v>
      </c>
      <c r="C1528" t="s">
        <v>45</v>
      </c>
      <c r="D1528" t="str" cm="1">
        <f t="array" ref="D1528">INDEX(_xlfn.TEXTSPLIT(C1528,"_"),3)</f>
        <v>hydrasource</v>
      </c>
      <c r="E1528" t="str">
        <f>VLOOKUP(D1528,FranchiseMapping!$A$1:$B$15,2,FALSE)</f>
        <v>Hydrasource</v>
      </c>
      <c r="F1528" s="1">
        <v>45292</v>
      </c>
      <c r="G1528" t="s">
        <v>12</v>
      </c>
      <c r="H1528" s="2">
        <v>45566</v>
      </c>
      <c r="I1528" s="3">
        <v>45586</v>
      </c>
      <c r="J1528" s="3">
        <f t="shared" si="23"/>
        <v>45591</v>
      </c>
      <c r="K1528" s="4">
        <v>2515.7700059999997</v>
      </c>
      <c r="L1528">
        <v>256624</v>
      </c>
    </row>
    <row r="1529" spans="1:12" x14ac:dyDescent="0.35">
      <c r="A1529" t="s">
        <v>8</v>
      </c>
      <c r="B1529" t="s">
        <v>9</v>
      </c>
      <c r="C1529" t="s">
        <v>36</v>
      </c>
      <c r="D1529" t="str" cm="1">
        <f t="array" ref="D1529">INDEX(_xlfn.TEXTSPLIT(C1529,"_"),3)</f>
        <v>bfr</v>
      </c>
      <c r="E1529" t="str">
        <f>VLOOKUP(D1529,FranchiseMapping!$A$1:$B$15,2,FALSE)</f>
        <v>Full Rescue</v>
      </c>
      <c r="F1529" s="1">
        <v>45658</v>
      </c>
      <c r="G1529" t="s">
        <v>10</v>
      </c>
      <c r="H1529" s="2">
        <v>45778</v>
      </c>
      <c r="I1529" s="3">
        <v>45786</v>
      </c>
      <c r="J1529" s="3">
        <f t="shared" si="23"/>
        <v>45787</v>
      </c>
      <c r="K1529" s="4">
        <v>1356.360003</v>
      </c>
      <c r="L1529">
        <v>330050</v>
      </c>
    </row>
    <row r="1530" spans="1:12" x14ac:dyDescent="0.35">
      <c r="A1530" t="s">
        <v>8</v>
      </c>
      <c r="B1530" t="s">
        <v>14</v>
      </c>
      <c r="C1530" t="s">
        <v>37</v>
      </c>
      <c r="D1530" t="str" cm="1">
        <f t="array" ref="D1530">INDEX(_xlfn.TEXTSPLIT(C1530,"_"),3)</f>
        <v>mult</v>
      </c>
      <c r="E1530" t="str">
        <f>VLOOKUP(D1530,FranchiseMapping!$A$1:$B$15,2,FALSE)</f>
        <v>Biolage</v>
      </c>
      <c r="F1530" s="1">
        <v>45658</v>
      </c>
      <c r="G1530" t="s">
        <v>12</v>
      </c>
      <c r="H1530" s="2">
        <v>45748</v>
      </c>
      <c r="I1530" s="3">
        <v>45774</v>
      </c>
      <c r="J1530" s="3">
        <f t="shared" si="23"/>
        <v>45780</v>
      </c>
      <c r="K1530" s="4">
        <v>1.9100000000000001</v>
      </c>
      <c r="L1530">
        <v>811</v>
      </c>
    </row>
    <row r="1531" spans="1:12" x14ac:dyDescent="0.35">
      <c r="A1531" t="s">
        <v>8</v>
      </c>
      <c r="B1531" t="s">
        <v>9</v>
      </c>
      <c r="C1531" t="s">
        <v>35</v>
      </c>
      <c r="D1531" t="str" cm="1">
        <f t="array" ref="D1531">INDEX(_xlfn.TEXTSPLIT(C1531,"_"),3)</f>
        <v>bfr</v>
      </c>
      <c r="E1531" t="str">
        <f>VLOOKUP(D1531,FranchiseMapping!$A$1:$B$15,2,FALSE)</f>
        <v>Full Rescue</v>
      </c>
      <c r="F1531" s="1">
        <v>45658</v>
      </c>
      <c r="G1531" t="s">
        <v>10</v>
      </c>
      <c r="H1531" s="2">
        <v>45809</v>
      </c>
      <c r="I1531" s="3">
        <v>45831</v>
      </c>
      <c r="J1531" s="3">
        <f t="shared" si="23"/>
        <v>45836</v>
      </c>
      <c r="K1531" s="4">
        <v>153.14000000000001</v>
      </c>
      <c r="L1531">
        <v>18951</v>
      </c>
    </row>
    <row r="1532" spans="1:12" x14ac:dyDescent="0.35">
      <c r="A1532" t="s">
        <v>8</v>
      </c>
      <c r="B1532" t="s">
        <v>13</v>
      </c>
      <c r="C1532" t="s">
        <v>62</v>
      </c>
      <c r="D1532" t="str" cm="1">
        <f t="array" ref="D1532">INDEX(_xlfn.TEXTSPLIT(C1532,"_"),3)</f>
        <v>na</v>
      </c>
      <c r="E1532" t="str">
        <f>VLOOKUP(D1532,FranchiseMapping!$A$1:$B$15,2,FALSE)</f>
        <v>Biolage</v>
      </c>
      <c r="F1532" s="1">
        <v>44927</v>
      </c>
      <c r="G1532" t="s">
        <v>10</v>
      </c>
      <c r="H1532" s="2">
        <v>45108</v>
      </c>
      <c r="I1532" s="3">
        <v>45108</v>
      </c>
      <c r="J1532" s="3">
        <f t="shared" si="23"/>
        <v>45108</v>
      </c>
      <c r="K1532" s="4">
        <v>33.569313000000001</v>
      </c>
      <c r="L1532">
        <v>12647</v>
      </c>
    </row>
    <row r="1533" spans="1:12" x14ac:dyDescent="0.35">
      <c r="A1533" t="s">
        <v>8</v>
      </c>
      <c r="B1533" t="s">
        <v>14</v>
      </c>
      <c r="C1533" t="s">
        <v>29</v>
      </c>
      <c r="D1533" t="str" cm="1">
        <f t="array" ref="D1533">INDEX(_xlfn.TEXTSPLIT(C1533,"_"),3)</f>
        <v>bfr</v>
      </c>
      <c r="E1533" t="str">
        <f>VLOOKUP(D1533,FranchiseMapping!$A$1:$B$15,2,FALSE)</f>
        <v>Full Rescue</v>
      </c>
      <c r="F1533" s="1">
        <v>45658</v>
      </c>
      <c r="G1533" t="s">
        <v>10</v>
      </c>
      <c r="H1533" s="2">
        <v>45809</v>
      </c>
      <c r="I1533" s="3">
        <v>45813</v>
      </c>
      <c r="J1533" s="3">
        <f t="shared" si="23"/>
        <v>45815</v>
      </c>
      <c r="K1533" s="4">
        <v>1746.96</v>
      </c>
      <c r="L1533">
        <v>251365</v>
      </c>
    </row>
    <row r="1534" spans="1:12" x14ac:dyDescent="0.35">
      <c r="A1534" t="s">
        <v>8</v>
      </c>
      <c r="B1534" t="s">
        <v>13</v>
      </c>
      <c r="C1534" t="s">
        <v>42</v>
      </c>
      <c r="D1534" t="str" cm="1">
        <f t="array" ref="D1534">INDEX(_xlfn.TEXTSPLIT(C1534,"_"),3)</f>
        <v>bfr</v>
      </c>
      <c r="E1534" t="str">
        <f>VLOOKUP(D1534,FranchiseMapping!$A$1:$B$15,2,FALSE)</f>
        <v>Full Rescue</v>
      </c>
      <c r="F1534" s="1">
        <v>45658</v>
      </c>
      <c r="G1534" t="s">
        <v>10</v>
      </c>
      <c r="H1534" s="2">
        <v>45809</v>
      </c>
      <c r="I1534" s="3">
        <v>45838</v>
      </c>
      <c r="J1534" s="3">
        <f t="shared" si="23"/>
        <v>45843</v>
      </c>
      <c r="K1534" s="4">
        <v>344.23743100000002</v>
      </c>
      <c r="L1534">
        <v>196499</v>
      </c>
    </row>
    <row r="1535" spans="1:12" x14ac:dyDescent="0.35">
      <c r="A1535" t="s">
        <v>8</v>
      </c>
      <c r="B1535" t="s">
        <v>9</v>
      </c>
      <c r="C1535" t="s">
        <v>31</v>
      </c>
      <c r="D1535" t="str" cm="1">
        <f t="array" ref="D1535">INDEX(_xlfn.TEXTSPLIT(C1535,"_"),3)</f>
        <v>scalp</v>
      </c>
      <c r="E1535" t="str">
        <f>VLOOKUP(D1535,FranchiseMapping!$A$1:$B$15,2,FALSE)</f>
        <v>Scalp Sync</v>
      </c>
      <c r="F1535" s="1">
        <v>45292</v>
      </c>
      <c r="G1535" t="s">
        <v>12</v>
      </c>
      <c r="H1535" s="2">
        <v>45352</v>
      </c>
      <c r="I1535" s="3">
        <v>45378</v>
      </c>
      <c r="J1535" s="3">
        <f t="shared" si="23"/>
        <v>45381</v>
      </c>
      <c r="K1535" s="4">
        <v>1217.200004</v>
      </c>
      <c r="L1535">
        <v>150502</v>
      </c>
    </row>
    <row r="1536" spans="1:12" x14ac:dyDescent="0.35">
      <c r="A1536" t="s">
        <v>8</v>
      </c>
      <c r="B1536" t="s">
        <v>14</v>
      </c>
      <c r="C1536" t="s">
        <v>37</v>
      </c>
      <c r="D1536" t="str" cm="1">
        <f t="array" ref="D1536">INDEX(_xlfn.TEXTSPLIT(C1536,"_"),3)</f>
        <v>mult</v>
      </c>
      <c r="E1536" t="str">
        <f>VLOOKUP(D1536,FranchiseMapping!$A$1:$B$15,2,FALSE)</f>
        <v>Biolage</v>
      </c>
      <c r="F1536" s="1">
        <v>45658</v>
      </c>
      <c r="G1536" t="s">
        <v>12</v>
      </c>
      <c r="H1536" s="2">
        <v>45748</v>
      </c>
      <c r="I1536" s="3">
        <v>45758</v>
      </c>
      <c r="J1536" s="3">
        <f t="shared" si="23"/>
        <v>45759</v>
      </c>
      <c r="K1536" s="4">
        <v>1.32</v>
      </c>
      <c r="L1536">
        <v>486</v>
      </c>
    </row>
    <row r="1537" spans="1:12" x14ac:dyDescent="0.35">
      <c r="A1537" t="s">
        <v>8</v>
      </c>
      <c r="B1537" t="s">
        <v>14</v>
      </c>
      <c r="C1537" t="s">
        <v>37</v>
      </c>
      <c r="D1537" t="str" cm="1">
        <f t="array" ref="D1537">INDEX(_xlfn.TEXTSPLIT(C1537,"_"),3)</f>
        <v>mult</v>
      </c>
      <c r="E1537" t="str">
        <f>VLOOKUP(D1537,FranchiseMapping!$A$1:$B$15,2,FALSE)</f>
        <v>Biolage</v>
      </c>
      <c r="F1537" s="1">
        <v>45658</v>
      </c>
      <c r="G1537" t="s">
        <v>10</v>
      </c>
      <c r="H1537" s="2">
        <v>45778</v>
      </c>
      <c r="I1537" s="3">
        <v>45807</v>
      </c>
      <c r="J1537" s="3">
        <f t="shared" si="23"/>
        <v>45808</v>
      </c>
      <c r="K1537" s="4">
        <v>575.77</v>
      </c>
      <c r="L1537">
        <v>116950</v>
      </c>
    </row>
    <row r="1538" spans="1:12" x14ac:dyDescent="0.35">
      <c r="A1538" t="s">
        <v>8</v>
      </c>
      <c r="B1538" t="s">
        <v>14</v>
      </c>
      <c r="C1538" t="s">
        <v>29</v>
      </c>
      <c r="D1538" t="str" cm="1">
        <f t="array" ref="D1538">INDEX(_xlfn.TEXTSPLIT(C1538,"_"),3)</f>
        <v>bfr</v>
      </c>
      <c r="E1538" t="str">
        <f>VLOOKUP(D1538,FranchiseMapping!$A$1:$B$15,2,FALSE)</f>
        <v>Full Rescue</v>
      </c>
      <c r="F1538" s="1">
        <v>45658</v>
      </c>
      <c r="G1538" t="s">
        <v>10</v>
      </c>
      <c r="H1538" s="2">
        <v>45809</v>
      </c>
      <c r="I1538" s="3">
        <v>45827</v>
      </c>
      <c r="J1538" s="3">
        <f t="shared" si="23"/>
        <v>45829</v>
      </c>
      <c r="K1538" s="4">
        <v>1655.3899999999999</v>
      </c>
      <c r="L1538">
        <v>278581</v>
      </c>
    </row>
    <row r="1539" spans="1:12" x14ac:dyDescent="0.35">
      <c r="A1539" t="s">
        <v>8</v>
      </c>
      <c r="B1539" t="s">
        <v>9</v>
      </c>
      <c r="C1539" t="s">
        <v>54</v>
      </c>
      <c r="D1539" t="str" cm="1">
        <f t="array" ref="D1539">INDEX(_xlfn.TEXTSPLIT(C1539,"_"),3)</f>
        <v>scalp</v>
      </c>
      <c r="E1539" t="str">
        <f>VLOOKUP(D1539,FranchiseMapping!$A$1:$B$15,2,FALSE)</f>
        <v>Scalp Sync</v>
      </c>
      <c r="F1539" s="1">
        <v>45292</v>
      </c>
      <c r="G1539" t="s">
        <v>10</v>
      </c>
      <c r="H1539" s="2">
        <v>45383</v>
      </c>
      <c r="I1539" s="3">
        <v>45399</v>
      </c>
      <c r="J1539" s="3">
        <f t="shared" ref="J1539:J1602" si="24">I1539 + (7 - WEEKDAY(I1539, 1))</f>
        <v>45402</v>
      </c>
      <c r="K1539" s="4">
        <v>2170.6900099999998</v>
      </c>
      <c r="L1539">
        <v>463549</v>
      </c>
    </row>
    <row r="1540" spans="1:12" x14ac:dyDescent="0.35">
      <c r="A1540" t="s">
        <v>8</v>
      </c>
      <c r="B1540" t="s">
        <v>9</v>
      </c>
      <c r="C1540" t="s">
        <v>40</v>
      </c>
      <c r="D1540" t="str" cm="1">
        <f t="array" ref="D1540">INDEX(_xlfn.TEXTSPLIT(C1540,"_"),3)</f>
        <v>hydrasource</v>
      </c>
      <c r="E1540" t="str">
        <f>VLOOKUP(D1540,FranchiseMapping!$A$1:$B$15,2,FALSE)</f>
        <v>Hydrasource</v>
      </c>
      <c r="F1540" s="1">
        <v>45292</v>
      </c>
      <c r="G1540" t="s">
        <v>12</v>
      </c>
      <c r="H1540" s="2">
        <v>45352</v>
      </c>
      <c r="I1540" s="3">
        <v>45355</v>
      </c>
      <c r="J1540" s="3">
        <f t="shared" si="24"/>
        <v>45360</v>
      </c>
      <c r="K1540" s="4">
        <v>3402.3799960000001</v>
      </c>
      <c r="L1540">
        <v>547570</v>
      </c>
    </row>
    <row r="1541" spans="1:12" x14ac:dyDescent="0.35">
      <c r="A1541" t="s">
        <v>8</v>
      </c>
      <c r="B1541" t="s">
        <v>13</v>
      </c>
      <c r="C1541" t="s">
        <v>62</v>
      </c>
      <c r="D1541" t="str" cm="1">
        <f t="array" ref="D1541">INDEX(_xlfn.TEXTSPLIT(C1541,"_"),3)</f>
        <v>na</v>
      </c>
      <c r="E1541" t="str">
        <f>VLOOKUP(D1541,FranchiseMapping!$A$1:$B$15,2,FALSE)</f>
        <v>Biolage</v>
      </c>
      <c r="F1541" s="1">
        <v>44927</v>
      </c>
      <c r="G1541" t="s">
        <v>10</v>
      </c>
      <c r="H1541" s="2">
        <v>45108</v>
      </c>
      <c r="I1541" s="3">
        <v>45110</v>
      </c>
      <c r="J1541" s="3">
        <f t="shared" si="24"/>
        <v>45115</v>
      </c>
      <c r="K1541" s="4">
        <v>114.679074</v>
      </c>
      <c r="L1541">
        <v>76600</v>
      </c>
    </row>
    <row r="1542" spans="1:12" x14ac:dyDescent="0.35">
      <c r="A1542" t="s">
        <v>8</v>
      </c>
      <c r="B1542" t="s">
        <v>14</v>
      </c>
      <c r="C1542" t="s">
        <v>37</v>
      </c>
      <c r="D1542" t="str" cm="1">
        <f t="array" ref="D1542">INDEX(_xlfn.TEXTSPLIT(C1542,"_"),3)</f>
        <v>mult</v>
      </c>
      <c r="E1542" t="str">
        <f>VLOOKUP(D1542,FranchiseMapping!$A$1:$B$15,2,FALSE)</f>
        <v>Biolage</v>
      </c>
      <c r="F1542" s="1">
        <v>45658</v>
      </c>
      <c r="G1542" t="s">
        <v>12</v>
      </c>
      <c r="H1542" s="2">
        <v>45748</v>
      </c>
      <c r="I1542" s="3">
        <v>45771</v>
      </c>
      <c r="J1542" s="3">
        <f t="shared" si="24"/>
        <v>45773</v>
      </c>
      <c r="K1542" s="4">
        <v>4.1399999999999997</v>
      </c>
      <c r="L1542">
        <v>1370</v>
      </c>
    </row>
    <row r="1543" spans="1:12" x14ac:dyDescent="0.35">
      <c r="A1543" t="s">
        <v>8</v>
      </c>
      <c r="B1543" t="s">
        <v>9</v>
      </c>
      <c r="C1543" t="s">
        <v>50</v>
      </c>
      <c r="D1543" t="str" cm="1">
        <f t="array" ref="D1543">INDEX(_xlfn.TEXTSPLIT(C1543,"_"),3)</f>
        <v>bond-therapy</v>
      </c>
      <c r="E1543" t="str">
        <f>VLOOKUP(D1543,FranchiseMapping!$A$1:$B$15,2,FALSE)</f>
        <v>Bond Therapy</v>
      </c>
      <c r="F1543" s="1">
        <v>44927</v>
      </c>
      <c r="G1543" t="s">
        <v>12</v>
      </c>
      <c r="H1543" s="2">
        <v>45261</v>
      </c>
      <c r="I1543" s="3">
        <v>45275</v>
      </c>
      <c r="J1543" s="3">
        <f t="shared" si="24"/>
        <v>45276</v>
      </c>
      <c r="K1543" s="4">
        <v>2857.0000049999999</v>
      </c>
      <c r="L1543">
        <v>208763</v>
      </c>
    </row>
    <row r="1544" spans="1:12" x14ac:dyDescent="0.35">
      <c r="A1544" t="s">
        <v>8</v>
      </c>
      <c r="B1544" t="s">
        <v>9</v>
      </c>
      <c r="C1544" t="s">
        <v>35</v>
      </c>
      <c r="D1544" t="str" cm="1">
        <f t="array" ref="D1544">INDEX(_xlfn.TEXTSPLIT(C1544,"_"),3)</f>
        <v>bfr</v>
      </c>
      <c r="E1544" t="str">
        <f>VLOOKUP(D1544,FranchiseMapping!$A$1:$B$15,2,FALSE)</f>
        <v>Full Rescue</v>
      </c>
      <c r="F1544" s="1">
        <v>45658</v>
      </c>
      <c r="G1544" t="s">
        <v>12</v>
      </c>
      <c r="H1544" s="2">
        <v>45809</v>
      </c>
      <c r="I1544" s="3">
        <v>45814</v>
      </c>
      <c r="J1544" s="3">
        <f t="shared" si="24"/>
        <v>45815</v>
      </c>
      <c r="K1544" s="4">
        <v>1698.3299980000002</v>
      </c>
      <c r="L1544">
        <v>126341</v>
      </c>
    </row>
    <row r="1545" spans="1:12" x14ac:dyDescent="0.35">
      <c r="A1545" t="s">
        <v>8</v>
      </c>
      <c r="B1545" t="s">
        <v>9</v>
      </c>
      <c r="C1545" t="s">
        <v>40</v>
      </c>
      <c r="D1545" t="str" cm="1">
        <f t="array" ref="D1545">INDEX(_xlfn.TEXTSPLIT(C1545,"_"),3)</f>
        <v>hydrasource</v>
      </c>
      <c r="E1545" t="str">
        <f>VLOOKUP(D1545,FranchiseMapping!$A$1:$B$15,2,FALSE)</f>
        <v>Hydrasource</v>
      </c>
      <c r="F1545" s="1">
        <v>45292</v>
      </c>
      <c r="G1545" t="s">
        <v>12</v>
      </c>
      <c r="H1545" s="2">
        <v>45323</v>
      </c>
      <c r="I1545" s="3">
        <v>45340</v>
      </c>
      <c r="J1545" s="3">
        <f t="shared" si="24"/>
        <v>45346</v>
      </c>
      <c r="K1545" s="4">
        <v>3214.8500020000006</v>
      </c>
      <c r="L1545">
        <v>529529</v>
      </c>
    </row>
    <row r="1546" spans="1:12" x14ac:dyDescent="0.35">
      <c r="A1546" t="s">
        <v>8</v>
      </c>
      <c r="B1546" t="s">
        <v>13</v>
      </c>
      <c r="C1546" t="s">
        <v>62</v>
      </c>
      <c r="D1546" t="str" cm="1">
        <f t="array" ref="D1546">INDEX(_xlfn.TEXTSPLIT(C1546,"_"),3)</f>
        <v>na</v>
      </c>
      <c r="E1546" t="str">
        <f>VLOOKUP(D1546,FranchiseMapping!$A$1:$B$15,2,FALSE)</f>
        <v>Biolage</v>
      </c>
      <c r="F1546" s="1">
        <v>44927</v>
      </c>
      <c r="G1546" t="s">
        <v>10</v>
      </c>
      <c r="H1546" s="2">
        <v>45108</v>
      </c>
      <c r="I1546" s="3">
        <v>45121</v>
      </c>
      <c r="J1546" s="3">
        <f t="shared" si="24"/>
        <v>45122</v>
      </c>
      <c r="K1546" s="4">
        <v>288.05044400000003</v>
      </c>
      <c r="L1546">
        <v>24597</v>
      </c>
    </row>
    <row r="1547" spans="1:12" x14ac:dyDescent="0.35">
      <c r="A1547" t="s">
        <v>8</v>
      </c>
      <c r="B1547" t="s">
        <v>9</v>
      </c>
      <c r="C1547" t="s">
        <v>34</v>
      </c>
      <c r="D1547" t="str" cm="1">
        <f t="array" ref="D1547">INDEX(_xlfn.TEXTSPLIT(C1547,"_"),3)</f>
        <v>hydrasource</v>
      </c>
      <c r="E1547" t="str">
        <f>VLOOKUP(D1547,FranchiseMapping!$A$1:$B$15,2,FALSE)</f>
        <v>Hydrasource</v>
      </c>
      <c r="F1547" s="1">
        <v>45292</v>
      </c>
      <c r="G1547" t="s">
        <v>12</v>
      </c>
      <c r="H1547" s="2">
        <v>45323</v>
      </c>
      <c r="I1547" s="3">
        <v>45327</v>
      </c>
      <c r="J1547" s="3">
        <f t="shared" si="24"/>
        <v>45332</v>
      </c>
      <c r="K1547" s="4">
        <v>632.38000299999999</v>
      </c>
      <c r="L1547">
        <v>155828</v>
      </c>
    </row>
    <row r="1548" spans="1:12" x14ac:dyDescent="0.35">
      <c r="A1548" t="s">
        <v>8</v>
      </c>
      <c r="B1548" t="s">
        <v>9</v>
      </c>
      <c r="C1548" t="s">
        <v>30</v>
      </c>
      <c r="D1548" t="str" cm="1">
        <f t="array" ref="D1548">INDEX(_xlfn.TEXTSPLIT(C1548,"_"),3)</f>
        <v>q3-haca-colorlast</v>
      </c>
      <c r="E1548" t="str">
        <f>VLOOKUP(D1548,FranchiseMapping!$A$1:$B$15,2,FALSE)</f>
        <v>Color Last</v>
      </c>
      <c r="F1548" s="1">
        <v>44927</v>
      </c>
      <c r="G1548" t="s">
        <v>10</v>
      </c>
      <c r="H1548" s="2">
        <v>45108</v>
      </c>
      <c r="I1548" s="3">
        <v>45118</v>
      </c>
      <c r="J1548" s="3">
        <f t="shared" si="24"/>
        <v>45122</v>
      </c>
      <c r="K1548" s="4">
        <v>2475.8099990000001</v>
      </c>
      <c r="L1548">
        <v>232283</v>
      </c>
    </row>
    <row r="1549" spans="1:12" x14ac:dyDescent="0.35">
      <c r="A1549" t="s">
        <v>8</v>
      </c>
      <c r="B1549" t="s">
        <v>14</v>
      </c>
      <c r="C1549" t="s">
        <v>37</v>
      </c>
      <c r="D1549" t="str" cm="1">
        <f t="array" ref="D1549">INDEX(_xlfn.TEXTSPLIT(C1549,"_"),3)</f>
        <v>mult</v>
      </c>
      <c r="E1549" t="str">
        <f>VLOOKUP(D1549,FranchiseMapping!$A$1:$B$15,2,FALSE)</f>
        <v>Biolage</v>
      </c>
      <c r="F1549" s="1">
        <v>45658</v>
      </c>
      <c r="G1549" t="s">
        <v>12</v>
      </c>
      <c r="H1549" s="2">
        <v>45778</v>
      </c>
      <c r="I1549" s="3">
        <v>45793</v>
      </c>
      <c r="J1549" s="3">
        <f t="shared" si="24"/>
        <v>45794</v>
      </c>
      <c r="K1549" s="4">
        <v>2180.4599999999996</v>
      </c>
      <c r="L1549">
        <v>531066</v>
      </c>
    </row>
    <row r="1550" spans="1:12" x14ac:dyDescent="0.35">
      <c r="A1550" t="s">
        <v>8</v>
      </c>
      <c r="B1550" t="s">
        <v>9</v>
      </c>
      <c r="C1550" t="s">
        <v>45</v>
      </c>
      <c r="D1550" t="str" cm="1">
        <f t="array" ref="D1550">INDEX(_xlfn.TEXTSPLIT(C1550,"_"),3)</f>
        <v>hydrasource</v>
      </c>
      <c r="E1550" t="str">
        <f>VLOOKUP(D1550,FranchiseMapping!$A$1:$B$15,2,FALSE)</f>
        <v>Hydrasource</v>
      </c>
      <c r="F1550" s="1">
        <v>45292</v>
      </c>
      <c r="G1550" t="s">
        <v>12</v>
      </c>
      <c r="H1550" s="2">
        <v>45566</v>
      </c>
      <c r="I1550" s="3">
        <v>45569</v>
      </c>
      <c r="J1550" s="3">
        <f t="shared" si="24"/>
        <v>45570</v>
      </c>
      <c r="K1550" s="4">
        <v>2628.9400020000003</v>
      </c>
      <c r="L1550">
        <v>285164</v>
      </c>
    </row>
    <row r="1551" spans="1:12" x14ac:dyDescent="0.35">
      <c r="A1551" t="s">
        <v>8</v>
      </c>
      <c r="B1551" t="s">
        <v>9</v>
      </c>
      <c r="C1551" t="s">
        <v>73</v>
      </c>
      <c r="D1551" t="str" cm="1">
        <f t="array" ref="D1551">INDEX(_xlfn.TEXTSPLIT(C1551,"_"),3)</f>
        <v>prime-day</v>
      </c>
      <c r="E1551" t="str">
        <f>VLOOKUP(D1551,FranchiseMapping!$A$1:$B$15,2,FALSE)</f>
        <v>Prime Day</v>
      </c>
      <c r="F1551" s="1">
        <v>45292</v>
      </c>
      <c r="G1551" t="s">
        <v>11</v>
      </c>
      <c r="H1551" s="2">
        <v>45474</v>
      </c>
      <c r="I1551" s="3">
        <v>45487</v>
      </c>
      <c r="J1551" s="3">
        <f t="shared" si="24"/>
        <v>45493</v>
      </c>
      <c r="K1551" s="4">
        <v>10553.430001000001</v>
      </c>
      <c r="L1551">
        <v>1102619</v>
      </c>
    </row>
    <row r="1552" spans="1:12" x14ac:dyDescent="0.35">
      <c r="A1552" t="s">
        <v>8</v>
      </c>
      <c r="B1552" t="s">
        <v>9</v>
      </c>
      <c r="C1552" t="s">
        <v>38</v>
      </c>
      <c r="D1552" t="str" cm="1">
        <f t="array" ref="D1552">INDEX(_xlfn.TEXTSPLIT(C1552,"_"),3)</f>
        <v>hys</v>
      </c>
      <c r="E1552" t="str">
        <f>VLOOKUP(D1552,FranchiseMapping!$A$1:$B$15,2,FALSE)</f>
        <v>Hydrasource</v>
      </c>
      <c r="F1552" s="1">
        <v>45658</v>
      </c>
      <c r="G1552" t="s">
        <v>10</v>
      </c>
      <c r="H1552" s="2">
        <v>45748</v>
      </c>
      <c r="I1552" s="3">
        <v>45756</v>
      </c>
      <c r="J1552" s="3">
        <f t="shared" si="24"/>
        <v>45759</v>
      </c>
      <c r="K1552" s="4">
        <v>781.59000400000002</v>
      </c>
      <c r="L1552">
        <v>46343</v>
      </c>
    </row>
    <row r="1553" spans="1:12" x14ac:dyDescent="0.35">
      <c r="A1553" t="s">
        <v>8</v>
      </c>
      <c r="B1553" t="s">
        <v>9</v>
      </c>
      <c r="C1553" t="s">
        <v>35</v>
      </c>
      <c r="D1553" t="str" cm="1">
        <f t="array" ref="D1553">INDEX(_xlfn.TEXTSPLIT(C1553,"_"),3)</f>
        <v>bfr</v>
      </c>
      <c r="E1553" t="str">
        <f>VLOOKUP(D1553,FranchiseMapping!$A$1:$B$15,2,FALSE)</f>
        <v>Full Rescue</v>
      </c>
      <c r="F1553" s="1">
        <v>45658</v>
      </c>
      <c r="G1553" t="s">
        <v>12</v>
      </c>
      <c r="H1553" s="2">
        <v>45778</v>
      </c>
      <c r="I1553" s="3">
        <v>45799</v>
      </c>
      <c r="J1553" s="3">
        <f t="shared" si="24"/>
        <v>45801</v>
      </c>
      <c r="K1553" s="4">
        <v>1652.5699990000001</v>
      </c>
      <c r="L1553">
        <v>122878</v>
      </c>
    </row>
    <row r="1554" spans="1:12" x14ac:dyDescent="0.35">
      <c r="A1554" t="s">
        <v>8</v>
      </c>
      <c r="B1554" t="s">
        <v>9</v>
      </c>
      <c r="C1554" t="s">
        <v>36</v>
      </c>
      <c r="D1554" t="str" cm="1">
        <f t="array" ref="D1554">INDEX(_xlfn.TEXTSPLIT(C1554,"_"),3)</f>
        <v>bfr</v>
      </c>
      <c r="E1554" t="str">
        <f>VLOOKUP(D1554,FranchiseMapping!$A$1:$B$15,2,FALSE)</f>
        <v>Full Rescue</v>
      </c>
      <c r="F1554" s="1">
        <v>45658</v>
      </c>
      <c r="G1554" t="s">
        <v>10</v>
      </c>
      <c r="H1554" s="2">
        <v>45809</v>
      </c>
      <c r="I1554" s="3">
        <v>45813</v>
      </c>
      <c r="J1554" s="3">
        <f t="shared" si="24"/>
        <v>45815</v>
      </c>
      <c r="K1554" s="4">
        <v>2037.1500039999996</v>
      </c>
      <c r="L1554">
        <v>301339</v>
      </c>
    </row>
    <row r="1555" spans="1:12" x14ac:dyDescent="0.35">
      <c r="A1555" t="s">
        <v>8</v>
      </c>
      <c r="B1555" t="s">
        <v>9</v>
      </c>
      <c r="C1555" t="s">
        <v>36</v>
      </c>
      <c r="D1555" t="str" cm="1">
        <f t="array" ref="D1555">INDEX(_xlfn.TEXTSPLIT(C1555,"_"),3)</f>
        <v>bfr</v>
      </c>
      <c r="E1555" t="str">
        <f>VLOOKUP(D1555,FranchiseMapping!$A$1:$B$15,2,FALSE)</f>
        <v>Full Rescue</v>
      </c>
      <c r="F1555" s="1">
        <v>45658</v>
      </c>
      <c r="G1555" t="s">
        <v>12</v>
      </c>
      <c r="H1555" s="2">
        <v>45778</v>
      </c>
      <c r="I1555" s="3">
        <v>45808</v>
      </c>
      <c r="J1555" s="3">
        <f t="shared" si="24"/>
        <v>45808</v>
      </c>
      <c r="K1555" s="4">
        <v>2630.1100040000001</v>
      </c>
      <c r="L1555">
        <v>406730</v>
      </c>
    </row>
    <row r="1556" spans="1:12" x14ac:dyDescent="0.35">
      <c r="A1556" t="s">
        <v>8</v>
      </c>
      <c r="B1556" t="s">
        <v>14</v>
      </c>
      <c r="C1556" t="s">
        <v>37</v>
      </c>
      <c r="D1556" t="str" cm="1">
        <f t="array" ref="D1556">INDEX(_xlfn.TEXTSPLIT(C1556,"_"),3)</f>
        <v>mult</v>
      </c>
      <c r="E1556" t="str">
        <f>VLOOKUP(D1556,FranchiseMapping!$A$1:$B$15,2,FALSE)</f>
        <v>Biolage</v>
      </c>
      <c r="F1556" s="1">
        <v>45658</v>
      </c>
      <c r="G1556" t="s">
        <v>10</v>
      </c>
      <c r="H1556" s="2">
        <v>45778</v>
      </c>
      <c r="I1556" s="3">
        <v>45808</v>
      </c>
      <c r="J1556" s="3">
        <f t="shared" si="24"/>
        <v>45808</v>
      </c>
      <c r="K1556" s="4">
        <v>919.42</v>
      </c>
      <c r="L1556">
        <v>228325</v>
      </c>
    </row>
    <row r="1557" spans="1:12" x14ac:dyDescent="0.35">
      <c r="A1557" t="s">
        <v>8</v>
      </c>
      <c r="B1557" t="s">
        <v>9</v>
      </c>
      <c r="C1557" t="s">
        <v>52</v>
      </c>
      <c r="D1557" t="str" cm="1">
        <f t="array" ref="D1557">INDEX(_xlfn.TEXTSPLIT(C1557,"_"),3)</f>
        <v>bond-therapy</v>
      </c>
      <c r="E1557" t="str">
        <f>VLOOKUP(D1557,FranchiseMapping!$A$1:$B$15,2,FALSE)</f>
        <v>Bond Therapy</v>
      </c>
      <c r="F1557" s="1">
        <v>44927</v>
      </c>
      <c r="G1557" t="s">
        <v>11</v>
      </c>
      <c r="H1557" s="2">
        <v>45231</v>
      </c>
      <c r="I1557" s="3">
        <v>45250</v>
      </c>
      <c r="J1557" s="3">
        <f t="shared" si="24"/>
        <v>45255</v>
      </c>
      <c r="K1557" s="4">
        <v>2943.0399960000009</v>
      </c>
      <c r="L1557">
        <v>488928</v>
      </c>
    </row>
    <row r="1558" spans="1:12" x14ac:dyDescent="0.35">
      <c r="A1558" t="s">
        <v>8</v>
      </c>
      <c r="B1558" t="s">
        <v>9</v>
      </c>
      <c r="C1558" t="s">
        <v>48</v>
      </c>
      <c r="D1558" t="str" cm="1">
        <f t="array" ref="D1558">INDEX(_xlfn.TEXTSPLIT(C1558,"_"),3)</f>
        <v>scalp</v>
      </c>
      <c r="E1558" t="str">
        <f>VLOOKUP(D1558,FranchiseMapping!$A$1:$B$15,2,FALSE)</f>
        <v>Scalp Sync</v>
      </c>
      <c r="F1558" s="1">
        <v>45292</v>
      </c>
      <c r="G1558" t="s">
        <v>10</v>
      </c>
      <c r="H1558" s="2">
        <v>45352</v>
      </c>
      <c r="I1558" s="3">
        <v>45380</v>
      </c>
      <c r="J1558" s="3">
        <f t="shared" si="24"/>
        <v>45381</v>
      </c>
      <c r="K1558" s="4">
        <v>148.39000000000001</v>
      </c>
      <c r="L1558">
        <v>37095</v>
      </c>
    </row>
    <row r="1559" spans="1:12" x14ac:dyDescent="0.35">
      <c r="A1559" t="s">
        <v>8</v>
      </c>
      <c r="B1559" t="s">
        <v>9</v>
      </c>
      <c r="C1559" t="s">
        <v>40</v>
      </c>
      <c r="D1559" t="str" cm="1">
        <f t="array" ref="D1559">INDEX(_xlfn.TEXTSPLIT(C1559,"_"),3)</f>
        <v>hydrasource</v>
      </c>
      <c r="E1559" t="str">
        <f>VLOOKUP(D1559,FranchiseMapping!$A$1:$B$15,2,FALSE)</f>
        <v>Hydrasource</v>
      </c>
      <c r="F1559" s="1">
        <v>45292</v>
      </c>
      <c r="G1559" t="s">
        <v>12</v>
      </c>
      <c r="H1559" s="2">
        <v>45323</v>
      </c>
      <c r="I1559" s="3">
        <v>45336</v>
      </c>
      <c r="J1559" s="3">
        <f t="shared" si="24"/>
        <v>45339</v>
      </c>
      <c r="K1559" s="4">
        <v>3344.8200029999998</v>
      </c>
      <c r="L1559">
        <v>563216</v>
      </c>
    </row>
    <row r="1560" spans="1:12" x14ac:dyDescent="0.35">
      <c r="A1560" t="s">
        <v>8</v>
      </c>
      <c r="B1560" t="s">
        <v>9</v>
      </c>
      <c r="C1560" t="s">
        <v>46</v>
      </c>
      <c r="D1560" t="str" cm="1">
        <f t="array" ref="D1560">INDEX(_xlfn.TEXTSPLIT(C1560,"_"),3)</f>
        <v>mult</v>
      </c>
      <c r="E1560" t="str">
        <f>VLOOKUP(D1560,FranchiseMapping!$A$1:$B$15,2,FALSE)</f>
        <v>Biolage</v>
      </c>
      <c r="F1560" s="1">
        <v>45658</v>
      </c>
      <c r="G1560" t="s">
        <v>10</v>
      </c>
      <c r="H1560" s="2">
        <v>45778</v>
      </c>
      <c r="I1560" s="3">
        <v>45789</v>
      </c>
      <c r="J1560" s="3">
        <f t="shared" si="24"/>
        <v>45794</v>
      </c>
      <c r="K1560" s="4">
        <v>1349.549998</v>
      </c>
      <c r="L1560">
        <v>242888</v>
      </c>
    </row>
    <row r="1561" spans="1:12" x14ac:dyDescent="0.35">
      <c r="A1561" t="s">
        <v>8</v>
      </c>
      <c r="B1561" t="s">
        <v>14</v>
      </c>
      <c r="C1561" t="s">
        <v>49</v>
      </c>
      <c r="D1561" t="str" cm="1">
        <f t="array" ref="D1561">INDEX(_xlfn.TEXTSPLIT(C1561,"_"),3)</f>
        <v>hys</v>
      </c>
      <c r="E1561" t="str">
        <f>VLOOKUP(D1561,FranchiseMapping!$A$1:$B$15,2,FALSE)</f>
        <v>Hydrasource</v>
      </c>
      <c r="F1561" s="1">
        <v>45658</v>
      </c>
      <c r="G1561" t="s">
        <v>10</v>
      </c>
      <c r="H1561" s="2">
        <v>45748</v>
      </c>
      <c r="I1561" s="3">
        <v>45753</v>
      </c>
      <c r="J1561" s="3">
        <f t="shared" si="24"/>
        <v>45759</v>
      </c>
      <c r="K1561" s="4">
        <v>194.5</v>
      </c>
      <c r="L1561">
        <v>63055</v>
      </c>
    </row>
    <row r="1562" spans="1:12" x14ac:dyDescent="0.35">
      <c r="A1562" t="s">
        <v>8</v>
      </c>
      <c r="B1562" t="s">
        <v>9</v>
      </c>
      <c r="C1562" t="s">
        <v>60</v>
      </c>
      <c r="D1562" t="str" cm="1">
        <f t="array" ref="D1562">INDEX(_xlfn.TEXTSPLIT(C1562,"_"),3)</f>
        <v>blowdrycream</v>
      </c>
      <c r="E1562" t="str">
        <f>VLOOKUP(D1562,FranchiseMapping!$A$1:$B$15,2,FALSE)</f>
        <v>Blowdry Cream</v>
      </c>
      <c r="F1562" s="1">
        <v>44927</v>
      </c>
      <c r="G1562" t="s">
        <v>11</v>
      </c>
      <c r="H1562" s="2">
        <v>45170</v>
      </c>
      <c r="I1562" s="3">
        <v>45187</v>
      </c>
      <c r="J1562" s="3">
        <f t="shared" si="24"/>
        <v>45192</v>
      </c>
      <c r="K1562" s="4">
        <v>2029.9600040000003</v>
      </c>
      <c r="L1562">
        <v>134337</v>
      </c>
    </row>
    <row r="1563" spans="1:12" x14ac:dyDescent="0.35">
      <c r="A1563" t="s">
        <v>8</v>
      </c>
      <c r="B1563" t="s">
        <v>14</v>
      </c>
      <c r="C1563" t="s">
        <v>37</v>
      </c>
      <c r="D1563" t="str" cm="1">
        <f t="array" ref="D1563">INDEX(_xlfn.TEXTSPLIT(C1563,"_"),3)</f>
        <v>mult</v>
      </c>
      <c r="E1563" t="str">
        <f>VLOOKUP(D1563,FranchiseMapping!$A$1:$B$15,2,FALSE)</f>
        <v>Biolage</v>
      </c>
      <c r="F1563" s="1">
        <v>45658</v>
      </c>
      <c r="G1563" t="s">
        <v>12</v>
      </c>
      <c r="H1563" s="2">
        <v>45748</v>
      </c>
      <c r="I1563" s="3">
        <v>45762</v>
      </c>
      <c r="J1563" s="3">
        <f t="shared" si="24"/>
        <v>45766</v>
      </c>
      <c r="K1563" s="4">
        <v>0.48</v>
      </c>
      <c r="L1563">
        <v>132</v>
      </c>
    </row>
    <row r="1564" spans="1:12" x14ac:dyDescent="0.35">
      <c r="A1564" t="s">
        <v>8</v>
      </c>
      <c r="B1564" t="s">
        <v>9</v>
      </c>
      <c r="C1564" t="s">
        <v>31</v>
      </c>
      <c r="D1564" t="str" cm="1">
        <f t="array" ref="D1564">INDEX(_xlfn.TEXTSPLIT(C1564,"_"),3)</f>
        <v>scalp</v>
      </c>
      <c r="E1564" t="str">
        <f>VLOOKUP(D1564,FranchiseMapping!$A$1:$B$15,2,FALSE)</f>
        <v>Scalp Sync</v>
      </c>
      <c r="F1564" s="1">
        <v>45292</v>
      </c>
      <c r="G1564" t="s">
        <v>12</v>
      </c>
      <c r="H1564" s="2">
        <v>45383</v>
      </c>
      <c r="I1564" s="3">
        <v>45396</v>
      </c>
      <c r="J1564" s="3">
        <f t="shared" si="24"/>
        <v>45402</v>
      </c>
      <c r="K1564" s="4">
        <v>1548.7200020000002</v>
      </c>
      <c r="L1564">
        <v>275296</v>
      </c>
    </row>
    <row r="1565" spans="1:12" x14ac:dyDescent="0.35">
      <c r="A1565" t="s">
        <v>8</v>
      </c>
      <c r="B1565" t="s">
        <v>9</v>
      </c>
      <c r="C1565" t="s">
        <v>36</v>
      </c>
      <c r="D1565" t="str" cm="1">
        <f t="array" ref="D1565">INDEX(_xlfn.TEXTSPLIT(C1565,"_"),3)</f>
        <v>bfr</v>
      </c>
      <c r="E1565" t="str">
        <f>VLOOKUP(D1565,FranchiseMapping!$A$1:$B$15,2,FALSE)</f>
        <v>Full Rescue</v>
      </c>
      <c r="F1565" s="1">
        <v>45658</v>
      </c>
      <c r="G1565" t="s">
        <v>12</v>
      </c>
      <c r="H1565" s="2">
        <v>45809</v>
      </c>
      <c r="I1565" s="3">
        <v>45824</v>
      </c>
      <c r="J1565" s="3">
        <f t="shared" si="24"/>
        <v>45829</v>
      </c>
      <c r="K1565" s="4">
        <v>1678.020002</v>
      </c>
      <c r="L1565">
        <v>264596</v>
      </c>
    </row>
    <row r="1566" spans="1:12" x14ac:dyDescent="0.35">
      <c r="A1566" t="s">
        <v>8</v>
      </c>
      <c r="B1566" t="s">
        <v>13</v>
      </c>
      <c r="C1566" t="s">
        <v>44</v>
      </c>
      <c r="D1566" t="str" cm="1">
        <f t="array" ref="D1566">INDEX(_xlfn.TEXTSPLIT(C1566,"_"),3)</f>
        <v>na</v>
      </c>
      <c r="E1566" t="str">
        <f>VLOOKUP(D1566,FranchiseMapping!$A$1:$B$15,2,FALSE)</f>
        <v>Biolage</v>
      </c>
      <c r="F1566" s="1">
        <v>44927</v>
      </c>
      <c r="G1566" t="s">
        <v>11</v>
      </c>
      <c r="H1566" s="2">
        <v>45108</v>
      </c>
      <c r="I1566" s="3">
        <v>45111</v>
      </c>
      <c r="J1566" s="3">
        <f t="shared" si="24"/>
        <v>45115</v>
      </c>
      <c r="K1566" s="4">
        <v>678.13426800000002</v>
      </c>
      <c r="L1566">
        <v>377683</v>
      </c>
    </row>
    <row r="1567" spans="1:12" x14ac:dyDescent="0.35">
      <c r="A1567" t="s">
        <v>8</v>
      </c>
      <c r="B1567" t="s">
        <v>13</v>
      </c>
      <c r="C1567" t="s">
        <v>39</v>
      </c>
      <c r="D1567" t="str" cm="1">
        <f t="array" ref="D1567">INDEX(_xlfn.TEXTSPLIT(C1567,"_"),3)</f>
        <v>scalp-sync</v>
      </c>
      <c r="E1567" t="str">
        <f>VLOOKUP(D1567,FranchiseMapping!$A$1:$B$15,2,FALSE)</f>
        <v>Scalp Sync</v>
      </c>
      <c r="F1567" s="1">
        <v>45292</v>
      </c>
      <c r="G1567" t="s">
        <v>12</v>
      </c>
      <c r="H1567" s="2">
        <v>45413</v>
      </c>
      <c r="I1567" s="3">
        <v>45424</v>
      </c>
      <c r="J1567" s="3">
        <f t="shared" si="24"/>
        <v>45430</v>
      </c>
      <c r="K1567" s="4">
        <v>1650.4744230000001</v>
      </c>
      <c r="L1567">
        <v>417330</v>
      </c>
    </row>
    <row r="1568" spans="1:12" x14ac:dyDescent="0.35">
      <c r="A1568" t="s">
        <v>8</v>
      </c>
      <c r="B1568" t="s">
        <v>9</v>
      </c>
      <c r="C1568" t="s">
        <v>31</v>
      </c>
      <c r="D1568" t="str" cm="1">
        <f t="array" ref="D1568">INDEX(_xlfn.TEXTSPLIT(C1568,"_"),3)</f>
        <v>scalp</v>
      </c>
      <c r="E1568" t="str">
        <f>VLOOKUP(D1568,FranchiseMapping!$A$1:$B$15,2,FALSE)</f>
        <v>Scalp Sync</v>
      </c>
      <c r="F1568" s="1">
        <v>45292</v>
      </c>
      <c r="G1568" t="s">
        <v>12</v>
      </c>
      <c r="H1568" s="2">
        <v>45383</v>
      </c>
      <c r="I1568" s="3">
        <v>45388</v>
      </c>
      <c r="J1568" s="3">
        <f t="shared" si="24"/>
        <v>45388</v>
      </c>
      <c r="K1568" s="4">
        <v>1386.7599930000001</v>
      </c>
      <c r="L1568">
        <v>235466</v>
      </c>
    </row>
    <row r="1569" spans="1:12" x14ac:dyDescent="0.35">
      <c r="A1569" t="s">
        <v>8</v>
      </c>
      <c r="B1569" t="s">
        <v>9</v>
      </c>
      <c r="C1569" t="s">
        <v>38</v>
      </c>
      <c r="D1569" t="str" cm="1">
        <f t="array" ref="D1569">INDEX(_xlfn.TEXTSPLIT(C1569,"_"),3)</f>
        <v>hys</v>
      </c>
      <c r="E1569" t="str">
        <f>VLOOKUP(D1569,FranchiseMapping!$A$1:$B$15,2,FALSE)</f>
        <v>Hydrasource</v>
      </c>
      <c r="F1569" s="1">
        <v>45658</v>
      </c>
      <c r="G1569" t="s">
        <v>12</v>
      </c>
      <c r="H1569" s="2">
        <v>45748</v>
      </c>
      <c r="I1569" s="3">
        <v>45767</v>
      </c>
      <c r="J1569" s="3">
        <f t="shared" si="24"/>
        <v>45773</v>
      </c>
      <c r="K1569" s="4">
        <v>2229.7799999999993</v>
      </c>
      <c r="L1569">
        <v>327691</v>
      </c>
    </row>
    <row r="1570" spans="1:12" x14ac:dyDescent="0.35">
      <c r="A1570" t="s">
        <v>8</v>
      </c>
      <c r="B1570" t="s">
        <v>9</v>
      </c>
      <c r="C1570" t="s">
        <v>30</v>
      </c>
      <c r="D1570" t="str" cm="1">
        <f t="array" ref="D1570">INDEX(_xlfn.TEXTSPLIT(C1570,"_"),3)</f>
        <v>q3-haca-colorlast</v>
      </c>
      <c r="E1570" t="str">
        <f>VLOOKUP(D1570,FranchiseMapping!$A$1:$B$15,2,FALSE)</f>
        <v>Color Last</v>
      </c>
      <c r="F1570" s="1">
        <v>44927</v>
      </c>
      <c r="G1570" t="s">
        <v>10</v>
      </c>
      <c r="H1570" s="2">
        <v>45108</v>
      </c>
      <c r="I1570" s="3">
        <v>45129</v>
      </c>
      <c r="J1570" s="3">
        <f t="shared" si="24"/>
        <v>45129</v>
      </c>
      <c r="K1570" s="4">
        <v>2576.8599999999997</v>
      </c>
      <c r="L1570">
        <v>351034</v>
      </c>
    </row>
    <row r="1571" spans="1:12" x14ac:dyDescent="0.35">
      <c r="A1571" t="s">
        <v>8</v>
      </c>
      <c r="B1571" t="s">
        <v>9</v>
      </c>
      <c r="C1571" t="s">
        <v>46</v>
      </c>
      <c r="D1571" t="str" cm="1">
        <f t="array" ref="D1571">INDEX(_xlfn.TEXTSPLIT(C1571,"_"),3)</f>
        <v>mult</v>
      </c>
      <c r="E1571" t="str">
        <f>VLOOKUP(D1571,FranchiseMapping!$A$1:$B$15,2,FALSE)</f>
        <v>Biolage</v>
      </c>
      <c r="F1571" s="1">
        <v>45658</v>
      </c>
      <c r="G1571" t="s">
        <v>12</v>
      </c>
      <c r="H1571" s="2">
        <v>45748</v>
      </c>
      <c r="I1571" s="3">
        <v>45770</v>
      </c>
      <c r="J1571" s="3">
        <f t="shared" si="24"/>
        <v>45773</v>
      </c>
      <c r="K1571" s="4">
        <v>1012.5600000000001</v>
      </c>
      <c r="L1571">
        <v>243387</v>
      </c>
    </row>
    <row r="1572" spans="1:12" x14ac:dyDescent="0.35">
      <c r="A1572" t="s">
        <v>8</v>
      </c>
      <c r="B1572" t="s">
        <v>9</v>
      </c>
      <c r="C1572" t="s">
        <v>35</v>
      </c>
      <c r="D1572" t="str" cm="1">
        <f t="array" ref="D1572">INDEX(_xlfn.TEXTSPLIT(C1572,"_"),3)</f>
        <v>bfr</v>
      </c>
      <c r="E1572" t="str">
        <f>VLOOKUP(D1572,FranchiseMapping!$A$1:$B$15,2,FALSE)</f>
        <v>Full Rescue</v>
      </c>
      <c r="F1572" s="1">
        <v>45658</v>
      </c>
      <c r="G1572" t="s">
        <v>10</v>
      </c>
      <c r="H1572" s="2">
        <v>45778</v>
      </c>
      <c r="I1572" s="3">
        <v>45787</v>
      </c>
      <c r="J1572" s="3">
        <f t="shared" si="24"/>
        <v>45787</v>
      </c>
      <c r="K1572" s="4">
        <v>8.5699999999999985</v>
      </c>
      <c r="L1572">
        <v>954</v>
      </c>
    </row>
    <row r="1573" spans="1:12" x14ac:dyDescent="0.35">
      <c r="A1573" t="s">
        <v>8</v>
      </c>
      <c r="B1573" t="s">
        <v>14</v>
      </c>
      <c r="C1573" t="s">
        <v>47</v>
      </c>
      <c r="D1573" t="str" cm="1">
        <f t="array" ref="D1573">INDEX(_xlfn.TEXTSPLIT(C1573,"_"),3)</f>
        <v>hys</v>
      </c>
      <c r="E1573" t="str">
        <f>VLOOKUP(D1573,FranchiseMapping!$A$1:$B$15,2,FALSE)</f>
        <v>Hydrasource</v>
      </c>
      <c r="F1573" s="1">
        <v>45658</v>
      </c>
      <c r="G1573" t="s">
        <v>10</v>
      </c>
      <c r="H1573" s="2">
        <v>45748</v>
      </c>
      <c r="I1573" s="3">
        <v>45759</v>
      </c>
      <c r="J1573" s="3">
        <f t="shared" si="24"/>
        <v>45759</v>
      </c>
      <c r="K1573" s="4">
        <v>1049.6099999999999</v>
      </c>
      <c r="L1573">
        <v>261807</v>
      </c>
    </row>
    <row r="1574" spans="1:12" x14ac:dyDescent="0.35">
      <c r="A1574" t="s">
        <v>8</v>
      </c>
      <c r="B1574" t="s">
        <v>9</v>
      </c>
      <c r="C1574" t="s">
        <v>46</v>
      </c>
      <c r="D1574" t="str" cm="1">
        <f t="array" ref="D1574">INDEX(_xlfn.TEXTSPLIT(C1574,"_"),3)</f>
        <v>mult</v>
      </c>
      <c r="E1574" t="str">
        <f>VLOOKUP(D1574,FranchiseMapping!$A$1:$B$15,2,FALSE)</f>
        <v>Biolage</v>
      </c>
      <c r="F1574" s="1">
        <v>45658</v>
      </c>
      <c r="G1574" t="s">
        <v>10</v>
      </c>
      <c r="H1574" s="2">
        <v>45809</v>
      </c>
      <c r="I1574" s="3">
        <v>45823</v>
      </c>
      <c r="J1574" s="3">
        <f t="shared" si="24"/>
        <v>45829</v>
      </c>
      <c r="K1574" s="4">
        <v>1836.5299999999997</v>
      </c>
      <c r="L1574">
        <v>227150</v>
      </c>
    </row>
    <row r="1575" spans="1:12" x14ac:dyDescent="0.35">
      <c r="A1575" t="s">
        <v>8</v>
      </c>
      <c r="B1575" t="s">
        <v>9</v>
      </c>
      <c r="C1575" t="s">
        <v>34</v>
      </c>
      <c r="D1575" t="str" cm="1">
        <f t="array" ref="D1575">INDEX(_xlfn.TEXTSPLIT(C1575,"_"),3)</f>
        <v>hydrasource</v>
      </c>
      <c r="E1575" t="str">
        <f>VLOOKUP(D1575,FranchiseMapping!$A$1:$B$15,2,FALSE)</f>
        <v>Hydrasource</v>
      </c>
      <c r="F1575" s="1">
        <v>45292</v>
      </c>
      <c r="G1575" t="s">
        <v>12</v>
      </c>
      <c r="H1575" s="2">
        <v>45323</v>
      </c>
      <c r="I1575" s="3">
        <v>45342</v>
      </c>
      <c r="J1575" s="3">
        <f t="shared" si="24"/>
        <v>45346</v>
      </c>
      <c r="K1575" s="4">
        <v>230.37000100000003</v>
      </c>
      <c r="L1575">
        <v>47658</v>
      </c>
    </row>
    <row r="1576" spans="1:12" x14ac:dyDescent="0.35">
      <c r="A1576" t="s">
        <v>8</v>
      </c>
      <c r="B1576" t="s">
        <v>13</v>
      </c>
      <c r="C1576" t="s">
        <v>39</v>
      </c>
      <c r="D1576" t="str" cm="1">
        <f t="array" ref="D1576">INDEX(_xlfn.TEXTSPLIT(C1576,"_"),3)</f>
        <v>scalp-sync</v>
      </c>
      <c r="E1576" t="str">
        <f>VLOOKUP(D1576,FranchiseMapping!$A$1:$B$15,2,FALSE)</f>
        <v>Scalp Sync</v>
      </c>
      <c r="F1576" s="1">
        <v>45292</v>
      </c>
      <c r="G1576" t="s">
        <v>12</v>
      </c>
      <c r="H1576" s="2">
        <v>45413</v>
      </c>
      <c r="I1576" s="3">
        <v>45430</v>
      </c>
      <c r="J1576" s="3">
        <f t="shared" si="24"/>
        <v>45430</v>
      </c>
      <c r="K1576" s="4">
        <v>1660.5762030000001</v>
      </c>
      <c r="L1576">
        <v>407897</v>
      </c>
    </row>
    <row r="1577" spans="1:12" x14ac:dyDescent="0.35">
      <c r="A1577" t="s">
        <v>8</v>
      </c>
      <c r="B1577" t="s">
        <v>13</v>
      </c>
      <c r="C1577" t="s">
        <v>62</v>
      </c>
      <c r="D1577" t="str" cm="1">
        <f t="array" ref="D1577">INDEX(_xlfn.TEXTSPLIT(C1577,"_"),3)</f>
        <v>na</v>
      </c>
      <c r="E1577" t="str">
        <f>VLOOKUP(D1577,FranchiseMapping!$A$1:$B$15,2,FALSE)</f>
        <v>Biolage</v>
      </c>
      <c r="F1577" s="1">
        <v>44927</v>
      </c>
      <c r="G1577" t="s">
        <v>10</v>
      </c>
      <c r="H1577" s="2">
        <v>45108</v>
      </c>
      <c r="I1577" s="3">
        <v>45114</v>
      </c>
      <c r="J1577" s="3">
        <f t="shared" si="24"/>
        <v>45115</v>
      </c>
      <c r="K1577" s="4">
        <v>189.46358999999998</v>
      </c>
      <c r="L1577">
        <v>132795</v>
      </c>
    </row>
    <row r="1578" spans="1:12" x14ac:dyDescent="0.35">
      <c r="A1578" t="s">
        <v>8</v>
      </c>
      <c r="B1578" t="s">
        <v>9</v>
      </c>
      <c r="C1578" t="s">
        <v>34</v>
      </c>
      <c r="D1578" t="str" cm="1">
        <f t="array" ref="D1578">INDEX(_xlfn.TEXTSPLIT(C1578,"_"),3)</f>
        <v>hydrasource</v>
      </c>
      <c r="E1578" t="str">
        <f>VLOOKUP(D1578,FranchiseMapping!$A$1:$B$15,2,FALSE)</f>
        <v>Hydrasource</v>
      </c>
      <c r="F1578" s="1">
        <v>45292</v>
      </c>
      <c r="G1578" t="s">
        <v>12</v>
      </c>
      <c r="H1578" s="2">
        <v>45323</v>
      </c>
      <c r="I1578" s="3">
        <v>45349</v>
      </c>
      <c r="J1578" s="3">
        <f t="shared" si="24"/>
        <v>45353</v>
      </c>
      <c r="K1578" s="4">
        <v>976.68000200000006</v>
      </c>
      <c r="L1578">
        <v>199401</v>
      </c>
    </row>
    <row r="1579" spans="1:12" x14ac:dyDescent="0.35">
      <c r="A1579" t="s">
        <v>8</v>
      </c>
      <c r="B1579" t="s">
        <v>9</v>
      </c>
      <c r="C1579" t="s">
        <v>56</v>
      </c>
      <c r="D1579" t="str" cm="1">
        <f t="array" ref="D1579">INDEX(_xlfn.TEXTSPLIT(C1579,"_"),3)</f>
        <v>haca-colorlast-q3</v>
      </c>
      <c r="E1579" t="str">
        <f>VLOOKUP(D1579,FranchiseMapping!$A$1:$B$15,2,FALSE)</f>
        <v>Color Last</v>
      </c>
      <c r="F1579" s="1">
        <v>44927</v>
      </c>
      <c r="G1579" t="s">
        <v>10</v>
      </c>
      <c r="H1579" s="2">
        <v>45108</v>
      </c>
      <c r="I1579" s="3">
        <v>45132</v>
      </c>
      <c r="J1579" s="3">
        <f t="shared" si="24"/>
        <v>45136</v>
      </c>
      <c r="K1579" s="4">
        <v>2215.610001</v>
      </c>
      <c r="L1579">
        <v>316709</v>
      </c>
    </row>
    <row r="1580" spans="1:12" x14ac:dyDescent="0.35">
      <c r="A1580" t="s">
        <v>8</v>
      </c>
      <c r="B1580" t="s">
        <v>9</v>
      </c>
      <c r="C1580" t="s">
        <v>38</v>
      </c>
      <c r="D1580" t="str" cm="1">
        <f t="array" ref="D1580">INDEX(_xlfn.TEXTSPLIT(C1580,"_"),3)</f>
        <v>hys</v>
      </c>
      <c r="E1580" t="str">
        <f>VLOOKUP(D1580,FranchiseMapping!$A$1:$B$15,2,FALSE)</f>
        <v>Hydrasource</v>
      </c>
      <c r="F1580" s="1">
        <v>45658</v>
      </c>
      <c r="G1580" t="s">
        <v>12</v>
      </c>
      <c r="H1580" s="2">
        <v>45748</v>
      </c>
      <c r="I1580" s="3">
        <v>45765</v>
      </c>
      <c r="J1580" s="3">
        <f t="shared" si="24"/>
        <v>45766</v>
      </c>
      <c r="K1580" s="4">
        <v>2148.1999999999998</v>
      </c>
      <c r="L1580">
        <v>300069</v>
      </c>
    </row>
    <row r="1581" spans="1:12" x14ac:dyDescent="0.35">
      <c r="A1581" t="s">
        <v>8</v>
      </c>
      <c r="B1581" t="s">
        <v>13</v>
      </c>
      <c r="C1581" t="s">
        <v>44</v>
      </c>
      <c r="D1581" t="str" cm="1">
        <f t="array" ref="D1581">INDEX(_xlfn.TEXTSPLIT(C1581,"_"),3)</f>
        <v>na</v>
      </c>
      <c r="E1581" t="str">
        <f>VLOOKUP(D1581,FranchiseMapping!$A$1:$B$15,2,FALSE)</f>
        <v>Biolage</v>
      </c>
      <c r="F1581" s="1">
        <v>44927</v>
      </c>
      <c r="G1581" t="s">
        <v>11</v>
      </c>
      <c r="H1581" s="2">
        <v>45108</v>
      </c>
      <c r="I1581" s="3">
        <v>45115</v>
      </c>
      <c r="J1581" s="3">
        <f t="shared" si="24"/>
        <v>45115</v>
      </c>
      <c r="K1581" s="4">
        <v>675.88490400000001</v>
      </c>
      <c r="L1581">
        <v>327661</v>
      </c>
    </row>
    <row r="1582" spans="1:12" x14ac:dyDescent="0.35">
      <c r="A1582" t="s">
        <v>8</v>
      </c>
      <c r="B1582" t="s">
        <v>14</v>
      </c>
      <c r="C1582" t="s">
        <v>37</v>
      </c>
      <c r="D1582" t="str" cm="1">
        <f t="array" ref="D1582">INDEX(_xlfn.TEXTSPLIT(C1582,"_"),3)</f>
        <v>mult</v>
      </c>
      <c r="E1582" t="str">
        <f>VLOOKUP(D1582,FranchiseMapping!$A$1:$B$15,2,FALSE)</f>
        <v>Biolage</v>
      </c>
      <c r="F1582" s="1">
        <v>45658</v>
      </c>
      <c r="G1582" t="s">
        <v>12</v>
      </c>
      <c r="H1582" s="2">
        <v>45748</v>
      </c>
      <c r="I1582" s="3">
        <v>45773</v>
      </c>
      <c r="J1582" s="3">
        <f t="shared" si="24"/>
        <v>45773</v>
      </c>
      <c r="K1582" s="4">
        <v>1.57</v>
      </c>
      <c r="L1582">
        <v>570</v>
      </c>
    </row>
    <row r="1583" spans="1:12" x14ac:dyDescent="0.35">
      <c r="A1583" t="s">
        <v>8</v>
      </c>
      <c r="B1583" t="s">
        <v>9</v>
      </c>
      <c r="C1583" t="s">
        <v>65</v>
      </c>
      <c r="D1583" t="str" cm="1">
        <f t="array" ref="D1583">INDEX(_xlfn.TEXTSPLIT(C1583,"_"),3)</f>
        <v>prime-day</v>
      </c>
      <c r="E1583" t="str">
        <f>VLOOKUP(D1583,FranchiseMapping!$A$1:$B$15,2,FALSE)</f>
        <v>Prime Day</v>
      </c>
      <c r="F1583" s="1">
        <v>45292</v>
      </c>
      <c r="G1583" t="s">
        <v>10</v>
      </c>
      <c r="H1583" s="2">
        <v>45474</v>
      </c>
      <c r="I1583" s="3">
        <v>45483</v>
      </c>
      <c r="J1583" s="3">
        <f t="shared" si="24"/>
        <v>45486</v>
      </c>
      <c r="K1583" s="4">
        <v>2416.0900029999998</v>
      </c>
      <c r="L1583">
        <v>219039</v>
      </c>
    </row>
    <row r="1584" spans="1:12" x14ac:dyDescent="0.35">
      <c r="A1584" t="s">
        <v>8</v>
      </c>
      <c r="B1584" t="s">
        <v>9</v>
      </c>
      <c r="C1584" t="s">
        <v>36</v>
      </c>
      <c r="D1584" t="str" cm="1">
        <f t="array" ref="D1584">INDEX(_xlfn.TEXTSPLIT(C1584,"_"),3)</f>
        <v>bfr</v>
      </c>
      <c r="E1584" t="str">
        <f>VLOOKUP(D1584,FranchiseMapping!$A$1:$B$15,2,FALSE)</f>
        <v>Full Rescue</v>
      </c>
      <c r="F1584" s="1">
        <v>45658</v>
      </c>
      <c r="G1584" t="s">
        <v>12</v>
      </c>
      <c r="H1584" s="2">
        <v>45778</v>
      </c>
      <c r="I1584" s="3">
        <v>45780</v>
      </c>
      <c r="J1584" s="3">
        <f t="shared" si="24"/>
        <v>45780</v>
      </c>
      <c r="K1584" s="4">
        <v>1755.98</v>
      </c>
      <c r="L1584">
        <v>365701</v>
      </c>
    </row>
    <row r="1585" spans="1:12" x14ac:dyDescent="0.35">
      <c r="A1585" t="s">
        <v>8</v>
      </c>
      <c r="B1585" t="s">
        <v>9</v>
      </c>
      <c r="C1585" t="s">
        <v>35</v>
      </c>
      <c r="D1585" t="str" cm="1">
        <f t="array" ref="D1585">INDEX(_xlfn.TEXTSPLIT(C1585,"_"),3)</f>
        <v>bfr</v>
      </c>
      <c r="E1585" t="str">
        <f>VLOOKUP(D1585,FranchiseMapping!$A$1:$B$15,2,FALSE)</f>
        <v>Full Rescue</v>
      </c>
      <c r="F1585" s="1">
        <v>45658</v>
      </c>
      <c r="G1585" t="s">
        <v>10</v>
      </c>
      <c r="H1585" s="2">
        <v>45778</v>
      </c>
      <c r="I1585" s="3">
        <v>45780</v>
      </c>
      <c r="J1585" s="3">
        <f t="shared" si="24"/>
        <v>45780</v>
      </c>
      <c r="K1585" s="4">
        <v>4.04</v>
      </c>
      <c r="L1585">
        <v>549</v>
      </c>
    </row>
    <row r="1586" spans="1:12" x14ac:dyDescent="0.35">
      <c r="A1586" t="s">
        <v>8</v>
      </c>
      <c r="B1586" t="s">
        <v>13</v>
      </c>
      <c r="C1586" t="s">
        <v>28</v>
      </c>
      <c r="D1586" t="str" cm="1">
        <f t="array" ref="D1586">INDEX(_xlfn.TEXTSPLIT(C1586,"_"),3)</f>
        <v>na</v>
      </c>
      <c r="E1586" t="str">
        <f>VLOOKUP(D1586,FranchiseMapping!$A$1:$B$15,2,FALSE)</f>
        <v>Biolage</v>
      </c>
      <c r="F1586" s="1">
        <v>44927</v>
      </c>
      <c r="G1586" t="s">
        <v>10</v>
      </c>
      <c r="H1586" s="2">
        <v>45108</v>
      </c>
      <c r="I1586" s="3">
        <v>45127</v>
      </c>
      <c r="J1586" s="3">
        <f t="shared" si="24"/>
        <v>45129</v>
      </c>
      <c r="K1586" s="4">
        <v>1328.571872</v>
      </c>
      <c r="L1586">
        <v>144078</v>
      </c>
    </row>
    <row r="1587" spans="1:12" x14ac:dyDescent="0.35">
      <c r="A1587" t="s">
        <v>8</v>
      </c>
      <c r="B1587" t="s">
        <v>9</v>
      </c>
      <c r="C1587" t="s">
        <v>40</v>
      </c>
      <c r="D1587" t="str" cm="1">
        <f t="array" ref="D1587">INDEX(_xlfn.TEXTSPLIT(C1587,"_"),3)</f>
        <v>hydrasource</v>
      </c>
      <c r="E1587" t="str">
        <f>VLOOKUP(D1587,FranchiseMapping!$A$1:$B$15,2,FALSE)</f>
        <v>Hydrasource</v>
      </c>
      <c r="F1587" s="1">
        <v>45292</v>
      </c>
      <c r="G1587" t="s">
        <v>12</v>
      </c>
      <c r="H1587" s="2">
        <v>45292</v>
      </c>
      <c r="I1587" s="3">
        <v>45317</v>
      </c>
      <c r="J1587" s="3">
        <f t="shared" si="24"/>
        <v>45318</v>
      </c>
      <c r="K1587" s="4">
        <v>3194.4899990000008</v>
      </c>
      <c r="L1587">
        <v>550045</v>
      </c>
    </row>
    <row r="1588" spans="1:12" x14ac:dyDescent="0.35">
      <c r="A1588" t="s">
        <v>8</v>
      </c>
      <c r="B1588" t="s">
        <v>9</v>
      </c>
      <c r="C1588" t="s">
        <v>40</v>
      </c>
      <c r="D1588" t="str" cm="1">
        <f t="array" ref="D1588">INDEX(_xlfn.TEXTSPLIT(C1588,"_"),3)</f>
        <v>hydrasource</v>
      </c>
      <c r="E1588" t="str">
        <f>VLOOKUP(D1588,FranchiseMapping!$A$1:$B$15,2,FALSE)</f>
        <v>Hydrasource</v>
      </c>
      <c r="F1588" s="1">
        <v>45292</v>
      </c>
      <c r="G1588" t="s">
        <v>12</v>
      </c>
      <c r="H1588" s="2">
        <v>45352</v>
      </c>
      <c r="I1588" s="3">
        <v>45357</v>
      </c>
      <c r="J1588" s="3">
        <f t="shared" si="24"/>
        <v>45360</v>
      </c>
      <c r="K1588" s="4">
        <v>3323.5399940000002</v>
      </c>
      <c r="L1588">
        <v>502647</v>
      </c>
    </row>
    <row r="1589" spans="1:12" x14ac:dyDescent="0.35">
      <c r="A1589" t="s">
        <v>8</v>
      </c>
      <c r="B1589" t="s">
        <v>13</v>
      </c>
      <c r="C1589" t="s">
        <v>42</v>
      </c>
      <c r="D1589" t="str" cm="1">
        <f t="array" ref="D1589">INDEX(_xlfn.TEXTSPLIT(C1589,"_"),3)</f>
        <v>bfr</v>
      </c>
      <c r="E1589" t="str">
        <f>VLOOKUP(D1589,FranchiseMapping!$A$1:$B$15,2,FALSE)</f>
        <v>Full Rescue</v>
      </c>
      <c r="F1589" s="1">
        <v>45658</v>
      </c>
      <c r="G1589" t="s">
        <v>10</v>
      </c>
      <c r="H1589" s="2">
        <v>45809</v>
      </c>
      <c r="I1589" s="3">
        <v>45831</v>
      </c>
      <c r="J1589" s="3">
        <f t="shared" si="24"/>
        <v>45836</v>
      </c>
      <c r="K1589" s="4">
        <v>331.25041599999997</v>
      </c>
      <c r="L1589">
        <v>150308</v>
      </c>
    </row>
    <row r="1590" spans="1:12" x14ac:dyDescent="0.35">
      <c r="A1590" t="s">
        <v>8</v>
      </c>
      <c r="B1590" t="s">
        <v>9</v>
      </c>
      <c r="C1590" t="s">
        <v>45</v>
      </c>
      <c r="D1590" t="str" cm="1">
        <f t="array" ref="D1590">INDEX(_xlfn.TEXTSPLIT(C1590,"_"),3)</f>
        <v>hydrasource</v>
      </c>
      <c r="E1590" t="str">
        <f>VLOOKUP(D1590,FranchiseMapping!$A$1:$B$15,2,FALSE)</f>
        <v>Hydrasource</v>
      </c>
      <c r="F1590" s="1">
        <v>45292</v>
      </c>
      <c r="G1590" t="s">
        <v>12</v>
      </c>
      <c r="H1590" s="2">
        <v>45566</v>
      </c>
      <c r="I1590" s="3">
        <v>45594</v>
      </c>
      <c r="J1590" s="3">
        <f t="shared" si="24"/>
        <v>45598</v>
      </c>
      <c r="K1590" s="4">
        <v>2562.5800019999992</v>
      </c>
      <c r="L1590">
        <v>258043</v>
      </c>
    </row>
    <row r="1591" spans="1:12" x14ac:dyDescent="0.35">
      <c r="A1591" t="s">
        <v>8</v>
      </c>
      <c r="B1591" t="s">
        <v>9</v>
      </c>
      <c r="C1591" t="s">
        <v>53</v>
      </c>
      <c r="D1591" t="str" cm="1">
        <f t="array" ref="D1591">INDEX(_xlfn.TEXTSPLIT(C1591,"_"),3)</f>
        <v>bond-therapy</v>
      </c>
      <c r="E1591" t="str">
        <f>VLOOKUP(D1591,FranchiseMapping!$A$1:$B$15,2,FALSE)</f>
        <v>Bond Therapy</v>
      </c>
      <c r="F1591" s="1">
        <v>44927</v>
      </c>
      <c r="G1591" t="s">
        <v>11</v>
      </c>
      <c r="H1591" s="2">
        <v>45261</v>
      </c>
      <c r="I1591" s="3">
        <v>45266</v>
      </c>
      <c r="J1591" s="3">
        <f t="shared" si="24"/>
        <v>45269</v>
      </c>
      <c r="K1591" s="4">
        <v>1213.5771989999998</v>
      </c>
      <c r="L1591">
        <v>200557</v>
      </c>
    </row>
    <row r="1592" spans="1:12" x14ac:dyDescent="0.35">
      <c r="A1592" t="s">
        <v>8</v>
      </c>
      <c r="B1592" t="s">
        <v>9</v>
      </c>
      <c r="C1592" t="s">
        <v>50</v>
      </c>
      <c r="D1592" t="str" cm="1">
        <f t="array" ref="D1592">INDEX(_xlfn.TEXTSPLIT(C1592,"_"),3)</f>
        <v>bond-therapy</v>
      </c>
      <c r="E1592" t="str">
        <f>VLOOKUP(D1592,FranchiseMapping!$A$1:$B$15,2,FALSE)</f>
        <v>Bond Therapy</v>
      </c>
      <c r="F1592" s="1">
        <v>44927</v>
      </c>
      <c r="G1592" t="s">
        <v>12</v>
      </c>
      <c r="H1592" s="2">
        <v>45231</v>
      </c>
      <c r="I1592" s="3">
        <v>45253</v>
      </c>
      <c r="J1592" s="3">
        <f t="shared" si="24"/>
        <v>45255</v>
      </c>
      <c r="K1592" s="4">
        <v>3039.9800009999999</v>
      </c>
      <c r="L1592">
        <v>305923</v>
      </c>
    </row>
    <row r="1593" spans="1:12" x14ac:dyDescent="0.35">
      <c r="A1593" t="s">
        <v>8</v>
      </c>
      <c r="B1593" t="s">
        <v>9</v>
      </c>
      <c r="C1593" t="s">
        <v>38</v>
      </c>
      <c r="D1593" t="str" cm="1">
        <f t="array" ref="D1593">INDEX(_xlfn.TEXTSPLIT(C1593,"_"),3)</f>
        <v>hys</v>
      </c>
      <c r="E1593" t="str">
        <f>VLOOKUP(D1593,FranchiseMapping!$A$1:$B$15,2,FALSE)</f>
        <v>Hydrasource</v>
      </c>
      <c r="F1593" s="1">
        <v>45658</v>
      </c>
      <c r="G1593" t="s">
        <v>10</v>
      </c>
      <c r="H1593" s="2">
        <v>45748</v>
      </c>
      <c r="I1593" s="3">
        <v>45755</v>
      </c>
      <c r="J1593" s="3">
        <f t="shared" si="24"/>
        <v>45759</v>
      </c>
      <c r="K1593" s="4">
        <v>1064.0099999999998</v>
      </c>
      <c r="L1593">
        <v>50325</v>
      </c>
    </row>
    <row r="1594" spans="1:12" x14ac:dyDescent="0.35">
      <c r="A1594" t="s">
        <v>8</v>
      </c>
      <c r="B1594" t="s">
        <v>13</v>
      </c>
      <c r="C1594" t="s">
        <v>28</v>
      </c>
      <c r="D1594" t="str" cm="1">
        <f t="array" ref="D1594">INDEX(_xlfn.TEXTSPLIT(C1594,"_"),3)</f>
        <v>na</v>
      </c>
      <c r="E1594" t="str">
        <f>VLOOKUP(D1594,FranchiseMapping!$A$1:$B$15,2,FALSE)</f>
        <v>Biolage</v>
      </c>
      <c r="F1594" s="1">
        <v>44927</v>
      </c>
      <c r="G1594" t="s">
        <v>10</v>
      </c>
      <c r="H1594" s="2">
        <v>45139</v>
      </c>
      <c r="I1594" s="3">
        <v>45157</v>
      </c>
      <c r="J1594" s="3">
        <f t="shared" si="24"/>
        <v>45157</v>
      </c>
      <c r="K1594" s="4">
        <v>1140.7148889999999</v>
      </c>
      <c r="L1594">
        <v>119633</v>
      </c>
    </row>
    <row r="1595" spans="1:12" x14ac:dyDescent="0.35">
      <c r="A1595" t="s">
        <v>8</v>
      </c>
      <c r="B1595" t="s">
        <v>9</v>
      </c>
      <c r="C1595" t="s">
        <v>30</v>
      </c>
      <c r="D1595" t="str" cm="1">
        <f t="array" ref="D1595">INDEX(_xlfn.TEXTSPLIT(C1595,"_"),3)</f>
        <v>q3-haca-colorlast</v>
      </c>
      <c r="E1595" t="str">
        <f>VLOOKUP(D1595,FranchiseMapping!$A$1:$B$15,2,FALSE)</f>
        <v>Color Last</v>
      </c>
      <c r="F1595" s="1">
        <v>44927</v>
      </c>
      <c r="G1595" t="s">
        <v>10</v>
      </c>
      <c r="H1595" s="2">
        <v>45139</v>
      </c>
      <c r="I1595" s="3">
        <v>45144</v>
      </c>
      <c r="J1595" s="3">
        <f t="shared" si="24"/>
        <v>45150</v>
      </c>
      <c r="K1595" s="4">
        <v>2638.94</v>
      </c>
      <c r="L1595">
        <v>456014</v>
      </c>
    </row>
    <row r="1596" spans="1:12" x14ac:dyDescent="0.35">
      <c r="A1596" t="s">
        <v>8</v>
      </c>
      <c r="B1596" t="s">
        <v>13</v>
      </c>
      <c r="C1596" t="s">
        <v>42</v>
      </c>
      <c r="D1596" t="str" cm="1">
        <f t="array" ref="D1596">INDEX(_xlfn.TEXTSPLIT(C1596,"_"),3)</f>
        <v>bfr</v>
      </c>
      <c r="E1596" t="str">
        <f>VLOOKUP(D1596,FranchiseMapping!$A$1:$B$15,2,FALSE)</f>
        <v>Full Rescue</v>
      </c>
      <c r="F1596" s="1">
        <v>45658</v>
      </c>
      <c r="G1596" t="s">
        <v>10</v>
      </c>
      <c r="H1596" s="2">
        <v>45809</v>
      </c>
      <c r="I1596" s="3">
        <v>45810</v>
      </c>
      <c r="J1596" s="3">
        <f t="shared" si="24"/>
        <v>45815</v>
      </c>
      <c r="K1596" s="4">
        <v>451.47259899999995</v>
      </c>
      <c r="L1596">
        <v>165637</v>
      </c>
    </row>
    <row r="1597" spans="1:12" x14ac:dyDescent="0.35">
      <c r="A1597" t="s">
        <v>8</v>
      </c>
      <c r="B1597" t="s">
        <v>14</v>
      </c>
      <c r="C1597" t="s">
        <v>47</v>
      </c>
      <c r="D1597" t="str" cm="1">
        <f t="array" ref="D1597">INDEX(_xlfn.TEXTSPLIT(C1597,"_"),3)</f>
        <v>hys</v>
      </c>
      <c r="E1597" t="str">
        <f>VLOOKUP(D1597,FranchiseMapping!$A$1:$B$15,2,FALSE)</f>
        <v>Hydrasource</v>
      </c>
      <c r="F1597" s="1">
        <v>45658</v>
      </c>
      <c r="G1597" t="s">
        <v>10</v>
      </c>
      <c r="H1597" s="2">
        <v>45748</v>
      </c>
      <c r="I1597" s="3">
        <v>45751</v>
      </c>
      <c r="J1597" s="3">
        <f t="shared" si="24"/>
        <v>45752</v>
      </c>
      <c r="K1597" s="4">
        <v>2258.5499999999997</v>
      </c>
      <c r="L1597">
        <v>479194</v>
      </c>
    </row>
    <row r="1598" spans="1:12" x14ac:dyDescent="0.35">
      <c r="A1598" t="s">
        <v>8</v>
      </c>
      <c r="B1598" t="s">
        <v>9</v>
      </c>
      <c r="C1598" t="s">
        <v>48</v>
      </c>
      <c r="D1598" t="str" cm="1">
        <f t="array" ref="D1598">INDEX(_xlfn.TEXTSPLIT(C1598,"_"),3)</f>
        <v>scalp</v>
      </c>
      <c r="E1598" t="str">
        <f>VLOOKUP(D1598,FranchiseMapping!$A$1:$B$15,2,FALSE)</f>
        <v>Scalp Sync</v>
      </c>
      <c r="F1598" s="1">
        <v>45292</v>
      </c>
      <c r="G1598" t="s">
        <v>12</v>
      </c>
      <c r="H1598" s="2">
        <v>45383</v>
      </c>
      <c r="I1598" s="3">
        <v>45389</v>
      </c>
      <c r="J1598" s="3">
        <f t="shared" si="24"/>
        <v>45395</v>
      </c>
      <c r="K1598" s="4">
        <v>818.84999999999991</v>
      </c>
      <c r="L1598">
        <v>201405</v>
      </c>
    </row>
    <row r="1599" spans="1:12" x14ac:dyDescent="0.35">
      <c r="A1599" t="s">
        <v>8</v>
      </c>
      <c r="B1599" t="s">
        <v>9</v>
      </c>
      <c r="C1599" t="s">
        <v>41</v>
      </c>
      <c r="D1599" t="str" cm="1">
        <f t="array" ref="D1599">INDEX(_xlfn.TEXTSPLIT(C1599,"_"),3)</f>
        <v>hys</v>
      </c>
      <c r="E1599" t="str">
        <f>VLOOKUP(D1599,FranchiseMapping!$A$1:$B$15,2,FALSE)</f>
        <v>Hydrasource</v>
      </c>
      <c r="F1599" s="1">
        <v>45658</v>
      </c>
      <c r="G1599" t="s">
        <v>12</v>
      </c>
      <c r="H1599" s="2">
        <v>45748</v>
      </c>
      <c r="I1599" s="3">
        <v>45768</v>
      </c>
      <c r="J1599" s="3">
        <f t="shared" si="24"/>
        <v>45773</v>
      </c>
      <c r="K1599" s="4">
        <v>3910.3100000000009</v>
      </c>
      <c r="L1599">
        <v>376358</v>
      </c>
    </row>
    <row r="1600" spans="1:12" x14ac:dyDescent="0.35">
      <c r="A1600" t="s">
        <v>8</v>
      </c>
      <c r="B1600" t="s">
        <v>9</v>
      </c>
      <c r="C1600" t="s">
        <v>46</v>
      </c>
      <c r="D1600" t="str" cm="1">
        <f t="array" ref="D1600">INDEX(_xlfn.TEXTSPLIT(C1600,"_"),3)</f>
        <v>mult</v>
      </c>
      <c r="E1600" t="str">
        <f>VLOOKUP(D1600,FranchiseMapping!$A$1:$B$15,2,FALSE)</f>
        <v>Biolage</v>
      </c>
      <c r="F1600" s="1">
        <v>45658</v>
      </c>
      <c r="G1600" t="s">
        <v>12</v>
      </c>
      <c r="H1600" s="2">
        <v>45748</v>
      </c>
      <c r="I1600" s="3">
        <v>45759</v>
      </c>
      <c r="J1600" s="3">
        <f t="shared" si="24"/>
        <v>45759</v>
      </c>
      <c r="K1600" s="4">
        <v>1182.01</v>
      </c>
      <c r="L1600">
        <v>259315</v>
      </c>
    </row>
    <row r="1601" spans="1:12" x14ac:dyDescent="0.35">
      <c r="A1601" t="s">
        <v>8</v>
      </c>
      <c r="B1601" t="s">
        <v>13</v>
      </c>
      <c r="C1601" t="s">
        <v>28</v>
      </c>
      <c r="D1601" t="str" cm="1">
        <f t="array" ref="D1601">INDEX(_xlfn.TEXTSPLIT(C1601,"_"),3)</f>
        <v>na</v>
      </c>
      <c r="E1601" t="str">
        <f>VLOOKUP(D1601,FranchiseMapping!$A$1:$B$15,2,FALSE)</f>
        <v>Biolage</v>
      </c>
      <c r="F1601" s="1">
        <v>44927</v>
      </c>
      <c r="G1601" t="s">
        <v>10</v>
      </c>
      <c r="H1601" s="2">
        <v>45108</v>
      </c>
      <c r="I1601" s="3">
        <v>45121</v>
      </c>
      <c r="J1601" s="3">
        <f t="shared" si="24"/>
        <v>45122</v>
      </c>
      <c r="K1601" s="4">
        <v>510.41502700000001</v>
      </c>
      <c r="L1601">
        <v>82904</v>
      </c>
    </row>
    <row r="1602" spans="1:12" x14ac:dyDescent="0.35">
      <c r="A1602" t="s">
        <v>8</v>
      </c>
      <c r="B1602" t="s">
        <v>9</v>
      </c>
      <c r="C1602" t="s">
        <v>55</v>
      </c>
      <c r="D1602" t="str" cm="1">
        <f t="array" ref="D1602">INDEX(_xlfn.TEXTSPLIT(C1602,"_"),3)</f>
        <v>hydrasource</v>
      </c>
      <c r="E1602" t="str">
        <f>VLOOKUP(D1602,FranchiseMapping!$A$1:$B$15,2,FALSE)</f>
        <v>Hydrasource</v>
      </c>
      <c r="F1602" s="1">
        <v>45292</v>
      </c>
      <c r="G1602" t="s">
        <v>12</v>
      </c>
      <c r="H1602" s="2">
        <v>45566</v>
      </c>
      <c r="I1602" s="3">
        <v>45588</v>
      </c>
      <c r="J1602" s="3">
        <f t="shared" si="24"/>
        <v>45591</v>
      </c>
      <c r="K1602" s="4">
        <v>3474.9100100000005</v>
      </c>
      <c r="L1602">
        <v>751971</v>
      </c>
    </row>
    <row r="1603" spans="1:12" x14ac:dyDescent="0.35">
      <c r="A1603" t="s">
        <v>8</v>
      </c>
      <c r="B1603" t="s">
        <v>9</v>
      </c>
      <c r="C1603" t="s">
        <v>31</v>
      </c>
      <c r="D1603" t="str" cm="1">
        <f t="array" ref="D1603">INDEX(_xlfn.TEXTSPLIT(C1603,"_"),3)</f>
        <v>scalp</v>
      </c>
      <c r="E1603" t="str">
        <f>VLOOKUP(D1603,FranchiseMapping!$A$1:$B$15,2,FALSE)</f>
        <v>Scalp Sync</v>
      </c>
      <c r="F1603" s="1">
        <v>45292</v>
      </c>
      <c r="G1603" t="s">
        <v>10</v>
      </c>
      <c r="H1603" s="2">
        <v>45352</v>
      </c>
      <c r="I1603" s="3">
        <v>45379</v>
      </c>
      <c r="J1603" s="3">
        <f t="shared" ref="J1603:J1666" si="25">I1603 + (7 - WEEKDAY(I1603, 1))</f>
        <v>45381</v>
      </c>
      <c r="K1603" s="4">
        <v>56.639999999999993</v>
      </c>
      <c r="L1603">
        <v>8891</v>
      </c>
    </row>
    <row r="1604" spans="1:12" x14ac:dyDescent="0.35">
      <c r="A1604" t="s">
        <v>8</v>
      </c>
      <c r="B1604" t="s">
        <v>13</v>
      </c>
      <c r="C1604" t="s">
        <v>28</v>
      </c>
      <c r="D1604" t="str" cm="1">
        <f t="array" ref="D1604">INDEX(_xlfn.TEXTSPLIT(C1604,"_"),3)</f>
        <v>na</v>
      </c>
      <c r="E1604" t="str">
        <f>VLOOKUP(D1604,FranchiseMapping!$A$1:$B$15,2,FALSE)</f>
        <v>Biolage</v>
      </c>
      <c r="F1604" s="1">
        <v>44927</v>
      </c>
      <c r="G1604" t="s">
        <v>12</v>
      </c>
      <c r="H1604" s="2">
        <v>45139</v>
      </c>
      <c r="I1604" s="3">
        <v>45156</v>
      </c>
      <c r="J1604" s="3">
        <f t="shared" si="25"/>
        <v>45157</v>
      </c>
      <c r="K1604" s="4">
        <v>318.229581</v>
      </c>
      <c r="L1604">
        <v>83794</v>
      </c>
    </row>
    <row r="1605" spans="1:12" x14ac:dyDescent="0.35">
      <c r="A1605" t="s">
        <v>8</v>
      </c>
      <c r="B1605" t="s">
        <v>9</v>
      </c>
      <c r="C1605" t="s">
        <v>54</v>
      </c>
      <c r="D1605" t="str" cm="1">
        <f t="array" ref="D1605">INDEX(_xlfn.TEXTSPLIT(C1605,"_"),3)</f>
        <v>scalp</v>
      </c>
      <c r="E1605" t="str">
        <f>VLOOKUP(D1605,FranchiseMapping!$A$1:$B$15,2,FALSE)</f>
        <v>Scalp Sync</v>
      </c>
      <c r="F1605" s="1">
        <v>45292</v>
      </c>
      <c r="G1605" t="s">
        <v>10</v>
      </c>
      <c r="H1605" s="2">
        <v>45352</v>
      </c>
      <c r="I1605" s="3">
        <v>45359</v>
      </c>
      <c r="J1605" s="3">
        <f t="shared" si="25"/>
        <v>45360</v>
      </c>
      <c r="K1605" s="4">
        <v>2269.5000090000003</v>
      </c>
      <c r="L1605">
        <v>528334</v>
      </c>
    </row>
    <row r="1606" spans="1:12" x14ac:dyDescent="0.35">
      <c r="A1606" t="s">
        <v>8</v>
      </c>
      <c r="B1606" t="s">
        <v>14</v>
      </c>
      <c r="C1606" t="s">
        <v>37</v>
      </c>
      <c r="D1606" t="str" cm="1">
        <f t="array" ref="D1606">INDEX(_xlfn.TEXTSPLIT(C1606,"_"),3)</f>
        <v>mult</v>
      </c>
      <c r="E1606" t="str">
        <f>VLOOKUP(D1606,FranchiseMapping!$A$1:$B$15,2,FALSE)</f>
        <v>Biolage</v>
      </c>
      <c r="F1606" s="1">
        <v>45658</v>
      </c>
      <c r="G1606" t="s">
        <v>10</v>
      </c>
      <c r="H1606" s="2">
        <v>45809</v>
      </c>
      <c r="I1606" s="3">
        <v>45815</v>
      </c>
      <c r="J1606" s="3">
        <f t="shared" si="25"/>
        <v>45815</v>
      </c>
      <c r="K1606" s="4">
        <v>0.08</v>
      </c>
      <c r="L1606">
        <v>21</v>
      </c>
    </row>
    <row r="1607" spans="1:12" x14ac:dyDescent="0.35">
      <c r="A1607" t="s">
        <v>8</v>
      </c>
      <c r="B1607" t="s">
        <v>9</v>
      </c>
      <c r="C1607" t="s">
        <v>46</v>
      </c>
      <c r="D1607" t="str" cm="1">
        <f t="array" ref="D1607">INDEX(_xlfn.TEXTSPLIT(C1607,"_"),3)</f>
        <v>mult</v>
      </c>
      <c r="E1607" t="str">
        <f>VLOOKUP(D1607,FranchiseMapping!$A$1:$B$15,2,FALSE)</f>
        <v>Biolage</v>
      </c>
      <c r="F1607" s="1">
        <v>45658</v>
      </c>
      <c r="G1607" t="s">
        <v>10</v>
      </c>
      <c r="H1607" s="2">
        <v>45778</v>
      </c>
      <c r="I1607" s="3">
        <v>45793</v>
      </c>
      <c r="J1607" s="3">
        <f t="shared" si="25"/>
        <v>45794</v>
      </c>
      <c r="K1607" s="4">
        <v>1139.6399999999996</v>
      </c>
      <c r="L1607">
        <v>182196</v>
      </c>
    </row>
    <row r="1608" spans="1:12" x14ac:dyDescent="0.35">
      <c r="A1608" t="s">
        <v>8</v>
      </c>
      <c r="B1608" t="s">
        <v>13</v>
      </c>
      <c r="C1608" t="s">
        <v>51</v>
      </c>
      <c r="D1608" t="str" cm="1">
        <f t="array" ref="D1608">INDEX(_xlfn.TEXTSPLIT(C1608,"_"),3)</f>
        <v>na</v>
      </c>
      <c r="E1608" t="str">
        <f>VLOOKUP(D1608,FranchiseMapping!$A$1:$B$15,2,FALSE)</f>
        <v>Biolage</v>
      </c>
      <c r="F1608" s="1">
        <v>44927</v>
      </c>
      <c r="G1608" t="s">
        <v>11</v>
      </c>
      <c r="H1608" s="2">
        <v>45108</v>
      </c>
      <c r="I1608" s="3">
        <v>45122</v>
      </c>
      <c r="J1608" s="3">
        <f t="shared" si="25"/>
        <v>45122</v>
      </c>
      <c r="K1608" s="4">
        <v>640.07726100000002</v>
      </c>
      <c r="L1608">
        <v>378067</v>
      </c>
    </row>
    <row r="1609" spans="1:12" x14ac:dyDescent="0.35">
      <c r="A1609" t="s">
        <v>8</v>
      </c>
      <c r="B1609" t="s">
        <v>9</v>
      </c>
      <c r="C1609" t="s">
        <v>34</v>
      </c>
      <c r="D1609" t="str" cm="1">
        <f t="array" ref="D1609">INDEX(_xlfn.TEXTSPLIT(C1609,"_"),3)</f>
        <v>hydrasource</v>
      </c>
      <c r="E1609" t="str">
        <f>VLOOKUP(D1609,FranchiseMapping!$A$1:$B$15,2,FALSE)</f>
        <v>Hydrasource</v>
      </c>
      <c r="F1609" s="1">
        <v>45292</v>
      </c>
      <c r="G1609" t="s">
        <v>12</v>
      </c>
      <c r="H1609" s="2">
        <v>45352</v>
      </c>
      <c r="I1609" s="3">
        <v>45357</v>
      </c>
      <c r="J1609" s="3">
        <f t="shared" si="25"/>
        <v>45360</v>
      </c>
      <c r="K1609" s="4">
        <v>940.69000299999993</v>
      </c>
      <c r="L1609">
        <v>164451</v>
      </c>
    </row>
    <row r="1610" spans="1:12" x14ac:dyDescent="0.35">
      <c r="A1610" t="s">
        <v>8</v>
      </c>
      <c r="B1610" t="s">
        <v>9</v>
      </c>
      <c r="C1610" t="s">
        <v>36</v>
      </c>
      <c r="D1610" t="str" cm="1">
        <f t="array" ref="D1610">INDEX(_xlfn.TEXTSPLIT(C1610,"_"),3)</f>
        <v>bfr</v>
      </c>
      <c r="E1610" t="str">
        <f>VLOOKUP(D1610,FranchiseMapping!$A$1:$B$15,2,FALSE)</f>
        <v>Full Rescue</v>
      </c>
      <c r="F1610" s="1">
        <v>45658</v>
      </c>
      <c r="G1610" t="s">
        <v>10</v>
      </c>
      <c r="H1610" s="2">
        <v>45809</v>
      </c>
      <c r="I1610" s="3">
        <v>45831</v>
      </c>
      <c r="J1610" s="3">
        <f t="shared" si="25"/>
        <v>45836</v>
      </c>
      <c r="K1610" s="4">
        <v>1636.8899999999999</v>
      </c>
      <c r="L1610">
        <v>291748</v>
      </c>
    </row>
    <row r="1611" spans="1:12" x14ac:dyDescent="0.35">
      <c r="A1611" t="s">
        <v>8</v>
      </c>
      <c r="B1611" t="s">
        <v>13</v>
      </c>
      <c r="C1611" t="s">
        <v>42</v>
      </c>
      <c r="D1611" t="str" cm="1">
        <f t="array" ref="D1611">INDEX(_xlfn.TEXTSPLIT(C1611,"_"),3)</f>
        <v>bfr</v>
      </c>
      <c r="E1611" t="str">
        <f>VLOOKUP(D1611,FranchiseMapping!$A$1:$B$15,2,FALSE)</f>
        <v>Full Rescue</v>
      </c>
      <c r="F1611" s="1">
        <v>45658</v>
      </c>
      <c r="G1611" t="s">
        <v>10</v>
      </c>
      <c r="H1611" s="2">
        <v>45809</v>
      </c>
      <c r="I1611" s="3">
        <v>45813</v>
      </c>
      <c r="J1611" s="3">
        <f t="shared" si="25"/>
        <v>45815</v>
      </c>
      <c r="K1611" s="4">
        <v>433.67715700000002</v>
      </c>
      <c r="L1611">
        <v>208607</v>
      </c>
    </row>
    <row r="1612" spans="1:12" x14ac:dyDescent="0.35">
      <c r="A1612" t="s">
        <v>8</v>
      </c>
      <c r="B1612" t="s">
        <v>9</v>
      </c>
      <c r="C1612" t="s">
        <v>31</v>
      </c>
      <c r="D1612" t="str" cm="1">
        <f t="array" ref="D1612">INDEX(_xlfn.TEXTSPLIT(C1612,"_"),3)</f>
        <v>scalp</v>
      </c>
      <c r="E1612" t="str">
        <f>VLOOKUP(D1612,FranchiseMapping!$A$1:$B$15,2,FALSE)</f>
        <v>Scalp Sync</v>
      </c>
      <c r="F1612" s="1">
        <v>45292</v>
      </c>
      <c r="G1612" t="s">
        <v>10</v>
      </c>
      <c r="H1612" s="2">
        <v>45383</v>
      </c>
      <c r="I1612" s="3">
        <v>45387</v>
      </c>
      <c r="J1612" s="3">
        <f t="shared" si="25"/>
        <v>45388</v>
      </c>
      <c r="K1612" s="4">
        <v>205.86000299999998</v>
      </c>
      <c r="L1612">
        <v>31798</v>
      </c>
    </row>
    <row r="1613" spans="1:12" x14ac:dyDescent="0.35">
      <c r="A1613" t="s">
        <v>8</v>
      </c>
      <c r="B1613" t="s">
        <v>14</v>
      </c>
      <c r="C1613" t="s">
        <v>29</v>
      </c>
      <c r="D1613" t="str" cm="1">
        <f t="array" ref="D1613">INDEX(_xlfn.TEXTSPLIT(C1613,"_"),3)</f>
        <v>bfr</v>
      </c>
      <c r="E1613" t="str">
        <f>VLOOKUP(D1613,FranchiseMapping!$A$1:$B$15,2,FALSE)</f>
        <v>Full Rescue</v>
      </c>
      <c r="F1613" s="1">
        <v>45658</v>
      </c>
      <c r="G1613" t="s">
        <v>12</v>
      </c>
      <c r="H1613" s="2">
        <v>45809</v>
      </c>
      <c r="I1613" s="3">
        <v>45819</v>
      </c>
      <c r="J1613" s="3">
        <f t="shared" si="25"/>
        <v>45822</v>
      </c>
      <c r="K1613" s="4">
        <v>14.34</v>
      </c>
      <c r="L1613">
        <v>2576</v>
      </c>
    </row>
    <row r="1614" spans="1:12" x14ac:dyDescent="0.35">
      <c r="A1614" t="s">
        <v>8</v>
      </c>
      <c r="B1614" t="s">
        <v>13</v>
      </c>
      <c r="C1614" t="s">
        <v>39</v>
      </c>
      <c r="D1614" t="str" cm="1">
        <f t="array" ref="D1614">INDEX(_xlfn.TEXTSPLIT(C1614,"_"),3)</f>
        <v>scalp-sync</v>
      </c>
      <c r="E1614" t="str">
        <f>VLOOKUP(D1614,FranchiseMapping!$A$1:$B$15,2,FALSE)</f>
        <v>Scalp Sync</v>
      </c>
      <c r="F1614" s="1">
        <v>45292</v>
      </c>
      <c r="G1614" t="s">
        <v>12</v>
      </c>
      <c r="H1614" s="2">
        <v>45413</v>
      </c>
      <c r="I1614" s="3">
        <v>45415</v>
      </c>
      <c r="J1614" s="3">
        <f t="shared" si="25"/>
        <v>45416</v>
      </c>
      <c r="K1614" s="4">
        <v>1722.7106850000002</v>
      </c>
      <c r="L1614">
        <v>472139</v>
      </c>
    </row>
    <row r="1615" spans="1:12" x14ac:dyDescent="0.35">
      <c r="A1615" t="s">
        <v>8</v>
      </c>
      <c r="B1615" t="s">
        <v>9</v>
      </c>
      <c r="C1615" t="s">
        <v>31</v>
      </c>
      <c r="D1615" t="str" cm="1">
        <f t="array" ref="D1615">INDEX(_xlfn.TEXTSPLIT(C1615,"_"),3)</f>
        <v>scalp</v>
      </c>
      <c r="E1615" t="str">
        <f>VLOOKUP(D1615,FranchiseMapping!$A$1:$B$15,2,FALSE)</f>
        <v>Scalp Sync</v>
      </c>
      <c r="F1615" s="1">
        <v>45292</v>
      </c>
      <c r="G1615" t="s">
        <v>10</v>
      </c>
      <c r="H1615" s="2">
        <v>45383</v>
      </c>
      <c r="I1615" s="3">
        <v>45396</v>
      </c>
      <c r="J1615" s="3">
        <f t="shared" si="25"/>
        <v>45402</v>
      </c>
      <c r="K1615" s="4">
        <v>121.56</v>
      </c>
      <c r="L1615">
        <v>20358</v>
      </c>
    </row>
    <row r="1616" spans="1:12" x14ac:dyDescent="0.35">
      <c r="A1616" t="s">
        <v>8</v>
      </c>
      <c r="B1616" t="s">
        <v>9</v>
      </c>
      <c r="C1616" t="s">
        <v>55</v>
      </c>
      <c r="D1616" t="str" cm="1">
        <f t="array" ref="D1616">INDEX(_xlfn.TEXTSPLIT(C1616,"_"),3)</f>
        <v>hydrasource</v>
      </c>
      <c r="E1616" t="str">
        <f>VLOOKUP(D1616,FranchiseMapping!$A$1:$B$15,2,FALSE)</f>
        <v>Hydrasource</v>
      </c>
      <c r="F1616" s="1">
        <v>45292</v>
      </c>
      <c r="G1616" t="s">
        <v>12</v>
      </c>
      <c r="H1616" s="2">
        <v>45566</v>
      </c>
      <c r="I1616" s="3">
        <v>45587</v>
      </c>
      <c r="J1616" s="3">
        <f t="shared" si="25"/>
        <v>45591</v>
      </c>
      <c r="K1616" s="4">
        <v>3333.3899939999997</v>
      </c>
      <c r="L1616">
        <v>733757</v>
      </c>
    </row>
    <row r="1617" spans="1:12" x14ac:dyDescent="0.35">
      <c r="A1617" t="s">
        <v>8</v>
      </c>
      <c r="B1617" t="s">
        <v>13</v>
      </c>
      <c r="C1617" t="s">
        <v>62</v>
      </c>
      <c r="D1617" t="str" cm="1">
        <f t="array" ref="D1617">INDEX(_xlfn.TEXTSPLIT(C1617,"_"),3)</f>
        <v>na</v>
      </c>
      <c r="E1617" t="str">
        <f>VLOOKUP(D1617,FranchiseMapping!$A$1:$B$15,2,FALSE)</f>
        <v>Biolage</v>
      </c>
      <c r="F1617" s="1">
        <v>44927</v>
      </c>
      <c r="G1617" t="s">
        <v>10</v>
      </c>
      <c r="H1617" s="2">
        <v>45108</v>
      </c>
      <c r="I1617" s="3">
        <v>45111</v>
      </c>
      <c r="J1617" s="3">
        <f t="shared" si="25"/>
        <v>45115</v>
      </c>
      <c r="K1617" s="4">
        <v>107.753517</v>
      </c>
      <c r="L1617">
        <v>69474</v>
      </c>
    </row>
    <row r="1618" spans="1:12" x14ac:dyDescent="0.35">
      <c r="A1618" t="s">
        <v>8</v>
      </c>
      <c r="B1618" t="s">
        <v>9</v>
      </c>
      <c r="C1618" t="s">
        <v>35</v>
      </c>
      <c r="D1618" t="str" cm="1">
        <f t="array" ref="D1618">INDEX(_xlfn.TEXTSPLIT(C1618,"_"),3)</f>
        <v>bfr</v>
      </c>
      <c r="E1618" t="str">
        <f>VLOOKUP(D1618,FranchiseMapping!$A$1:$B$15,2,FALSE)</f>
        <v>Full Rescue</v>
      </c>
      <c r="F1618" s="1">
        <v>45658</v>
      </c>
      <c r="G1618" t="s">
        <v>10</v>
      </c>
      <c r="H1618" s="2">
        <v>45809</v>
      </c>
      <c r="I1618" s="3">
        <v>45810</v>
      </c>
      <c r="J1618" s="3">
        <f t="shared" si="25"/>
        <v>45815</v>
      </c>
      <c r="K1618" s="4">
        <v>34.14</v>
      </c>
      <c r="L1618">
        <v>4083</v>
      </c>
    </row>
    <row r="1619" spans="1:12" x14ac:dyDescent="0.35">
      <c r="A1619" t="s">
        <v>8</v>
      </c>
      <c r="B1619" t="s">
        <v>9</v>
      </c>
      <c r="C1619" t="s">
        <v>33</v>
      </c>
      <c r="D1619" t="str" cm="1">
        <f t="array" ref="D1619">INDEX(_xlfn.TEXTSPLIT(C1619,"_"),3)</f>
        <v>hydrasource</v>
      </c>
      <c r="E1619" t="str">
        <f>VLOOKUP(D1619,FranchiseMapping!$A$1:$B$15,2,FALSE)</f>
        <v>Hydrasource</v>
      </c>
      <c r="F1619" s="1">
        <v>45292</v>
      </c>
      <c r="G1619" t="s">
        <v>11</v>
      </c>
      <c r="H1619" s="2">
        <v>45292</v>
      </c>
      <c r="I1619" s="3">
        <v>45310</v>
      </c>
      <c r="J1619" s="3">
        <f t="shared" si="25"/>
        <v>45311</v>
      </c>
      <c r="K1619" s="4">
        <v>1498.3499979999997</v>
      </c>
      <c r="L1619">
        <v>456359</v>
      </c>
    </row>
    <row r="1620" spans="1:12" x14ac:dyDescent="0.35">
      <c r="A1620" t="s">
        <v>8</v>
      </c>
      <c r="B1620" t="s">
        <v>9</v>
      </c>
      <c r="C1620" t="s">
        <v>48</v>
      </c>
      <c r="D1620" t="str" cm="1">
        <f t="array" ref="D1620">INDEX(_xlfn.TEXTSPLIT(C1620,"_"),3)</f>
        <v>scalp</v>
      </c>
      <c r="E1620" t="str">
        <f>VLOOKUP(D1620,FranchiseMapping!$A$1:$B$15,2,FALSE)</f>
        <v>Scalp Sync</v>
      </c>
      <c r="F1620" s="1">
        <v>45292</v>
      </c>
      <c r="G1620" t="s">
        <v>10</v>
      </c>
      <c r="H1620" s="2">
        <v>45383</v>
      </c>
      <c r="I1620" s="3">
        <v>45388</v>
      </c>
      <c r="J1620" s="3">
        <f t="shared" si="25"/>
        <v>45388</v>
      </c>
      <c r="K1620" s="4">
        <v>231.74000100000001</v>
      </c>
      <c r="L1620">
        <v>58061</v>
      </c>
    </row>
    <row r="1621" spans="1:12" x14ac:dyDescent="0.35">
      <c r="A1621" t="s">
        <v>8</v>
      </c>
      <c r="B1621" t="s">
        <v>9</v>
      </c>
      <c r="C1621" t="s">
        <v>55</v>
      </c>
      <c r="D1621" t="str" cm="1">
        <f t="array" ref="D1621">INDEX(_xlfn.TEXTSPLIT(C1621,"_"),3)</f>
        <v>hydrasource</v>
      </c>
      <c r="E1621" t="str">
        <f>VLOOKUP(D1621,FranchiseMapping!$A$1:$B$15,2,FALSE)</f>
        <v>Hydrasource</v>
      </c>
      <c r="F1621" s="1">
        <v>45292</v>
      </c>
      <c r="G1621" t="s">
        <v>12</v>
      </c>
      <c r="H1621" s="2">
        <v>45566</v>
      </c>
      <c r="I1621" s="3">
        <v>45573</v>
      </c>
      <c r="J1621" s="3">
        <f t="shared" si="25"/>
        <v>45577</v>
      </c>
      <c r="K1621" s="4">
        <v>3586.7199929999983</v>
      </c>
      <c r="L1621">
        <v>688694</v>
      </c>
    </row>
    <row r="1622" spans="1:12" x14ac:dyDescent="0.35">
      <c r="A1622" t="s">
        <v>8</v>
      </c>
      <c r="B1622" t="s">
        <v>9</v>
      </c>
      <c r="C1622" t="s">
        <v>34</v>
      </c>
      <c r="D1622" t="str" cm="1">
        <f t="array" ref="D1622">INDEX(_xlfn.TEXTSPLIT(C1622,"_"),3)</f>
        <v>hydrasource</v>
      </c>
      <c r="E1622" t="str">
        <f>VLOOKUP(D1622,FranchiseMapping!$A$1:$B$15,2,FALSE)</f>
        <v>Hydrasource</v>
      </c>
      <c r="F1622" s="1">
        <v>45292</v>
      </c>
      <c r="G1622" t="s">
        <v>12</v>
      </c>
      <c r="H1622" s="2">
        <v>45323</v>
      </c>
      <c r="I1622" s="3">
        <v>45340</v>
      </c>
      <c r="J1622" s="3">
        <f t="shared" si="25"/>
        <v>45346</v>
      </c>
      <c r="K1622" s="4">
        <v>975.89999899999998</v>
      </c>
      <c r="L1622">
        <v>218413</v>
      </c>
    </row>
    <row r="1623" spans="1:12" x14ac:dyDescent="0.35">
      <c r="A1623" t="s">
        <v>8</v>
      </c>
      <c r="B1623" t="s">
        <v>13</v>
      </c>
      <c r="C1623" t="s">
        <v>28</v>
      </c>
      <c r="D1623" t="str" cm="1">
        <f t="array" ref="D1623">INDEX(_xlfn.TEXTSPLIT(C1623,"_"),3)</f>
        <v>na</v>
      </c>
      <c r="E1623" t="str">
        <f>VLOOKUP(D1623,FranchiseMapping!$A$1:$B$15,2,FALSE)</f>
        <v>Biolage</v>
      </c>
      <c r="F1623" s="1">
        <v>44927</v>
      </c>
      <c r="G1623" t="s">
        <v>10</v>
      </c>
      <c r="H1623" s="2">
        <v>45108</v>
      </c>
      <c r="I1623" s="3">
        <v>45137</v>
      </c>
      <c r="J1623" s="3">
        <f t="shared" si="25"/>
        <v>45143</v>
      </c>
      <c r="K1623" s="4">
        <v>1192.9732759999999</v>
      </c>
      <c r="L1623">
        <v>115602</v>
      </c>
    </row>
    <row r="1624" spans="1:12" x14ac:dyDescent="0.35">
      <c r="A1624" t="s">
        <v>8</v>
      </c>
      <c r="B1624" t="s">
        <v>9</v>
      </c>
      <c r="C1624" t="s">
        <v>48</v>
      </c>
      <c r="D1624" t="str" cm="1">
        <f t="array" ref="D1624">INDEX(_xlfn.TEXTSPLIT(C1624,"_"),3)</f>
        <v>scalp</v>
      </c>
      <c r="E1624" t="str">
        <f>VLOOKUP(D1624,FranchiseMapping!$A$1:$B$15,2,FALSE)</f>
        <v>Scalp Sync</v>
      </c>
      <c r="F1624" s="1">
        <v>45292</v>
      </c>
      <c r="G1624" t="s">
        <v>10</v>
      </c>
      <c r="H1624" s="2">
        <v>45352</v>
      </c>
      <c r="I1624" s="3">
        <v>45366</v>
      </c>
      <c r="J1624" s="3">
        <f t="shared" si="25"/>
        <v>45367</v>
      </c>
      <c r="K1624" s="4">
        <v>987.35999900000002</v>
      </c>
      <c r="L1624">
        <v>230354</v>
      </c>
    </row>
    <row r="1625" spans="1:12" x14ac:dyDescent="0.35">
      <c r="A1625" t="s">
        <v>8</v>
      </c>
      <c r="B1625" t="s">
        <v>9</v>
      </c>
      <c r="C1625" t="s">
        <v>41</v>
      </c>
      <c r="D1625" t="str" cm="1">
        <f t="array" ref="D1625">INDEX(_xlfn.TEXTSPLIT(C1625,"_"),3)</f>
        <v>hys</v>
      </c>
      <c r="E1625" t="str">
        <f>VLOOKUP(D1625,FranchiseMapping!$A$1:$B$15,2,FALSE)</f>
        <v>Hydrasource</v>
      </c>
      <c r="F1625" s="1">
        <v>45658</v>
      </c>
      <c r="G1625" t="s">
        <v>12</v>
      </c>
      <c r="H1625" s="2">
        <v>45778</v>
      </c>
      <c r="I1625" s="3">
        <v>45778</v>
      </c>
      <c r="J1625" s="3">
        <f t="shared" si="25"/>
        <v>45780</v>
      </c>
      <c r="K1625" s="4">
        <v>3420.1800010000002</v>
      </c>
      <c r="L1625">
        <v>346872</v>
      </c>
    </row>
    <row r="1626" spans="1:12" x14ac:dyDescent="0.35">
      <c r="A1626" t="s">
        <v>8</v>
      </c>
      <c r="B1626" t="s">
        <v>9</v>
      </c>
      <c r="C1626" t="s">
        <v>56</v>
      </c>
      <c r="D1626" t="str" cm="1">
        <f t="array" ref="D1626">INDEX(_xlfn.TEXTSPLIT(C1626,"_"),3)</f>
        <v>haca-colorlast-q3</v>
      </c>
      <c r="E1626" t="str">
        <f>VLOOKUP(D1626,FranchiseMapping!$A$1:$B$15,2,FALSE)</f>
        <v>Color Last</v>
      </c>
      <c r="F1626" s="1">
        <v>44927</v>
      </c>
      <c r="G1626" t="s">
        <v>10</v>
      </c>
      <c r="H1626" s="2">
        <v>45108</v>
      </c>
      <c r="I1626" s="3">
        <v>45118</v>
      </c>
      <c r="J1626" s="3">
        <f t="shared" si="25"/>
        <v>45122</v>
      </c>
      <c r="K1626" s="4">
        <v>2095.2900020000002</v>
      </c>
      <c r="L1626">
        <v>314378</v>
      </c>
    </row>
    <row r="1627" spans="1:12" x14ac:dyDescent="0.35">
      <c r="A1627" t="s">
        <v>8</v>
      </c>
      <c r="B1627" t="s">
        <v>14</v>
      </c>
      <c r="C1627" t="s">
        <v>47</v>
      </c>
      <c r="D1627" t="str" cm="1">
        <f t="array" ref="D1627">INDEX(_xlfn.TEXTSPLIT(C1627,"_"),3)</f>
        <v>hys</v>
      </c>
      <c r="E1627" t="str">
        <f>VLOOKUP(D1627,FranchiseMapping!$A$1:$B$15,2,FALSE)</f>
        <v>Hydrasource</v>
      </c>
      <c r="F1627" s="1">
        <v>45658</v>
      </c>
      <c r="G1627" t="s">
        <v>10</v>
      </c>
      <c r="H1627" s="2">
        <v>45748</v>
      </c>
      <c r="I1627" s="3">
        <v>45764</v>
      </c>
      <c r="J1627" s="3">
        <f t="shared" si="25"/>
        <v>45766</v>
      </c>
      <c r="K1627" s="4">
        <v>51.52</v>
      </c>
      <c r="L1627">
        <v>13593</v>
      </c>
    </row>
    <row r="1628" spans="1:12" x14ac:dyDescent="0.35">
      <c r="A1628" t="s">
        <v>8</v>
      </c>
      <c r="B1628" t="s">
        <v>9</v>
      </c>
      <c r="C1628" t="s">
        <v>54</v>
      </c>
      <c r="D1628" t="str" cm="1">
        <f t="array" ref="D1628">INDEX(_xlfn.TEXTSPLIT(C1628,"_"),3)</f>
        <v>scalp</v>
      </c>
      <c r="E1628" t="str">
        <f>VLOOKUP(D1628,FranchiseMapping!$A$1:$B$15,2,FALSE)</f>
        <v>Scalp Sync</v>
      </c>
      <c r="F1628" s="1">
        <v>45292</v>
      </c>
      <c r="G1628" t="s">
        <v>10</v>
      </c>
      <c r="H1628" s="2">
        <v>45352</v>
      </c>
      <c r="I1628" s="3">
        <v>45373</v>
      </c>
      <c r="J1628" s="3">
        <f t="shared" si="25"/>
        <v>45374</v>
      </c>
      <c r="K1628" s="4">
        <v>2141.48</v>
      </c>
      <c r="L1628">
        <v>484303</v>
      </c>
    </row>
    <row r="1629" spans="1:12" x14ac:dyDescent="0.35">
      <c r="A1629" t="s">
        <v>8</v>
      </c>
      <c r="B1629" t="s">
        <v>13</v>
      </c>
      <c r="C1629" t="s">
        <v>51</v>
      </c>
      <c r="D1629" t="str" cm="1">
        <f t="array" ref="D1629">INDEX(_xlfn.TEXTSPLIT(C1629,"_"),3)</f>
        <v>na</v>
      </c>
      <c r="E1629" t="str">
        <f>VLOOKUP(D1629,FranchiseMapping!$A$1:$B$15,2,FALSE)</f>
        <v>Biolage</v>
      </c>
      <c r="F1629" s="1">
        <v>44927</v>
      </c>
      <c r="G1629" t="s">
        <v>11</v>
      </c>
      <c r="H1629" s="2">
        <v>45108</v>
      </c>
      <c r="I1629" s="3">
        <v>45127</v>
      </c>
      <c r="J1629" s="3">
        <f t="shared" si="25"/>
        <v>45129</v>
      </c>
      <c r="K1629" s="4">
        <v>635.57075199999997</v>
      </c>
      <c r="L1629">
        <v>405135</v>
      </c>
    </row>
    <row r="1630" spans="1:12" x14ac:dyDescent="0.35">
      <c r="A1630" t="s">
        <v>8</v>
      </c>
      <c r="B1630" t="s">
        <v>9</v>
      </c>
      <c r="C1630" t="s">
        <v>52</v>
      </c>
      <c r="D1630" t="str" cm="1">
        <f t="array" ref="D1630">INDEX(_xlfn.TEXTSPLIT(C1630,"_"),3)</f>
        <v>bond-therapy</v>
      </c>
      <c r="E1630" t="str">
        <f>VLOOKUP(D1630,FranchiseMapping!$A$1:$B$15,2,FALSE)</f>
        <v>Bond Therapy</v>
      </c>
      <c r="F1630" s="1">
        <v>44927</v>
      </c>
      <c r="G1630" t="s">
        <v>11</v>
      </c>
      <c r="H1630" s="2">
        <v>45231</v>
      </c>
      <c r="I1630" s="3">
        <v>45254</v>
      </c>
      <c r="J1630" s="3">
        <f t="shared" si="25"/>
        <v>45255</v>
      </c>
      <c r="K1630" s="4">
        <v>2767.3300039999999</v>
      </c>
      <c r="L1630">
        <v>400019</v>
      </c>
    </row>
    <row r="1631" spans="1:12" x14ac:dyDescent="0.35">
      <c r="A1631" t="s">
        <v>8</v>
      </c>
      <c r="B1631" t="s">
        <v>9</v>
      </c>
      <c r="C1631" t="s">
        <v>54</v>
      </c>
      <c r="D1631" t="str" cm="1">
        <f t="array" ref="D1631">INDEX(_xlfn.TEXTSPLIT(C1631,"_"),3)</f>
        <v>scalp</v>
      </c>
      <c r="E1631" t="str">
        <f>VLOOKUP(D1631,FranchiseMapping!$A$1:$B$15,2,FALSE)</f>
        <v>Scalp Sync</v>
      </c>
      <c r="F1631" s="1">
        <v>45292</v>
      </c>
      <c r="G1631" t="s">
        <v>10</v>
      </c>
      <c r="H1631" s="2">
        <v>45383</v>
      </c>
      <c r="I1631" s="3">
        <v>45390</v>
      </c>
      <c r="J1631" s="3">
        <f t="shared" si="25"/>
        <v>45395</v>
      </c>
      <c r="K1631" s="4">
        <v>2367.1500040000001</v>
      </c>
      <c r="L1631">
        <v>566712</v>
      </c>
    </row>
    <row r="1632" spans="1:12" x14ac:dyDescent="0.35">
      <c r="A1632" t="s">
        <v>8</v>
      </c>
      <c r="B1632" t="s">
        <v>14</v>
      </c>
      <c r="C1632" t="s">
        <v>43</v>
      </c>
      <c r="D1632" t="str" cm="1">
        <f t="array" ref="D1632">INDEX(_xlfn.TEXTSPLIT(C1632,"_"),3)</f>
        <v>bfr</v>
      </c>
      <c r="E1632" t="str">
        <f>VLOOKUP(D1632,FranchiseMapping!$A$1:$B$15,2,FALSE)</f>
        <v>Full Rescue</v>
      </c>
      <c r="F1632" s="1">
        <v>45658</v>
      </c>
      <c r="G1632" t="s">
        <v>10</v>
      </c>
      <c r="H1632" s="2">
        <v>45809</v>
      </c>
      <c r="I1632" s="3">
        <v>45833</v>
      </c>
      <c r="J1632" s="3">
        <f t="shared" si="25"/>
        <v>45836</v>
      </c>
      <c r="K1632" s="4">
        <v>5650.42</v>
      </c>
      <c r="L1632">
        <v>952491</v>
      </c>
    </row>
    <row r="1633" spans="1:12" x14ac:dyDescent="0.35">
      <c r="A1633" t="s">
        <v>8</v>
      </c>
      <c r="B1633" t="s">
        <v>9</v>
      </c>
      <c r="C1633" t="s">
        <v>68</v>
      </c>
      <c r="D1633" t="str" cm="1">
        <f t="array" ref="D1633">INDEX(_xlfn.TEXTSPLIT(C1633,"_"),3)</f>
        <v>na</v>
      </c>
      <c r="E1633" t="str">
        <f>VLOOKUP(D1633,FranchiseMapping!$A$1:$B$15,2,FALSE)</f>
        <v>Biolage</v>
      </c>
      <c r="F1633" s="1">
        <v>44927</v>
      </c>
      <c r="G1633" t="s">
        <v>11</v>
      </c>
      <c r="H1633" s="2">
        <v>45231</v>
      </c>
      <c r="I1633" s="3">
        <v>45237</v>
      </c>
      <c r="J1633" s="3">
        <f t="shared" si="25"/>
        <v>45241</v>
      </c>
      <c r="K1633" s="4">
        <v>331.98999999999995</v>
      </c>
      <c r="L1633">
        <v>40831</v>
      </c>
    </row>
    <row r="1634" spans="1:12" x14ac:dyDescent="0.35">
      <c r="A1634" t="s">
        <v>8</v>
      </c>
      <c r="B1634" t="s">
        <v>9</v>
      </c>
      <c r="C1634" t="s">
        <v>36</v>
      </c>
      <c r="D1634" t="str" cm="1">
        <f t="array" ref="D1634">INDEX(_xlfn.TEXTSPLIT(C1634,"_"),3)</f>
        <v>bfr</v>
      </c>
      <c r="E1634" t="str">
        <f>VLOOKUP(D1634,FranchiseMapping!$A$1:$B$15,2,FALSE)</f>
        <v>Full Rescue</v>
      </c>
      <c r="F1634" s="1">
        <v>45658</v>
      </c>
      <c r="G1634" t="s">
        <v>12</v>
      </c>
      <c r="H1634" s="2">
        <v>45778</v>
      </c>
      <c r="I1634" s="3">
        <v>45799</v>
      </c>
      <c r="J1634" s="3">
        <f t="shared" si="25"/>
        <v>45801</v>
      </c>
      <c r="K1634" s="4">
        <v>2418.98</v>
      </c>
      <c r="L1634">
        <v>381755</v>
      </c>
    </row>
    <row r="1635" spans="1:12" x14ac:dyDescent="0.35">
      <c r="A1635" t="s">
        <v>8</v>
      </c>
      <c r="B1635" t="s">
        <v>13</v>
      </c>
      <c r="C1635" t="s">
        <v>39</v>
      </c>
      <c r="D1635" t="str" cm="1">
        <f t="array" ref="D1635">INDEX(_xlfn.TEXTSPLIT(C1635,"_"),3)</f>
        <v>scalp-sync</v>
      </c>
      <c r="E1635" t="str">
        <f>VLOOKUP(D1635,FranchiseMapping!$A$1:$B$15,2,FALSE)</f>
        <v>Scalp Sync</v>
      </c>
      <c r="F1635" s="1">
        <v>45292</v>
      </c>
      <c r="G1635" t="s">
        <v>12</v>
      </c>
      <c r="H1635" s="2">
        <v>45413</v>
      </c>
      <c r="I1635" s="3">
        <v>45429</v>
      </c>
      <c r="J1635" s="3">
        <f t="shared" si="25"/>
        <v>45430</v>
      </c>
      <c r="K1635" s="4">
        <v>1688.6713340000001</v>
      </c>
      <c r="L1635">
        <v>419387</v>
      </c>
    </row>
    <row r="1636" spans="1:12" x14ac:dyDescent="0.35">
      <c r="A1636" t="s">
        <v>8</v>
      </c>
      <c r="B1636" t="s">
        <v>13</v>
      </c>
      <c r="C1636" t="s">
        <v>28</v>
      </c>
      <c r="D1636" t="str" cm="1">
        <f t="array" ref="D1636">INDEX(_xlfn.TEXTSPLIT(C1636,"_"),3)</f>
        <v>na</v>
      </c>
      <c r="E1636" t="str">
        <f>VLOOKUP(D1636,FranchiseMapping!$A$1:$B$15,2,FALSE)</f>
        <v>Biolage</v>
      </c>
      <c r="F1636" s="1">
        <v>44927</v>
      </c>
      <c r="G1636" t="s">
        <v>10</v>
      </c>
      <c r="H1636" s="2">
        <v>45108</v>
      </c>
      <c r="I1636" s="3">
        <v>45123</v>
      </c>
      <c r="J1636" s="3">
        <f t="shared" si="25"/>
        <v>45129</v>
      </c>
      <c r="K1636" s="4">
        <v>952.54618300000004</v>
      </c>
      <c r="L1636">
        <v>165240</v>
      </c>
    </row>
    <row r="1637" spans="1:12" x14ac:dyDescent="0.35">
      <c r="A1637" t="s">
        <v>8</v>
      </c>
      <c r="B1637" t="s">
        <v>13</v>
      </c>
      <c r="C1637" t="s">
        <v>42</v>
      </c>
      <c r="D1637" t="str" cm="1">
        <f t="array" ref="D1637">INDEX(_xlfn.TEXTSPLIT(C1637,"_"),3)</f>
        <v>bfr</v>
      </c>
      <c r="E1637" t="str">
        <f>VLOOKUP(D1637,FranchiseMapping!$A$1:$B$15,2,FALSE)</f>
        <v>Full Rescue</v>
      </c>
      <c r="F1637" s="1">
        <v>45658</v>
      </c>
      <c r="G1637" t="s">
        <v>10</v>
      </c>
      <c r="H1637" s="2">
        <v>45809</v>
      </c>
      <c r="I1637" s="3">
        <v>45817</v>
      </c>
      <c r="J1637" s="3">
        <f t="shared" si="25"/>
        <v>45822</v>
      </c>
      <c r="K1637" s="4">
        <v>437.09902599999998</v>
      </c>
      <c r="L1637">
        <v>198186</v>
      </c>
    </row>
    <row r="1638" spans="1:12" x14ac:dyDescent="0.35">
      <c r="A1638" t="s">
        <v>8</v>
      </c>
      <c r="B1638" t="s">
        <v>9</v>
      </c>
      <c r="C1638" t="s">
        <v>48</v>
      </c>
      <c r="D1638" t="str" cm="1">
        <f t="array" ref="D1638">INDEX(_xlfn.TEXTSPLIT(C1638,"_"),3)</f>
        <v>scalp</v>
      </c>
      <c r="E1638" t="str">
        <f>VLOOKUP(D1638,FranchiseMapping!$A$1:$B$15,2,FALSE)</f>
        <v>Scalp Sync</v>
      </c>
      <c r="F1638" s="1">
        <v>45292</v>
      </c>
      <c r="G1638" t="s">
        <v>10</v>
      </c>
      <c r="H1638" s="2">
        <v>45352</v>
      </c>
      <c r="I1638" s="3">
        <v>45378</v>
      </c>
      <c r="J1638" s="3">
        <f t="shared" si="25"/>
        <v>45381</v>
      </c>
      <c r="K1638" s="4">
        <v>361.68000000000006</v>
      </c>
      <c r="L1638">
        <v>75577</v>
      </c>
    </row>
    <row r="1639" spans="1:12" x14ac:dyDescent="0.35">
      <c r="A1639" t="s">
        <v>8</v>
      </c>
      <c r="B1639" t="s">
        <v>14</v>
      </c>
      <c r="C1639" t="s">
        <v>47</v>
      </c>
      <c r="D1639" t="str" cm="1">
        <f t="array" ref="D1639">INDEX(_xlfn.TEXTSPLIT(C1639,"_"),3)</f>
        <v>hys</v>
      </c>
      <c r="E1639" t="str">
        <f>VLOOKUP(D1639,FranchiseMapping!$A$1:$B$15,2,FALSE)</f>
        <v>Hydrasource</v>
      </c>
      <c r="F1639" s="1">
        <v>45658</v>
      </c>
      <c r="G1639" t="s">
        <v>10</v>
      </c>
      <c r="H1639" s="2">
        <v>45748</v>
      </c>
      <c r="I1639" s="3">
        <v>45758</v>
      </c>
      <c r="J1639" s="3">
        <f t="shared" si="25"/>
        <v>45759</v>
      </c>
      <c r="K1639" s="4">
        <v>1013.5500000000001</v>
      </c>
      <c r="L1639">
        <v>236843</v>
      </c>
    </row>
    <row r="1640" spans="1:12" x14ac:dyDescent="0.35">
      <c r="A1640" t="s">
        <v>8</v>
      </c>
      <c r="B1640" t="s">
        <v>9</v>
      </c>
      <c r="C1640" t="s">
        <v>30</v>
      </c>
      <c r="D1640" t="str" cm="1">
        <f t="array" ref="D1640">INDEX(_xlfn.TEXTSPLIT(C1640,"_"),3)</f>
        <v>q3-haca-colorlast</v>
      </c>
      <c r="E1640" t="str">
        <f>VLOOKUP(D1640,FranchiseMapping!$A$1:$B$15,2,FALSE)</f>
        <v>Color Last</v>
      </c>
      <c r="F1640" s="1">
        <v>44927</v>
      </c>
      <c r="G1640" t="s">
        <v>10</v>
      </c>
      <c r="H1640" s="2">
        <v>45139</v>
      </c>
      <c r="I1640" s="3">
        <v>45141</v>
      </c>
      <c r="J1640" s="3">
        <f t="shared" si="25"/>
        <v>45143</v>
      </c>
      <c r="K1640" s="4">
        <v>2508.58</v>
      </c>
      <c r="L1640">
        <v>400011</v>
      </c>
    </row>
    <row r="1641" spans="1:12" x14ac:dyDescent="0.35">
      <c r="A1641" t="s">
        <v>8</v>
      </c>
      <c r="B1641" t="s">
        <v>9</v>
      </c>
      <c r="C1641" t="s">
        <v>35</v>
      </c>
      <c r="D1641" t="str" cm="1">
        <f t="array" ref="D1641">INDEX(_xlfn.TEXTSPLIT(C1641,"_"),3)</f>
        <v>bfr</v>
      </c>
      <c r="E1641" t="str">
        <f>VLOOKUP(D1641,FranchiseMapping!$A$1:$B$15,2,FALSE)</f>
        <v>Full Rescue</v>
      </c>
      <c r="F1641" s="1">
        <v>45658</v>
      </c>
      <c r="G1641" t="s">
        <v>12</v>
      </c>
      <c r="H1641" s="2">
        <v>45809</v>
      </c>
      <c r="I1641" s="3">
        <v>45832</v>
      </c>
      <c r="J1641" s="3">
        <f t="shared" si="25"/>
        <v>45836</v>
      </c>
      <c r="K1641" s="4">
        <v>1446.79</v>
      </c>
      <c r="L1641">
        <v>120775</v>
      </c>
    </row>
    <row r="1642" spans="1:12" x14ac:dyDescent="0.35">
      <c r="A1642" t="s">
        <v>8</v>
      </c>
      <c r="B1642" t="s">
        <v>14</v>
      </c>
      <c r="C1642" t="s">
        <v>47</v>
      </c>
      <c r="D1642" t="str" cm="1">
        <f t="array" ref="D1642">INDEX(_xlfn.TEXTSPLIT(C1642,"_"),3)</f>
        <v>hys</v>
      </c>
      <c r="E1642" t="str">
        <f>VLOOKUP(D1642,FranchiseMapping!$A$1:$B$15,2,FALSE)</f>
        <v>Hydrasource</v>
      </c>
      <c r="F1642" s="1">
        <v>45658</v>
      </c>
      <c r="G1642" t="s">
        <v>10</v>
      </c>
      <c r="H1642" s="2">
        <v>45748</v>
      </c>
      <c r="I1642" s="3">
        <v>45757</v>
      </c>
      <c r="J1642" s="3">
        <f t="shared" si="25"/>
        <v>45759</v>
      </c>
      <c r="K1642" s="4">
        <v>1409.04</v>
      </c>
      <c r="L1642">
        <v>309678</v>
      </c>
    </row>
    <row r="1643" spans="1:12" x14ac:dyDescent="0.35">
      <c r="A1643" t="s">
        <v>8</v>
      </c>
      <c r="B1643" t="s">
        <v>9</v>
      </c>
      <c r="C1643" t="s">
        <v>53</v>
      </c>
      <c r="D1643" t="str" cm="1">
        <f t="array" ref="D1643">INDEX(_xlfn.TEXTSPLIT(C1643,"_"),3)</f>
        <v>bond-therapy</v>
      </c>
      <c r="E1643" t="str">
        <f>VLOOKUP(D1643,FranchiseMapping!$A$1:$B$15,2,FALSE)</f>
        <v>Bond Therapy</v>
      </c>
      <c r="F1643" s="1">
        <v>44927</v>
      </c>
      <c r="G1643" t="s">
        <v>11</v>
      </c>
      <c r="H1643" s="2">
        <v>45231</v>
      </c>
      <c r="I1643" s="3">
        <v>45246</v>
      </c>
      <c r="J1643" s="3">
        <f t="shared" si="25"/>
        <v>45248</v>
      </c>
      <c r="K1643" s="4">
        <v>1262.630001</v>
      </c>
      <c r="L1643">
        <v>200012</v>
      </c>
    </row>
    <row r="1644" spans="1:12" x14ac:dyDescent="0.35">
      <c r="A1644" t="s">
        <v>8</v>
      </c>
      <c r="B1644" t="s">
        <v>9</v>
      </c>
      <c r="C1644" t="s">
        <v>65</v>
      </c>
      <c r="D1644" t="str" cm="1">
        <f t="array" ref="D1644">INDEX(_xlfn.TEXTSPLIT(C1644,"_"),3)</f>
        <v>prime-day</v>
      </c>
      <c r="E1644" t="str">
        <f>VLOOKUP(D1644,FranchiseMapping!$A$1:$B$15,2,FALSE)</f>
        <v>Prime Day</v>
      </c>
      <c r="F1644" s="1">
        <v>45292</v>
      </c>
      <c r="G1644" t="s">
        <v>10</v>
      </c>
      <c r="H1644" s="2">
        <v>45474</v>
      </c>
      <c r="I1644" s="3">
        <v>45485</v>
      </c>
      <c r="J1644" s="3">
        <f t="shared" si="25"/>
        <v>45486</v>
      </c>
      <c r="K1644" s="4">
        <v>2430.0099959999993</v>
      </c>
      <c r="L1644">
        <v>195763</v>
      </c>
    </row>
    <row r="1645" spans="1:12" x14ac:dyDescent="0.35">
      <c r="A1645" t="s">
        <v>8</v>
      </c>
      <c r="B1645" t="s">
        <v>9</v>
      </c>
      <c r="C1645" t="s">
        <v>68</v>
      </c>
      <c r="D1645" t="str" cm="1">
        <f t="array" ref="D1645">INDEX(_xlfn.TEXTSPLIT(C1645,"_"),3)</f>
        <v>na</v>
      </c>
      <c r="E1645" t="str">
        <f>VLOOKUP(D1645,FranchiseMapping!$A$1:$B$15,2,FALSE)</f>
        <v>Biolage</v>
      </c>
      <c r="F1645" s="1">
        <v>44927</v>
      </c>
      <c r="G1645" t="s">
        <v>11</v>
      </c>
      <c r="H1645" s="2">
        <v>45231</v>
      </c>
      <c r="I1645" s="3">
        <v>45240</v>
      </c>
      <c r="J1645" s="3">
        <f t="shared" si="25"/>
        <v>45241</v>
      </c>
      <c r="K1645" s="4">
        <v>291.95999999999998</v>
      </c>
      <c r="L1645">
        <v>29167</v>
      </c>
    </row>
    <row r="1646" spans="1:12" x14ac:dyDescent="0.35">
      <c r="A1646" t="s">
        <v>8</v>
      </c>
      <c r="B1646" t="s">
        <v>9</v>
      </c>
      <c r="C1646" t="s">
        <v>55</v>
      </c>
      <c r="D1646" t="str" cm="1">
        <f t="array" ref="D1646">INDEX(_xlfn.TEXTSPLIT(C1646,"_"),3)</f>
        <v>hydrasource</v>
      </c>
      <c r="E1646" t="str">
        <f>VLOOKUP(D1646,FranchiseMapping!$A$1:$B$15,2,FALSE)</f>
        <v>Hydrasource</v>
      </c>
      <c r="F1646" s="1">
        <v>45292</v>
      </c>
      <c r="G1646" t="s">
        <v>12</v>
      </c>
      <c r="H1646" s="2">
        <v>45566</v>
      </c>
      <c r="I1646" s="3">
        <v>45578</v>
      </c>
      <c r="J1646" s="3">
        <f t="shared" si="25"/>
        <v>45584</v>
      </c>
      <c r="K1646" s="4">
        <v>3833.6000040000004</v>
      </c>
      <c r="L1646">
        <v>719202</v>
      </c>
    </row>
    <row r="1647" spans="1:12" x14ac:dyDescent="0.35">
      <c r="A1647" t="s">
        <v>8</v>
      </c>
      <c r="B1647" t="s">
        <v>14</v>
      </c>
      <c r="C1647" t="s">
        <v>43</v>
      </c>
      <c r="D1647" t="str" cm="1">
        <f t="array" ref="D1647">INDEX(_xlfn.TEXTSPLIT(C1647,"_"),3)</f>
        <v>bfr</v>
      </c>
      <c r="E1647" t="str">
        <f>VLOOKUP(D1647,FranchiseMapping!$A$1:$B$15,2,FALSE)</f>
        <v>Full Rescue</v>
      </c>
      <c r="F1647" s="1">
        <v>45658</v>
      </c>
      <c r="G1647" t="s">
        <v>12</v>
      </c>
      <c r="H1647" s="2">
        <v>45809</v>
      </c>
      <c r="I1647" s="3">
        <v>45810</v>
      </c>
      <c r="J1647" s="3">
        <f t="shared" si="25"/>
        <v>45815</v>
      </c>
      <c r="K1647" s="4">
        <v>4033.5299999999997</v>
      </c>
      <c r="L1647">
        <v>1002994</v>
      </c>
    </row>
    <row r="1648" spans="1:12" x14ac:dyDescent="0.35">
      <c r="A1648" t="s">
        <v>8</v>
      </c>
      <c r="B1648" t="s">
        <v>9</v>
      </c>
      <c r="C1648" t="s">
        <v>36</v>
      </c>
      <c r="D1648" t="str" cm="1">
        <f t="array" ref="D1648">INDEX(_xlfn.TEXTSPLIT(C1648,"_"),3)</f>
        <v>bfr</v>
      </c>
      <c r="E1648" t="str">
        <f>VLOOKUP(D1648,FranchiseMapping!$A$1:$B$15,2,FALSE)</f>
        <v>Full Rescue</v>
      </c>
      <c r="F1648" s="1">
        <v>45658</v>
      </c>
      <c r="G1648" t="s">
        <v>10</v>
      </c>
      <c r="H1648" s="2">
        <v>45809</v>
      </c>
      <c r="I1648" s="3">
        <v>45810</v>
      </c>
      <c r="J1648" s="3">
        <f t="shared" si="25"/>
        <v>45815</v>
      </c>
      <c r="K1648" s="4">
        <v>1396.7399949999999</v>
      </c>
      <c r="L1648">
        <v>215210</v>
      </c>
    </row>
    <row r="1649" spans="1:12" x14ac:dyDescent="0.35">
      <c r="A1649" t="s">
        <v>8</v>
      </c>
      <c r="B1649" t="s">
        <v>9</v>
      </c>
      <c r="C1649" t="s">
        <v>31</v>
      </c>
      <c r="D1649" t="str" cm="1">
        <f t="array" ref="D1649">INDEX(_xlfn.TEXTSPLIT(C1649,"_"),3)</f>
        <v>scalp</v>
      </c>
      <c r="E1649" t="str">
        <f>VLOOKUP(D1649,FranchiseMapping!$A$1:$B$15,2,FALSE)</f>
        <v>Scalp Sync</v>
      </c>
      <c r="F1649" s="1">
        <v>45292</v>
      </c>
      <c r="G1649" t="s">
        <v>12</v>
      </c>
      <c r="H1649" s="2">
        <v>45383</v>
      </c>
      <c r="I1649" s="3">
        <v>45385</v>
      </c>
      <c r="J1649" s="3">
        <f t="shared" si="25"/>
        <v>45388</v>
      </c>
      <c r="K1649" s="4">
        <v>1229.3599949999998</v>
      </c>
      <c r="L1649">
        <v>214539</v>
      </c>
    </row>
    <row r="1650" spans="1:12" x14ac:dyDescent="0.35">
      <c r="A1650" t="s">
        <v>8</v>
      </c>
      <c r="B1650" t="s">
        <v>9</v>
      </c>
      <c r="C1650" t="s">
        <v>41</v>
      </c>
      <c r="D1650" t="str" cm="1">
        <f t="array" ref="D1650">INDEX(_xlfn.TEXTSPLIT(C1650,"_"),3)</f>
        <v>hys</v>
      </c>
      <c r="E1650" t="str">
        <f>VLOOKUP(D1650,FranchiseMapping!$A$1:$B$15,2,FALSE)</f>
        <v>Hydrasource</v>
      </c>
      <c r="F1650" s="1">
        <v>45658</v>
      </c>
      <c r="G1650" t="s">
        <v>12</v>
      </c>
      <c r="H1650" s="2">
        <v>45748</v>
      </c>
      <c r="I1650" s="3">
        <v>45770</v>
      </c>
      <c r="J1650" s="3">
        <f t="shared" si="25"/>
        <v>45773</v>
      </c>
      <c r="K1650" s="4">
        <v>3752.9800000000014</v>
      </c>
      <c r="L1650">
        <v>346277</v>
      </c>
    </row>
    <row r="1651" spans="1:12" x14ac:dyDescent="0.35">
      <c r="A1651" t="s">
        <v>8</v>
      </c>
      <c r="B1651" t="s">
        <v>9</v>
      </c>
      <c r="C1651" t="s">
        <v>31</v>
      </c>
      <c r="D1651" t="str" cm="1">
        <f t="array" ref="D1651">INDEX(_xlfn.TEXTSPLIT(C1651,"_"),3)</f>
        <v>scalp</v>
      </c>
      <c r="E1651" t="str">
        <f>VLOOKUP(D1651,FranchiseMapping!$A$1:$B$15,2,FALSE)</f>
        <v>Scalp Sync</v>
      </c>
      <c r="F1651" s="1">
        <v>45292</v>
      </c>
      <c r="G1651" t="s">
        <v>10</v>
      </c>
      <c r="H1651" s="2">
        <v>45383</v>
      </c>
      <c r="I1651" s="3">
        <v>45386</v>
      </c>
      <c r="J1651" s="3">
        <f t="shared" si="25"/>
        <v>45388</v>
      </c>
      <c r="K1651" s="4">
        <v>169.95000099999999</v>
      </c>
      <c r="L1651">
        <v>26576</v>
      </c>
    </row>
    <row r="1652" spans="1:12" x14ac:dyDescent="0.35">
      <c r="A1652" t="s">
        <v>8</v>
      </c>
      <c r="B1652" t="s">
        <v>13</v>
      </c>
      <c r="C1652" t="s">
        <v>62</v>
      </c>
      <c r="D1652" t="str" cm="1">
        <f t="array" ref="D1652">INDEX(_xlfn.TEXTSPLIT(C1652,"_"),3)</f>
        <v>na</v>
      </c>
      <c r="E1652" t="str">
        <f>VLOOKUP(D1652,FranchiseMapping!$A$1:$B$15,2,FALSE)</f>
        <v>Biolage</v>
      </c>
      <c r="F1652" s="1">
        <v>44927</v>
      </c>
      <c r="G1652" t="s">
        <v>12</v>
      </c>
      <c r="H1652" s="2">
        <v>45108</v>
      </c>
      <c r="I1652" s="3">
        <v>45114</v>
      </c>
      <c r="J1652" s="3">
        <f t="shared" si="25"/>
        <v>45115</v>
      </c>
      <c r="K1652" s="4">
        <v>1278.15986</v>
      </c>
      <c r="L1652">
        <v>348854</v>
      </c>
    </row>
    <row r="1653" spans="1:12" x14ac:dyDescent="0.35">
      <c r="A1653" t="s">
        <v>8</v>
      </c>
      <c r="B1653" t="s">
        <v>9</v>
      </c>
      <c r="C1653" t="s">
        <v>46</v>
      </c>
      <c r="D1653" t="str" cm="1">
        <f t="array" ref="D1653">INDEX(_xlfn.TEXTSPLIT(C1653,"_"),3)</f>
        <v>mult</v>
      </c>
      <c r="E1653" t="str">
        <f>VLOOKUP(D1653,FranchiseMapping!$A$1:$B$15,2,FALSE)</f>
        <v>Biolage</v>
      </c>
      <c r="F1653" s="1">
        <v>45658</v>
      </c>
      <c r="G1653" t="s">
        <v>10</v>
      </c>
      <c r="H1653" s="2">
        <v>45748</v>
      </c>
      <c r="I1653" s="3">
        <v>45773</v>
      </c>
      <c r="J1653" s="3">
        <f t="shared" si="25"/>
        <v>45773</v>
      </c>
      <c r="K1653" s="4">
        <v>811.50999999999976</v>
      </c>
      <c r="L1653">
        <v>160156</v>
      </c>
    </row>
    <row r="1654" spans="1:12" x14ac:dyDescent="0.35">
      <c r="A1654" t="s">
        <v>8</v>
      </c>
      <c r="B1654" t="s">
        <v>9</v>
      </c>
      <c r="C1654" t="s">
        <v>41</v>
      </c>
      <c r="D1654" t="str" cm="1">
        <f t="array" ref="D1654">INDEX(_xlfn.TEXTSPLIT(C1654,"_"),3)</f>
        <v>hys</v>
      </c>
      <c r="E1654" t="str">
        <f>VLOOKUP(D1654,FranchiseMapping!$A$1:$B$15,2,FALSE)</f>
        <v>Hydrasource</v>
      </c>
      <c r="F1654" s="1">
        <v>45658</v>
      </c>
      <c r="G1654" t="s">
        <v>12</v>
      </c>
      <c r="H1654" s="2">
        <v>45748</v>
      </c>
      <c r="I1654" s="3">
        <v>45777</v>
      </c>
      <c r="J1654" s="3">
        <f t="shared" si="25"/>
        <v>45780</v>
      </c>
      <c r="K1654" s="4">
        <v>3562.1699960000001</v>
      </c>
      <c r="L1654">
        <v>348695</v>
      </c>
    </row>
    <row r="1655" spans="1:12" x14ac:dyDescent="0.35">
      <c r="A1655" t="s">
        <v>8</v>
      </c>
      <c r="B1655" t="s">
        <v>9</v>
      </c>
      <c r="C1655" t="s">
        <v>67</v>
      </c>
      <c r="D1655" t="str" cm="1">
        <f t="array" ref="D1655">INDEX(_xlfn.TEXTSPLIT(C1655,"_"),3)</f>
        <v>prime-day</v>
      </c>
      <c r="E1655" t="str">
        <f>VLOOKUP(D1655,FranchiseMapping!$A$1:$B$15,2,FALSE)</f>
        <v>Prime Day</v>
      </c>
      <c r="F1655" s="1">
        <v>45292</v>
      </c>
      <c r="G1655" t="s">
        <v>10</v>
      </c>
      <c r="H1655" s="2">
        <v>45474</v>
      </c>
      <c r="I1655" s="3">
        <v>45486</v>
      </c>
      <c r="J1655" s="3">
        <f t="shared" si="25"/>
        <v>45486</v>
      </c>
      <c r="K1655" s="4">
        <v>2470.1199799999999</v>
      </c>
      <c r="L1655">
        <v>201545</v>
      </c>
    </row>
    <row r="1656" spans="1:12" x14ac:dyDescent="0.35">
      <c r="A1656" t="s">
        <v>8</v>
      </c>
      <c r="B1656" t="s">
        <v>9</v>
      </c>
      <c r="C1656" t="s">
        <v>38</v>
      </c>
      <c r="D1656" t="str" cm="1">
        <f t="array" ref="D1656">INDEX(_xlfn.TEXTSPLIT(C1656,"_"),3)</f>
        <v>hys</v>
      </c>
      <c r="E1656" t="str">
        <f>VLOOKUP(D1656,FranchiseMapping!$A$1:$B$15,2,FALSE)</f>
        <v>Hydrasource</v>
      </c>
      <c r="F1656" s="1">
        <v>45658</v>
      </c>
      <c r="G1656" t="s">
        <v>12</v>
      </c>
      <c r="H1656" s="2">
        <v>45748</v>
      </c>
      <c r="I1656" s="3">
        <v>45763</v>
      </c>
      <c r="J1656" s="3">
        <f t="shared" si="25"/>
        <v>45766</v>
      </c>
      <c r="K1656" s="4">
        <v>2244.9600009999999</v>
      </c>
      <c r="L1656">
        <v>306230</v>
      </c>
    </row>
    <row r="1657" spans="1:12" x14ac:dyDescent="0.35">
      <c r="A1657" t="s">
        <v>8</v>
      </c>
      <c r="B1657" t="s">
        <v>9</v>
      </c>
      <c r="C1657" t="s">
        <v>54</v>
      </c>
      <c r="D1657" t="str" cm="1">
        <f t="array" ref="D1657">INDEX(_xlfn.TEXTSPLIT(C1657,"_"),3)</f>
        <v>scalp</v>
      </c>
      <c r="E1657" t="str">
        <f>VLOOKUP(D1657,FranchiseMapping!$A$1:$B$15,2,FALSE)</f>
        <v>Scalp Sync</v>
      </c>
      <c r="F1657" s="1">
        <v>45292</v>
      </c>
      <c r="G1657" t="s">
        <v>10</v>
      </c>
      <c r="H1657" s="2">
        <v>45352</v>
      </c>
      <c r="I1657" s="3">
        <v>45368</v>
      </c>
      <c r="J1657" s="3">
        <f t="shared" si="25"/>
        <v>45374</v>
      </c>
      <c r="K1657" s="4">
        <v>2425.8100000000004</v>
      </c>
      <c r="L1657">
        <v>586294</v>
      </c>
    </row>
    <row r="1658" spans="1:12" x14ac:dyDescent="0.35">
      <c r="A1658" t="s">
        <v>8</v>
      </c>
      <c r="B1658" t="s">
        <v>9</v>
      </c>
      <c r="C1658" t="s">
        <v>48</v>
      </c>
      <c r="D1658" t="str" cm="1">
        <f t="array" ref="D1658">INDEX(_xlfn.TEXTSPLIT(C1658,"_"),3)</f>
        <v>scalp</v>
      </c>
      <c r="E1658" t="str">
        <f>VLOOKUP(D1658,FranchiseMapping!$A$1:$B$15,2,FALSE)</f>
        <v>Scalp Sync</v>
      </c>
      <c r="F1658" s="1">
        <v>45292</v>
      </c>
      <c r="G1658" t="s">
        <v>10</v>
      </c>
      <c r="H1658" s="2">
        <v>45352</v>
      </c>
      <c r="I1658" s="3">
        <v>45369</v>
      </c>
      <c r="J1658" s="3">
        <f t="shared" si="25"/>
        <v>45374</v>
      </c>
      <c r="K1658" s="4">
        <v>974.50999700000011</v>
      </c>
      <c r="L1658">
        <v>246564</v>
      </c>
    </row>
    <row r="1659" spans="1:12" x14ac:dyDescent="0.35">
      <c r="A1659" t="s">
        <v>8</v>
      </c>
      <c r="B1659" t="s">
        <v>14</v>
      </c>
      <c r="C1659" t="s">
        <v>37</v>
      </c>
      <c r="D1659" t="str" cm="1">
        <f t="array" ref="D1659">INDEX(_xlfn.TEXTSPLIT(C1659,"_"),3)</f>
        <v>mult</v>
      </c>
      <c r="E1659" t="str">
        <f>VLOOKUP(D1659,FranchiseMapping!$A$1:$B$15,2,FALSE)</f>
        <v>Biolage</v>
      </c>
      <c r="F1659" s="1">
        <v>45658</v>
      </c>
      <c r="G1659" t="s">
        <v>10</v>
      </c>
      <c r="H1659" s="2">
        <v>45748</v>
      </c>
      <c r="I1659" s="3">
        <v>45756</v>
      </c>
      <c r="J1659" s="3">
        <f t="shared" si="25"/>
        <v>45759</v>
      </c>
      <c r="K1659" s="4">
        <v>1342.41</v>
      </c>
      <c r="L1659">
        <v>361193</v>
      </c>
    </row>
    <row r="1660" spans="1:12" x14ac:dyDescent="0.35">
      <c r="A1660" t="s">
        <v>8</v>
      </c>
      <c r="B1660" t="s">
        <v>13</v>
      </c>
      <c r="C1660" t="s">
        <v>42</v>
      </c>
      <c r="D1660" t="str" cm="1">
        <f t="array" ref="D1660">INDEX(_xlfn.TEXTSPLIT(C1660,"_"),3)</f>
        <v>bfr</v>
      </c>
      <c r="E1660" t="str">
        <f>VLOOKUP(D1660,FranchiseMapping!$A$1:$B$15,2,FALSE)</f>
        <v>Full Rescue</v>
      </c>
      <c r="F1660" s="1">
        <v>45658</v>
      </c>
      <c r="G1660" t="s">
        <v>10</v>
      </c>
      <c r="H1660" s="2">
        <v>45809</v>
      </c>
      <c r="I1660" s="3">
        <v>45834</v>
      </c>
      <c r="J1660" s="3">
        <f t="shared" si="25"/>
        <v>45836</v>
      </c>
      <c r="K1660" s="4">
        <v>313.50305300000002</v>
      </c>
      <c r="L1660">
        <v>148679</v>
      </c>
    </row>
    <row r="1661" spans="1:12" x14ac:dyDescent="0.35">
      <c r="A1661" t="s">
        <v>8</v>
      </c>
      <c r="B1661" t="s">
        <v>14</v>
      </c>
      <c r="C1661" t="s">
        <v>29</v>
      </c>
      <c r="D1661" t="str" cm="1">
        <f t="array" ref="D1661">INDEX(_xlfn.TEXTSPLIT(C1661,"_"),3)</f>
        <v>bfr</v>
      </c>
      <c r="E1661" t="str">
        <f>VLOOKUP(D1661,FranchiseMapping!$A$1:$B$15,2,FALSE)</f>
        <v>Full Rescue</v>
      </c>
      <c r="F1661" s="1">
        <v>45658</v>
      </c>
      <c r="G1661" t="s">
        <v>10</v>
      </c>
      <c r="H1661" s="2">
        <v>45809</v>
      </c>
      <c r="I1661" s="3">
        <v>45838</v>
      </c>
      <c r="J1661" s="3">
        <f t="shared" si="25"/>
        <v>45843</v>
      </c>
      <c r="K1661" s="4">
        <v>1563.95</v>
      </c>
      <c r="L1661">
        <v>333084</v>
      </c>
    </row>
    <row r="1662" spans="1:12" x14ac:dyDescent="0.35">
      <c r="A1662" t="s">
        <v>8</v>
      </c>
      <c r="B1662" t="s">
        <v>13</v>
      </c>
      <c r="C1662" t="s">
        <v>28</v>
      </c>
      <c r="D1662" t="str" cm="1">
        <f t="array" ref="D1662">INDEX(_xlfn.TEXTSPLIT(C1662,"_"),3)</f>
        <v>na</v>
      </c>
      <c r="E1662" t="str">
        <f>VLOOKUP(D1662,FranchiseMapping!$A$1:$B$15,2,FALSE)</f>
        <v>Biolage</v>
      </c>
      <c r="F1662" s="1">
        <v>44927</v>
      </c>
      <c r="G1662" t="s">
        <v>10</v>
      </c>
      <c r="H1662" s="2">
        <v>45108</v>
      </c>
      <c r="I1662" s="3">
        <v>45136</v>
      </c>
      <c r="J1662" s="3">
        <f t="shared" si="25"/>
        <v>45136</v>
      </c>
      <c r="K1662" s="4">
        <v>1213.9360160000001</v>
      </c>
      <c r="L1662">
        <v>125733</v>
      </c>
    </row>
    <row r="1663" spans="1:12" x14ac:dyDescent="0.35">
      <c r="A1663" t="s">
        <v>8</v>
      </c>
      <c r="B1663" t="s">
        <v>9</v>
      </c>
      <c r="C1663" t="s">
        <v>33</v>
      </c>
      <c r="D1663" t="str" cm="1">
        <f t="array" ref="D1663">INDEX(_xlfn.TEXTSPLIT(C1663,"_"),3)</f>
        <v>hydrasource</v>
      </c>
      <c r="E1663" t="str">
        <f>VLOOKUP(D1663,FranchiseMapping!$A$1:$B$15,2,FALSE)</f>
        <v>Hydrasource</v>
      </c>
      <c r="F1663" s="1">
        <v>45292</v>
      </c>
      <c r="G1663" t="s">
        <v>11</v>
      </c>
      <c r="H1663" s="2">
        <v>45292</v>
      </c>
      <c r="I1663" s="3">
        <v>45315</v>
      </c>
      <c r="J1663" s="3">
        <f t="shared" si="25"/>
        <v>45318</v>
      </c>
      <c r="K1663" s="4">
        <v>1453.9400069999997</v>
      </c>
      <c r="L1663">
        <v>301987</v>
      </c>
    </row>
    <row r="1664" spans="1:12" x14ac:dyDescent="0.35">
      <c r="A1664" t="s">
        <v>8</v>
      </c>
      <c r="B1664" t="s">
        <v>9</v>
      </c>
      <c r="C1664" t="s">
        <v>31</v>
      </c>
      <c r="D1664" t="str" cm="1">
        <f t="array" ref="D1664">INDEX(_xlfn.TEXTSPLIT(C1664,"_"),3)</f>
        <v>scalp</v>
      </c>
      <c r="E1664" t="str">
        <f>VLOOKUP(D1664,FranchiseMapping!$A$1:$B$15,2,FALSE)</f>
        <v>Scalp Sync</v>
      </c>
      <c r="F1664" s="1">
        <v>45292</v>
      </c>
      <c r="G1664" t="s">
        <v>10</v>
      </c>
      <c r="H1664" s="2">
        <v>45383</v>
      </c>
      <c r="I1664" s="3">
        <v>45401</v>
      </c>
      <c r="J1664" s="3">
        <f t="shared" si="25"/>
        <v>45402</v>
      </c>
      <c r="K1664" s="4">
        <v>80.94</v>
      </c>
      <c r="L1664">
        <v>9484</v>
      </c>
    </row>
    <row r="1665" spans="1:12" x14ac:dyDescent="0.35">
      <c r="A1665" t="s">
        <v>8</v>
      </c>
      <c r="B1665" t="s">
        <v>9</v>
      </c>
      <c r="C1665" t="s">
        <v>35</v>
      </c>
      <c r="D1665" t="str" cm="1">
        <f t="array" ref="D1665">INDEX(_xlfn.TEXTSPLIT(C1665,"_"),3)</f>
        <v>bfr</v>
      </c>
      <c r="E1665" t="str">
        <f>VLOOKUP(D1665,FranchiseMapping!$A$1:$B$15,2,FALSE)</f>
        <v>Full Rescue</v>
      </c>
      <c r="F1665" s="1">
        <v>45658</v>
      </c>
      <c r="G1665" t="s">
        <v>12</v>
      </c>
      <c r="H1665" s="2">
        <v>45809</v>
      </c>
      <c r="I1665" s="3">
        <v>45817</v>
      </c>
      <c r="J1665" s="3">
        <f t="shared" si="25"/>
        <v>45822</v>
      </c>
      <c r="K1665" s="4">
        <v>1691.3200040000002</v>
      </c>
      <c r="L1665">
        <v>125251</v>
      </c>
    </row>
    <row r="1666" spans="1:12" x14ac:dyDescent="0.35">
      <c r="A1666" t="s">
        <v>8</v>
      </c>
      <c r="B1666" t="s">
        <v>9</v>
      </c>
      <c r="C1666" t="s">
        <v>56</v>
      </c>
      <c r="D1666" t="str" cm="1">
        <f t="array" ref="D1666">INDEX(_xlfn.TEXTSPLIT(C1666,"_"),3)</f>
        <v>haca-colorlast-q3</v>
      </c>
      <c r="E1666" t="str">
        <f>VLOOKUP(D1666,FranchiseMapping!$A$1:$B$15,2,FALSE)</f>
        <v>Color Last</v>
      </c>
      <c r="F1666" s="1">
        <v>44927</v>
      </c>
      <c r="G1666" t="s">
        <v>10</v>
      </c>
      <c r="H1666" s="2">
        <v>45108</v>
      </c>
      <c r="I1666" s="3">
        <v>45134</v>
      </c>
      <c r="J1666" s="3">
        <f t="shared" si="25"/>
        <v>45136</v>
      </c>
      <c r="K1666" s="4">
        <v>2168.3000029999998</v>
      </c>
      <c r="L1666">
        <v>285587</v>
      </c>
    </row>
    <row r="1667" spans="1:12" x14ac:dyDescent="0.35">
      <c r="A1667" t="s">
        <v>8</v>
      </c>
      <c r="B1667" t="s">
        <v>9</v>
      </c>
      <c r="C1667" t="s">
        <v>74</v>
      </c>
      <c r="D1667" t="str" cm="1">
        <f t="array" ref="D1667">INDEX(_xlfn.TEXTSPLIT(C1667,"_"),3)</f>
        <v>mult</v>
      </c>
      <c r="E1667" t="str">
        <f>VLOOKUP(D1667,FranchiseMapping!$A$1:$B$15,2,FALSE)</f>
        <v>Biolage</v>
      </c>
      <c r="F1667" s="1">
        <v>45658</v>
      </c>
      <c r="G1667" t="s">
        <v>12</v>
      </c>
      <c r="H1667" s="2">
        <v>45658</v>
      </c>
      <c r="I1667" s="3">
        <v>45676</v>
      </c>
      <c r="J1667" s="3">
        <f t="shared" ref="J1667:J1730" si="26">I1667 + (7 - WEEKDAY(I1667, 1))</f>
        <v>45682</v>
      </c>
      <c r="K1667" s="4">
        <v>3776.8399970000005</v>
      </c>
      <c r="L1667">
        <v>657926</v>
      </c>
    </row>
    <row r="1668" spans="1:12" x14ac:dyDescent="0.35">
      <c r="A1668" t="s">
        <v>8</v>
      </c>
      <c r="B1668" t="s">
        <v>9</v>
      </c>
      <c r="C1668" t="s">
        <v>48</v>
      </c>
      <c r="D1668" t="str" cm="1">
        <f t="array" ref="D1668">INDEX(_xlfn.TEXTSPLIT(C1668,"_"),3)</f>
        <v>scalp</v>
      </c>
      <c r="E1668" t="str">
        <f>VLOOKUP(D1668,FranchiseMapping!$A$1:$B$15,2,FALSE)</f>
        <v>Scalp Sync</v>
      </c>
      <c r="F1668" s="1">
        <v>45292</v>
      </c>
      <c r="G1668" t="s">
        <v>10</v>
      </c>
      <c r="H1668" s="2">
        <v>45352</v>
      </c>
      <c r="I1668" s="3">
        <v>45374</v>
      </c>
      <c r="J1668" s="3">
        <f t="shared" si="26"/>
        <v>45374</v>
      </c>
      <c r="K1668" s="4">
        <v>1007.369998</v>
      </c>
      <c r="L1668">
        <v>227670</v>
      </c>
    </row>
    <row r="1669" spans="1:12" x14ac:dyDescent="0.35">
      <c r="A1669" t="s">
        <v>8</v>
      </c>
      <c r="B1669" t="s">
        <v>9</v>
      </c>
      <c r="C1669" t="s">
        <v>40</v>
      </c>
      <c r="D1669" t="str" cm="1">
        <f t="array" ref="D1669">INDEX(_xlfn.TEXTSPLIT(C1669,"_"),3)</f>
        <v>hydrasource</v>
      </c>
      <c r="E1669" t="str">
        <f>VLOOKUP(D1669,FranchiseMapping!$A$1:$B$15,2,FALSE)</f>
        <v>Hydrasource</v>
      </c>
      <c r="F1669" s="1">
        <v>45292</v>
      </c>
      <c r="G1669" t="s">
        <v>12</v>
      </c>
      <c r="H1669" s="2">
        <v>45323</v>
      </c>
      <c r="I1669" s="3">
        <v>45331</v>
      </c>
      <c r="J1669" s="3">
        <f t="shared" si="26"/>
        <v>45332</v>
      </c>
      <c r="K1669" s="4">
        <v>3051.8499970000003</v>
      </c>
      <c r="L1669">
        <v>437274</v>
      </c>
    </row>
    <row r="1670" spans="1:12" x14ac:dyDescent="0.35">
      <c r="A1670" t="s">
        <v>8</v>
      </c>
      <c r="B1670" t="s">
        <v>9</v>
      </c>
      <c r="C1670" t="s">
        <v>53</v>
      </c>
      <c r="D1670" t="str" cm="1">
        <f t="array" ref="D1670">INDEX(_xlfn.TEXTSPLIT(C1670,"_"),3)</f>
        <v>bond-therapy</v>
      </c>
      <c r="E1670" t="str">
        <f>VLOOKUP(D1670,FranchiseMapping!$A$1:$B$15,2,FALSE)</f>
        <v>Bond Therapy</v>
      </c>
      <c r="F1670" s="1">
        <v>44927</v>
      </c>
      <c r="G1670" t="s">
        <v>11</v>
      </c>
      <c r="H1670" s="2">
        <v>45261</v>
      </c>
      <c r="I1670" s="3">
        <v>45262</v>
      </c>
      <c r="J1670" s="3">
        <f t="shared" si="26"/>
        <v>45262</v>
      </c>
      <c r="K1670" s="4">
        <v>1220.2199980000003</v>
      </c>
      <c r="L1670">
        <v>192835</v>
      </c>
    </row>
    <row r="1671" spans="1:12" x14ac:dyDescent="0.35">
      <c r="A1671" t="s">
        <v>8</v>
      </c>
      <c r="B1671" t="s">
        <v>13</v>
      </c>
      <c r="C1671" t="s">
        <v>28</v>
      </c>
      <c r="D1671" t="str" cm="1">
        <f t="array" ref="D1671">INDEX(_xlfn.TEXTSPLIT(C1671,"_"),3)</f>
        <v>na</v>
      </c>
      <c r="E1671" t="str">
        <f>VLOOKUP(D1671,FranchiseMapping!$A$1:$B$15,2,FALSE)</f>
        <v>Biolage</v>
      </c>
      <c r="F1671" s="1">
        <v>44927</v>
      </c>
      <c r="G1671" t="s">
        <v>12</v>
      </c>
      <c r="H1671" s="2">
        <v>45139</v>
      </c>
      <c r="I1671" s="3">
        <v>45147</v>
      </c>
      <c r="J1671" s="3">
        <f t="shared" si="26"/>
        <v>45150</v>
      </c>
      <c r="K1671" s="4">
        <v>374.51571899999999</v>
      </c>
      <c r="L1671">
        <v>137876</v>
      </c>
    </row>
    <row r="1672" spans="1:12" x14ac:dyDescent="0.35">
      <c r="A1672" t="s">
        <v>8</v>
      </c>
      <c r="B1672" t="s">
        <v>13</v>
      </c>
      <c r="C1672" t="s">
        <v>42</v>
      </c>
      <c r="D1672" t="str" cm="1">
        <f t="array" ref="D1672">INDEX(_xlfn.TEXTSPLIT(C1672,"_"),3)</f>
        <v>bfr</v>
      </c>
      <c r="E1672" t="str">
        <f>VLOOKUP(D1672,FranchiseMapping!$A$1:$B$15,2,FALSE)</f>
        <v>Full Rescue</v>
      </c>
      <c r="F1672" s="1">
        <v>45658</v>
      </c>
      <c r="G1672" t="s">
        <v>12</v>
      </c>
      <c r="H1672" s="2">
        <v>45809</v>
      </c>
      <c r="I1672" s="3">
        <v>45821</v>
      </c>
      <c r="J1672" s="3">
        <f t="shared" si="26"/>
        <v>45822</v>
      </c>
      <c r="K1672" s="4">
        <v>1318.9717479999999</v>
      </c>
      <c r="L1672">
        <v>614471</v>
      </c>
    </row>
    <row r="1673" spans="1:12" x14ac:dyDescent="0.35">
      <c r="A1673" t="s">
        <v>8</v>
      </c>
      <c r="B1673" t="s">
        <v>14</v>
      </c>
      <c r="C1673" t="s">
        <v>37</v>
      </c>
      <c r="D1673" t="str" cm="1">
        <f t="array" ref="D1673">INDEX(_xlfn.TEXTSPLIT(C1673,"_"),3)</f>
        <v>mult</v>
      </c>
      <c r="E1673" t="str">
        <f>VLOOKUP(D1673,FranchiseMapping!$A$1:$B$15,2,FALSE)</f>
        <v>Biolage</v>
      </c>
      <c r="F1673" s="1">
        <v>45658</v>
      </c>
      <c r="G1673" t="s">
        <v>12</v>
      </c>
      <c r="H1673" s="2">
        <v>45809</v>
      </c>
      <c r="I1673" s="3">
        <v>45824</v>
      </c>
      <c r="J1673" s="3">
        <f t="shared" si="26"/>
        <v>45829</v>
      </c>
      <c r="K1673" s="4">
        <v>1655.29</v>
      </c>
      <c r="L1673">
        <v>322016</v>
      </c>
    </row>
    <row r="1674" spans="1:12" x14ac:dyDescent="0.35">
      <c r="A1674" t="s">
        <v>8</v>
      </c>
      <c r="B1674" t="s">
        <v>13</v>
      </c>
      <c r="C1674" t="s">
        <v>59</v>
      </c>
      <c r="D1674" t="str" cm="1">
        <f t="array" ref="D1674">INDEX(_xlfn.TEXTSPLIT(C1674,"_"),3)</f>
        <v>scalp-sync</v>
      </c>
      <c r="E1674" t="str">
        <f>VLOOKUP(D1674,FranchiseMapping!$A$1:$B$15,2,FALSE)</f>
        <v>Scalp Sync</v>
      </c>
      <c r="F1674" s="1">
        <v>45292</v>
      </c>
      <c r="G1674" t="s">
        <v>11</v>
      </c>
      <c r="H1674" s="2">
        <v>45413</v>
      </c>
      <c r="I1674" s="3">
        <v>45432</v>
      </c>
      <c r="J1674" s="3">
        <f t="shared" si="26"/>
        <v>45437</v>
      </c>
      <c r="K1674" s="4">
        <v>3384.5862830000005</v>
      </c>
      <c r="L1674">
        <v>1395327</v>
      </c>
    </row>
    <row r="1675" spans="1:12" x14ac:dyDescent="0.35">
      <c r="A1675" t="s">
        <v>8</v>
      </c>
      <c r="B1675" t="s">
        <v>14</v>
      </c>
      <c r="C1675" t="s">
        <v>37</v>
      </c>
      <c r="D1675" t="str" cm="1">
        <f t="array" ref="D1675">INDEX(_xlfn.TEXTSPLIT(C1675,"_"),3)</f>
        <v>mult</v>
      </c>
      <c r="E1675" t="str">
        <f>VLOOKUP(D1675,FranchiseMapping!$A$1:$B$15,2,FALSE)</f>
        <v>Biolage</v>
      </c>
      <c r="F1675" s="1">
        <v>45658</v>
      </c>
      <c r="G1675" t="s">
        <v>12</v>
      </c>
      <c r="H1675" s="2">
        <v>45748</v>
      </c>
      <c r="I1675" s="3">
        <v>45772</v>
      </c>
      <c r="J1675" s="3">
        <f t="shared" si="26"/>
        <v>45773</v>
      </c>
      <c r="K1675" s="4">
        <v>2.84</v>
      </c>
      <c r="L1675">
        <v>646</v>
      </c>
    </row>
    <row r="1676" spans="1:12" x14ac:dyDescent="0.35">
      <c r="A1676" t="s">
        <v>8</v>
      </c>
      <c r="B1676" t="s">
        <v>14</v>
      </c>
      <c r="C1676" t="s">
        <v>29</v>
      </c>
      <c r="D1676" t="str" cm="1">
        <f t="array" ref="D1676">INDEX(_xlfn.TEXTSPLIT(C1676,"_"),3)</f>
        <v>bfr</v>
      </c>
      <c r="E1676" t="str">
        <f>VLOOKUP(D1676,FranchiseMapping!$A$1:$B$15,2,FALSE)</f>
        <v>Full Rescue</v>
      </c>
      <c r="F1676" s="1">
        <v>45658</v>
      </c>
      <c r="G1676" t="s">
        <v>12</v>
      </c>
      <c r="H1676" s="2">
        <v>45809</v>
      </c>
      <c r="I1676" s="3">
        <v>45810</v>
      </c>
      <c r="J1676" s="3">
        <f t="shared" si="26"/>
        <v>45815</v>
      </c>
      <c r="K1676" s="4">
        <v>154.24999999999997</v>
      </c>
      <c r="L1676">
        <v>22204</v>
      </c>
    </row>
    <row r="1677" spans="1:12" x14ac:dyDescent="0.35">
      <c r="A1677" t="s">
        <v>8</v>
      </c>
      <c r="B1677" t="s">
        <v>13</v>
      </c>
      <c r="C1677" t="s">
        <v>42</v>
      </c>
      <c r="D1677" t="str" cm="1">
        <f t="array" ref="D1677">INDEX(_xlfn.TEXTSPLIT(C1677,"_"),3)</f>
        <v>bfr</v>
      </c>
      <c r="E1677" t="str">
        <f>VLOOKUP(D1677,FranchiseMapping!$A$1:$B$15,2,FALSE)</f>
        <v>Full Rescue</v>
      </c>
      <c r="F1677" s="1">
        <v>45658</v>
      </c>
      <c r="G1677" t="s">
        <v>12</v>
      </c>
      <c r="H1677" s="2">
        <v>45809</v>
      </c>
      <c r="I1677" s="3">
        <v>45810</v>
      </c>
      <c r="J1677" s="3">
        <f t="shared" si="26"/>
        <v>45815</v>
      </c>
      <c r="K1677" s="4">
        <v>924.12972400000001</v>
      </c>
      <c r="L1677">
        <v>336776</v>
      </c>
    </row>
    <row r="1678" spans="1:12" x14ac:dyDescent="0.35">
      <c r="A1678" t="s">
        <v>8</v>
      </c>
      <c r="B1678" t="s">
        <v>9</v>
      </c>
      <c r="C1678" t="s">
        <v>61</v>
      </c>
      <c r="D1678" t="str" cm="1">
        <f t="array" ref="D1678">INDEX(_xlfn.TEXTSPLIT(C1678,"_"),3)</f>
        <v>prime-day</v>
      </c>
      <c r="E1678" t="str">
        <f>VLOOKUP(D1678,FranchiseMapping!$A$1:$B$15,2,FALSE)</f>
        <v>Prime Day</v>
      </c>
      <c r="F1678" s="1">
        <v>45292</v>
      </c>
      <c r="G1678" t="s">
        <v>10</v>
      </c>
      <c r="H1678" s="2">
        <v>45474</v>
      </c>
      <c r="I1678" s="3">
        <v>45481</v>
      </c>
      <c r="J1678" s="3">
        <f t="shared" si="26"/>
        <v>45486</v>
      </c>
      <c r="K1678" s="4">
        <v>3265.6599979999996</v>
      </c>
      <c r="L1678">
        <v>576619</v>
      </c>
    </row>
    <row r="1679" spans="1:12" x14ac:dyDescent="0.35">
      <c r="A1679" t="s">
        <v>8</v>
      </c>
      <c r="B1679" t="s">
        <v>9</v>
      </c>
      <c r="C1679" t="s">
        <v>35</v>
      </c>
      <c r="D1679" t="str" cm="1">
        <f t="array" ref="D1679">INDEX(_xlfn.TEXTSPLIT(C1679,"_"),3)</f>
        <v>bfr</v>
      </c>
      <c r="E1679" t="str">
        <f>VLOOKUP(D1679,FranchiseMapping!$A$1:$B$15,2,FALSE)</f>
        <v>Full Rescue</v>
      </c>
      <c r="F1679" s="1">
        <v>45658</v>
      </c>
      <c r="G1679" t="s">
        <v>12</v>
      </c>
      <c r="H1679" s="2">
        <v>45778</v>
      </c>
      <c r="I1679" s="3">
        <v>45779</v>
      </c>
      <c r="J1679" s="3">
        <f t="shared" si="26"/>
        <v>45780</v>
      </c>
      <c r="K1679" s="4">
        <v>1706.6099990000002</v>
      </c>
      <c r="L1679">
        <v>137668</v>
      </c>
    </row>
    <row r="1680" spans="1:12" x14ac:dyDescent="0.35">
      <c r="A1680" t="s">
        <v>8</v>
      </c>
      <c r="B1680" t="s">
        <v>9</v>
      </c>
      <c r="C1680" t="s">
        <v>56</v>
      </c>
      <c r="D1680" t="str" cm="1">
        <f t="array" ref="D1680">INDEX(_xlfn.TEXTSPLIT(C1680,"_"),3)</f>
        <v>haca-colorlast-q3</v>
      </c>
      <c r="E1680" t="str">
        <f>VLOOKUP(D1680,FranchiseMapping!$A$1:$B$15,2,FALSE)</f>
        <v>Color Last</v>
      </c>
      <c r="F1680" s="1">
        <v>44927</v>
      </c>
      <c r="G1680" t="s">
        <v>10</v>
      </c>
      <c r="H1680" s="2">
        <v>45108</v>
      </c>
      <c r="I1680" s="3">
        <v>45135</v>
      </c>
      <c r="J1680" s="3">
        <f t="shared" si="26"/>
        <v>45136</v>
      </c>
      <c r="K1680" s="4">
        <v>2128.6200000000003</v>
      </c>
      <c r="L1680">
        <v>291592</v>
      </c>
    </row>
    <row r="1681" spans="1:12" x14ac:dyDescent="0.35">
      <c r="A1681" t="s">
        <v>8</v>
      </c>
      <c r="B1681" t="s">
        <v>9</v>
      </c>
      <c r="C1681" t="s">
        <v>54</v>
      </c>
      <c r="D1681" t="str" cm="1">
        <f t="array" ref="D1681">INDEX(_xlfn.TEXTSPLIT(C1681,"_"),3)</f>
        <v>scalp</v>
      </c>
      <c r="E1681" t="str">
        <f>VLOOKUP(D1681,FranchiseMapping!$A$1:$B$15,2,FALSE)</f>
        <v>Scalp Sync</v>
      </c>
      <c r="F1681" s="1">
        <v>45292</v>
      </c>
      <c r="G1681" t="s">
        <v>10</v>
      </c>
      <c r="H1681" s="2">
        <v>45383</v>
      </c>
      <c r="I1681" s="3">
        <v>45386</v>
      </c>
      <c r="J1681" s="3">
        <f t="shared" si="26"/>
        <v>45388</v>
      </c>
      <c r="K1681" s="4">
        <v>2270.0500050000001</v>
      </c>
      <c r="L1681">
        <v>524103</v>
      </c>
    </row>
    <row r="1682" spans="1:12" x14ac:dyDescent="0.35">
      <c r="A1682" t="s">
        <v>8</v>
      </c>
      <c r="B1682" t="s">
        <v>9</v>
      </c>
      <c r="C1682" t="s">
        <v>50</v>
      </c>
      <c r="D1682" t="str" cm="1">
        <f t="array" ref="D1682">INDEX(_xlfn.TEXTSPLIT(C1682,"_"),3)</f>
        <v>bond-therapy</v>
      </c>
      <c r="E1682" t="str">
        <f>VLOOKUP(D1682,FranchiseMapping!$A$1:$B$15,2,FALSE)</f>
        <v>Bond Therapy</v>
      </c>
      <c r="F1682" s="1">
        <v>44927</v>
      </c>
      <c r="G1682" t="s">
        <v>12</v>
      </c>
      <c r="H1682" s="2">
        <v>45231</v>
      </c>
      <c r="I1682" s="3">
        <v>45255</v>
      </c>
      <c r="J1682" s="3">
        <f t="shared" si="26"/>
        <v>45255</v>
      </c>
      <c r="K1682" s="4">
        <v>3230.8100010000003</v>
      </c>
      <c r="L1682">
        <v>276221</v>
      </c>
    </row>
    <row r="1683" spans="1:12" x14ac:dyDescent="0.35">
      <c r="A1683" t="s">
        <v>8</v>
      </c>
      <c r="B1683" t="s">
        <v>9</v>
      </c>
      <c r="C1683" t="s">
        <v>31</v>
      </c>
      <c r="D1683" t="str" cm="1">
        <f t="array" ref="D1683">INDEX(_xlfn.TEXTSPLIT(C1683,"_"),3)</f>
        <v>scalp</v>
      </c>
      <c r="E1683" t="str">
        <f>VLOOKUP(D1683,FranchiseMapping!$A$1:$B$15,2,FALSE)</f>
        <v>Scalp Sync</v>
      </c>
      <c r="F1683" s="1">
        <v>45292</v>
      </c>
      <c r="G1683" t="s">
        <v>12</v>
      </c>
      <c r="H1683" s="2">
        <v>45352</v>
      </c>
      <c r="I1683" s="3">
        <v>45379</v>
      </c>
      <c r="J1683" s="3">
        <f t="shared" si="26"/>
        <v>45381</v>
      </c>
      <c r="K1683" s="4">
        <v>1547.9299979999998</v>
      </c>
      <c r="L1683">
        <v>202237</v>
      </c>
    </row>
    <row r="1684" spans="1:12" x14ac:dyDescent="0.35">
      <c r="A1684" t="s">
        <v>8</v>
      </c>
      <c r="B1684" t="s">
        <v>13</v>
      </c>
      <c r="C1684" t="s">
        <v>51</v>
      </c>
      <c r="D1684" t="str" cm="1">
        <f t="array" ref="D1684">INDEX(_xlfn.TEXTSPLIT(C1684,"_"),3)</f>
        <v>na</v>
      </c>
      <c r="E1684" t="str">
        <f>VLOOKUP(D1684,FranchiseMapping!$A$1:$B$15,2,FALSE)</f>
        <v>Biolage</v>
      </c>
      <c r="F1684" s="1">
        <v>44927</v>
      </c>
      <c r="G1684" t="s">
        <v>11</v>
      </c>
      <c r="H1684" s="2">
        <v>45108</v>
      </c>
      <c r="I1684" s="3">
        <v>45133</v>
      </c>
      <c r="J1684" s="3">
        <f t="shared" si="26"/>
        <v>45136</v>
      </c>
      <c r="K1684" s="4">
        <v>638.2330199999999</v>
      </c>
      <c r="L1684">
        <v>400137</v>
      </c>
    </row>
    <row r="1685" spans="1:12" x14ac:dyDescent="0.35">
      <c r="A1685" t="s">
        <v>8</v>
      </c>
      <c r="B1685" t="s">
        <v>14</v>
      </c>
      <c r="C1685" t="s">
        <v>49</v>
      </c>
      <c r="D1685" t="str" cm="1">
        <f t="array" ref="D1685">INDEX(_xlfn.TEXTSPLIT(C1685,"_"),3)</f>
        <v>hys</v>
      </c>
      <c r="E1685" t="str">
        <f>VLOOKUP(D1685,FranchiseMapping!$A$1:$B$15,2,FALSE)</f>
        <v>Hydrasource</v>
      </c>
      <c r="F1685" s="1">
        <v>45658</v>
      </c>
      <c r="G1685" t="s">
        <v>12</v>
      </c>
      <c r="H1685" s="2">
        <v>45748</v>
      </c>
      <c r="I1685" s="3">
        <v>45765</v>
      </c>
      <c r="J1685" s="3">
        <f t="shared" si="26"/>
        <v>45766</v>
      </c>
      <c r="K1685" s="4">
        <v>5550.14</v>
      </c>
      <c r="L1685">
        <v>1200502</v>
      </c>
    </row>
    <row r="1686" spans="1:12" x14ac:dyDescent="0.35">
      <c r="A1686" t="s">
        <v>8</v>
      </c>
      <c r="B1686" t="s">
        <v>9</v>
      </c>
      <c r="C1686" t="s">
        <v>54</v>
      </c>
      <c r="D1686" t="str" cm="1">
        <f t="array" ref="D1686">INDEX(_xlfn.TEXTSPLIT(C1686,"_"),3)</f>
        <v>scalp</v>
      </c>
      <c r="E1686" t="str">
        <f>VLOOKUP(D1686,FranchiseMapping!$A$1:$B$15,2,FALSE)</f>
        <v>Scalp Sync</v>
      </c>
      <c r="F1686" s="1">
        <v>45292</v>
      </c>
      <c r="G1686" t="s">
        <v>10</v>
      </c>
      <c r="H1686" s="2">
        <v>45352</v>
      </c>
      <c r="I1686" s="3">
        <v>45364</v>
      </c>
      <c r="J1686" s="3">
        <f t="shared" si="26"/>
        <v>45367</v>
      </c>
      <c r="K1686" s="4">
        <v>2201.1899990000002</v>
      </c>
      <c r="L1686">
        <v>466667</v>
      </c>
    </row>
    <row r="1687" spans="1:12" x14ac:dyDescent="0.35">
      <c r="A1687" t="s">
        <v>8</v>
      </c>
      <c r="B1687" t="s">
        <v>9</v>
      </c>
      <c r="C1687" t="s">
        <v>30</v>
      </c>
      <c r="D1687" t="str" cm="1">
        <f t="array" ref="D1687">INDEX(_xlfn.TEXTSPLIT(C1687,"_"),3)</f>
        <v>q3-haca-colorlast</v>
      </c>
      <c r="E1687" t="str">
        <f>VLOOKUP(D1687,FranchiseMapping!$A$1:$B$15,2,FALSE)</f>
        <v>Color Last</v>
      </c>
      <c r="F1687" s="1">
        <v>44927</v>
      </c>
      <c r="G1687" t="s">
        <v>10</v>
      </c>
      <c r="H1687" s="2">
        <v>45108</v>
      </c>
      <c r="I1687" s="3">
        <v>45130</v>
      </c>
      <c r="J1687" s="3">
        <f t="shared" si="26"/>
        <v>45136</v>
      </c>
      <c r="K1687" s="4">
        <v>2695.8899990000004</v>
      </c>
      <c r="L1687">
        <v>410581</v>
      </c>
    </row>
    <row r="1688" spans="1:12" x14ac:dyDescent="0.35">
      <c r="A1688" t="s">
        <v>8</v>
      </c>
      <c r="B1688" t="s">
        <v>9</v>
      </c>
      <c r="C1688" t="s">
        <v>35</v>
      </c>
      <c r="D1688" t="str" cm="1">
        <f t="array" ref="D1688">INDEX(_xlfn.TEXTSPLIT(C1688,"_"),3)</f>
        <v>bfr</v>
      </c>
      <c r="E1688" t="str">
        <f>VLOOKUP(D1688,FranchiseMapping!$A$1:$B$15,2,FALSE)</f>
        <v>Full Rescue</v>
      </c>
      <c r="F1688" s="1">
        <v>45658</v>
      </c>
      <c r="G1688" t="s">
        <v>12</v>
      </c>
      <c r="H1688" s="2">
        <v>45778</v>
      </c>
      <c r="I1688" s="3">
        <v>45780</v>
      </c>
      <c r="J1688" s="3">
        <f t="shared" si="26"/>
        <v>45780</v>
      </c>
      <c r="K1688" s="4">
        <v>1890.4599999999996</v>
      </c>
      <c r="L1688">
        <v>125562</v>
      </c>
    </row>
    <row r="1689" spans="1:12" x14ac:dyDescent="0.35">
      <c r="A1689" t="s">
        <v>8</v>
      </c>
      <c r="B1689" t="s">
        <v>14</v>
      </c>
      <c r="C1689" t="s">
        <v>49</v>
      </c>
      <c r="D1689" t="str" cm="1">
        <f t="array" ref="D1689">INDEX(_xlfn.TEXTSPLIT(C1689,"_"),3)</f>
        <v>hys</v>
      </c>
      <c r="E1689" t="str">
        <f>VLOOKUP(D1689,FranchiseMapping!$A$1:$B$15,2,FALSE)</f>
        <v>Hydrasource</v>
      </c>
      <c r="F1689" s="1">
        <v>45658</v>
      </c>
      <c r="G1689" t="s">
        <v>10</v>
      </c>
      <c r="H1689" s="2">
        <v>45748</v>
      </c>
      <c r="I1689" s="3">
        <v>45763</v>
      </c>
      <c r="J1689" s="3">
        <f t="shared" si="26"/>
        <v>45766</v>
      </c>
      <c r="K1689" s="4">
        <v>111.91</v>
      </c>
      <c r="L1689">
        <v>40100</v>
      </c>
    </row>
    <row r="1690" spans="1:12" x14ac:dyDescent="0.35">
      <c r="A1690" t="s">
        <v>8</v>
      </c>
      <c r="B1690" t="s">
        <v>9</v>
      </c>
      <c r="C1690" t="s">
        <v>34</v>
      </c>
      <c r="D1690" t="str" cm="1">
        <f t="array" ref="D1690">INDEX(_xlfn.TEXTSPLIT(C1690,"_"),3)</f>
        <v>hydrasource</v>
      </c>
      <c r="E1690" t="str">
        <f>VLOOKUP(D1690,FranchiseMapping!$A$1:$B$15,2,FALSE)</f>
        <v>Hydrasource</v>
      </c>
      <c r="F1690" s="1">
        <v>45292</v>
      </c>
      <c r="G1690" t="s">
        <v>12</v>
      </c>
      <c r="H1690" s="2">
        <v>45323</v>
      </c>
      <c r="I1690" s="3">
        <v>45348</v>
      </c>
      <c r="J1690" s="3">
        <f t="shared" si="26"/>
        <v>45353</v>
      </c>
      <c r="K1690" s="4">
        <v>969.86000300000012</v>
      </c>
      <c r="L1690">
        <v>201576</v>
      </c>
    </row>
    <row r="1691" spans="1:12" x14ac:dyDescent="0.35">
      <c r="A1691" t="s">
        <v>8</v>
      </c>
      <c r="B1691" t="s">
        <v>9</v>
      </c>
      <c r="C1691" t="s">
        <v>56</v>
      </c>
      <c r="D1691" t="str" cm="1">
        <f t="array" ref="D1691">INDEX(_xlfn.TEXTSPLIT(C1691,"_"),3)</f>
        <v>haca-colorlast-q3</v>
      </c>
      <c r="E1691" t="str">
        <f>VLOOKUP(D1691,FranchiseMapping!$A$1:$B$15,2,FALSE)</f>
        <v>Color Last</v>
      </c>
      <c r="F1691" s="1">
        <v>44927</v>
      </c>
      <c r="G1691" t="s">
        <v>10</v>
      </c>
      <c r="H1691" s="2">
        <v>45108</v>
      </c>
      <c r="I1691" s="3">
        <v>45138</v>
      </c>
      <c r="J1691" s="3">
        <f t="shared" si="26"/>
        <v>45143</v>
      </c>
      <c r="K1691" s="4">
        <v>2256.7999950000003</v>
      </c>
      <c r="L1691">
        <v>307612</v>
      </c>
    </row>
    <row r="1692" spans="1:12" x14ac:dyDescent="0.35">
      <c r="A1692" t="s">
        <v>8</v>
      </c>
      <c r="B1692" t="s">
        <v>13</v>
      </c>
      <c r="C1692" t="s">
        <v>51</v>
      </c>
      <c r="D1692" t="str" cm="1">
        <f t="array" ref="D1692">INDEX(_xlfn.TEXTSPLIT(C1692,"_"),3)</f>
        <v>na</v>
      </c>
      <c r="E1692" t="str">
        <f>VLOOKUP(D1692,FranchiseMapping!$A$1:$B$15,2,FALSE)</f>
        <v>Biolage</v>
      </c>
      <c r="F1692" s="1">
        <v>44927</v>
      </c>
      <c r="G1692" t="s">
        <v>11</v>
      </c>
      <c r="H1692" s="2">
        <v>45108</v>
      </c>
      <c r="I1692" s="3">
        <v>45138</v>
      </c>
      <c r="J1692" s="3">
        <f t="shared" si="26"/>
        <v>45143</v>
      </c>
      <c r="K1692" s="4">
        <v>733.76724000000002</v>
      </c>
      <c r="L1692">
        <v>399408</v>
      </c>
    </row>
    <row r="1693" spans="1:12" x14ac:dyDescent="0.35">
      <c r="A1693" t="s">
        <v>8</v>
      </c>
      <c r="B1693" t="s">
        <v>9</v>
      </c>
      <c r="C1693" t="s">
        <v>48</v>
      </c>
      <c r="D1693" t="str" cm="1">
        <f t="array" ref="D1693">INDEX(_xlfn.TEXTSPLIT(C1693,"_"),3)</f>
        <v>scalp</v>
      </c>
      <c r="E1693" t="str">
        <f>VLOOKUP(D1693,FranchiseMapping!$A$1:$B$15,2,FALSE)</f>
        <v>Scalp Sync</v>
      </c>
      <c r="F1693" s="1">
        <v>45292</v>
      </c>
      <c r="G1693" t="s">
        <v>12</v>
      </c>
      <c r="H1693" s="2">
        <v>45383</v>
      </c>
      <c r="I1693" s="3">
        <v>45392</v>
      </c>
      <c r="J1693" s="3">
        <f t="shared" si="26"/>
        <v>45395</v>
      </c>
      <c r="K1693" s="4">
        <v>742.01000299999998</v>
      </c>
      <c r="L1693">
        <v>183979</v>
      </c>
    </row>
    <row r="1694" spans="1:12" x14ac:dyDescent="0.35">
      <c r="A1694" t="s">
        <v>8</v>
      </c>
      <c r="B1694" t="s">
        <v>9</v>
      </c>
      <c r="C1694" t="s">
        <v>55</v>
      </c>
      <c r="D1694" t="str" cm="1">
        <f t="array" ref="D1694">INDEX(_xlfn.TEXTSPLIT(C1694,"_"),3)</f>
        <v>hydrasource</v>
      </c>
      <c r="E1694" t="str">
        <f>VLOOKUP(D1694,FranchiseMapping!$A$1:$B$15,2,FALSE)</f>
        <v>Hydrasource</v>
      </c>
      <c r="F1694" s="1">
        <v>45292</v>
      </c>
      <c r="G1694" t="s">
        <v>12</v>
      </c>
      <c r="H1694" s="2">
        <v>45566</v>
      </c>
      <c r="I1694" s="3">
        <v>45591</v>
      </c>
      <c r="J1694" s="3">
        <f t="shared" si="26"/>
        <v>45591</v>
      </c>
      <c r="K1694" s="4">
        <v>3721.8800059999999</v>
      </c>
      <c r="L1694">
        <v>753751</v>
      </c>
    </row>
    <row r="1695" spans="1:12" x14ac:dyDescent="0.35">
      <c r="A1695" t="s">
        <v>8</v>
      </c>
      <c r="B1695" t="s">
        <v>9</v>
      </c>
      <c r="C1695" t="s">
        <v>40</v>
      </c>
      <c r="D1695" t="str" cm="1">
        <f t="array" ref="D1695">INDEX(_xlfn.TEXTSPLIT(C1695,"_"),3)</f>
        <v>hydrasource</v>
      </c>
      <c r="E1695" t="str">
        <f>VLOOKUP(D1695,FranchiseMapping!$A$1:$B$15,2,FALSE)</f>
        <v>Hydrasource</v>
      </c>
      <c r="F1695" s="1">
        <v>45292</v>
      </c>
      <c r="G1695" t="s">
        <v>12</v>
      </c>
      <c r="H1695" s="2">
        <v>45323</v>
      </c>
      <c r="I1695" s="3">
        <v>45341</v>
      </c>
      <c r="J1695" s="3">
        <f t="shared" si="26"/>
        <v>45346</v>
      </c>
      <c r="K1695" s="4">
        <v>2984.0800010000003</v>
      </c>
      <c r="L1695">
        <v>494496</v>
      </c>
    </row>
    <row r="1696" spans="1:12" x14ac:dyDescent="0.35">
      <c r="A1696" t="s">
        <v>8</v>
      </c>
      <c r="B1696" t="s">
        <v>9</v>
      </c>
      <c r="C1696" t="s">
        <v>35</v>
      </c>
      <c r="D1696" t="str" cm="1">
        <f t="array" ref="D1696">INDEX(_xlfn.TEXTSPLIT(C1696,"_"),3)</f>
        <v>bfr</v>
      </c>
      <c r="E1696" t="str">
        <f>VLOOKUP(D1696,FranchiseMapping!$A$1:$B$15,2,FALSE)</f>
        <v>Full Rescue</v>
      </c>
      <c r="F1696" s="1">
        <v>45658</v>
      </c>
      <c r="G1696" t="s">
        <v>10</v>
      </c>
      <c r="H1696" s="2">
        <v>45778</v>
      </c>
      <c r="I1696" s="3">
        <v>45788</v>
      </c>
      <c r="J1696" s="3">
        <f t="shared" si="26"/>
        <v>45794</v>
      </c>
      <c r="K1696" s="4">
        <v>7.1</v>
      </c>
      <c r="L1696">
        <v>825</v>
      </c>
    </row>
    <row r="1697" spans="1:12" x14ac:dyDescent="0.35">
      <c r="A1697" t="s">
        <v>8</v>
      </c>
      <c r="B1697" t="s">
        <v>13</v>
      </c>
      <c r="C1697" t="s">
        <v>39</v>
      </c>
      <c r="D1697" t="str" cm="1">
        <f t="array" ref="D1697">INDEX(_xlfn.TEXTSPLIT(C1697,"_"),3)</f>
        <v>scalp-sync</v>
      </c>
      <c r="E1697" t="str">
        <f>VLOOKUP(D1697,FranchiseMapping!$A$1:$B$15,2,FALSE)</f>
        <v>Scalp Sync</v>
      </c>
      <c r="F1697" s="1">
        <v>45292</v>
      </c>
      <c r="G1697" t="s">
        <v>12</v>
      </c>
      <c r="H1697" s="2">
        <v>45413</v>
      </c>
      <c r="I1697" s="3">
        <v>45442</v>
      </c>
      <c r="J1697" s="3">
        <f t="shared" si="26"/>
        <v>45444</v>
      </c>
      <c r="K1697" s="4">
        <v>1576.3422090000001</v>
      </c>
      <c r="L1697">
        <v>433364</v>
      </c>
    </row>
    <row r="1698" spans="1:12" x14ac:dyDescent="0.35">
      <c r="A1698" t="s">
        <v>8</v>
      </c>
      <c r="B1698" t="s">
        <v>9</v>
      </c>
      <c r="C1698" t="s">
        <v>56</v>
      </c>
      <c r="D1698" t="str" cm="1">
        <f t="array" ref="D1698">INDEX(_xlfn.TEXTSPLIT(C1698,"_"),3)</f>
        <v>haca-colorlast-q3</v>
      </c>
      <c r="E1698" t="str">
        <f>VLOOKUP(D1698,FranchiseMapping!$A$1:$B$15,2,FALSE)</f>
        <v>Color Last</v>
      </c>
      <c r="F1698" s="1">
        <v>44927</v>
      </c>
      <c r="G1698" t="s">
        <v>10</v>
      </c>
      <c r="H1698" s="2">
        <v>45139</v>
      </c>
      <c r="I1698" s="3">
        <v>45139</v>
      </c>
      <c r="J1698" s="3">
        <f t="shared" si="26"/>
        <v>45143</v>
      </c>
      <c r="K1698" s="4">
        <v>2097.7300009999999</v>
      </c>
      <c r="L1698">
        <v>342916</v>
      </c>
    </row>
    <row r="1699" spans="1:12" x14ac:dyDescent="0.35">
      <c r="A1699" t="s">
        <v>8</v>
      </c>
      <c r="B1699" t="s">
        <v>13</v>
      </c>
      <c r="C1699" t="s">
        <v>28</v>
      </c>
      <c r="D1699" t="str" cm="1">
        <f t="array" ref="D1699">INDEX(_xlfn.TEXTSPLIT(C1699,"_"),3)</f>
        <v>na</v>
      </c>
      <c r="E1699" t="str">
        <f>VLOOKUP(D1699,FranchiseMapping!$A$1:$B$15,2,FALSE)</f>
        <v>Biolage</v>
      </c>
      <c r="F1699" s="1">
        <v>44927</v>
      </c>
      <c r="G1699" t="s">
        <v>12</v>
      </c>
      <c r="H1699" s="2">
        <v>45108</v>
      </c>
      <c r="I1699" s="3">
        <v>45125</v>
      </c>
      <c r="J1699" s="3">
        <f t="shared" si="26"/>
        <v>45129</v>
      </c>
      <c r="K1699" s="4">
        <v>244.31611000000001</v>
      </c>
      <c r="L1699">
        <v>101325</v>
      </c>
    </row>
    <row r="1700" spans="1:12" x14ac:dyDescent="0.35">
      <c r="A1700" t="s">
        <v>8</v>
      </c>
      <c r="B1700" t="s">
        <v>9</v>
      </c>
      <c r="C1700" t="s">
        <v>54</v>
      </c>
      <c r="D1700" t="str" cm="1">
        <f t="array" ref="D1700">INDEX(_xlfn.TEXTSPLIT(C1700,"_"),3)</f>
        <v>scalp</v>
      </c>
      <c r="E1700" t="str">
        <f>VLOOKUP(D1700,FranchiseMapping!$A$1:$B$15,2,FALSE)</f>
        <v>Scalp Sync</v>
      </c>
      <c r="F1700" s="1">
        <v>45292</v>
      </c>
      <c r="G1700" t="s">
        <v>10</v>
      </c>
      <c r="H1700" s="2">
        <v>45383</v>
      </c>
      <c r="I1700" s="3">
        <v>45403</v>
      </c>
      <c r="J1700" s="3">
        <f t="shared" si="26"/>
        <v>45409</v>
      </c>
      <c r="K1700" s="4">
        <v>2329.6400020000001</v>
      </c>
      <c r="L1700">
        <v>494650</v>
      </c>
    </row>
    <row r="1701" spans="1:12" x14ac:dyDescent="0.35">
      <c r="A1701" t="s">
        <v>8</v>
      </c>
      <c r="B1701" t="s">
        <v>9</v>
      </c>
      <c r="C1701" t="s">
        <v>38</v>
      </c>
      <c r="D1701" t="str" cm="1">
        <f t="array" ref="D1701">INDEX(_xlfn.TEXTSPLIT(C1701,"_"),3)</f>
        <v>hys</v>
      </c>
      <c r="E1701" t="str">
        <f>VLOOKUP(D1701,FranchiseMapping!$A$1:$B$15,2,FALSE)</f>
        <v>Hydrasource</v>
      </c>
      <c r="F1701" s="1">
        <v>45658</v>
      </c>
      <c r="G1701" t="s">
        <v>10</v>
      </c>
      <c r="H1701" s="2">
        <v>45748</v>
      </c>
      <c r="I1701" s="3">
        <v>45752</v>
      </c>
      <c r="J1701" s="3">
        <f t="shared" si="26"/>
        <v>45752</v>
      </c>
      <c r="K1701" s="4">
        <v>1133.05</v>
      </c>
      <c r="L1701">
        <v>58777</v>
      </c>
    </row>
    <row r="1702" spans="1:12" x14ac:dyDescent="0.35">
      <c r="A1702" t="s">
        <v>8</v>
      </c>
      <c r="B1702" t="s">
        <v>14</v>
      </c>
      <c r="C1702" t="s">
        <v>49</v>
      </c>
      <c r="D1702" t="str" cm="1">
        <f t="array" ref="D1702">INDEX(_xlfn.TEXTSPLIT(C1702,"_"),3)</f>
        <v>hys</v>
      </c>
      <c r="E1702" t="str">
        <f>VLOOKUP(D1702,FranchiseMapping!$A$1:$B$15,2,FALSE)</f>
        <v>Hydrasource</v>
      </c>
      <c r="F1702" s="1">
        <v>45658</v>
      </c>
      <c r="G1702" t="s">
        <v>12</v>
      </c>
      <c r="H1702" s="2">
        <v>45748</v>
      </c>
      <c r="I1702" s="3">
        <v>45762</v>
      </c>
      <c r="J1702" s="3">
        <f t="shared" si="26"/>
        <v>45766</v>
      </c>
      <c r="K1702" s="4">
        <v>5418.8</v>
      </c>
      <c r="L1702">
        <v>1195417</v>
      </c>
    </row>
    <row r="1703" spans="1:12" x14ac:dyDescent="0.35">
      <c r="A1703" t="s">
        <v>8</v>
      </c>
      <c r="B1703" t="s">
        <v>13</v>
      </c>
      <c r="C1703" t="s">
        <v>62</v>
      </c>
      <c r="D1703" t="str" cm="1">
        <f t="array" ref="D1703">INDEX(_xlfn.TEXTSPLIT(C1703,"_"),3)</f>
        <v>na</v>
      </c>
      <c r="E1703" t="str">
        <f>VLOOKUP(D1703,FranchiseMapping!$A$1:$B$15,2,FALSE)</f>
        <v>Biolage</v>
      </c>
      <c r="F1703" s="1">
        <v>44927</v>
      </c>
      <c r="G1703" t="s">
        <v>12</v>
      </c>
      <c r="H1703" s="2">
        <v>45108</v>
      </c>
      <c r="I1703" s="3">
        <v>45110</v>
      </c>
      <c r="J1703" s="3">
        <f t="shared" si="26"/>
        <v>45115</v>
      </c>
      <c r="K1703" s="4">
        <v>1353.3895750000001</v>
      </c>
      <c r="L1703">
        <v>249255</v>
      </c>
    </row>
    <row r="1704" spans="1:12" x14ac:dyDescent="0.35">
      <c r="A1704" t="s">
        <v>8</v>
      </c>
      <c r="B1704" t="s">
        <v>9</v>
      </c>
      <c r="C1704" t="s">
        <v>33</v>
      </c>
      <c r="D1704" t="str" cm="1">
        <f t="array" ref="D1704">INDEX(_xlfn.TEXTSPLIT(C1704,"_"),3)</f>
        <v>hydrasource</v>
      </c>
      <c r="E1704" t="str">
        <f>VLOOKUP(D1704,FranchiseMapping!$A$1:$B$15,2,FALSE)</f>
        <v>Hydrasource</v>
      </c>
      <c r="F1704" s="1">
        <v>45292</v>
      </c>
      <c r="G1704" t="s">
        <v>11</v>
      </c>
      <c r="H1704" s="2">
        <v>45292</v>
      </c>
      <c r="I1704" s="3">
        <v>45314</v>
      </c>
      <c r="J1704" s="3">
        <f t="shared" si="26"/>
        <v>45318</v>
      </c>
      <c r="K1704" s="4">
        <v>1429.430008</v>
      </c>
      <c r="L1704">
        <v>366288</v>
      </c>
    </row>
    <row r="1705" spans="1:12" x14ac:dyDescent="0.35">
      <c r="A1705" t="s">
        <v>8</v>
      </c>
      <c r="B1705" t="s">
        <v>9</v>
      </c>
      <c r="C1705" t="s">
        <v>40</v>
      </c>
      <c r="D1705" t="str" cm="1">
        <f t="array" ref="D1705">INDEX(_xlfn.TEXTSPLIT(C1705,"_"),3)</f>
        <v>hydrasource</v>
      </c>
      <c r="E1705" t="str">
        <f>VLOOKUP(D1705,FranchiseMapping!$A$1:$B$15,2,FALSE)</f>
        <v>Hydrasource</v>
      </c>
      <c r="F1705" s="1">
        <v>45292</v>
      </c>
      <c r="G1705" t="s">
        <v>12</v>
      </c>
      <c r="H1705" s="2">
        <v>45292</v>
      </c>
      <c r="I1705" s="3">
        <v>45320</v>
      </c>
      <c r="J1705" s="3">
        <f t="shared" si="26"/>
        <v>45325</v>
      </c>
      <c r="K1705" s="4">
        <v>3199.7200000000003</v>
      </c>
      <c r="L1705">
        <v>550478</v>
      </c>
    </row>
    <row r="1706" spans="1:12" x14ac:dyDescent="0.35">
      <c r="A1706" t="s">
        <v>8</v>
      </c>
      <c r="B1706" t="s">
        <v>9</v>
      </c>
      <c r="C1706" t="s">
        <v>30</v>
      </c>
      <c r="D1706" t="str" cm="1">
        <f t="array" ref="D1706">INDEX(_xlfn.TEXTSPLIT(C1706,"_"),3)</f>
        <v>q3-haca-colorlast</v>
      </c>
      <c r="E1706" t="str">
        <f>VLOOKUP(D1706,FranchiseMapping!$A$1:$B$15,2,FALSE)</f>
        <v>Color Last</v>
      </c>
      <c r="F1706" s="1">
        <v>44927</v>
      </c>
      <c r="G1706" t="s">
        <v>10</v>
      </c>
      <c r="H1706" s="2">
        <v>45139</v>
      </c>
      <c r="I1706" s="3">
        <v>45142</v>
      </c>
      <c r="J1706" s="3">
        <f t="shared" si="26"/>
        <v>45143</v>
      </c>
      <c r="K1706" s="4">
        <v>2460.0200000000004</v>
      </c>
      <c r="L1706">
        <v>403022</v>
      </c>
    </row>
    <row r="1707" spans="1:12" x14ac:dyDescent="0.35">
      <c r="A1707" t="s">
        <v>8</v>
      </c>
      <c r="B1707" t="s">
        <v>13</v>
      </c>
      <c r="C1707" t="s">
        <v>59</v>
      </c>
      <c r="D1707" t="str" cm="1">
        <f t="array" ref="D1707">INDEX(_xlfn.TEXTSPLIT(C1707,"_"),3)</f>
        <v>scalp-sync</v>
      </c>
      <c r="E1707" t="str">
        <f>VLOOKUP(D1707,FranchiseMapping!$A$1:$B$15,2,FALSE)</f>
        <v>Scalp Sync</v>
      </c>
      <c r="F1707" s="1">
        <v>45292</v>
      </c>
      <c r="G1707" t="s">
        <v>11</v>
      </c>
      <c r="H1707" s="2">
        <v>45413</v>
      </c>
      <c r="I1707" s="3">
        <v>45424</v>
      </c>
      <c r="J1707" s="3">
        <f t="shared" si="26"/>
        <v>45430</v>
      </c>
      <c r="K1707" s="4">
        <v>3400.5716510000002</v>
      </c>
      <c r="L1707">
        <v>1440838</v>
      </c>
    </row>
    <row r="1708" spans="1:12" x14ac:dyDescent="0.35">
      <c r="A1708" t="s">
        <v>8</v>
      </c>
      <c r="B1708" t="s">
        <v>9</v>
      </c>
      <c r="C1708" t="s">
        <v>38</v>
      </c>
      <c r="D1708" t="str" cm="1">
        <f t="array" ref="D1708">INDEX(_xlfn.TEXTSPLIT(C1708,"_"),3)</f>
        <v>hys</v>
      </c>
      <c r="E1708" t="str">
        <f>VLOOKUP(D1708,FranchiseMapping!$A$1:$B$15,2,FALSE)</f>
        <v>Hydrasource</v>
      </c>
      <c r="F1708" s="1">
        <v>45658</v>
      </c>
      <c r="G1708" t="s">
        <v>10</v>
      </c>
      <c r="H1708" s="2">
        <v>45748</v>
      </c>
      <c r="I1708" s="3">
        <v>45767</v>
      </c>
      <c r="J1708" s="3">
        <f t="shared" si="26"/>
        <v>45773</v>
      </c>
      <c r="K1708" s="4">
        <v>456.38</v>
      </c>
      <c r="L1708">
        <v>18106</v>
      </c>
    </row>
    <row r="1709" spans="1:12" x14ac:dyDescent="0.35">
      <c r="A1709" t="s">
        <v>8</v>
      </c>
      <c r="B1709" t="s">
        <v>9</v>
      </c>
      <c r="C1709" t="s">
        <v>46</v>
      </c>
      <c r="D1709" t="str" cm="1">
        <f t="array" ref="D1709">INDEX(_xlfn.TEXTSPLIT(C1709,"_"),3)</f>
        <v>mult</v>
      </c>
      <c r="E1709" t="str">
        <f>VLOOKUP(D1709,FranchiseMapping!$A$1:$B$15,2,FALSE)</f>
        <v>Biolage</v>
      </c>
      <c r="F1709" s="1">
        <v>45658</v>
      </c>
      <c r="G1709" t="s">
        <v>10</v>
      </c>
      <c r="H1709" s="2">
        <v>45748</v>
      </c>
      <c r="I1709" s="3">
        <v>45767</v>
      </c>
      <c r="J1709" s="3">
        <f t="shared" si="26"/>
        <v>45773</v>
      </c>
      <c r="K1709" s="4">
        <v>868.50000000000011</v>
      </c>
      <c r="L1709">
        <v>190304</v>
      </c>
    </row>
    <row r="1710" spans="1:12" x14ac:dyDescent="0.35">
      <c r="A1710" t="s">
        <v>8</v>
      </c>
      <c r="B1710" t="s">
        <v>9</v>
      </c>
      <c r="C1710" t="s">
        <v>54</v>
      </c>
      <c r="D1710" t="str" cm="1">
        <f t="array" ref="D1710">INDEX(_xlfn.TEXTSPLIT(C1710,"_"),3)</f>
        <v>scalp</v>
      </c>
      <c r="E1710" t="str">
        <f>VLOOKUP(D1710,FranchiseMapping!$A$1:$B$15,2,FALSE)</f>
        <v>Scalp Sync</v>
      </c>
      <c r="F1710" s="1">
        <v>45292</v>
      </c>
      <c r="G1710" t="s">
        <v>10</v>
      </c>
      <c r="H1710" s="2">
        <v>45383</v>
      </c>
      <c r="I1710" s="3">
        <v>45385</v>
      </c>
      <c r="J1710" s="3">
        <f t="shared" si="26"/>
        <v>45388</v>
      </c>
      <c r="K1710" s="4">
        <v>1983.1999990000002</v>
      </c>
      <c r="L1710">
        <v>466639</v>
      </c>
    </row>
    <row r="1711" spans="1:12" x14ac:dyDescent="0.35">
      <c r="A1711" t="s">
        <v>8</v>
      </c>
      <c r="B1711" t="s">
        <v>9</v>
      </c>
      <c r="C1711" t="s">
        <v>46</v>
      </c>
      <c r="D1711" t="str" cm="1">
        <f t="array" ref="D1711">INDEX(_xlfn.TEXTSPLIT(C1711,"_"),3)</f>
        <v>mult</v>
      </c>
      <c r="E1711" t="str">
        <f>VLOOKUP(D1711,FranchiseMapping!$A$1:$B$15,2,FALSE)</f>
        <v>Biolage</v>
      </c>
      <c r="F1711" s="1">
        <v>45658</v>
      </c>
      <c r="G1711" t="s">
        <v>10</v>
      </c>
      <c r="H1711" s="2">
        <v>45778</v>
      </c>
      <c r="I1711" s="3">
        <v>45796</v>
      </c>
      <c r="J1711" s="3">
        <f t="shared" si="26"/>
        <v>45801</v>
      </c>
      <c r="K1711" s="4">
        <v>1441.8</v>
      </c>
      <c r="L1711">
        <v>230501</v>
      </c>
    </row>
    <row r="1712" spans="1:12" x14ac:dyDescent="0.35">
      <c r="A1712" t="s">
        <v>8</v>
      </c>
      <c r="B1712" t="s">
        <v>14</v>
      </c>
      <c r="C1712" t="s">
        <v>37</v>
      </c>
      <c r="D1712" t="str" cm="1">
        <f t="array" ref="D1712">INDEX(_xlfn.TEXTSPLIT(C1712,"_"),3)</f>
        <v>mult</v>
      </c>
      <c r="E1712" t="str">
        <f>VLOOKUP(D1712,FranchiseMapping!$A$1:$B$15,2,FALSE)</f>
        <v>Biolage</v>
      </c>
      <c r="F1712" s="1">
        <v>45658</v>
      </c>
      <c r="G1712" t="s">
        <v>10</v>
      </c>
      <c r="H1712" s="2">
        <v>45809</v>
      </c>
      <c r="I1712" s="3">
        <v>45811</v>
      </c>
      <c r="J1712" s="3">
        <f t="shared" si="26"/>
        <v>45815</v>
      </c>
      <c r="K1712" s="4">
        <v>945.15000000000009</v>
      </c>
      <c r="L1712">
        <v>276166</v>
      </c>
    </row>
    <row r="1713" spans="1:12" x14ac:dyDescent="0.35">
      <c r="A1713" t="s">
        <v>8</v>
      </c>
      <c r="B1713" t="s">
        <v>14</v>
      </c>
      <c r="C1713" t="s">
        <v>37</v>
      </c>
      <c r="D1713" t="str" cm="1">
        <f t="array" ref="D1713">INDEX(_xlfn.TEXTSPLIT(C1713,"_"),3)</f>
        <v>mult</v>
      </c>
      <c r="E1713" t="str">
        <f>VLOOKUP(D1713,FranchiseMapping!$A$1:$B$15,2,FALSE)</f>
        <v>Biolage</v>
      </c>
      <c r="F1713" s="1">
        <v>45658</v>
      </c>
      <c r="G1713" t="s">
        <v>12</v>
      </c>
      <c r="H1713" s="2">
        <v>45717</v>
      </c>
      <c r="I1713" s="3">
        <v>45744</v>
      </c>
      <c r="J1713" s="3">
        <f t="shared" si="26"/>
        <v>45745</v>
      </c>
      <c r="K1713" s="4">
        <v>1970.18</v>
      </c>
      <c r="L1713">
        <v>440628</v>
      </c>
    </row>
    <row r="1714" spans="1:12" x14ac:dyDescent="0.35">
      <c r="A1714" t="s">
        <v>8</v>
      </c>
      <c r="B1714" t="s">
        <v>14</v>
      </c>
      <c r="C1714" t="s">
        <v>29</v>
      </c>
      <c r="D1714" t="str" cm="1">
        <f t="array" ref="D1714">INDEX(_xlfn.TEXTSPLIT(C1714,"_"),3)</f>
        <v>bfr</v>
      </c>
      <c r="E1714" t="str">
        <f>VLOOKUP(D1714,FranchiseMapping!$A$1:$B$15,2,FALSE)</f>
        <v>Full Rescue</v>
      </c>
      <c r="F1714" s="1">
        <v>45658</v>
      </c>
      <c r="G1714" t="s">
        <v>10</v>
      </c>
      <c r="H1714" s="2">
        <v>45809</v>
      </c>
      <c r="I1714" s="3">
        <v>45823</v>
      </c>
      <c r="J1714" s="3">
        <f t="shared" si="26"/>
        <v>45829</v>
      </c>
      <c r="K1714" s="4">
        <v>1716.25</v>
      </c>
      <c r="L1714">
        <v>257419</v>
      </c>
    </row>
    <row r="1715" spans="1:12" x14ac:dyDescent="0.35">
      <c r="A1715" t="s">
        <v>8</v>
      </c>
      <c r="B1715" t="s">
        <v>13</v>
      </c>
      <c r="C1715" t="s">
        <v>28</v>
      </c>
      <c r="D1715" t="str" cm="1">
        <f t="array" ref="D1715">INDEX(_xlfn.TEXTSPLIT(C1715,"_"),3)</f>
        <v>na</v>
      </c>
      <c r="E1715" t="str">
        <f>VLOOKUP(D1715,FranchiseMapping!$A$1:$B$15,2,FALSE)</f>
        <v>Biolage</v>
      </c>
      <c r="F1715" s="1">
        <v>44927</v>
      </c>
      <c r="G1715" t="s">
        <v>10</v>
      </c>
      <c r="H1715" s="2">
        <v>45108</v>
      </c>
      <c r="I1715" s="3">
        <v>45133</v>
      </c>
      <c r="J1715" s="3">
        <f t="shared" si="26"/>
        <v>45136</v>
      </c>
      <c r="K1715" s="4">
        <v>1262.861185</v>
      </c>
      <c r="L1715">
        <v>136896</v>
      </c>
    </row>
    <row r="1716" spans="1:12" x14ac:dyDescent="0.35">
      <c r="A1716" t="s">
        <v>8</v>
      </c>
      <c r="B1716" t="s">
        <v>9</v>
      </c>
      <c r="C1716" t="s">
        <v>38</v>
      </c>
      <c r="D1716" t="str" cm="1">
        <f t="array" ref="D1716">INDEX(_xlfn.TEXTSPLIT(C1716,"_"),3)</f>
        <v>hys</v>
      </c>
      <c r="E1716" t="str">
        <f>VLOOKUP(D1716,FranchiseMapping!$A$1:$B$15,2,FALSE)</f>
        <v>Hydrasource</v>
      </c>
      <c r="F1716" s="1">
        <v>45658</v>
      </c>
      <c r="G1716" t="s">
        <v>12</v>
      </c>
      <c r="H1716" s="2">
        <v>45778</v>
      </c>
      <c r="I1716" s="3">
        <v>45778</v>
      </c>
      <c r="J1716" s="3">
        <f t="shared" si="26"/>
        <v>45780</v>
      </c>
      <c r="K1716" s="4">
        <v>1824.6300019999999</v>
      </c>
      <c r="L1716">
        <v>273609</v>
      </c>
    </row>
    <row r="1717" spans="1:12" x14ac:dyDescent="0.35">
      <c r="A1717" t="s">
        <v>8</v>
      </c>
      <c r="B1717" t="s">
        <v>9</v>
      </c>
      <c r="C1717" t="s">
        <v>48</v>
      </c>
      <c r="D1717" t="str" cm="1">
        <f t="array" ref="D1717">INDEX(_xlfn.TEXTSPLIT(C1717,"_"),3)</f>
        <v>scalp</v>
      </c>
      <c r="E1717" t="str">
        <f>VLOOKUP(D1717,FranchiseMapping!$A$1:$B$15,2,FALSE)</f>
        <v>Scalp Sync</v>
      </c>
      <c r="F1717" s="1">
        <v>45292</v>
      </c>
      <c r="G1717" t="s">
        <v>10</v>
      </c>
      <c r="H1717" s="2">
        <v>45352</v>
      </c>
      <c r="I1717" s="3">
        <v>45364</v>
      </c>
      <c r="J1717" s="3">
        <f t="shared" si="26"/>
        <v>45367</v>
      </c>
      <c r="K1717" s="4">
        <v>923.47999900000002</v>
      </c>
      <c r="L1717">
        <v>201435</v>
      </c>
    </row>
    <row r="1718" spans="1:12" x14ac:dyDescent="0.35">
      <c r="A1718" t="s">
        <v>8</v>
      </c>
      <c r="B1718" t="s">
        <v>9</v>
      </c>
      <c r="C1718" t="s">
        <v>40</v>
      </c>
      <c r="D1718" t="str" cm="1">
        <f t="array" ref="D1718">INDEX(_xlfn.TEXTSPLIT(C1718,"_"),3)</f>
        <v>hydrasource</v>
      </c>
      <c r="E1718" t="str">
        <f>VLOOKUP(D1718,FranchiseMapping!$A$1:$B$15,2,FALSE)</f>
        <v>Hydrasource</v>
      </c>
      <c r="F1718" s="1">
        <v>45292</v>
      </c>
      <c r="G1718" t="s">
        <v>12</v>
      </c>
      <c r="H1718" s="2">
        <v>45323</v>
      </c>
      <c r="I1718" s="3">
        <v>45348</v>
      </c>
      <c r="J1718" s="3">
        <f t="shared" si="26"/>
        <v>45353</v>
      </c>
      <c r="K1718" s="4">
        <v>3204.2200009999992</v>
      </c>
      <c r="L1718">
        <v>508201</v>
      </c>
    </row>
    <row r="1719" spans="1:12" x14ac:dyDescent="0.35">
      <c r="A1719" t="s">
        <v>8</v>
      </c>
      <c r="B1719" t="s">
        <v>14</v>
      </c>
      <c r="C1719" t="s">
        <v>43</v>
      </c>
      <c r="D1719" t="str" cm="1">
        <f t="array" ref="D1719">INDEX(_xlfn.TEXTSPLIT(C1719,"_"),3)</f>
        <v>bfr</v>
      </c>
      <c r="E1719" t="str">
        <f>VLOOKUP(D1719,FranchiseMapping!$A$1:$B$15,2,FALSE)</f>
        <v>Full Rescue</v>
      </c>
      <c r="F1719" s="1">
        <v>45658</v>
      </c>
      <c r="G1719" t="s">
        <v>12</v>
      </c>
      <c r="H1719" s="2">
        <v>45809</v>
      </c>
      <c r="I1719" s="3">
        <v>45835</v>
      </c>
      <c r="J1719" s="3">
        <f t="shared" si="26"/>
        <v>45836</v>
      </c>
      <c r="K1719" s="4">
        <v>186.23000000000005</v>
      </c>
      <c r="L1719">
        <v>33916</v>
      </c>
    </row>
    <row r="1720" spans="1:12" x14ac:dyDescent="0.35">
      <c r="A1720" t="s">
        <v>8</v>
      </c>
      <c r="B1720" t="s">
        <v>9</v>
      </c>
      <c r="C1720" t="s">
        <v>50</v>
      </c>
      <c r="D1720" t="str" cm="1">
        <f t="array" ref="D1720">INDEX(_xlfn.TEXTSPLIT(C1720,"_"),3)</f>
        <v>bond-therapy</v>
      </c>
      <c r="E1720" t="str">
        <f>VLOOKUP(D1720,FranchiseMapping!$A$1:$B$15,2,FALSE)</f>
        <v>Bond Therapy</v>
      </c>
      <c r="F1720" s="1">
        <v>44927</v>
      </c>
      <c r="G1720" t="s">
        <v>12</v>
      </c>
      <c r="H1720" s="2">
        <v>45231</v>
      </c>
      <c r="I1720" s="3">
        <v>45245</v>
      </c>
      <c r="J1720" s="3">
        <f t="shared" si="26"/>
        <v>45248</v>
      </c>
      <c r="K1720" s="4">
        <v>1499.5499970000001</v>
      </c>
      <c r="L1720">
        <v>113656</v>
      </c>
    </row>
    <row r="1721" spans="1:12" x14ac:dyDescent="0.35">
      <c r="A1721" t="s">
        <v>8</v>
      </c>
      <c r="B1721" t="s">
        <v>14</v>
      </c>
      <c r="C1721" t="s">
        <v>29</v>
      </c>
      <c r="D1721" t="str" cm="1">
        <f t="array" ref="D1721">INDEX(_xlfn.TEXTSPLIT(C1721,"_"),3)</f>
        <v>bfr</v>
      </c>
      <c r="E1721" t="str">
        <f>VLOOKUP(D1721,FranchiseMapping!$A$1:$B$15,2,FALSE)</f>
        <v>Full Rescue</v>
      </c>
      <c r="F1721" s="1">
        <v>45658</v>
      </c>
      <c r="G1721" t="s">
        <v>10</v>
      </c>
      <c r="H1721" s="2">
        <v>45809</v>
      </c>
      <c r="I1721" s="3">
        <v>45833</v>
      </c>
      <c r="J1721" s="3">
        <f t="shared" si="26"/>
        <v>45836</v>
      </c>
      <c r="K1721" s="4">
        <v>1377.0900000000001</v>
      </c>
      <c r="L1721">
        <v>235758</v>
      </c>
    </row>
    <row r="1722" spans="1:12" x14ac:dyDescent="0.35">
      <c r="A1722" t="s">
        <v>8</v>
      </c>
      <c r="B1722" t="s">
        <v>9</v>
      </c>
      <c r="C1722" t="s">
        <v>67</v>
      </c>
      <c r="D1722" t="str" cm="1">
        <f t="array" ref="D1722">INDEX(_xlfn.TEXTSPLIT(C1722,"_"),3)</f>
        <v>prime-day</v>
      </c>
      <c r="E1722" t="str">
        <f>VLOOKUP(D1722,FranchiseMapping!$A$1:$B$15,2,FALSE)</f>
        <v>Prime Day</v>
      </c>
      <c r="F1722" s="1">
        <v>45292</v>
      </c>
      <c r="G1722" t="s">
        <v>10</v>
      </c>
      <c r="H1722" s="2">
        <v>45474</v>
      </c>
      <c r="I1722" s="3">
        <v>45478</v>
      </c>
      <c r="J1722" s="3">
        <f t="shared" si="26"/>
        <v>45479</v>
      </c>
      <c r="K1722" s="4">
        <v>2358.0900080000001</v>
      </c>
      <c r="L1722">
        <v>289136</v>
      </c>
    </row>
    <row r="1723" spans="1:12" x14ac:dyDescent="0.35">
      <c r="A1723" t="s">
        <v>8</v>
      </c>
      <c r="B1723" t="s">
        <v>9</v>
      </c>
      <c r="C1723" t="s">
        <v>53</v>
      </c>
      <c r="D1723" t="str" cm="1">
        <f t="array" ref="D1723">INDEX(_xlfn.TEXTSPLIT(C1723,"_"),3)</f>
        <v>bond-therapy</v>
      </c>
      <c r="E1723" t="str">
        <f>VLOOKUP(D1723,FranchiseMapping!$A$1:$B$15,2,FALSE)</f>
        <v>Bond Therapy</v>
      </c>
      <c r="F1723" s="1">
        <v>44927</v>
      </c>
      <c r="G1723" t="s">
        <v>11</v>
      </c>
      <c r="H1723" s="2">
        <v>45231</v>
      </c>
      <c r="I1723" s="3">
        <v>45251</v>
      </c>
      <c r="J1723" s="3">
        <f t="shared" si="26"/>
        <v>45255</v>
      </c>
      <c r="K1723" s="4">
        <v>1257.8700000000001</v>
      </c>
      <c r="L1723">
        <v>224104</v>
      </c>
    </row>
    <row r="1724" spans="1:12" x14ac:dyDescent="0.35">
      <c r="A1724" t="s">
        <v>8</v>
      </c>
      <c r="B1724" t="s">
        <v>9</v>
      </c>
      <c r="C1724" t="s">
        <v>50</v>
      </c>
      <c r="D1724" t="str" cm="1">
        <f t="array" ref="D1724">INDEX(_xlfn.TEXTSPLIT(C1724,"_"),3)</f>
        <v>bond-therapy</v>
      </c>
      <c r="E1724" t="str">
        <f>VLOOKUP(D1724,FranchiseMapping!$A$1:$B$15,2,FALSE)</f>
        <v>Bond Therapy</v>
      </c>
      <c r="F1724" s="1">
        <v>44927</v>
      </c>
      <c r="G1724" t="s">
        <v>12</v>
      </c>
      <c r="H1724" s="2">
        <v>45261</v>
      </c>
      <c r="I1724" s="3">
        <v>45278</v>
      </c>
      <c r="J1724" s="3">
        <f t="shared" si="26"/>
        <v>45283</v>
      </c>
      <c r="K1724" s="4">
        <v>3124.3900119999998</v>
      </c>
      <c r="L1724">
        <v>275544</v>
      </c>
    </row>
    <row r="1725" spans="1:12" x14ac:dyDescent="0.35">
      <c r="A1725" t="s">
        <v>8</v>
      </c>
      <c r="B1725" t="s">
        <v>9</v>
      </c>
      <c r="C1725" t="s">
        <v>73</v>
      </c>
      <c r="D1725" t="str" cm="1">
        <f t="array" ref="D1725">INDEX(_xlfn.TEXTSPLIT(C1725,"_"),3)</f>
        <v>prime-day</v>
      </c>
      <c r="E1725" t="str">
        <f>VLOOKUP(D1725,FranchiseMapping!$A$1:$B$15,2,FALSE)</f>
        <v>Prime Day</v>
      </c>
      <c r="F1725" s="1">
        <v>45292</v>
      </c>
      <c r="G1725" t="s">
        <v>11</v>
      </c>
      <c r="H1725" s="2">
        <v>45474</v>
      </c>
      <c r="I1725" s="3">
        <v>45488</v>
      </c>
      <c r="J1725" s="3">
        <f t="shared" si="26"/>
        <v>45493</v>
      </c>
      <c r="K1725" s="4">
        <v>9282.0299989999985</v>
      </c>
      <c r="L1725">
        <v>964834</v>
      </c>
    </row>
    <row r="1726" spans="1:12" x14ac:dyDescent="0.35">
      <c r="A1726" t="s">
        <v>8</v>
      </c>
      <c r="B1726" t="s">
        <v>14</v>
      </c>
      <c r="C1726" t="s">
        <v>37</v>
      </c>
      <c r="D1726" t="str" cm="1">
        <f t="array" ref="D1726">INDEX(_xlfn.TEXTSPLIT(C1726,"_"),3)</f>
        <v>mult</v>
      </c>
      <c r="E1726" t="str">
        <f>VLOOKUP(D1726,FranchiseMapping!$A$1:$B$15,2,FALSE)</f>
        <v>Biolage</v>
      </c>
      <c r="F1726" s="1">
        <v>45658</v>
      </c>
      <c r="G1726" t="s">
        <v>12</v>
      </c>
      <c r="H1726" s="2">
        <v>45717</v>
      </c>
      <c r="I1726" s="3">
        <v>45735</v>
      </c>
      <c r="J1726" s="3">
        <f t="shared" si="26"/>
        <v>45738</v>
      </c>
      <c r="K1726" s="4">
        <v>1987.4099999999999</v>
      </c>
      <c r="L1726">
        <v>473320</v>
      </c>
    </row>
    <row r="1727" spans="1:12" x14ac:dyDescent="0.35">
      <c r="A1727" t="s">
        <v>8</v>
      </c>
      <c r="B1727" t="s">
        <v>14</v>
      </c>
      <c r="C1727" t="s">
        <v>49</v>
      </c>
      <c r="D1727" t="str" cm="1">
        <f t="array" ref="D1727">INDEX(_xlfn.TEXTSPLIT(C1727,"_"),3)</f>
        <v>hys</v>
      </c>
      <c r="E1727" t="str">
        <f>VLOOKUP(D1727,FranchiseMapping!$A$1:$B$15,2,FALSE)</f>
        <v>Hydrasource</v>
      </c>
      <c r="F1727" s="1">
        <v>45658</v>
      </c>
      <c r="G1727" t="s">
        <v>12</v>
      </c>
      <c r="H1727" s="2">
        <v>45748</v>
      </c>
      <c r="I1727" s="3">
        <v>45753</v>
      </c>
      <c r="J1727" s="3">
        <f t="shared" si="26"/>
        <v>45759</v>
      </c>
      <c r="K1727" s="4">
        <v>5342.57</v>
      </c>
      <c r="L1727">
        <v>1391010</v>
      </c>
    </row>
    <row r="1728" spans="1:12" x14ac:dyDescent="0.35">
      <c r="A1728" t="s">
        <v>8</v>
      </c>
      <c r="B1728" t="s">
        <v>9</v>
      </c>
      <c r="C1728" t="s">
        <v>55</v>
      </c>
      <c r="D1728" t="str" cm="1">
        <f t="array" ref="D1728">INDEX(_xlfn.TEXTSPLIT(C1728,"_"),3)</f>
        <v>hydrasource</v>
      </c>
      <c r="E1728" t="str">
        <f>VLOOKUP(D1728,FranchiseMapping!$A$1:$B$15,2,FALSE)</f>
        <v>Hydrasource</v>
      </c>
      <c r="F1728" s="1">
        <v>45292</v>
      </c>
      <c r="G1728" t="s">
        <v>12</v>
      </c>
      <c r="H1728" s="2">
        <v>45536</v>
      </c>
      <c r="I1728" s="3">
        <v>45559</v>
      </c>
      <c r="J1728" s="3">
        <f t="shared" si="26"/>
        <v>45563</v>
      </c>
      <c r="K1728" s="4">
        <v>3510.1500020000003</v>
      </c>
      <c r="L1728">
        <v>559273</v>
      </c>
    </row>
    <row r="1729" spans="1:12" x14ac:dyDescent="0.35">
      <c r="A1729" t="s">
        <v>8</v>
      </c>
      <c r="B1729" t="s">
        <v>9</v>
      </c>
      <c r="C1729" t="s">
        <v>53</v>
      </c>
      <c r="D1729" t="str" cm="1">
        <f t="array" ref="D1729">INDEX(_xlfn.TEXTSPLIT(C1729,"_"),3)</f>
        <v>bond-therapy</v>
      </c>
      <c r="E1729" t="str">
        <f>VLOOKUP(D1729,FranchiseMapping!$A$1:$B$15,2,FALSE)</f>
        <v>Bond Therapy</v>
      </c>
      <c r="F1729" s="1">
        <v>44927</v>
      </c>
      <c r="G1729" t="s">
        <v>11</v>
      </c>
      <c r="H1729" s="2">
        <v>45261</v>
      </c>
      <c r="I1729" s="3">
        <v>45277</v>
      </c>
      <c r="J1729" s="3">
        <f t="shared" si="26"/>
        <v>45283</v>
      </c>
      <c r="K1729" s="4">
        <v>1300.9399980000001</v>
      </c>
      <c r="L1729">
        <v>215719</v>
      </c>
    </row>
    <row r="1730" spans="1:12" x14ac:dyDescent="0.35">
      <c r="A1730" t="s">
        <v>8</v>
      </c>
      <c r="B1730" t="s">
        <v>14</v>
      </c>
      <c r="C1730" t="s">
        <v>47</v>
      </c>
      <c r="D1730" t="str" cm="1">
        <f t="array" ref="D1730">INDEX(_xlfn.TEXTSPLIT(C1730,"_"),3)</f>
        <v>hys</v>
      </c>
      <c r="E1730" t="str">
        <f>VLOOKUP(D1730,FranchiseMapping!$A$1:$B$15,2,FALSE)</f>
        <v>Hydrasource</v>
      </c>
      <c r="F1730" s="1">
        <v>45658</v>
      </c>
      <c r="G1730" t="s">
        <v>10</v>
      </c>
      <c r="H1730" s="2">
        <v>45748</v>
      </c>
      <c r="I1730" s="3">
        <v>45767</v>
      </c>
      <c r="J1730" s="3">
        <f t="shared" si="26"/>
        <v>45773</v>
      </c>
      <c r="K1730" s="4">
        <v>40.53</v>
      </c>
      <c r="L1730">
        <v>13269</v>
      </c>
    </row>
    <row r="1731" spans="1:12" x14ac:dyDescent="0.35">
      <c r="A1731" t="s">
        <v>8</v>
      </c>
      <c r="B1731" t="s">
        <v>14</v>
      </c>
      <c r="C1731" t="s">
        <v>43</v>
      </c>
      <c r="D1731" t="str" cm="1">
        <f t="array" ref="D1731">INDEX(_xlfn.TEXTSPLIT(C1731,"_"),3)</f>
        <v>bfr</v>
      </c>
      <c r="E1731" t="str">
        <f>VLOOKUP(D1731,FranchiseMapping!$A$1:$B$15,2,FALSE)</f>
        <v>Full Rescue</v>
      </c>
      <c r="F1731" s="1">
        <v>45658</v>
      </c>
      <c r="G1731" t="s">
        <v>10</v>
      </c>
      <c r="H1731" s="2">
        <v>45809</v>
      </c>
      <c r="I1731" s="3">
        <v>45811</v>
      </c>
      <c r="J1731" s="3">
        <f t="shared" ref="J1731:J1794" si="27">I1731 + (7 - WEEKDAY(I1731, 1))</f>
        <v>45815</v>
      </c>
      <c r="K1731" s="4">
        <v>250.43</v>
      </c>
      <c r="L1731">
        <v>58114</v>
      </c>
    </row>
    <row r="1732" spans="1:12" x14ac:dyDescent="0.35">
      <c r="A1732" t="s">
        <v>8</v>
      </c>
      <c r="B1732" t="s">
        <v>9</v>
      </c>
      <c r="C1732" t="s">
        <v>41</v>
      </c>
      <c r="D1732" t="str" cm="1">
        <f t="array" ref="D1732">INDEX(_xlfn.TEXTSPLIT(C1732,"_"),3)</f>
        <v>hys</v>
      </c>
      <c r="E1732" t="str">
        <f>VLOOKUP(D1732,FranchiseMapping!$A$1:$B$15,2,FALSE)</f>
        <v>Hydrasource</v>
      </c>
      <c r="F1732" s="1">
        <v>45658</v>
      </c>
      <c r="G1732" t="s">
        <v>12</v>
      </c>
      <c r="H1732" s="2">
        <v>45748</v>
      </c>
      <c r="I1732" s="3">
        <v>45771</v>
      </c>
      <c r="J1732" s="3">
        <f t="shared" si="27"/>
        <v>45773</v>
      </c>
      <c r="K1732" s="4">
        <v>3644.7200000000007</v>
      </c>
      <c r="L1732">
        <v>340747</v>
      </c>
    </row>
    <row r="1733" spans="1:12" x14ac:dyDescent="0.35">
      <c r="A1733" t="s">
        <v>8</v>
      </c>
      <c r="B1733" t="s">
        <v>13</v>
      </c>
      <c r="C1733" t="s">
        <v>51</v>
      </c>
      <c r="D1733" t="str" cm="1">
        <f t="array" ref="D1733">INDEX(_xlfn.TEXTSPLIT(C1733,"_"),3)</f>
        <v>na</v>
      </c>
      <c r="E1733" t="str">
        <f>VLOOKUP(D1733,FranchiseMapping!$A$1:$B$15,2,FALSE)</f>
        <v>Biolage</v>
      </c>
      <c r="F1733" s="1">
        <v>44927</v>
      </c>
      <c r="G1733" t="s">
        <v>11</v>
      </c>
      <c r="H1733" s="2">
        <v>45108</v>
      </c>
      <c r="I1733" s="3">
        <v>45129</v>
      </c>
      <c r="J1733" s="3">
        <f t="shared" si="27"/>
        <v>45129</v>
      </c>
      <c r="K1733" s="4">
        <v>637.38028500000007</v>
      </c>
      <c r="L1733">
        <v>350673</v>
      </c>
    </row>
    <row r="1734" spans="1:12" x14ac:dyDescent="0.35">
      <c r="A1734" t="s">
        <v>8</v>
      </c>
      <c r="B1734" t="s">
        <v>9</v>
      </c>
      <c r="C1734" t="s">
        <v>38</v>
      </c>
      <c r="D1734" t="str" cm="1">
        <f t="array" ref="D1734">INDEX(_xlfn.TEXTSPLIT(C1734,"_"),3)</f>
        <v>hys</v>
      </c>
      <c r="E1734" t="str">
        <f>VLOOKUP(D1734,FranchiseMapping!$A$1:$B$15,2,FALSE)</f>
        <v>Hydrasource</v>
      </c>
      <c r="F1734" s="1">
        <v>45658</v>
      </c>
      <c r="G1734" t="s">
        <v>10</v>
      </c>
      <c r="H1734" s="2">
        <v>45748</v>
      </c>
      <c r="I1734" s="3">
        <v>45770</v>
      </c>
      <c r="J1734" s="3">
        <f t="shared" si="27"/>
        <v>45773</v>
      </c>
      <c r="K1734" s="4">
        <v>435.66999999999996</v>
      </c>
      <c r="L1734">
        <v>20175</v>
      </c>
    </row>
    <row r="1735" spans="1:12" x14ac:dyDescent="0.35">
      <c r="A1735" t="s">
        <v>8</v>
      </c>
      <c r="B1735" t="s">
        <v>9</v>
      </c>
      <c r="C1735" t="s">
        <v>36</v>
      </c>
      <c r="D1735" t="str" cm="1">
        <f t="array" ref="D1735">INDEX(_xlfn.TEXTSPLIT(C1735,"_"),3)</f>
        <v>bfr</v>
      </c>
      <c r="E1735" t="str">
        <f>VLOOKUP(D1735,FranchiseMapping!$A$1:$B$15,2,FALSE)</f>
        <v>Full Rescue</v>
      </c>
      <c r="F1735" s="1">
        <v>45658</v>
      </c>
      <c r="G1735" t="s">
        <v>12</v>
      </c>
      <c r="H1735" s="2">
        <v>45778</v>
      </c>
      <c r="I1735" s="3">
        <v>45790</v>
      </c>
      <c r="J1735" s="3">
        <f t="shared" si="27"/>
        <v>45794</v>
      </c>
      <c r="K1735" s="4">
        <v>407.18000000000006</v>
      </c>
      <c r="L1735">
        <v>73303</v>
      </c>
    </row>
    <row r="1736" spans="1:12" x14ac:dyDescent="0.35">
      <c r="A1736" t="s">
        <v>8</v>
      </c>
      <c r="B1736" t="s">
        <v>9</v>
      </c>
      <c r="C1736" t="s">
        <v>35</v>
      </c>
      <c r="D1736" t="str" cm="1">
        <f t="array" ref="D1736">INDEX(_xlfn.TEXTSPLIT(C1736,"_"),3)</f>
        <v>bfr</v>
      </c>
      <c r="E1736" t="str">
        <f>VLOOKUP(D1736,FranchiseMapping!$A$1:$B$15,2,FALSE)</f>
        <v>Full Rescue</v>
      </c>
      <c r="F1736" s="1">
        <v>45658</v>
      </c>
      <c r="G1736" t="s">
        <v>12</v>
      </c>
      <c r="H1736" s="2">
        <v>45778</v>
      </c>
      <c r="I1736" s="3">
        <v>45801</v>
      </c>
      <c r="J1736" s="3">
        <f t="shared" si="27"/>
        <v>45801</v>
      </c>
      <c r="K1736" s="4">
        <v>1816.3099979999997</v>
      </c>
      <c r="L1736">
        <v>138413</v>
      </c>
    </row>
    <row r="1737" spans="1:12" x14ac:dyDescent="0.35">
      <c r="A1737" t="s">
        <v>8</v>
      </c>
      <c r="B1737" t="s">
        <v>9</v>
      </c>
      <c r="C1737" t="s">
        <v>31</v>
      </c>
      <c r="D1737" t="str" cm="1">
        <f t="array" ref="D1737">INDEX(_xlfn.TEXTSPLIT(C1737,"_"),3)</f>
        <v>scalp</v>
      </c>
      <c r="E1737" t="str">
        <f>VLOOKUP(D1737,FranchiseMapping!$A$1:$B$15,2,FALSE)</f>
        <v>Scalp Sync</v>
      </c>
      <c r="F1737" s="1">
        <v>45292</v>
      </c>
      <c r="G1737" t="s">
        <v>12</v>
      </c>
      <c r="H1737" s="2">
        <v>45383</v>
      </c>
      <c r="I1737" s="3">
        <v>45397</v>
      </c>
      <c r="J1737" s="3">
        <f t="shared" si="27"/>
        <v>45402</v>
      </c>
      <c r="K1737" s="4">
        <v>1503.3300069999998</v>
      </c>
      <c r="L1737">
        <v>240874</v>
      </c>
    </row>
    <row r="1738" spans="1:12" x14ac:dyDescent="0.35">
      <c r="A1738" t="s">
        <v>8</v>
      </c>
      <c r="B1738" t="s">
        <v>9</v>
      </c>
      <c r="C1738" t="s">
        <v>64</v>
      </c>
      <c r="D1738" t="str" cm="1">
        <f t="array" ref="D1738">INDEX(_xlfn.TEXTSPLIT(C1738,"_"),3)</f>
        <v>mult</v>
      </c>
      <c r="E1738" t="str">
        <f>VLOOKUP(D1738,FranchiseMapping!$A$1:$B$15,2,FALSE)</f>
        <v>Biolage</v>
      </c>
      <c r="F1738" s="1">
        <v>45292</v>
      </c>
      <c r="G1738" t="s">
        <v>12</v>
      </c>
      <c r="H1738" s="2">
        <v>45597</v>
      </c>
      <c r="I1738" s="3">
        <v>45625</v>
      </c>
      <c r="J1738" s="3">
        <f t="shared" si="27"/>
        <v>45626</v>
      </c>
      <c r="K1738" s="4">
        <v>5719.9400009999999</v>
      </c>
      <c r="L1738">
        <v>403834</v>
      </c>
    </row>
    <row r="1739" spans="1:12" x14ac:dyDescent="0.35">
      <c r="A1739" t="s">
        <v>8</v>
      </c>
      <c r="B1739" t="s">
        <v>9</v>
      </c>
      <c r="C1739" t="s">
        <v>68</v>
      </c>
      <c r="D1739" t="str" cm="1">
        <f t="array" ref="D1739">INDEX(_xlfn.TEXTSPLIT(C1739,"_"),3)</f>
        <v>na</v>
      </c>
      <c r="E1739" t="str">
        <f>VLOOKUP(D1739,FranchiseMapping!$A$1:$B$15,2,FALSE)</f>
        <v>Biolage</v>
      </c>
      <c r="F1739" s="1">
        <v>44927</v>
      </c>
      <c r="G1739" t="s">
        <v>11</v>
      </c>
      <c r="H1739" s="2">
        <v>45231</v>
      </c>
      <c r="I1739" s="3">
        <v>45232</v>
      </c>
      <c r="J1739" s="3">
        <f t="shared" si="27"/>
        <v>45234</v>
      </c>
      <c r="K1739" s="4">
        <v>323.85000099999996</v>
      </c>
      <c r="L1739">
        <v>40330</v>
      </c>
    </row>
    <row r="1740" spans="1:12" x14ac:dyDescent="0.35">
      <c r="A1740" t="s">
        <v>8</v>
      </c>
      <c r="B1740" t="s">
        <v>13</v>
      </c>
      <c r="C1740" t="s">
        <v>32</v>
      </c>
      <c r="D1740" t="str" cm="1">
        <f t="array" ref="D1740">INDEX(_xlfn.TEXTSPLIT(C1740,"_"),3)</f>
        <v>na</v>
      </c>
      <c r="E1740" t="str">
        <f>VLOOKUP(D1740,FranchiseMapping!$A$1:$B$15,2,FALSE)</f>
        <v>Biolage</v>
      </c>
      <c r="F1740" s="1">
        <v>44927</v>
      </c>
      <c r="G1740" t="s">
        <v>11</v>
      </c>
      <c r="H1740" s="2">
        <v>45139</v>
      </c>
      <c r="I1740" s="3">
        <v>45168</v>
      </c>
      <c r="J1740" s="3">
        <f t="shared" si="27"/>
        <v>45171</v>
      </c>
      <c r="K1740" s="4">
        <v>1770.854662</v>
      </c>
      <c r="L1740">
        <v>507152</v>
      </c>
    </row>
    <row r="1741" spans="1:12" x14ac:dyDescent="0.35">
      <c r="A1741" t="s">
        <v>8</v>
      </c>
      <c r="B1741" t="s">
        <v>9</v>
      </c>
      <c r="C1741" t="s">
        <v>33</v>
      </c>
      <c r="D1741" t="str" cm="1">
        <f t="array" ref="D1741">INDEX(_xlfn.TEXTSPLIT(C1741,"_"),3)</f>
        <v>hydrasource</v>
      </c>
      <c r="E1741" t="str">
        <f>VLOOKUP(D1741,FranchiseMapping!$A$1:$B$15,2,FALSE)</f>
        <v>Hydrasource</v>
      </c>
      <c r="F1741" s="1">
        <v>45292</v>
      </c>
      <c r="G1741" t="s">
        <v>11</v>
      </c>
      <c r="H1741" s="2">
        <v>45352</v>
      </c>
      <c r="I1741" s="3">
        <v>45357</v>
      </c>
      <c r="J1741" s="3">
        <f t="shared" si="27"/>
        <v>45360</v>
      </c>
      <c r="K1741" s="4">
        <v>1309.6999989999999</v>
      </c>
      <c r="L1741">
        <v>128697</v>
      </c>
    </row>
    <row r="1742" spans="1:12" x14ac:dyDescent="0.35">
      <c r="A1742" t="s">
        <v>8</v>
      </c>
      <c r="B1742" t="s">
        <v>9</v>
      </c>
      <c r="C1742" t="s">
        <v>34</v>
      </c>
      <c r="D1742" t="str" cm="1">
        <f t="array" ref="D1742">INDEX(_xlfn.TEXTSPLIT(C1742,"_"),3)</f>
        <v>hydrasource</v>
      </c>
      <c r="E1742" t="str">
        <f>VLOOKUP(D1742,FranchiseMapping!$A$1:$B$15,2,FALSE)</f>
        <v>Hydrasource</v>
      </c>
      <c r="F1742" s="1">
        <v>45292</v>
      </c>
      <c r="G1742" t="s">
        <v>12</v>
      </c>
      <c r="H1742" s="2">
        <v>45323</v>
      </c>
      <c r="I1742" s="3">
        <v>45343</v>
      </c>
      <c r="J1742" s="3">
        <f t="shared" si="27"/>
        <v>45346</v>
      </c>
      <c r="K1742" s="4">
        <v>891.870002</v>
      </c>
      <c r="L1742">
        <v>186550</v>
      </c>
    </row>
    <row r="1743" spans="1:12" x14ac:dyDescent="0.35">
      <c r="A1743" t="s">
        <v>8</v>
      </c>
      <c r="B1743" t="s">
        <v>9</v>
      </c>
      <c r="C1743" t="s">
        <v>33</v>
      </c>
      <c r="D1743" t="str" cm="1">
        <f t="array" ref="D1743">INDEX(_xlfn.TEXTSPLIT(C1743,"_"),3)</f>
        <v>hydrasource</v>
      </c>
      <c r="E1743" t="str">
        <f>VLOOKUP(D1743,FranchiseMapping!$A$1:$B$15,2,FALSE)</f>
        <v>Hydrasource</v>
      </c>
      <c r="F1743" s="1">
        <v>45292</v>
      </c>
      <c r="G1743" t="s">
        <v>11</v>
      </c>
      <c r="H1743" s="2">
        <v>45323</v>
      </c>
      <c r="I1743" s="3">
        <v>45341</v>
      </c>
      <c r="J1743" s="3">
        <f t="shared" si="27"/>
        <v>45346</v>
      </c>
      <c r="K1743" s="4">
        <v>1177.1100010000002</v>
      </c>
      <c r="L1743">
        <v>188475</v>
      </c>
    </row>
    <row r="1744" spans="1:12" x14ac:dyDescent="0.35">
      <c r="A1744" t="s">
        <v>8</v>
      </c>
      <c r="B1744" t="s">
        <v>9</v>
      </c>
      <c r="C1744" t="s">
        <v>38</v>
      </c>
      <c r="D1744" t="str" cm="1">
        <f t="array" ref="D1744">INDEX(_xlfn.TEXTSPLIT(C1744,"_"),3)</f>
        <v>hys</v>
      </c>
      <c r="E1744" t="str">
        <f>VLOOKUP(D1744,FranchiseMapping!$A$1:$B$15,2,FALSE)</f>
        <v>Hydrasource</v>
      </c>
      <c r="F1744" s="1">
        <v>45658</v>
      </c>
      <c r="G1744" t="s">
        <v>12</v>
      </c>
      <c r="H1744" s="2">
        <v>45748</v>
      </c>
      <c r="I1744" s="3">
        <v>45750</v>
      </c>
      <c r="J1744" s="3">
        <f t="shared" si="27"/>
        <v>45752</v>
      </c>
      <c r="K1744" s="4">
        <v>1725.9800009999999</v>
      </c>
      <c r="L1744">
        <v>250552</v>
      </c>
    </row>
    <row r="1745" spans="1:12" x14ac:dyDescent="0.35">
      <c r="A1745" t="s">
        <v>8</v>
      </c>
      <c r="B1745" t="s">
        <v>14</v>
      </c>
      <c r="C1745" t="s">
        <v>47</v>
      </c>
      <c r="D1745" t="str" cm="1">
        <f t="array" ref="D1745">INDEX(_xlfn.TEXTSPLIT(C1745,"_"),3)</f>
        <v>hys</v>
      </c>
      <c r="E1745" t="str">
        <f>VLOOKUP(D1745,FranchiseMapping!$A$1:$B$15,2,FALSE)</f>
        <v>Hydrasource</v>
      </c>
      <c r="F1745" s="1">
        <v>45658</v>
      </c>
      <c r="G1745" t="s">
        <v>12</v>
      </c>
      <c r="H1745" s="2">
        <v>45748</v>
      </c>
      <c r="I1745" s="3">
        <v>45756</v>
      </c>
      <c r="J1745" s="3">
        <f t="shared" si="27"/>
        <v>45759</v>
      </c>
      <c r="K1745" s="4">
        <v>1363.9399999999996</v>
      </c>
      <c r="L1745">
        <v>294261</v>
      </c>
    </row>
    <row r="1746" spans="1:12" x14ac:dyDescent="0.35">
      <c r="A1746" t="s">
        <v>8</v>
      </c>
      <c r="B1746" t="s">
        <v>14</v>
      </c>
      <c r="C1746" t="s">
        <v>29</v>
      </c>
      <c r="D1746" t="str" cm="1">
        <f t="array" ref="D1746">INDEX(_xlfn.TEXTSPLIT(C1746,"_"),3)</f>
        <v>bfr</v>
      </c>
      <c r="E1746" t="str">
        <f>VLOOKUP(D1746,FranchiseMapping!$A$1:$B$15,2,FALSE)</f>
        <v>Full Rescue</v>
      </c>
      <c r="F1746" s="1">
        <v>45658</v>
      </c>
      <c r="G1746" t="s">
        <v>10</v>
      </c>
      <c r="H1746" s="2">
        <v>45809</v>
      </c>
      <c r="I1746" s="3">
        <v>45820</v>
      </c>
      <c r="J1746" s="3">
        <f t="shared" si="27"/>
        <v>45822</v>
      </c>
      <c r="K1746" s="4">
        <v>1709.6599999999999</v>
      </c>
      <c r="L1746">
        <v>269430</v>
      </c>
    </row>
    <row r="1747" spans="1:12" x14ac:dyDescent="0.35">
      <c r="A1747" t="s">
        <v>8</v>
      </c>
      <c r="B1747" t="s">
        <v>14</v>
      </c>
      <c r="C1747" t="s">
        <v>57</v>
      </c>
      <c r="D1747" t="str" cm="1">
        <f t="array" ref="D1747">INDEX(_xlfn.TEXTSPLIT(C1747,"_"),3)</f>
        <v>bfr</v>
      </c>
      <c r="E1747" t="str">
        <f>VLOOKUP(D1747,FranchiseMapping!$A$1:$B$15,2,FALSE)</f>
        <v>Full Rescue</v>
      </c>
      <c r="F1747" s="1">
        <v>45658</v>
      </c>
      <c r="G1747" t="s">
        <v>12</v>
      </c>
      <c r="H1747" s="2">
        <v>45809</v>
      </c>
      <c r="I1747" s="3">
        <v>45813</v>
      </c>
      <c r="J1747" s="3">
        <f t="shared" si="27"/>
        <v>45815</v>
      </c>
      <c r="K1747" s="4">
        <v>7156.35</v>
      </c>
      <c r="L1747">
        <v>518575</v>
      </c>
    </row>
    <row r="1748" spans="1:12" x14ac:dyDescent="0.35">
      <c r="A1748" t="s">
        <v>8</v>
      </c>
      <c r="B1748" t="s">
        <v>9</v>
      </c>
      <c r="C1748" t="s">
        <v>40</v>
      </c>
      <c r="D1748" t="str" cm="1">
        <f t="array" ref="D1748">INDEX(_xlfn.TEXTSPLIT(C1748,"_"),3)</f>
        <v>hydrasource</v>
      </c>
      <c r="E1748" t="str">
        <f>VLOOKUP(D1748,FranchiseMapping!$A$1:$B$15,2,FALSE)</f>
        <v>Hydrasource</v>
      </c>
      <c r="F1748" s="1">
        <v>45292</v>
      </c>
      <c r="G1748" t="s">
        <v>12</v>
      </c>
      <c r="H1748" s="2">
        <v>45323</v>
      </c>
      <c r="I1748" s="3">
        <v>45324</v>
      </c>
      <c r="J1748" s="3">
        <f t="shared" si="27"/>
        <v>45325</v>
      </c>
      <c r="K1748" s="4">
        <v>2629.2200000000003</v>
      </c>
      <c r="L1748">
        <v>413143</v>
      </c>
    </row>
    <row r="1749" spans="1:12" x14ac:dyDescent="0.35">
      <c r="A1749" t="s">
        <v>8</v>
      </c>
      <c r="B1749" t="s">
        <v>9</v>
      </c>
      <c r="C1749" t="s">
        <v>46</v>
      </c>
      <c r="D1749" t="str" cm="1">
        <f t="array" ref="D1749">INDEX(_xlfn.TEXTSPLIT(C1749,"_"),3)</f>
        <v>mult</v>
      </c>
      <c r="E1749" t="str">
        <f>VLOOKUP(D1749,FranchiseMapping!$A$1:$B$15,2,FALSE)</f>
        <v>Biolage</v>
      </c>
      <c r="F1749" s="1">
        <v>45658</v>
      </c>
      <c r="G1749" t="s">
        <v>12</v>
      </c>
      <c r="H1749" s="2">
        <v>45778</v>
      </c>
      <c r="I1749" s="3">
        <v>45794</v>
      </c>
      <c r="J1749" s="3">
        <f t="shared" si="27"/>
        <v>45794</v>
      </c>
      <c r="K1749" s="4">
        <v>226.68999999999997</v>
      </c>
      <c r="L1749">
        <v>37845</v>
      </c>
    </row>
    <row r="1750" spans="1:12" x14ac:dyDescent="0.35">
      <c r="A1750" t="s">
        <v>8</v>
      </c>
      <c r="B1750" t="s">
        <v>9</v>
      </c>
      <c r="C1750" t="s">
        <v>35</v>
      </c>
      <c r="D1750" t="str" cm="1">
        <f t="array" ref="D1750">INDEX(_xlfn.TEXTSPLIT(C1750,"_"),3)</f>
        <v>bfr</v>
      </c>
      <c r="E1750" t="str">
        <f>VLOOKUP(D1750,FranchiseMapping!$A$1:$B$15,2,FALSE)</f>
        <v>Full Rescue</v>
      </c>
      <c r="F1750" s="1">
        <v>45658</v>
      </c>
      <c r="G1750" t="s">
        <v>12</v>
      </c>
      <c r="H1750" s="2">
        <v>45778</v>
      </c>
      <c r="I1750" s="3">
        <v>45789</v>
      </c>
      <c r="J1750" s="3">
        <f t="shared" si="27"/>
        <v>45794</v>
      </c>
      <c r="K1750" s="4">
        <v>1858.0200010000001</v>
      </c>
      <c r="L1750">
        <v>147830</v>
      </c>
    </row>
    <row r="1751" spans="1:12" x14ac:dyDescent="0.35">
      <c r="A1751" t="s">
        <v>8</v>
      </c>
      <c r="B1751" t="s">
        <v>9</v>
      </c>
      <c r="C1751" t="s">
        <v>40</v>
      </c>
      <c r="D1751" t="str" cm="1">
        <f t="array" ref="D1751">INDEX(_xlfn.TEXTSPLIT(C1751,"_"),3)</f>
        <v>hydrasource</v>
      </c>
      <c r="E1751" t="str">
        <f>VLOOKUP(D1751,FranchiseMapping!$A$1:$B$15,2,FALSE)</f>
        <v>Hydrasource</v>
      </c>
      <c r="F1751" s="1">
        <v>45292</v>
      </c>
      <c r="G1751" t="s">
        <v>12</v>
      </c>
      <c r="H1751" s="2">
        <v>45323</v>
      </c>
      <c r="I1751" s="3">
        <v>45326</v>
      </c>
      <c r="J1751" s="3">
        <f t="shared" si="27"/>
        <v>45332</v>
      </c>
      <c r="K1751" s="4">
        <v>3376.3100050000012</v>
      </c>
      <c r="L1751">
        <v>576676</v>
      </c>
    </row>
    <row r="1752" spans="1:12" x14ac:dyDescent="0.35">
      <c r="A1752" t="s">
        <v>8</v>
      </c>
      <c r="B1752" t="s">
        <v>9</v>
      </c>
      <c r="C1752" t="s">
        <v>34</v>
      </c>
      <c r="D1752" t="str" cm="1">
        <f t="array" ref="D1752">INDEX(_xlfn.TEXTSPLIT(C1752,"_"),3)</f>
        <v>hydrasource</v>
      </c>
      <c r="E1752" t="str">
        <f>VLOOKUP(D1752,FranchiseMapping!$A$1:$B$15,2,FALSE)</f>
        <v>Hydrasource</v>
      </c>
      <c r="F1752" s="1">
        <v>45292</v>
      </c>
      <c r="G1752" t="s">
        <v>12</v>
      </c>
      <c r="H1752" s="2">
        <v>45323</v>
      </c>
      <c r="I1752" s="3">
        <v>45351</v>
      </c>
      <c r="J1752" s="3">
        <f t="shared" si="27"/>
        <v>45353</v>
      </c>
      <c r="K1752" s="4">
        <v>932.26999999999987</v>
      </c>
      <c r="L1752">
        <v>182513</v>
      </c>
    </row>
    <row r="1753" spans="1:12" x14ac:dyDescent="0.35">
      <c r="A1753" t="s">
        <v>8</v>
      </c>
      <c r="B1753" t="s">
        <v>9</v>
      </c>
      <c r="C1753" t="s">
        <v>46</v>
      </c>
      <c r="D1753" t="str" cm="1">
        <f t="array" ref="D1753">INDEX(_xlfn.TEXTSPLIT(C1753,"_"),3)</f>
        <v>mult</v>
      </c>
      <c r="E1753" t="str">
        <f>VLOOKUP(D1753,FranchiseMapping!$A$1:$B$15,2,FALSE)</f>
        <v>Biolage</v>
      </c>
      <c r="F1753" s="1">
        <v>45658</v>
      </c>
      <c r="G1753" t="s">
        <v>10</v>
      </c>
      <c r="H1753" s="2">
        <v>45778</v>
      </c>
      <c r="I1753" s="3">
        <v>45785</v>
      </c>
      <c r="J1753" s="3">
        <f t="shared" si="27"/>
        <v>45787</v>
      </c>
      <c r="K1753" s="4">
        <v>1416.0699970000001</v>
      </c>
      <c r="L1753">
        <v>277277</v>
      </c>
    </row>
    <row r="1754" spans="1:12" x14ac:dyDescent="0.35">
      <c r="A1754" t="s">
        <v>8</v>
      </c>
      <c r="B1754" t="s">
        <v>9</v>
      </c>
      <c r="C1754" t="s">
        <v>55</v>
      </c>
      <c r="D1754" t="str" cm="1">
        <f t="array" ref="D1754">INDEX(_xlfn.TEXTSPLIT(C1754,"_"),3)</f>
        <v>hydrasource</v>
      </c>
      <c r="E1754" t="str">
        <f>VLOOKUP(D1754,FranchiseMapping!$A$1:$B$15,2,FALSE)</f>
        <v>Hydrasource</v>
      </c>
      <c r="F1754" s="1">
        <v>45292</v>
      </c>
      <c r="G1754" t="s">
        <v>12</v>
      </c>
      <c r="H1754" s="2">
        <v>45566</v>
      </c>
      <c r="I1754" s="3">
        <v>45595</v>
      </c>
      <c r="J1754" s="3">
        <f t="shared" si="27"/>
        <v>45598</v>
      </c>
      <c r="K1754" s="4">
        <v>3443.4699969999992</v>
      </c>
      <c r="L1754">
        <v>693435</v>
      </c>
    </row>
    <row r="1755" spans="1:12" x14ac:dyDescent="0.35">
      <c r="A1755" t="s">
        <v>8</v>
      </c>
      <c r="B1755" t="s">
        <v>9</v>
      </c>
      <c r="C1755" t="s">
        <v>58</v>
      </c>
      <c r="D1755" t="str" cm="1">
        <f t="array" ref="D1755">INDEX(_xlfn.TEXTSPLIT(C1755,"_"),3)</f>
        <v>oct-prime-day</v>
      </c>
      <c r="E1755" t="str">
        <f>VLOOKUP(D1755,FranchiseMapping!$A$1:$B$15,2,FALSE)</f>
        <v>Prime Day</v>
      </c>
      <c r="F1755" s="1">
        <v>45292</v>
      </c>
      <c r="G1755" t="s">
        <v>10</v>
      </c>
      <c r="H1755" s="2">
        <v>45566</v>
      </c>
      <c r="I1755" s="3">
        <v>45574</v>
      </c>
      <c r="J1755" s="3">
        <f t="shared" si="27"/>
        <v>45577</v>
      </c>
      <c r="K1755" s="4">
        <v>7742.8000059999995</v>
      </c>
      <c r="L1755">
        <v>1478914</v>
      </c>
    </row>
    <row r="1756" spans="1:12" x14ac:dyDescent="0.35">
      <c r="A1756" t="s">
        <v>8</v>
      </c>
      <c r="B1756" t="s">
        <v>9</v>
      </c>
      <c r="C1756" t="s">
        <v>36</v>
      </c>
      <c r="D1756" t="str" cm="1">
        <f t="array" ref="D1756">INDEX(_xlfn.TEXTSPLIT(C1756,"_"),3)</f>
        <v>bfr</v>
      </c>
      <c r="E1756" t="str">
        <f>VLOOKUP(D1756,FranchiseMapping!$A$1:$B$15,2,FALSE)</f>
        <v>Full Rescue</v>
      </c>
      <c r="F1756" s="1">
        <v>45658</v>
      </c>
      <c r="G1756" t="s">
        <v>10</v>
      </c>
      <c r="H1756" s="2">
        <v>45809</v>
      </c>
      <c r="I1756" s="3">
        <v>45837</v>
      </c>
      <c r="J1756" s="3">
        <f t="shared" si="27"/>
        <v>45843</v>
      </c>
      <c r="K1756" s="4">
        <v>945.53999799999997</v>
      </c>
      <c r="L1756">
        <v>137051</v>
      </c>
    </row>
    <row r="1757" spans="1:12" x14ac:dyDescent="0.35">
      <c r="A1757" t="s">
        <v>8</v>
      </c>
      <c r="B1757" t="s">
        <v>13</v>
      </c>
      <c r="C1757" t="s">
        <v>59</v>
      </c>
      <c r="D1757" t="str" cm="1">
        <f t="array" ref="D1757">INDEX(_xlfn.TEXTSPLIT(C1757,"_"),3)</f>
        <v>scalp-sync</v>
      </c>
      <c r="E1757" t="str">
        <f>VLOOKUP(D1757,FranchiseMapping!$A$1:$B$15,2,FALSE)</f>
        <v>Scalp Sync</v>
      </c>
      <c r="F1757" s="1">
        <v>45292</v>
      </c>
      <c r="G1757" t="s">
        <v>11</v>
      </c>
      <c r="H1757" s="2">
        <v>45413</v>
      </c>
      <c r="I1757" s="3">
        <v>45440</v>
      </c>
      <c r="J1757" s="3">
        <f t="shared" si="27"/>
        <v>45444</v>
      </c>
      <c r="K1757" s="4">
        <v>3321.7988830000004</v>
      </c>
      <c r="L1757">
        <v>1352170</v>
      </c>
    </row>
    <row r="1758" spans="1:12" x14ac:dyDescent="0.35">
      <c r="A1758" t="s">
        <v>8</v>
      </c>
      <c r="B1758" t="s">
        <v>9</v>
      </c>
      <c r="C1758" t="s">
        <v>34</v>
      </c>
      <c r="D1758" t="str" cm="1">
        <f t="array" ref="D1758">INDEX(_xlfn.TEXTSPLIT(C1758,"_"),3)</f>
        <v>hydrasource</v>
      </c>
      <c r="E1758" t="str">
        <f>VLOOKUP(D1758,FranchiseMapping!$A$1:$B$15,2,FALSE)</f>
        <v>Hydrasource</v>
      </c>
      <c r="F1758" s="1">
        <v>45292</v>
      </c>
      <c r="G1758" t="s">
        <v>12</v>
      </c>
      <c r="H1758" s="2">
        <v>45292</v>
      </c>
      <c r="I1758" s="3">
        <v>45321</v>
      </c>
      <c r="J1758" s="3">
        <f t="shared" si="27"/>
        <v>45325</v>
      </c>
      <c r="K1758" s="4">
        <v>628.2299999999999</v>
      </c>
      <c r="L1758">
        <v>153112</v>
      </c>
    </row>
    <row r="1759" spans="1:12" x14ac:dyDescent="0.35">
      <c r="A1759" t="s">
        <v>8</v>
      </c>
      <c r="B1759" t="s">
        <v>14</v>
      </c>
      <c r="C1759" t="s">
        <v>37</v>
      </c>
      <c r="D1759" t="str" cm="1">
        <f t="array" ref="D1759">INDEX(_xlfn.TEXTSPLIT(C1759,"_"),3)</f>
        <v>mult</v>
      </c>
      <c r="E1759" t="str">
        <f>VLOOKUP(D1759,FranchiseMapping!$A$1:$B$15,2,FALSE)</f>
        <v>Biolage</v>
      </c>
      <c r="F1759" s="1">
        <v>45658</v>
      </c>
      <c r="G1759" t="s">
        <v>10</v>
      </c>
      <c r="H1759" s="2">
        <v>45748</v>
      </c>
      <c r="I1759" s="3">
        <v>45767</v>
      </c>
      <c r="J1759" s="3">
        <f t="shared" si="27"/>
        <v>45773</v>
      </c>
      <c r="K1759" s="4">
        <v>1549.0500000000002</v>
      </c>
      <c r="L1759">
        <v>423607</v>
      </c>
    </row>
    <row r="1760" spans="1:12" x14ac:dyDescent="0.35">
      <c r="A1760" t="s">
        <v>8</v>
      </c>
      <c r="B1760" t="s">
        <v>14</v>
      </c>
      <c r="C1760" t="s">
        <v>37</v>
      </c>
      <c r="D1760" t="str" cm="1">
        <f t="array" ref="D1760">INDEX(_xlfn.TEXTSPLIT(C1760,"_"),3)</f>
        <v>mult</v>
      </c>
      <c r="E1760" t="str">
        <f>VLOOKUP(D1760,FranchiseMapping!$A$1:$B$15,2,FALSE)</f>
        <v>Biolage</v>
      </c>
      <c r="F1760" s="1">
        <v>45658</v>
      </c>
      <c r="G1760" t="s">
        <v>12</v>
      </c>
      <c r="H1760" s="2">
        <v>45748</v>
      </c>
      <c r="I1760" s="3">
        <v>45767</v>
      </c>
      <c r="J1760" s="3">
        <f t="shared" si="27"/>
        <v>45773</v>
      </c>
      <c r="K1760" s="4">
        <v>0.05</v>
      </c>
      <c r="L1760">
        <v>32</v>
      </c>
    </row>
    <row r="1761" spans="1:12" x14ac:dyDescent="0.35">
      <c r="A1761" t="s">
        <v>8</v>
      </c>
      <c r="B1761" t="s">
        <v>13</v>
      </c>
      <c r="C1761" t="s">
        <v>59</v>
      </c>
      <c r="D1761" t="str" cm="1">
        <f t="array" ref="D1761">INDEX(_xlfn.TEXTSPLIT(C1761,"_"),3)</f>
        <v>scalp-sync</v>
      </c>
      <c r="E1761" t="str">
        <f>VLOOKUP(D1761,FranchiseMapping!$A$1:$B$15,2,FALSE)</f>
        <v>Scalp Sync</v>
      </c>
      <c r="F1761" s="1">
        <v>45292</v>
      </c>
      <c r="G1761" t="s">
        <v>11</v>
      </c>
      <c r="H1761" s="2">
        <v>45413</v>
      </c>
      <c r="I1761" s="3">
        <v>45417</v>
      </c>
      <c r="J1761" s="3">
        <f t="shared" si="27"/>
        <v>45423</v>
      </c>
      <c r="K1761" s="4">
        <v>3357.1667479999992</v>
      </c>
      <c r="L1761">
        <v>1542018</v>
      </c>
    </row>
    <row r="1762" spans="1:12" x14ac:dyDescent="0.35">
      <c r="A1762" t="s">
        <v>8</v>
      </c>
      <c r="B1762" t="s">
        <v>14</v>
      </c>
      <c r="C1762" t="s">
        <v>47</v>
      </c>
      <c r="D1762" t="str" cm="1">
        <f t="array" ref="D1762">INDEX(_xlfn.TEXTSPLIT(C1762,"_"),3)</f>
        <v>hys</v>
      </c>
      <c r="E1762" t="str">
        <f>VLOOKUP(D1762,FranchiseMapping!$A$1:$B$15,2,FALSE)</f>
        <v>Hydrasource</v>
      </c>
      <c r="F1762" s="1">
        <v>45658</v>
      </c>
      <c r="G1762" t="s">
        <v>10</v>
      </c>
      <c r="H1762" s="2">
        <v>45748</v>
      </c>
      <c r="I1762" s="3">
        <v>45768</v>
      </c>
      <c r="J1762" s="3">
        <f t="shared" si="27"/>
        <v>45773</v>
      </c>
      <c r="K1762" s="4">
        <v>10.379999999999999</v>
      </c>
      <c r="L1762">
        <v>2323</v>
      </c>
    </row>
    <row r="1763" spans="1:12" x14ac:dyDescent="0.35">
      <c r="A1763" t="s">
        <v>8</v>
      </c>
      <c r="B1763" t="s">
        <v>9</v>
      </c>
      <c r="C1763" t="s">
        <v>46</v>
      </c>
      <c r="D1763" t="str" cm="1">
        <f t="array" ref="D1763">INDEX(_xlfn.TEXTSPLIT(C1763,"_"),3)</f>
        <v>mult</v>
      </c>
      <c r="E1763" t="str">
        <f>VLOOKUP(D1763,FranchiseMapping!$A$1:$B$15,2,FALSE)</f>
        <v>Biolage</v>
      </c>
      <c r="F1763" s="1">
        <v>45658</v>
      </c>
      <c r="G1763" t="s">
        <v>12</v>
      </c>
      <c r="H1763" s="2">
        <v>45778</v>
      </c>
      <c r="I1763" s="3">
        <v>45796</v>
      </c>
      <c r="J1763" s="3">
        <f t="shared" si="27"/>
        <v>45801</v>
      </c>
      <c r="K1763" s="4">
        <v>230.26999999999998</v>
      </c>
      <c r="L1763">
        <v>38818</v>
      </c>
    </row>
    <row r="1764" spans="1:12" x14ac:dyDescent="0.35">
      <c r="A1764" t="s">
        <v>8</v>
      </c>
      <c r="B1764" t="s">
        <v>9</v>
      </c>
      <c r="C1764" t="s">
        <v>46</v>
      </c>
      <c r="D1764" t="str" cm="1">
        <f t="array" ref="D1764">INDEX(_xlfn.TEXTSPLIT(C1764,"_"),3)</f>
        <v>mult</v>
      </c>
      <c r="E1764" t="str">
        <f>VLOOKUP(D1764,FranchiseMapping!$A$1:$B$15,2,FALSE)</f>
        <v>Biolage</v>
      </c>
      <c r="F1764" s="1">
        <v>45658</v>
      </c>
      <c r="G1764" t="s">
        <v>12</v>
      </c>
      <c r="H1764" s="2">
        <v>45717</v>
      </c>
      <c r="I1764" s="3">
        <v>45747</v>
      </c>
      <c r="J1764" s="3">
        <f t="shared" si="27"/>
        <v>45752</v>
      </c>
      <c r="K1764" s="4">
        <v>790.2700000000001</v>
      </c>
      <c r="L1764">
        <v>35021</v>
      </c>
    </row>
    <row r="1765" spans="1:12" x14ac:dyDescent="0.35">
      <c r="A1765" t="s">
        <v>8</v>
      </c>
      <c r="B1765" t="s">
        <v>9</v>
      </c>
      <c r="C1765" t="s">
        <v>68</v>
      </c>
      <c r="D1765" t="str" cm="1">
        <f t="array" ref="D1765">INDEX(_xlfn.TEXTSPLIT(C1765,"_"),3)</f>
        <v>na</v>
      </c>
      <c r="E1765" t="str">
        <f>VLOOKUP(D1765,FranchiseMapping!$A$1:$B$15,2,FALSE)</f>
        <v>Biolage</v>
      </c>
      <c r="F1765" s="1">
        <v>44927</v>
      </c>
      <c r="G1765" t="s">
        <v>11</v>
      </c>
      <c r="H1765" s="2">
        <v>45200</v>
      </c>
      <c r="I1765" s="3">
        <v>45228</v>
      </c>
      <c r="J1765" s="3">
        <f t="shared" si="27"/>
        <v>45234</v>
      </c>
      <c r="K1765" s="4">
        <v>369.11000499999989</v>
      </c>
      <c r="L1765">
        <v>43125</v>
      </c>
    </row>
    <row r="1766" spans="1:12" x14ac:dyDescent="0.35">
      <c r="A1766" t="s">
        <v>8</v>
      </c>
      <c r="B1766" t="s">
        <v>9</v>
      </c>
      <c r="C1766" t="s">
        <v>35</v>
      </c>
      <c r="D1766" t="str" cm="1">
        <f t="array" ref="D1766">INDEX(_xlfn.TEXTSPLIT(C1766,"_"),3)</f>
        <v>bfr</v>
      </c>
      <c r="E1766" t="str">
        <f>VLOOKUP(D1766,FranchiseMapping!$A$1:$B$15,2,FALSE)</f>
        <v>Full Rescue</v>
      </c>
      <c r="F1766" s="1">
        <v>45658</v>
      </c>
      <c r="G1766" t="s">
        <v>12</v>
      </c>
      <c r="H1766" s="2">
        <v>45778</v>
      </c>
      <c r="I1766" s="3">
        <v>45790</v>
      </c>
      <c r="J1766" s="3">
        <f t="shared" si="27"/>
        <v>45794</v>
      </c>
      <c r="K1766" s="4">
        <v>1724.320001</v>
      </c>
      <c r="L1766">
        <v>139547</v>
      </c>
    </row>
    <row r="1767" spans="1:12" x14ac:dyDescent="0.35">
      <c r="A1767" t="s">
        <v>8</v>
      </c>
      <c r="B1767" t="s">
        <v>9</v>
      </c>
      <c r="C1767" t="s">
        <v>31</v>
      </c>
      <c r="D1767" t="str" cm="1">
        <f t="array" ref="D1767">INDEX(_xlfn.TEXTSPLIT(C1767,"_"),3)</f>
        <v>scalp</v>
      </c>
      <c r="E1767" t="str">
        <f>VLOOKUP(D1767,FranchiseMapping!$A$1:$B$15,2,FALSE)</f>
        <v>Scalp Sync</v>
      </c>
      <c r="F1767" s="1">
        <v>45292</v>
      </c>
      <c r="G1767" t="s">
        <v>10</v>
      </c>
      <c r="H1767" s="2">
        <v>45383</v>
      </c>
      <c r="I1767" s="3">
        <v>45398</v>
      </c>
      <c r="J1767" s="3">
        <f t="shared" si="27"/>
        <v>45402</v>
      </c>
      <c r="K1767" s="4">
        <v>129.1</v>
      </c>
      <c r="L1767">
        <v>17820</v>
      </c>
    </row>
    <row r="1768" spans="1:12" x14ac:dyDescent="0.35">
      <c r="A1768" t="s">
        <v>8</v>
      </c>
      <c r="B1768" t="s">
        <v>13</v>
      </c>
      <c r="C1768" t="s">
        <v>39</v>
      </c>
      <c r="D1768" t="str" cm="1">
        <f t="array" ref="D1768">INDEX(_xlfn.TEXTSPLIT(C1768,"_"),3)</f>
        <v>scalp-sync</v>
      </c>
      <c r="E1768" t="str">
        <f>VLOOKUP(D1768,FranchiseMapping!$A$1:$B$15,2,FALSE)</f>
        <v>Scalp Sync</v>
      </c>
      <c r="F1768" s="1">
        <v>45292</v>
      </c>
      <c r="G1768" t="s">
        <v>12</v>
      </c>
      <c r="H1768" s="2">
        <v>45383</v>
      </c>
      <c r="I1768" s="3">
        <v>45409</v>
      </c>
      <c r="J1768" s="3">
        <f t="shared" si="27"/>
        <v>45409</v>
      </c>
      <c r="K1768" s="4">
        <v>1762.7529809999996</v>
      </c>
      <c r="L1768">
        <v>481792</v>
      </c>
    </row>
    <row r="1769" spans="1:12" x14ac:dyDescent="0.35">
      <c r="A1769" t="s">
        <v>8</v>
      </c>
      <c r="B1769" t="s">
        <v>14</v>
      </c>
      <c r="C1769" t="s">
        <v>37</v>
      </c>
      <c r="D1769" t="str" cm="1">
        <f t="array" ref="D1769">INDEX(_xlfn.TEXTSPLIT(C1769,"_"),3)</f>
        <v>mult</v>
      </c>
      <c r="E1769" t="str">
        <f>VLOOKUP(D1769,FranchiseMapping!$A$1:$B$15,2,FALSE)</f>
        <v>Biolage</v>
      </c>
      <c r="F1769" s="1">
        <v>45658</v>
      </c>
      <c r="G1769" t="s">
        <v>12</v>
      </c>
      <c r="H1769" s="2">
        <v>45809</v>
      </c>
      <c r="I1769" s="3">
        <v>45826</v>
      </c>
      <c r="J1769" s="3">
        <f t="shared" si="27"/>
        <v>45829</v>
      </c>
      <c r="K1769" s="4">
        <v>1714.55</v>
      </c>
      <c r="L1769">
        <v>289664</v>
      </c>
    </row>
    <row r="1770" spans="1:12" x14ac:dyDescent="0.35">
      <c r="A1770" t="s">
        <v>8</v>
      </c>
      <c r="B1770" t="s">
        <v>9</v>
      </c>
      <c r="C1770" t="s">
        <v>74</v>
      </c>
      <c r="D1770" t="str" cm="1">
        <f t="array" ref="D1770">INDEX(_xlfn.TEXTSPLIT(C1770,"_"),3)</f>
        <v>mult</v>
      </c>
      <c r="E1770" t="str">
        <f>VLOOKUP(D1770,FranchiseMapping!$A$1:$B$15,2,FALSE)</f>
        <v>Biolage</v>
      </c>
      <c r="F1770" s="1">
        <v>45658</v>
      </c>
      <c r="G1770" t="s">
        <v>12</v>
      </c>
      <c r="H1770" s="2">
        <v>45658</v>
      </c>
      <c r="I1770" s="3">
        <v>45680</v>
      </c>
      <c r="J1770" s="3">
        <f t="shared" si="27"/>
        <v>45682</v>
      </c>
      <c r="K1770" s="4">
        <v>3802.4199979999999</v>
      </c>
      <c r="L1770">
        <v>540296</v>
      </c>
    </row>
    <row r="1771" spans="1:12" x14ac:dyDescent="0.35">
      <c r="A1771" t="s">
        <v>8</v>
      </c>
      <c r="B1771" t="s">
        <v>9</v>
      </c>
      <c r="C1771" t="s">
        <v>36</v>
      </c>
      <c r="D1771" t="str" cm="1">
        <f t="array" ref="D1771">INDEX(_xlfn.TEXTSPLIT(C1771,"_"),3)</f>
        <v>bfr</v>
      </c>
      <c r="E1771" t="str">
        <f>VLOOKUP(D1771,FranchiseMapping!$A$1:$B$15,2,FALSE)</f>
        <v>Full Rescue</v>
      </c>
      <c r="F1771" s="1">
        <v>45658</v>
      </c>
      <c r="G1771" t="s">
        <v>10</v>
      </c>
      <c r="H1771" s="2">
        <v>45778</v>
      </c>
      <c r="I1771" s="3">
        <v>45780</v>
      </c>
      <c r="J1771" s="3">
        <f t="shared" si="27"/>
        <v>45780</v>
      </c>
      <c r="K1771" s="4">
        <v>937.04</v>
      </c>
      <c r="L1771">
        <v>259600</v>
      </c>
    </row>
    <row r="1772" spans="1:12" x14ac:dyDescent="0.35">
      <c r="A1772" t="s">
        <v>8</v>
      </c>
      <c r="B1772" t="s">
        <v>13</v>
      </c>
      <c r="C1772" t="s">
        <v>62</v>
      </c>
      <c r="D1772" t="str" cm="1">
        <f t="array" ref="D1772">INDEX(_xlfn.TEXTSPLIT(C1772,"_"),3)</f>
        <v>na</v>
      </c>
      <c r="E1772" t="str">
        <f>VLOOKUP(D1772,FranchiseMapping!$A$1:$B$15,2,FALSE)</f>
        <v>Biolage</v>
      </c>
      <c r="F1772" s="1">
        <v>44927</v>
      </c>
      <c r="G1772" t="s">
        <v>12</v>
      </c>
      <c r="H1772" s="2">
        <v>45108</v>
      </c>
      <c r="I1772" s="3">
        <v>45122</v>
      </c>
      <c r="J1772" s="3">
        <f t="shared" si="27"/>
        <v>45122</v>
      </c>
      <c r="K1772" s="4">
        <v>0.1714</v>
      </c>
      <c r="L1772">
        <v>18</v>
      </c>
    </row>
    <row r="1773" spans="1:12" x14ac:dyDescent="0.35">
      <c r="A1773" t="s">
        <v>8</v>
      </c>
      <c r="B1773" t="s">
        <v>13</v>
      </c>
      <c r="C1773" t="s">
        <v>28</v>
      </c>
      <c r="D1773" t="str" cm="1">
        <f t="array" ref="D1773">INDEX(_xlfn.TEXTSPLIT(C1773,"_"),3)</f>
        <v>na</v>
      </c>
      <c r="E1773" t="str">
        <f>VLOOKUP(D1773,FranchiseMapping!$A$1:$B$15,2,FALSE)</f>
        <v>Biolage</v>
      </c>
      <c r="F1773" s="1">
        <v>44927</v>
      </c>
      <c r="G1773" t="s">
        <v>12</v>
      </c>
      <c r="H1773" s="2">
        <v>45139</v>
      </c>
      <c r="I1773" s="3">
        <v>45149</v>
      </c>
      <c r="J1773" s="3">
        <f t="shared" si="27"/>
        <v>45150</v>
      </c>
      <c r="K1773" s="4">
        <v>378.284423</v>
      </c>
      <c r="L1773">
        <v>109204</v>
      </c>
    </row>
    <row r="1774" spans="1:12" x14ac:dyDescent="0.35">
      <c r="A1774" t="s">
        <v>8</v>
      </c>
      <c r="B1774" t="s">
        <v>9</v>
      </c>
      <c r="C1774" t="s">
        <v>40</v>
      </c>
      <c r="D1774" t="str" cm="1">
        <f t="array" ref="D1774">INDEX(_xlfn.TEXTSPLIT(C1774,"_"),3)</f>
        <v>hydrasource</v>
      </c>
      <c r="E1774" t="str">
        <f>VLOOKUP(D1774,FranchiseMapping!$A$1:$B$15,2,FALSE)</f>
        <v>Hydrasource</v>
      </c>
      <c r="F1774" s="1">
        <v>45292</v>
      </c>
      <c r="G1774" t="s">
        <v>12</v>
      </c>
      <c r="H1774" s="2">
        <v>45323</v>
      </c>
      <c r="I1774" s="3">
        <v>45347</v>
      </c>
      <c r="J1774" s="3">
        <f t="shared" si="27"/>
        <v>45353</v>
      </c>
      <c r="K1774" s="4">
        <v>3382.5800040000004</v>
      </c>
      <c r="L1774">
        <v>556128</v>
      </c>
    </row>
    <row r="1775" spans="1:12" x14ac:dyDescent="0.35">
      <c r="A1775" t="s">
        <v>8</v>
      </c>
      <c r="B1775" t="s">
        <v>9</v>
      </c>
      <c r="C1775" t="s">
        <v>41</v>
      </c>
      <c r="D1775" t="str" cm="1">
        <f t="array" ref="D1775">INDEX(_xlfn.TEXTSPLIT(C1775,"_"),3)</f>
        <v>hys</v>
      </c>
      <c r="E1775" t="str">
        <f>VLOOKUP(D1775,FranchiseMapping!$A$1:$B$15,2,FALSE)</f>
        <v>Hydrasource</v>
      </c>
      <c r="F1775" s="1">
        <v>45658</v>
      </c>
      <c r="G1775" t="s">
        <v>12</v>
      </c>
      <c r="H1775" s="2">
        <v>45748</v>
      </c>
      <c r="I1775" s="3">
        <v>45750</v>
      </c>
      <c r="J1775" s="3">
        <f t="shared" si="27"/>
        <v>45752</v>
      </c>
      <c r="K1775" s="4">
        <v>3763.5000019999998</v>
      </c>
      <c r="L1775">
        <v>459726</v>
      </c>
    </row>
    <row r="1776" spans="1:12" x14ac:dyDescent="0.35">
      <c r="A1776" t="s">
        <v>8</v>
      </c>
      <c r="B1776" t="s">
        <v>14</v>
      </c>
      <c r="C1776" t="s">
        <v>43</v>
      </c>
      <c r="D1776" t="str" cm="1">
        <f t="array" ref="D1776">INDEX(_xlfn.TEXTSPLIT(C1776,"_"),3)</f>
        <v>bfr</v>
      </c>
      <c r="E1776" t="str">
        <f>VLOOKUP(D1776,FranchiseMapping!$A$1:$B$15,2,FALSE)</f>
        <v>Full Rescue</v>
      </c>
      <c r="F1776" s="1">
        <v>45658</v>
      </c>
      <c r="G1776" t="s">
        <v>10</v>
      </c>
      <c r="H1776" s="2">
        <v>45809</v>
      </c>
      <c r="I1776" s="3">
        <v>45813</v>
      </c>
      <c r="J1776" s="3">
        <f t="shared" si="27"/>
        <v>45815</v>
      </c>
      <c r="K1776" s="4">
        <v>478.57999999999993</v>
      </c>
      <c r="L1776">
        <v>96527</v>
      </c>
    </row>
    <row r="1777" spans="1:12" x14ac:dyDescent="0.35">
      <c r="A1777" t="s">
        <v>8</v>
      </c>
      <c r="B1777" t="s">
        <v>9</v>
      </c>
      <c r="C1777" t="s">
        <v>54</v>
      </c>
      <c r="D1777" t="str" cm="1">
        <f t="array" ref="D1777">INDEX(_xlfn.TEXTSPLIT(C1777,"_"),3)</f>
        <v>scalp</v>
      </c>
      <c r="E1777" t="str">
        <f>VLOOKUP(D1777,FranchiseMapping!$A$1:$B$15,2,FALSE)</f>
        <v>Scalp Sync</v>
      </c>
      <c r="F1777" s="1">
        <v>45292</v>
      </c>
      <c r="G1777" t="s">
        <v>10</v>
      </c>
      <c r="H1777" s="2">
        <v>45352</v>
      </c>
      <c r="I1777" s="3">
        <v>45363</v>
      </c>
      <c r="J1777" s="3">
        <f t="shared" si="27"/>
        <v>45367</v>
      </c>
      <c r="K1777" s="4">
        <v>2322.6399980000006</v>
      </c>
      <c r="L1777">
        <v>484543</v>
      </c>
    </row>
    <row r="1778" spans="1:12" x14ac:dyDescent="0.35">
      <c r="A1778" t="s">
        <v>8</v>
      </c>
      <c r="B1778" t="s">
        <v>9</v>
      </c>
      <c r="C1778" t="s">
        <v>41</v>
      </c>
      <c r="D1778" t="str" cm="1">
        <f t="array" ref="D1778">INDEX(_xlfn.TEXTSPLIT(C1778,"_"),3)</f>
        <v>hys</v>
      </c>
      <c r="E1778" t="str">
        <f>VLOOKUP(D1778,FranchiseMapping!$A$1:$B$15,2,FALSE)</f>
        <v>Hydrasource</v>
      </c>
      <c r="F1778" s="1">
        <v>45658</v>
      </c>
      <c r="G1778" t="s">
        <v>12</v>
      </c>
      <c r="H1778" s="2">
        <v>45748</v>
      </c>
      <c r="I1778" s="3">
        <v>45757</v>
      </c>
      <c r="J1778" s="3">
        <f t="shared" si="27"/>
        <v>45759</v>
      </c>
      <c r="K1778" s="4">
        <v>3810.3200010000014</v>
      </c>
      <c r="L1778">
        <v>399429</v>
      </c>
    </row>
    <row r="1779" spans="1:12" x14ac:dyDescent="0.35">
      <c r="A1779" t="s">
        <v>8</v>
      </c>
      <c r="B1779" t="s">
        <v>9</v>
      </c>
      <c r="C1779" t="s">
        <v>46</v>
      </c>
      <c r="D1779" t="str" cm="1">
        <f t="array" ref="D1779">INDEX(_xlfn.TEXTSPLIT(C1779,"_"),3)</f>
        <v>mult</v>
      </c>
      <c r="E1779" t="str">
        <f>VLOOKUP(D1779,FranchiseMapping!$A$1:$B$15,2,FALSE)</f>
        <v>Biolage</v>
      </c>
      <c r="F1779" s="1">
        <v>45658</v>
      </c>
      <c r="G1779" t="s">
        <v>12</v>
      </c>
      <c r="H1779" s="2">
        <v>45778</v>
      </c>
      <c r="I1779" s="3">
        <v>45783</v>
      </c>
      <c r="J1779" s="3">
        <f t="shared" si="27"/>
        <v>45787</v>
      </c>
      <c r="K1779" s="4">
        <v>15.66</v>
      </c>
      <c r="L1779">
        <v>3687</v>
      </c>
    </row>
    <row r="1780" spans="1:12" x14ac:dyDescent="0.35">
      <c r="A1780" t="s">
        <v>8</v>
      </c>
      <c r="B1780" t="s">
        <v>9</v>
      </c>
      <c r="C1780" t="s">
        <v>46</v>
      </c>
      <c r="D1780" t="str" cm="1">
        <f t="array" ref="D1780">INDEX(_xlfn.TEXTSPLIT(C1780,"_"),3)</f>
        <v>mult</v>
      </c>
      <c r="E1780" t="str">
        <f>VLOOKUP(D1780,FranchiseMapping!$A$1:$B$15,2,FALSE)</f>
        <v>Biolage</v>
      </c>
      <c r="F1780" s="1">
        <v>45658</v>
      </c>
      <c r="G1780" t="s">
        <v>10</v>
      </c>
      <c r="H1780" s="2">
        <v>45748</v>
      </c>
      <c r="I1780" s="3">
        <v>45776</v>
      </c>
      <c r="J1780" s="3">
        <f t="shared" si="27"/>
        <v>45780</v>
      </c>
      <c r="K1780" s="4">
        <v>900.13999899999999</v>
      </c>
      <c r="L1780">
        <v>175956</v>
      </c>
    </row>
    <row r="1781" spans="1:12" x14ac:dyDescent="0.35">
      <c r="A1781" t="s">
        <v>8</v>
      </c>
      <c r="B1781" t="s">
        <v>9</v>
      </c>
      <c r="C1781" t="s">
        <v>36</v>
      </c>
      <c r="D1781" t="str" cm="1">
        <f t="array" ref="D1781">INDEX(_xlfn.TEXTSPLIT(C1781,"_"),3)</f>
        <v>bfr</v>
      </c>
      <c r="E1781" t="str">
        <f>VLOOKUP(D1781,FranchiseMapping!$A$1:$B$15,2,FALSE)</f>
        <v>Full Rescue</v>
      </c>
      <c r="F1781" s="1">
        <v>45658</v>
      </c>
      <c r="G1781" t="s">
        <v>12</v>
      </c>
      <c r="H1781" s="2">
        <v>45778</v>
      </c>
      <c r="I1781" s="3">
        <v>45789</v>
      </c>
      <c r="J1781" s="3">
        <f t="shared" si="27"/>
        <v>45794</v>
      </c>
      <c r="K1781" s="4">
        <v>510.52</v>
      </c>
      <c r="L1781">
        <v>93582</v>
      </c>
    </row>
    <row r="1782" spans="1:12" x14ac:dyDescent="0.35">
      <c r="A1782" t="s">
        <v>8</v>
      </c>
      <c r="B1782" t="s">
        <v>9</v>
      </c>
      <c r="C1782" t="s">
        <v>48</v>
      </c>
      <c r="D1782" t="str" cm="1">
        <f t="array" ref="D1782">INDEX(_xlfn.TEXTSPLIT(C1782,"_"),3)</f>
        <v>scalp</v>
      </c>
      <c r="E1782" t="str">
        <f>VLOOKUP(D1782,FranchiseMapping!$A$1:$B$15,2,FALSE)</f>
        <v>Scalp Sync</v>
      </c>
      <c r="F1782" s="1">
        <v>45292</v>
      </c>
      <c r="G1782" t="s">
        <v>10</v>
      </c>
      <c r="H1782" s="2">
        <v>45352</v>
      </c>
      <c r="I1782" s="3">
        <v>45362</v>
      </c>
      <c r="J1782" s="3">
        <f t="shared" si="27"/>
        <v>45367</v>
      </c>
      <c r="K1782" s="4">
        <v>993.72999899999991</v>
      </c>
      <c r="L1782">
        <v>229950</v>
      </c>
    </row>
    <row r="1783" spans="1:12" x14ac:dyDescent="0.35">
      <c r="A1783" t="s">
        <v>8</v>
      </c>
      <c r="B1783" t="s">
        <v>9</v>
      </c>
      <c r="C1783" t="s">
        <v>54</v>
      </c>
      <c r="D1783" t="str" cm="1">
        <f t="array" ref="D1783">INDEX(_xlfn.TEXTSPLIT(C1783,"_"),3)</f>
        <v>scalp</v>
      </c>
      <c r="E1783" t="str">
        <f>VLOOKUP(D1783,FranchiseMapping!$A$1:$B$15,2,FALSE)</f>
        <v>Scalp Sync</v>
      </c>
      <c r="F1783" s="1">
        <v>45292</v>
      </c>
      <c r="G1783" t="s">
        <v>10</v>
      </c>
      <c r="H1783" s="2">
        <v>45383</v>
      </c>
      <c r="I1783" s="3">
        <v>45400</v>
      </c>
      <c r="J1783" s="3">
        <f t="shared" si="27"/>
        <v>45402</v>
      </c>
      <c r="K1783" s="4">
        <v>2280.1500010000004</v>
      </c>
      <c r="L1783">
        <v>485929</v>
      </c>
    </row>
    <row r="1784" spans="1:12" x14ac:dyDescent="0.35">
      <c r="A1784" t="s">
        <v>8</v>
      </c>
      <c r="B1784" t="s">
        <v>14</v>
      </c>
      <c r="C1784" t="s">
        <v>37</v>
      </c>
      <c r="D1784" t="str" cm="1">
        <f t="array" ref="D1784">INDEX(_xlfn.TEXTSPLIT(C1784,"_"),3)</f>
        <v>mult</v>
      </c>
      <c r="E1784" t="str">
        <f>VLOOKUP(D1784,FranchiseMapping!$A$1:$B$15,2,FALSE)</f>
        <v>Biolage</v>
      </c>
      <c r="F1784" s="1">
        <v>45658</v>
      </c>
      <c r="G1784" t="s">
        <v>10</v>
      </c>
      <c r="H1784" s="2">
        <v>45809</v>
      </c>
      <c r="I1784" s="3">
        <v>45809</v>
      </c>
      <c r="J1784" s="3">
        <f t="shared" si="27"/>
        <v>45815</v>
      </c>
      <c r="K1784" s="4">
        <v>946.32</v>
      </c>
      <c r="L1784">
        <v>283062</v>
      </c>
    </row>
    <row r="1785" spans="1:12" x14ac:dyDescent="0.35">
      <c r="A1785" t="s">
        <v>8</v>
      </c>
      <c r="B1785" t="s">
        <v>9</v>
      </c>
      <c r="C1785" t="s">
        <v>34</v>
      </c>
      <c r="D1785" t="str" cm="1">
        <f t="array" ref="D1785">INDEX(_xlfn.TEXTSPLIT(C1785,"_"),3)</f>
        <v>hydrasource</v>
      </c>
      <c r="E1785" t="str">
        <f>VLOOKUP(D1785,FranchiseMapping!$A$1:$B$15,2,FALSE)</f>
        <v>Hydrasource</v>
      </c>
      <c r="F1785" s="1">
        <v>45292</v>
      </c>
      <c r="G1785" t="s">
        <v>12</v>
      </c>
      <c r="H1785" s="2">
        <v>45292</v>
      </c>
      <c r="I1785" s="3">
        <v>45312</v>
      </c>
      <c r="J1785" s="3">
        <f t="shared" si="27"/>
        <v>45318</v>
      </c>
      <c r="K1785" s="4">
        <v>675.67999699999996</v>
      </c>
      <c r="L1785">
        <v>184093</v>
      </c>
    </row>
    <row r="1786" spans="1:12" x14ac:dyDescent="0.35">
      <c r="A1786" t="s">
        <v>8</v>
      </c>
      <c r="B1786" t="s">
        <v>13</v>
      </c>
      <c r="C1786" t="s">
        <v>39</v>
      </c>
      <c r="D1786" t="str" cm="1">
        <f t="array" ref="D1786">INDEX(_xlfn.TEXTSPLIT(C1786,"_"),3)</f>
        <v>scalp-sync</v>
      </c>
      <c r="E1786" t="str">
        <f>VLOOKUP(D1786,FranchiseMapping!$A$1:$B$15,2,FALSE)</f>
        <v>Scalp Sync</v>
      </c>
      <c r="F1786" s="1">
        <v>45292</v>
      </c>
      <c r="G1786" t="s">
        <v>12</v>
      </c>
      <c r="H1786" s="2">
        <v>45413</v>
      </c>
      <c r="I1786" s="3">
        <v>45432</v>
      </c>
      <c r="J1786" s="3">
        <f t="shared" si="27"/>
        <v>45437</v>
      </c>
      <c r="K1786" s="4">
        <v>1683.8945019999996</v>
      </c>
      <c r="L1786">
        <v>431146</v>
      </c>
    </row>
    <row r="1787" spans="1:12" x14ac:dyDescent="0.35">
      <c r="A1787" t="s">
        <v>8</v>
      </c>
      <c r="B1787" t="s">
        <v>9</v>
      </c>
      <c r="C1787" t="s">
        <v>52</v>
      </c>
      <c r="D1787" t="str" cm="1">
        <f t="array" ref="D1787">INDEX(_xlfn.TEXTSPLIT(C1787,"_"),3)</f>
        <v>bond-therapy</v>
      </c>
      <c r="E1787" t="str">
        <f>VLOOKUP(D1787,FranchiseMapping!$A$1:$B$15,2,FALSE)</f>
        <v>Bond Therapy</v>
      </c>
      <c r="F1787" s="1">
        <v>44927</v>
      </c>
      <c r="G1787" t="s">
        <v>11</v>
      </c>
      <c r="H1787" s="2">
        <v>45261</v>
      </c>
      <c r="I1787" s="3">
        <v>45270</v>
      </c>
      <c r="J1787" s="3">
        <f t="shared" si="27"/>
        <v>45276</v>
      </c>
      <c r="K1787" s="4">
        <v>3035.8600070000007</v>
      </c>
      <c r="L1787">
        <v>522953</v>
      </c>
    </row>
    <row r="1788" spans="1:12" x14ac:dyDescent="0.35">
      <c r="A1788" t="s">
        <v>8</v>
      </c>
      <c r="B1788" t="s">
        <v>9</v>
      </c>
      <c r="C1788" t="s">
        <v>38</v>
      </c>
      <c r="D1788" t="str" cm="1">
        <f t="array" ref="D1788">INDEX(_xlfn.TEXTSPLIT(C1788,"_"),3)</f>
        <v>hys</v>
      </c>
      <c r="E1788" t="str">
        <f>VLOOKUP(D1788,FranchiseMapping!$A$1:$B$15,2,FALSE)</f>
        <v>Hydrasource</v>
      </c>
      <c r="F1788" s="1">
        <v>45658</v>
      </c>
      <c r="G1788" t="s">
        <v>12</v>
      </c>
      <c r="H1788" s="2">
        <v>45748</v>
      </c>
      <c r="I1788" s="3">
        <v>45772</v>
      </c>
      <c r="J1788" s="3">
        <f t="shared" si="27"/>
        <v>45773</v>
      </c>
      <c r="K1788" s="4">
        <v>2059.100003</v>
      </c>
      <c r="L1788">
        <v>298346</v>
      </c>
    </row>
    <row r="1789" spans="1:12" x14ac:dyDescent="0.35">
      <c r="A1789" t="s">
        <v>8</v>
      </c>
      <c r="B1789" t="s">
        <v>9</v>
      </c>
      <c r="C1789" t="s">
        <v>50</v>
      </c>
      <c r="D1789" t="str" cm="1">
        <f t="array" ref="D1789">INDEX(_xlfn.TEXTSPLIT(C1789,"_"),3)</f>
        <v>bond-therapy</v>
      </c>
      <c r="E1789" t="str">
        <f>VLOOKUP(D1789,FranchiseMapping!$A$1:$B$15,2,FALSE)</f>
        <v>Bond Therapy</v>
      </c>
      <c r="F1789" s="1">
        <v>44927</v>
      </c>
      <c r="G1789" t="s">
        <v>12</v>
      </c>
      <c r="H1789" s="2">
        <v>45231</v>
      </c>
      <c r="I1789" s="3">
        <v>45258</v>
      </c>
      <c r="J1789" s="3">
        <f t="shared" si="27"/>
        <v>45262</v>
      </c>
      <c r="K1789" s="4">
        <v>3150.5499930000005</v>
      </c>
      <c r="L1789">
        <v>246104</v>
      </c>
    </row>
    <row r="1790" spans="1:12" x14ac:dyDescent="0.35">
      <c r="A1790" t="s">
        <v>8</v>
      </c>
      <c r="B1790" t="s">
        <v>9</v>
      </c>
      <c r="C1790" t="s">
        <v>72</v>
      </c>
      <c r="D1790" t="str" cm="1">
        <f t="array" ref="D1790">INDEX(_xlfn.TEXTSPLIT(C1790,"_"),3)</f>
        <v>mult</v>
      </c>
      <c r="E1790" t="str">
        <f>VLOOKUP(D1790,FranchiseMapping!$A$1:$B$15,2,FALSE)</f>
        <v>Biolage</v>
      </c>
      <c r="F1790" s="1">
        <v>45658</v>
      </c>
      <c r="G1790" t="s">
        <v>12</v>
      </c>
      <c r="H1790" s="2">
        <v>45689</v>
      </c>
      <c r="I1790" s="3">
        <v>45716</v>
      </c>
      <c r="J1790" s="3">
        <f t="shared" si="27"/>
        <v>45717</v>
      </c>
      <c r="K1790" s="4">
        <v>6504.570001</v>
      </c>
      <c r="L1790">
        <v>860658</v>
      </c>
    </row>
    <row r="1791" spans="1:12" x14ac:dyDescent="0.35">
      <c r="A1791" t="s">
        <v>8</v>
      </c>
      <c r="B1791" t="s">
        <v>9</v>
      </c>
      <c r="C1791" t="s">
        <v>30</v>
      </c>
      <c r="D1791" t="str" cm="1">
        <f t="array" ref="D1791">INDEX(_xlfn.TEXTSPLIT(C1791,"_"),3)</f>
        <v>q3-haca-colorlast</v>
      </c>
      <c r="E1791" t="str">
        <f>VLOOKUP(D1791,FranchiseMapping!$A$1:$B$15,2,FALSE)</f>
        <v>Color Last</v>
      </c>
      <c r="F1791" s="1">
        <v>44927</v>
      </c>
      <c r="G1791" t="s">
        <v>10</v>
      </c>
      <c r="H1791" s="2">
        <v>45108</v>
      </c>
      <c r="I1791" s="3">
        <v>45131</v>
      </c>
      <c r="J1791" s="3">
        <f t="shared" si="27"/>
        <v>45136</v>
      </c>
      <c r="K1791" s="4">
        <v>2660.8599980000004</v>
      </c>
      <c r="L1791">
        <v>420437</v>
      </c>
    </row>
    <row r="1792" spans="1:12" x14ac:dyDescent="0.35">
      <c r="A1792" t="s">
        <v>8</v>
      </c>
      <c r="B1792" t="s">
        <v>9</v>
      </c>
      <c r="C1792" t="s">
        <v>35</v>
      </c>
      <c r="D1792" t="str" cm="1">
        <f t="array" ref="D1792">INDEX(_xlfn.TEXTSPLIT(C1792,"_"),3)</f>
        <v>bfr</v>
      </c>
      <c r="E1792" t="str">
        <f>VLOOKUP(D1792,FranchiseMapping!$A$1:$B$15,2,FALSE)</f>
        <v>Full Rescue</v>
      </c>
      <c r="F1792" s="1">
        <v>45658</v>
      </c>
      <c r="G1792" t="s">
        <v>10</v>
      </c>
      <c r="H1792" s="2">
        <v>45778</v>
      </c>
      <c r="I1792" s="3">
        <v>45801</v>
      </c>
      <c r="J1792" s="3">
        <f t="shared" si="27"/>
        <v>45801</v>
      </c>
      <c r="K1792" s="4">
        <v>11.71</v>
      </c>
      <c r="L1792">
        <v>1171</v>
      </c>
    </row>
    <row r="1793" spans="1:12" x14ac:dyDescent="0.35">
      <c r="A1793" t="s">
        <v>8</v>
      </c>
      <c r="B1793" t="s">
        <v>14</v>
      </c>
      <c r="C1793" t="s">
        <v>43</v>
      </c>
      <c r="D1793" t="str" cm="1">
        <f t="array" ref="D1793">INDEX(_xlfn.TEXTSPLIT(C1793,"_"),3)</f>
        <v>bfr</v>
      </c>
      <c r="E1793" t="str">
        <f>VLOOKUP(D1793,FranchiseMapping!$A$1:$B$15,2,FALSE)</f>
        <v>Full Rescue</v>
      </c>
      <c r="F1793" s="1">
        <v>45658</v>
      </c>
      <c r="G1793" t="s">
        <v>12</v>
      </c>
      <c r="H1793" s="2">
        <v>45809</v>
      </c>
      <c r="I1793" s="3">
        <v>45823</v>
      </c>
      <c r="J1793" s="3">
        <f t="shared" si="27"/>
        <v>45829</v>
      </c>
      <c r="K1793" s="4">
        <v>5355.36</v>
      </c>
      <c r="L1793">
        <v>1082939</v>
      </c>
    </row>
    <row r="1794" spans="1:12" x14ac:dyDescent="0.35">
      <c r="A1794" t="s">
        <v>8</v>
      </c>
      <c r="B1794" t="s">
        <v>9</v>
      </c>
      <c r="C1794" t="s">
        <v>30</v>
      </c>
      <c r="D1794" t="str" cm="1">
        <f t="array" ref="D1794">INDEX(_xlfn.TEXTSPLIT(C1794,"_"),3)</f>
        <v>q3-haca-colorlast</v>
      </c>
      <c r="E1794" t="str">
        <f>VLOOKUP(D1794,FranchiseMapping!$A$1:$B$15,2,FALSE)</f>
        <v>Color Last</v>
      </c>
      <c r="F1794" s="1">
        <v>44927</v>
      </c>
      <c r="G1794" t="s">
        <v>10</v>
      </c>
      <c r="H1794" s="2">
        <v>45139</v>
      </c>
      <c r="I1794" s="3">
        <v>45140</v>
      </c>
      <c r="J1794" s="3">
        <f t="shared" si="27"/>
        <v>45143</v>
      </c>
      <c r="K1794" s="4">
        <v>2413.6300029999998</v>
      </c>
      <c r="L1794">
        <v>401953</v>
      </c>
    </row>
    <row r="1795" spans="1:12" x14ac:dyDescent="0.35">
      <c r="A1795" t="s">
        <v>8</v>
      </c>
      <c r="B1795" t="s">
        <v>14</v>
      </c>
      <c r="C1795" t="s">
        <v>43</v>
      </c>
      <c r="D1795" t="str" cm="1">
        <f t="array" ref="D1795">INDEX(_xlfn.TEXTSPLIT(C1795,"_"),3)</f>
        <v>bfr</v>
      </c>
      <c r="E1795" t="str">
        <f>VLOOKUP(D1795,FranchiseMapping!$A$1:$B$15,2,FALSE)</f>
        <v>Full Rescue</v>
      </c>
      <c r="F1795" s="1">
        <v>45658</v>
      </c>
      <c r="G1795" t="s">
        <v>10</v>
      </c>
      <c r="H1795" s="2">
        <v>45809</v>
      </c>
      <c r="I1795" s="3">
        <v>45826</v>
      </c>
      <c r="J1795" s="3">
        <f t="shared" ref="J1795:J1858" si="28">I1795 + (7 - WEEKDAY(I1795, 1))</f>
        <v>45829</v>
      </c>
      <c r="K1795" s="4">
        <v>1047.8</v>
      </c>
      <c r="L1795">
        <v>201314</v>
      </c>
    </row>
    <row r="1796" spans="1:12" x14ac:dyDescent="0.35">
      <c r="A1796" t="s">
        <v>8</v>
      </c>
      <c r="B1796" t="s">
        <v>9</v>
      </c>
      <c r="C1796" t="s">
        <v>65</v>
      </c>
      <c r="D1796" t="str" cm="1">
        <f t="array" ref="D1796">INDEX(_xlfn.TEXTSPLIT(C1796,"_"),3)</f>
        <v>prime-day</v>
      </c>
      <c r="E1796" t="str">
        <f>VLOOKUP(D1796,FranchiseMapping!$A$1:$B$15,2,FALSE)</f>
        <v>Prime Day</v>
      </c>
      <c r="F1796" s="1">
        <v>45292</v>
      </c>
      <c r="G1796" t="s">
        <v>10</v>
      </c>
      <c r="H1796" s="2">
        <v>45474</v>
      </c>
      <c r="I1796" s="3">
        <v>45482</v>
      </c>
      <c r="J1796" s="3">
        <f t="shared" si="28"/>
        <v>45486</v>
      </c>
      <c r="K1796" s="4">
        <v>2554.6600079999998</v>
      </c>
      <c r="L1796">
        <v>256882</v>
      </c>
    </row>
    <row r="1797" spans="1:12" x14ac:dyDescent="0.35">
      <c r="A1797" t="s">
        <v>8</v>
      </c>
      <c r="B1797" t="s">
        <v>9</v>
      </c>
      <c r="C1797" t="s">
        <v>36</v>
      </c>
      <c r="D1797" t="str" cm="1">
        <f t="array" ref="D1797">INDEX(_xlfn.TEXTSPLIT(C1797,"_"),3)</f>
        <v>bfr</v>
      </c>
      <c r="E1797" t="str">
        <f>VLOOKUP(D1797,FranchiseMapping!$A$1:$B$15,2,FALSE)</f>
        <v>Full Rescue</v>
      </c>
      <c r="F1797" s="1">
        <v>45658</v>
      </c>
      <c r="G1797" t="s">
        <v>12</v>
      </c>
      <c r="H1797" s="2">
        <v>45809</v>
      </c>
      <c r="I1797" s="3">
        <v>45822</v>
      </c>
      <c r="J1797" s="3">
        <f t="shared" si="28"/>
        <v>45822</v>
      </c>
      <c r="K1797" s="4">
        <v>1503.1399999999999</v>
      </c>
      <c r="L1797">
        <v>231521</v>
      </c>
    </row>
    <row r="1798" spans="1:12" x14ac:dyDescent="0.35">
      <c r="A1798" t="s">
        <v>8</v>
      </c>
      <c r="B1798" t="s">
        <v>9</v>
      </c>
      <c r="C1798" t="s">
        <v>35</v>
      </c>
      <c r="D1798" t="str" cm="1">
        <f t="array" ref="D1798">INDEX(_xlfn.TEXTSPLIT(C1798,"_"),3)</f>
        <v>bfr</v>
      </c>
      <c r="E1798" t="str">
        <f>VLOOKUP(D1798,FranchiseMapping!$A$1:$B$15,2,FALSE)</f>
        <v>Full Rescue</v>
      </c>
      <c r="F1798" s="1">
        <v>45658</v>
      </c>
      <c r="G1798" t="s">
        <v>12</v>
      </c>
      <c r="H1798" s="2">
        <v>45778</v>
      </c>
      <c r="I1798" s="3">
        <v>45786</v>
      </c>
      <c r="J1798" s="3">
        <f t="shared" si="28"/>
        <v>45787</v>
      </c>
      <c r="K1798" s="4">
        <v>1776.2499999999995</v>
      </c>
      <c r="L1798">
        <v>122210</v>
      </c>
    </row>
    <row r="1799" spans="1:12" x14ac:dyDescent="0.35">
      <c r="A1799" t="s">
        <v>8</v>
      </c>
      <c r="B1799" t="s">
        <v>9</v>
      </c>
      <c r="C1799" t="s">
        <v>38</v>
      </c>
      <c r="D1799" t="str" cm="1">
        <f t="array" ref="D1799">INDEX(_xlfn.TEXTSPLIT(C1799,"_"),3)</f>
        <v>hys</v>
      </c>
      <c r="E1799" t="str">
        <f>VLOOKUP(D1799,FranchiseMapping!$A$1:$B$15,2,FALSE)</f>
        <v>Hydrasource</v>
      </c>
      <c r="F1799" s="1">
        <v>45658</v>
      </c>
      <c r="G1799" t="s">
        <v>12</v>
      </c>
      <c r="H1799" s="2">
        <v>45748</v>
      </c>
      <c r="I1799" s="3">
        <v>45774</v>
      </c>
      <c r="J1799" s="3">
        <f t="shared" si="28"/>
        <v>45780</v>
      </c>
      <c r="K1799" s="4">
        <v>2247.29</v>
      </c>
      <c r="L1799">
        <v>331663</v>
      </c>
    </row>
    <row r="1800" spans="1:12" x14ac:dyDescent="0.35">
      <c r="A1800" t="s">
        <v>8</v>
      </c>
      <c r="B1800" t="s">
        <v>14</v>
      </c>
      <c r="C1800" t="s">
        <v>29</v>
      </c>
      <c r="D1800" t="str" cm="1">
        <f t="array" ref="D1800">INDEX(_xlfn.TEXTSPLIT(C1800,"_"),3)</f>
        <v>bfr</v>
      </c>
      <c r="E1800" t="str">
        <f>VLOOKUP(D1800,FranchiseMapping!$A$1:$B$15,2,FALSE)</f>
        <v>Full Rescue</v>
      </c>
      <c r="F1800" s="1">
        <v>45658</v>
      </c>
      <c r="G1800" t="s">
        <v>12</v>
      </c>
      <c r="H1800" s="2">
        <v>45809</v>
      </c>
      <c r="I1800" s="3">
        <v>45834</v>
      </c>
      <c r="J1800" s="3">
        <f t="shared" si="28"/>
        <v>45836</v>
      </c>
      <c r="K1800" s="4">
        <v>345.17</v>
      </c>
      <c r="L1800">
        <v>55315</v>
      </c>
    </row>
    <row r="1801" spans="1:12" x14ac:dyDescent="0.35">
      <c r="A1801" t="s">
        <v>8</v>
      </c>
      <c r="B1801" t="s">
        <v>9</v>
      </c>
      <c r="C1801" t="s">
        <v>40</v>
      </c>
      <c r="D1801" t="str" cm="1">
        <f t="array" ref="D1801">INDEX(_xlfn.TEXTSPLIT(C1801,"_"),3)</f>
        <v>hydrasource</v>
      </c>
      <c r="E1801" t="str">
        <f>VLOOKUP(D1801,FranchiseMapping!$A$1:$B$15,2,FALSE)</f>
        <v>Hydrasource</v>
      </c>
      <c r="F1801" s="1">
        <v>45292</v>
      </c>
      <c r="G1801" t="s">
        <v>12</v>
      </c>
      <c r="H1801" s="2">
        <v>45323</v>
      </c>
      <c r="I1801" s="3">
        <v>45337</v>
      </c>
      <c r="J1801" s="3">
        <f t="shared" si="28"/>
        <v>45339</v>
      </c>
      <c r="K1801" s="4">
        <v>3323.0800019999992</v>
      </c>
      <c r="L1801">
        <v>572747</v>
      </c>
    </row>
    <row r="1802" spans="1:12" x14ac:dyDescent="0.35">
      <c r="A1802" t="s">
        <v>8</v>
      </c>
      <c r="B1802" t="s">
        <v>13</v>
      </c>
      <c r="C1802" t="s">
        <v>28</v>
      </c>
      <c r="D1802" t="str" cm="1">
        <f t="array" ref="D1802">INDEX(_xlfn.TEXTSPLIT(C1802,"_"),3)</f>
        <v>na</v>
      </c>
      <c r="E1802" t="str">
        <f>VLOOKUP(D1802,FranchiseMapping!$A$1:$B$15,2,FALSE)</f>
        <v>Biolage</v>
      </c>
      <c r="F1802" s="1">
        <v>44927</v>
      </c>
      <c r="G1802" t="s">
        <v>12</v>
      </c>
      <c r="H1802" s="2">
        <v>45108</v>
      </c>
      <c r="I1802" s="3">
        <v>45123</v>
      </c>
      <c r="J1802" s="3">
        <f t="shared" si="28"/>
        <v>45129</v>
      </c>
      <c r="K1802" s="4">
        <v>485.95960300000002</v>
      </c>
      <c r="L1802">
        <v>146748</v>
      </c>
    </row>
    <row r="1803" spans="1:12" x14ac:dyDescent="0.35">
      <c r="A1803" t="s">
        <v>8</v>
      </c>
      <c r="B1803" t="s">
        <v>9</v>
      </c>
      <c r="C1803" t="s">
        <v>48</v>
      </c>
      <c r="D1803" t="str" cm="1">
        <f t="array" ref="D1803">INDEX(_xlfn.TEXTSPLIT(C1803,"_"),3)</f>
        <v>scalp</v>
      </c>
      <c r="E1803" t="str">
        <f>VLOOKUP(D1803,FranchiseMapping!$A$1:$B$15,2,FALSE)</f>
        <v>Scalp Sync</v>
      </c>
      <c r="F1803" s="1">
        <v>45292</v>
      </c>
      <c r="G1803" t="s">
        <v>12</v>
      </c>
      <c r="H1803" s="2">
        <v>45383</v>
      </c>
      <c r="I1803" s="3">
        <v>45401</v>
      </c>
      <c r="J1803" s="3">
        <f t="shared" si="28"/>
        <v>45402</v>
      </c>
      <c r="K1803" s="4">
        <v>677.81000099999994</v>
      </c>
      <c r="L1803">
        <v>168090</v>
      </c>
    </row>
    <row r="1804" spans="1:12" x14ac:dyDescent="0.35">
      <c r="A1804" t="s">
        <v>8</v>
      </c>
      <c r="B1804" t="s">
        <v>13</v>
      </c>
      <c r="C1804" t="s">
        <v>42</v>
      </c>
      <c r="D1804" t="str" cm="1">
        <f t="array" ref="D1804">INDEX(_xlfn.TEXTSPLIT(C1804,"_"),3)</f>
        <v>bfr</v>
      </c>
      <c r="E1804" t="str">
        <f>VLOOKUP(D1804,FranchiseMapping!$A$1:$B$15,2,FALSE)</f>
        <v>Full Rescue</v>
      </c>
      <c r="F1804" s="1">
        <v>45658</v>
      </c>
      <c r="G1804" t="s">
        <v>10</v>
      </c>
      <c r="H1804" s="2">
        <v>45809</v>
      </c>
      <c r="I1804" s="3">
        <v>45827</v>
      </c>
      <c r="J1804" s="3">
        <f t="shared" si="28"/>
        <v>45829</v>
      </c>
      <c r="K1804" s="4">
        <v>309.37939399999999</v>
      </c>
      <c r="L1804">
        <v>147542</v>
      </c>
    </row>
    <row r="1805" spans="1:12" x14ac:dyDescent="0.35">
      <c r="A1805" t="s">
        <v>8</v>
      </c>
      <c r="B1805" t="s">
        <v>9</v>
      </c>
      <c r="C1805" t="s">
        <v>31</v>
      </c>
      <c r="D1805" t="str" cm="1">
        <f t="array" ref="D1805">INDEX(_xlfn.TEXTSPLIT(C1805,"_"),3)</f>
        <v>scalp</v>
      </c>
      <c r="E1805" t="str">
        <f>VLOOKUP(D1805,FranchiseMapping!$A$1:$B$15,2,FALSE)</f>
        <v>Scalp Sync</v>
      </c>
      <c r="F1805" s="1">
        <v>45292</v>
      </c>
      <c r="G1805" t="s">
        <v>10</v>
      </c>
      <c r="H1805" s="2">
        <v>45383</v>
      </c>
      <c r="I1805" s="3">
        <v>45403</v>
      </c>
      <c r="J1805" s="3">
        <f t="shared" si="28"/>
        <v>45409</v>
      </c>
      <c r="K1805" s="4">
        <v>45.679998999999995</v>
      </c>
      <c r="L1805">
        <v>5895</v>
      </c>
    </row>
    <row r="1806" spans="1:12" x14ac:dyDescent="0.35">
      <c r="A1806" t="s">
        <v>8</v>
      </c>
      <c r="B1806" t="s">
        <v>9</v>
      </c>
      <c r="C1806" t="s">
        <v>35</v>
      </c>
      <c r="D1806" t="str" cm="1">
        <f t="array" ref="D1806">INDEX(_xlfn.TEXTSPLIT(C1806,"_"),3)</f>
        <v>bfr</v>
      </c>
      <c r="E1806" t="str">
        <f>VLOOKUP(D1806,FranchiseMapping!$A$1:$B$15,2,FALSE)</f>
        <v>Full Rescue</v>
      </c>
      <c r="F1806" s="1">
        <v>45658</v>
      </c>
      <c r="G1806" t="s">
        <v>10</v>
      </c>
      <c r="H1806" s="2">
        <v>45778</v>
      </c>
      <c r="I1806" s="3">
        <v>45783</v>
      </c>
      <c r="J1806" s="3">
        <f t="shared" si="28"/>
        <v>45787</v>
      </c>
      <c r="K1806" s="4">
        <v>10.030000000000001</v>
      </c>
      <c r="L1806">
        <v>1294</v>
      </c>
    </row>
    <row r="1807" spans="1:12" x14ac:dyDescent="0.35">
      <c r="A1807" t="s">
        <v>8</v>
      </c>
      <c r="B1807" t="s">
        <v>9</v>
      </c>
      <c r="C1807" t="s">
        <v>40</v>
      </c>
      <c r="D1807" t="str" cm="1">
        <f t="array" ref="D1807">INDEX(_xlfn.TEXTSPLIT(C1807,"_"),3)</f>
        <v>hydrasource</v>
      </c>
      <c r="E1807" t="str">
        <f>VLOOKUP(D1807,FranchiseMapping!$A$1:$B$15,2,FALSE)</f>
        <v>Hydrasource</v>
      </c>
      <c r="F1807" s="1">
        <v>45292</v>
      </c>
      <c r="G1807" t="s">
        <v>12</v>
      </c>
      <c r="H1807" s="2">
        <v>45292</v>
      </c>
      <c r="I1807" s="3">
        <v>45312</v>
      </c>
      <c r="J1807" s="3">
        <f t="shared" si="28"/>
        <v>45318</v>
      </c>
      <c r="K1807" s="4">
        <v>3407.7700030000005</v>
      </c>
      <c r="L1807">
        <v>641341</v>
      </c>
    </row>
    <row r="1808" spans="1:12" x14ac:dyDescent="0.35">
      <c r="A1808" t="s">
        <v>8</v>
      </c>
      <c r="B1808" t="s">
        <v>9</v>
      </c>
      <c r="C1808" t="s">
        <v>56</v>
      </c>
      <c r="D1808" t="str" cm="1">
        <f t="array" ref="D1808">INDEX(_xlfn.TEXTSPLIT(C1808,"_"),3)</f>
        <v>haca-colorlast-q3</v>
      </c>
      <c r="E1808" t="str">
        <f>VLOOKUP(D1808,FranchiseMapping!$A$1:$B$15,2,FALSE)</f>
        <v>Color Last</v>
      </c>
      <c r="F1808" s="1">
        <v>44927</v>
      </c>
      <c r="G1808" t="s">
        <v>10</v>
      </c>
      <c r="H1808" s="2">
        <v>45108</v>
      </c>
      <c r="I1808" s="3">
        <v>45120</v>
      </c>
      <c r="J1808" s="3">
        <f t="shared" si="28"/>
        <v>45122</v>
      </c>
      <c r="K1808" s="4">
        <v>2199.7200000000003</v>
      </c>
      <c r="L1808">
        <v>410464</v>
      </c>
    </row>
    <row r="1809" spans="1:12" x14ac:dyDescent="0.35">
      <c r="A1809" t="s">
        <v>8</v>
      </c>
      <c r="B1809" t="s">
        <v>9</v>
      </c>
      <c r="C1809" t="s">
        <v>65</v>
      </c>
      <c r="D1809" t="str" cm="1">
        <f t="array" ref="D1809">INDEX(_xlfn.TEXTSPLIT(C1809,"_"),3)</f>
        <v>prime-day</v>
      </c>
      <c r="E1809" t="str">
        <f>VLOOKUP(D1809,FranchiseMapping!$A$1:$B$15,2,FALSE)</f>
        <v>Prime Day</v>
      </c>
      <c r="F1809" s="1">
        <v>45292</v>
      </c>
      <c r="G1809" t="s">
        <v>10</v>
      </c>
      <c r="H1809" s="2">
        <v>45474</v>
      </c>
      <c r="I1809" s="3">
        <v>45481</v>
      </c>
      <c r="J1809" s="3">
        <f t="shared" si="28"/>
        <v>45486</v>
      </c>
      <c r="K1809" s="4">
        <v>2471.4099919999999</v>
      </c>
      <c r="L1809">
        <v>267959</v>
      </c>
    </row>
    <row r="1810" spans="1:12" x14ac:dyDescent="0.35">
      <c r="A1810" t="s">
        <v>8</v>
      </c>
      <c r="B1810" t="s">
        <v>13</v>
      </c>
      <c r="C1810" t="s">
        <v>62</v>
      </c>
      <c r="D1810" t="str" cm="1">
        <f t="array" ref="D1810">INDEX(_xlfn.TEXTSPLIT(C1810,"_"),3)</f>
        <v>na</v>
      </c>
      <c r="E1810" t="str">
        <f>VLOOKUP(D1810,FranchiseMapping!$A$1:$B$15,2,FALSE)</f>
        <v>Biolage</v>
      </c>
      <c r="F1810" s="1">
        <v>44927</v>
      </c>
      <c r="G1810" t="s">
        <v>12</v>
      </c>
      <c r="H1810" s="2">
        <v>45108</v>
      </c>
      <c r="I1810" s="3">
        <v>45119</v>
      </c>
      <c r="J1810" s="3">
        <f t="shared" si="28"/>
        <v>45122</v>
      </c>
      <c r="K1810" s="4">
        <v>652.15072699999996</v>
      </c>
      <c r="L1810">
        <v>177059</v>
      </c>
    </row>
    <row r="1811" spans="1:12" x14ac:dyDescent="0.35">
      <c r="A1811" t="s">
        <v>8</v>
      </c>
      <c r="B1811" t="s">
        <v>9</v>
      </c>
      <c r="C1811" t="s">
        <v>71</v>
      </c>
      <c r="D1811" t="str" cm="1">
        <f t="array" ref="D1811">INDEX(_xlfn.TEXTSPLIT(C1811,"_"),3)</f>
        <v>bondtherapy</v>
      </c>
      <c r="E1811" t="str">
        <f>VLOOKUP(D1811,FranchiseMapping!$A$1:$B$15,2,FALSE)</f>
        <v>Bond Therapy</v>
      </c>
      <c r="F1811" s="1">
        <v>44927</v>
      </c>
      <c r="G1811" t="s">
        <v>11</v>
      </c>
      <c r="H1811" s="2">
        <v>45261</v>
      </c>
      <c r="I1811" s="3">
        <v>45275</v>
      </c>
      <c r="J1811" s="3">
        <f t="shared" si="28"/>
        <v>45276</v>
      </c>
      <c r="K1811" s="4">
        <v>1900.3700060000003</v>
      </c>
      <c r="L1811">
        <v>134996</v>
      </c>
    </row>
    <row r="1812" spans="1:12" x14ac:dyDescent="0.35">
      <c r="A1812" t="s">
        <v>8</v>
      </c>
      <c r="B1812" t="s">
        <v>13</v>
      </c>
      <c r="C1812" t="s">
        <v>28</v>
      </c>
      <c r="D1812" t="str" cm="1">
        <f t="array" ref="D1812">INDEX(_xlfn.TEXTSPLIT(C1812,"_"),3)</f>
        <v>na</v>
      </c>
      <c r="E1812" t="str">
        <f>VLOOKUP(D1812,FranchiseMapping!$A$1:$B$15,2,FALSE)</f>
        <v>Biolage</v>
      </c>
      <c r="F1812" s="1">
        <v>44927</v>
      </c>
      <c r="G1812" t="s">
        <v>12</v>
      </c>
      <c r="H1812" s="2">
        <v>45108</v>
      </c>
      <c r="I1812" s="3">
        <v>45135</v>
      </c>
      <c r="J1812" s="3">
        <f t="shared" si="28"/>
        <v>45136</v>
      </c>
      <c r="K1812" s="4">
        <v>226.11711700000001</v>
      </c>
      <c r="L1812">
        <v>55297</v>
      </c>
    </row>
    <row r="1813" spans="1:12" x14ac:dyDescent="0.35">
      <c r="A1813" t="s">
        <v>8</v>
      </c>
      <c r="B1813" t="s">
        <v>9</v>
      </c>
      <c r="C1813" t="s">
        <v>33</v>
      </c>
      <c r="D1813" t="str" cm="1">
        <f t="array" ref="D1813">INDEX(_xlfn.TEXTSPLIT(C1813,"_"),3)</f>
        <v>hydrasource</v>
      </c>
      <c r="E1813" t="str">
        <f>VLOOKUP(D1813,FranchiseMapping!$A$1:$B$15,2,FALSE)</f>
        <v>Hydrasource</v>
      </c>
      <c r="F1813" s="1">
        <v>45292</v>
      </c>
      <c r="G1813" t="s">
        <v>11</v>
      </c>
      <c r="H1813" s="2">
        <v>45323</v>
      </c>
      <c r="I1813" s="3">
        <v>45346</v>
      </c>
      <c r="J1813" s="3">
        <f t="shared" si="28"/>
        <v>45346</v>
      </c>
      <c r="K1813" s="4">
        <v>1267.1500000000001</v>
      </c>
      <c r="L1813">
        <v>187491</v>
      </c>
    </row>
    <row r="1814" spans="1:12" x14ac:dyDescent="0.35">
      <c r="A1814" t="s">
        <v>8</v>
      </c>
      <c r="B1814" t="s">
        <v>14</v>
      </c>
      <c r="C1814" t="s">
        <v>37</v>
      </c>
      <c r="D1814" t="str" cm="1">
        <f t="array" ref="D1814">INDEX(_xlfn.TEXTSPLIT(C1814,"_"),3)</f>
        <v>mult</v>
      </c>
      <c r="E1814" t="str">
        <f>VLOOKUP(D1814,FranchiseMapping!$A$1:$B$15,2,FALSE)</f>
        <v>Biolage</v>
      </c>
      <c r="F1814" s="1">
        <v>45658</v>
      </c>
      <c r="G1814" t="s">
        <v>10</v>
      </c>
      <c r="H1814" s="2">
        <v>45748</v>
      </c>
      <c r="I1814" s="3">
        <v>45759</v>
      </c>
      <c r="J1814" s="3">
        <f t="shared" si="28"/>
        <v>45759</v>
      </c>
      <c r="K1814" s="4">
        <v>1361.7600000000002</v>
      </c>
      <c r="L1814">
        <v>387677</v>
      </c>
    </row>
    <row r="1815" spans="1:12" x14ac:dyDescent="0.35">
      <c r="A1815" t="s">
        <v>8</v>
      </c>
      <c r="B1815" t="s">
        <v>9</v>
      </c>
      <c r="C1815" t="s">
        <v>52</v>
      </c>
      <c r="D1815" t="str" cm="1">
        <f t="array" ref="D1815">INDEX(_xlfn.TEXTSPLIT(C1815,"_"),3)</f>
        <v>bond-therapy</v>
      </c>
      <c r="E1815" t="str">
        <f>VLOOKUP(D1815,FranchiseMapping!$A$1:$B$15,2,FALSE)</f>
        <v>Bond Therapy</v>
      </c>
      <c r="F1815" s="1">
        <v>44927</v>
      </c>
      <c r="G1815" t="s">
        <v>11</v>
      </c>
      <c r="H1815" s="2">
        <v>45261</v>
      </c>
      <c r="I1815" s="3">
        <v>45276</v>
      </c>
      <c r="J1815" s="3">
        <f t="shared" si="28"/>
        <v>45276</v>
      </c>
      <c r="K1815" s="4">
        <v>2887.9100050000002</v>
      </c>
      <c r="L1815">
        <v>493370</v>
      </c>
    </row>
    <row r="1816" spans="1:12" x14ac:dyDescent="0.35">
      <c r="A1816" t="s">
        <v>8</v>
      </c>
      <c r="B1816" t="s">
        <v>9</v>
      </c>
      <c r="C1816" t="s">
        <v>55</v>
      </c>
      <c r="D1816" t="str" cm="1">
        <f t="array" ref="D1816">INDEX(_xlfn.TEXTSPLIT(C1816,"_"),3)</f>
        <v>hydrasource</v>
      </c>
      <c r="E1816" t="str">
        <f>VLOOKUP(D1816,FranchiseMapping!$A$1:$B$15,2,FALSE)</f>
        <v>Hydrasource</v>
      </c>
      <c r="F1816" s="1">
        <v>45292</v>
      </c>
      <c r="G1816" t="s">
        <v>12</v>
      </c>
      <c r="H1816" s="2">
        <v>45566</v>
      </c>
      <c r="I1816" s="3">
        <v>45593</v>
      </c>
      <c r="J1816" s="3">
        <f t="shared" si="28"/>
        <v>45598</v>
      </c>
      <c r="K1816" s="4">
        <v>3507.5600030000001</v>
      </c>
      <c r="L1816">
        <v>729433</v>
      </c>
    </row>
    <row r="1817" spans="1:12" x14ac:dyDescent="0.35">
      <c r="A1817" t="s">
        <v>8</v>
      </c>
      <c r="B1817" t="s">
        <v>9</v>
      </c>
      <c r="C1817" t="s">
        <v>35</v>
      </c>
      <c r="D1817" t="str" cm="1">
        <f t="array" ref="D1817">INDEX(_xlfn.TEXTSPLIT(C1817,"_"),3)</f>
        <v>bfr</v>
      </c>
      <c r="E1817" t="str">
        <f>VLOOKUP(D1817,FranchiseMapping!$A$1:$B$15,2,FALSE)</f>
        <v>Full Rescue</v>
      </c>
      <c r="F1817" s="1">
        <v>45658</v>
      </c>
      <c r="G1817" t="s">
        <v>12</v>
      </c>
      <c r="H1817" s="2">
        <v>45778</v>
      </c>
      <c r="I1817" s="3">
        <v>45797</v>
      </c>
      <c r="J1817" s="3">
        <f t="shared" si="28"/>
        <v>45801</v>
      </c>
      <c r="K1817" s="4">
        <v>1760.04</v>
      </c>
      <c r="L1817">
        <v>124953</v>
      </c>
    </row>
    <row r="1818" spans="1:12" x14ac:dyDescent="0.35">
      <c r="A1818" t="s">
        <v>8</v>
      </c>
      <c r="B1818" t="s">
        <v>9</v>
      </c>
      <c r="C1818" t="s">
        <v>34</v>
      </c>
      <c r="D1818" t="str" cm="1">
        <f t="array" ref="D1818">INDEX(_xlfn.TEXTSPLIT(C1818,"_"),3)</f>
        <v>hydrasource</v>
      </c>
      <c r="E1818" t="str">
        <f>VLOOKUP(D1818,FranchiseMapping!$A$1:$B$15,2,FALSE)</f>
        <v>Hydrasource</v>
      </c>
      <c r="F1818" s="1">
        <v>45292</v>
      </c>
      <c r="G1818" t="s">
        <v>12</v>
      </c>
      <c r="H1818" s="2">
        <v>45292</v>
      </c>
      <c r="I1818" s="3">
        <v>45313</v>
      </c>
      <c r="J1818" s="3">
        <f t="shared" si="28"/>
        <v>45318</v>
      </c>
      <c r="K1818" s="4">
        <v>672.46999899999992</v>
      </c>
      <c r="L1818">
        <v>173259</v>
      </c>
    </row>
    <row r="1819" spans="1:12" x14ac:dyDescent="0.35">
      <c r="A1819" t="s">
        <v>8</v>
      </c>
      <c r="B1819" t="s">
        <v>14</v>
      </c>
      <c r="C1819" t="s">
        <v>37</v>
      </c>
      <c r="D1819" t="str" cm="1">
        <f t="array" ref="D1819">INDEX(_xlfn.TEXTSPLIT(C1819,"_"),3)</f>
        <v>mult</v>
      </c>
      <c r="E1819" t="str">
        <f>VLOOKUP(D1819,FranchiseMapping!$A$1:$B$15,2,FALSE)</f>
        <v>Biolage</v>
      </c>
      <c r="F1819" s="1">
        <v>45658</v>
      </c>
      <c r="G1819" t="s">
        <v>12</v>
      </c>
      <c r="H1819" s="2">
        <v>45809</v>
      </c>
      <c r="I1819" s="3">
        <v>45815</v>
      </c>
      <c r="J1819" s="3">
        <f t="shared" si="28"/>
        <v>45815</v>
      </c>
      <c r="K1819" s="4">
        <v>1682.82</v>
      </c>
      <c r="L1819">
        <v>347646</v>
      </c>
    </row>
    <row r="1820" spans="1:12" x14ac:dyDescent="0.35">
      <c r="A1820" t="s">
        <v>8</v>
      </c>
      <c r="B1820" t="s">
        <v>9</v>
      </c>
      <c r="C1820" t="s">
        <v>56</v>
      </c>
      <c r="D1820" t="str" cm="1">
        <f t="array" ref="D1820">INDEX(_xlfn.TEXTSPLIT(C1820,"_"),3)</f>
        <v>haca-colorlast-q3</v>
      </c>
      <c r="E1820" t="str">
        <f>VLOOKUP(D1820,FranchiseMapping!$A$1:$B$15,2,FALSE)</f>
        <v>Color Last</v>
      </c>
      <c r="F1820" s="1">
        <v>44927</v>
      </c>
      <c r="G1820" t="s">
        <v>10</v>
      </c>
      <c r="H1820" s="2">
        <v>45108</v>
      </c>
      <c r="I1820" s="3">
        <v>45128</v>
      </c>
      <c r="J1820" s="3">
        <f t="shared" si="28"/>
        <v>45129</v>
      </c>
      <c r="K1820" s="4">
        <v>2256.9500009999997</v>
      </c>
      <c r="L1820">
        <v>334611</v>
      </c>
    </row>
    <row r="1821" spans="1:12" x14ac:dyDescent="0.35">
      <c r="A1821" t="s">
        <v>8</v>
      </c>
      <c r="B1821" t="s">
        <v>14</v>
      </c>
      <c r="C1821" t="s">
        <v>43</v>
      </c>
      <c r="D1821" t="str" cm="1">
        <f t="array" ref="D1821">INDEX(_xlfn.TEXTSPLIT(C1821,"_"),3)</f>
        <v>bfr</v>
      </c>
      <c r="E1821" t="str">
        <f>VLOOKUP(D1821,FranchiseMapping!$A$1:$B$15,2,FALSE)</f>
        <v>Full Rescue</v>
      </c>
      <c r="F1821" s="1">
        <v>45658</v>
      </c>
      <c r="G1821" t="s">
        <v>12</v>
      </c>
      <c r="H1821" s="2">
        <v>45809</v>
      </c>
      <c r="I1821" s="3">
        <v>45822</v>
      </c>
      <c r="J1821" s="3">
        <f t="shared" si="28"/>
        <v>45822</v>
      </c>
      <c r="K1821" s="4">
        <v>5388.9</v>
      </c>
      <c r="L1821">
        <v>1088387</v>
      </c>
    </row>
    <row r="1822" spans="1:12" x14ac:dyDescent="0.35">
      <c r="A1822" t="s">
        <v>8</v>
      </c>
      <c r="B1822" t="s">
        <v>14</v>
      </c>
      <c r="C1822" t="s">
        <v>49</v>
      </c>
      <c r="D1822" t="str" cm="1">
        <f t="array" ref="D1822">INDEX(_xlfn.TEXTSPLIT(C1822,"_"),3)</f>
        <v>hys</v>
      </c>
      <c r="E1822" t="str">
        <f>VLOOKUP(D1822,FranchiseMapping!$A$1:$B$15,2,FALSE)</f>
        <v>Hydrasource</v>
      </c>
      <c r="F1822" s="1">
        <v>45658</v>
      </c>
      <c r="G1822" t="s">
        <v>12</v>
      </c>
      <c r="H1822" s="2">
        <v>45748</v>
      </c>
      <c r="I1822" s="3">
        <v>45763</v>
      </c>
      <c r="J1822" s="3">
        <f t="shared" si="28"/>
        <v>45766</v>
      </c>
      <c r="K1822" s="4">
        <v>5421.25</v>
      </c>
      <c r="L1822">
        <v>1186103</v>
      </c>
    </row>
    <row r="1823" spans="1:12" x14ac:dyDescent="0.35">
      <c r="A1823" t="s">
        <v>8</v>
      </c>
      <c r="B1823" t="s">
        <v>13</v>
      </c>
      <c r="C1823" t="s">
        <v>39</v>
      </c>
      <c r="D1823" t="str" cm="1">
        <f t="array" ref="D1823">INDEX(_xlfn.TEXTSPLIT(C1823,"_"),3)</f>
        <v>scalp-sync</v>
      </c>
      <c r="E1823" t="str">
        <f>VLOOKUP(D1823,FranchiseMapping!$A$1:$B$15,2,FALSE)</f>
        <v>Scalp Sync</v>
      </c>
      <c r="F1823" s="1">
        <v>45292</v>
      </c>
      <c r="G1823" t="s">
        <v>12</v>
      </c>
      <c r="H1823" s="2">
        <v>45413</v>
      </c>
      <c r="I1823" s="3">
        <v>45439</v>
      </c>
      <c r="J1823" s="3">
        <f t="shared" si="28"/>
        <v>45444</v>
      </c>
      <c r="K1823" s="4">
        <v>1633.0847680000002</v>
      </c>
      <c r="L1823">
        <v>424137</v>
      </c>
    </row>
    <row r="1824" spans="1:12" x14ac:dyDescent="0.35">
      <c r="A1824" t="s">
        <v>8</v>
      </c>
      <c r="B1824" t="s">
        <v>9</v>
      </c>
      <c r="C1824" t="s">
        <v>55</v>
      </c>
      <c r="D1824" t="str" cm="1">
        <f t="array" ref="D1824">INDEX(_xlfn.TEXTSPLIT(C1824,"_"),3)</f>
        <v>hydrasource</v>
      </c>
      <c r="E1824" t="str">
        <f>VLOOKUP(D1824,FranchiseMapping!$A$1:$B$15,2,FALSE)</f>
        <v>Hydrasource</v>
      </c>
      <c r="F1824" s="1">
        <v>45292</v>
      </c>
      <c r="G1824" t="s">
        <v>12</v>
      </c>
      <c r="H1824" s="2">
        <v>45566</v>
      </c>
      <c r="I1824" s="3">
        <v>45566</v>
      </c>
      <c r="J1824" s="3">
        <f t="shared" si="28"/>
        <v>45570</v>
      </c>
      <c r="K1824" s="4">
        <v>3724.4399929999995</v>
      </c>
      <c r="L1824">
        <v>691426</v>
      </c>
    </row>
    <row r="1825" spans="1:12" x14ac:dyDescent="0.35">
      <c r="A1825" t="s">
        <v>8</v>
      </c>
      <c r="B1825" t="s">
        <v>14</v>
      </c>
      <c r="C1825" t="s">
        <v>29</v>
      </c>
      <c r="D1825" t="str" cm="1">
        <f t="array" ref="D1825">INDEX(_xlfn.TEXTSPLIT(C1825,"_"),3)</f>
        <v>bfr</v>
      </c>
      <c r="E1825" t="str">
        <f>VLOOKUP(D1825,FranchiseMapping!$A$1:$B$15,2,FALSE)</f>
        <v>Full Rescue</v>
      </c>
      <c r="F1825" s="1">
        <v>45658</v>
      </c>
      <c r="G1825" t="s">
        <v>10</v>
      </c>
      <c r="H1825" s="2">
        <v>45809</v>
      </c>
      <c r="I1825" s="3">
        <v>45829</v>
      </c>
      <c r="J1825" s="3">
        <f t="shared" si="28"/>
        <v>45829</v>
      </c>
      <c r="K1825" s="4">
        <v>1635.4900000000002</v>
      </c>
      <c r="L1825">
        <v>261203</v>
      </c>
    </row>
    <row r="1826" spans="1:12" x14ac:dyDescent="0.35">
      <c r="A1826" t="s">
        <v>8</v>
      </c>
      <c r="B1826" t="s">
        <v>9</v>
      </c>
      <c r="C1826" t="s">
        <v>40</v>
      </c>
      <c r="D1826" t="str" cm="1">
        <f t="array" ref="D1826">INDEX(_xlfn.TEXTSPLIT(C1826,"_"),3)</f>
        <v>hydrasource</v>
      </c>
      <c r="E1826" t="str">
        <f>VLOOKUP(D1826,FranchiseMapping!$A$1:$B$15,2,FALSE)</f>
        <v>Hydrasource</v>
      </c>
      <c r="F1826" s="1">
        <v>45292</v>
      </c>
      <c r="G1826" t="s">
        <v>12</v>
      </c>
      <c r="H1826" s="2">
        <v>45323</v>
      </c>
      <c r="I1826" s="3">
        <v>45339</v>
      </c>
      <c r="J1826" s="3">
        <f t="shared" si="28"/>
        <v>45339</v>
      </c>
      <c r="K1826" s="4">
        <v>3067.5200030000005</v>
      </c>
      <c r="L1826">
        <v>496321</v>
      </c>
    </row>
    <row r="1827" spans="1:12" x14ac:dyDescent="0.35">
      <c r="A1827" t="s">
        <v>8</v>
      </c>
      <c r="B1827" t="s">
        <v>9</v>
      </c>
      <c r="C1827" t="s">
        <v>46</v>
      </c>
      <c r="D1827" t="str" cm="1">
        <f t="array" ref="D1827">INDEX(_xlfn.TEXTSPLIT(C1827,"_"),3)</f>
        <v>mult</v>
      </c>
      <c r="E1827" t="str">
        <f>VLOOKUP(D1827,FranchiseMapping!$A$1:$B$15,2,FALSE)</f>
        <v>Biolage</v>
      </c>
      <c r="F1827" s="1">
        <v>45658</v>
      </c>
      <c r="G1827" t="s">
        <v>12</v>
      </c>
      <c r="H1827" s="2">
        <v>45748</v>
      </c>
      <c r="I1827" s="3">
        <v>45756</v>
      </c>
      <c r="J1827" s="3">
        <f t="shared" si="28"/>
        <v>45759</v>
      </c>
      <c r="K1827" s="4">
        <v>628.02999800000009</v>
      </c>
      <c r="L1827">
        <v>132780</v>
      </c>
    </row>
    <row r="1828" spans="1:12" x14ac:dyDescent="0.35">
      <c r="A1828" t="s">
        <v>8</v>
      </c>
      <c r="B1828" t="s">
        <v>9</v>
      </c>
      <c r="C1828" t="s">
        <v>36</v>
      </c>
      <c r="D1828" t="str" cm="1">
        <f t="array" ref="D1828">INDEX(_xlfn.TEXTSPLIT(C1828,"_"),3)</f>
        <v>bfr</v>
      </c>
      <c r="E1828" t="str">
        <f>VLOOKUP(D1828,FranchiseMapping!$A$1:$B$15,2,FALSE)</f>
        <v>Full Rescue</v>
      </c>
      <c r="F1828" s="1">
        <v>45658</v>
      </c>
      <c r="G1828" t="s">
        <v>10</v>
      </c>
      <c r="H1828" s="2">
        <v>45778</v>
      </c>
      <c r="I1828" s="3">
        <v>45799</v>
      </c>
      <c r="J1828" s="3">
        <f t="shared" si="28"/>
        <v>45801</v>
      </c>
      <c r="K1828" s="4">
        <v>12.969999999999999</v>
      </c>
      <c r="L1828">
        <v>760</v>
      </c>
    </row>
    <row r="1829" spans="1:12" x14ac:dyDescent="0.35">
      <c r="A1829" t="s">
        <v>8</v>
      </c>
      <c r="B1829" t="s">
        <v>9</v>
      </c>
      <c r="C1829" t="s">
        <v>61</v>
      </c>
      <c r="D1829" t="str" cm="1">
        <f t="array" ref="D1829">INDEX(_xlfn.TEXTSPLIT(C1829,"_"),3)</f>
        <v>prime-day</v>
      </c>
      <c r="E1829" t="str">
        <f>VLOOKUP(D1829,FranchiseMapping!$A$1:$B$15,2,FALSE)</f>
        <v>Prime Day</v>
      </c>
      <c r="F1829" s="1">
        <v>45292</v>
      </c>
      <c r="G1829" t="s">
        <v>10</v>
      </c>
      <c r="H1829" s="2">
        <v>45474</v>
      </c>
      <c r="I1829" s="3">
        <v>45480</v>
      </c>
      <c r="J1829" s="3">
        <f t="shared" si="28"/>
        <v>45486</v>
      </c>
      <c r="K1829" s="4">
        <v>3560.1500040000005</v>
      </c>
      <c r="L1829">
        <v>554958</v>
      </c>
    </row>
    <row r="1830" spans="1:12" x14ac:dyDescent="0.35">
      <c r="A1830" t="s">
        <v>8</v>
      </c>
      <c r="B1830" t="s">
        <v>9</v>
      </c>
      <c r="C1830" t="s">
        <v>36</v>
      </c>
      <c r="D1830" t="str" cm="1">
        <f t="array" ref="D1830">INDEX(_xlfn.TEXTSPLIT(C1830,"_"),3)</f>
        <v>bfr</v>
      </c>
      <c r="E1830" t="str">
        <f>VLOOKUP(D1830,FranchiseMapping!$A$1:$B$15,2,FALSE)</f>
        <v>Full Rescue</v>
      </c>
      <c r="F1830" s="1">
        <v>45658</v>
      </c>
      <c r="G1830" t="s">
        <v>12</v>
      </c>
      <c r="H1830" s="2">
        <v>45809</v>
      </c>
      <c r="I1830" s="3">
        <v>45834</v>
      </c>
      <c r="J1830" s="3">
        <f t="shared" si="28"/>
        <v>45836</v>
      </c>
      <c r="K1830" s="4">
        <v>1160.6599980000001</v>
      </c>
      <c r="L1830">
        <v>170856</v>
      </c>
    </row>
    <row r="1831" spans="1:12" x14ac:dyDescent="0.35">
      <c r="A1831" t="s">
        <v>8</v>
      </c>
      <c r="B1831" t="s">
        <v>9</v>
      </c>
      <c r="C1831" t="s">
        <v>55</v>
      </c>
      <c r="D1831" t="str" cm="1">
        <f t="array" ref="D1831">INDEX(_xlfn.TEXTSPLIT(C1831,"_"),3)</f>
        <v>hydrasource</v>
      </c>
      <c r="E1831" t="str">
        <f>VLOOKUP(D1831,FranchiseMapping!$A$1:$B$15,2,FALSE)</f>
        <v>Hydrasource</v>
      </c>
      <c r="F1831" s="1">
        <v>45292</v>
      </c>
      <c r="G1831" t="s">
        <v>12</v>
      </c>
      <c r="H1831" s="2">
        <v>45566</v>
      </c>
      <c r="I1831" s="3">
        <v>45594</v>
      </c>
      <c r="J1831" s="3">
        <f t="shared" si="28"/>
        <v>45598</v>
      </c>
      <c r="K1831" s="4">
        <v>3640.0900040000001</v>
      </c>
      <c r="L1831">
        <v>743917</v>
      </c>
    </row>
    <row r="1832" spans="1:12" x14ac:dyDescent="0.35">
      <c r="A1832" t="s">
        <v>8</v>
      </c>
      <c r="B1832" t="s">
        <v>9</v>
      </c>
      <c r="C1832" t="s">
        <v>54</v>
      </c>
      <c r="D1832" t="str" cm="1">
        <f t="array" ref="D1832">INDEX(_xlfn.TEXTSPLIT(C1832,"_"),3)</f>
        <v>scalp</v>
      </c>
      <c r="E1832" t="str">
        <f>VLOOKUP(D1832,FranchiseMapping!$A$1:$B$15,2,FALSE)</f>
        <v>Scalp Sync</v>
      </c>
      <c r="F1832" s="1">
        <v>45292</v>
      </c>
      <c r="G1832" t="s">
        <v>10</v>
      </c>
      <c r="H1832" s="2">
        <v>45383</v>
      </c>
      <c r="I1832" s="3">
        <v>45402</v>
      </c>
      <c r="J1832" s="3">
        <f t="shared" si="28"/>
        <v>45402</v>
      </c>
      <c r="K1832" s="4">
        <v>2362.5600020000006</v>
      </c>
      <c r="L1832">
        <v>492667</v>
      </c>
    </row>
    <row r="1833" spans="1:12" x14ac:dyDescent="0.35">
      <c r="A1833" t="s">
        <v>8</v>
      </c>
      <c r="B1833" t="s">
        <v>9</v>
      </c>
      <c r="C1833" t="s">
        <v>56</v>
      </c>
      <c r="D1833" t="str" cm="1">
        <f t="array" ref="D1833">INDEX(_xlfn.TEXTSPLIT(C1833,"_"),3)</f>
        <v>haca-colorlast-q3</v>
      </c>
      <c r="E1833" t="str">
        <f>VLOOKUP(D1833,FranchiseMapping!$A$1:$B$15,2,FALSE)</f>
        <v>Color Last</v>
      </c>
      <c r="F1833" s="1">
        <v>44927</v>
      </c>
      <c r="G1833" t="s">
        <v>10</v>
      </c>
      <c r="H1833" s="2">
        <v>45139</v>
      </c>
      <c r="I1833" s="3">
        <v>45146</v>
      </c>
      <c r="J1833" s="3">
        <f t="shared" si="28"/>
        <v>45150</v>
      </c>
      <c r="K1833" s="4">
        <v>635.9899989999999</v>
      </c>
      <c r="L1833">
        <v>107480</v>
      </c>
    </row>
    <row r="1834" spans="1:12" x14ac:dyDescent="0.35">
      <c r="A1834" t="s">
        <v>8</v>
      </c>
      <c r="B1834" t="s">
        <v>9</v>
      </c>
      <c r="C1834" t="s">
        <v>38</v>
      </c>
      <c r="D1834" t="str" cm="1">
        <f t="array" ref="D1834">INDEX(_xlfn.TEXTSPLIT(C1834,"_"),3)</f>
        <v>hys</v>
      </c>
      <c r="E1834" t="str">
        <f>VLOOKUP(D1834,FranchiseMapping!$A$1:$B$15,2,FALSE)</f>
        <v>Hydrasource</v>
      </c>
      <c r="F1834" s="1">
        <v>45658</v>
      </c>
      <c r="G1834" t="s">
        <v>12</v>
      </c>
      <c r="H1834" s="2">
        <v>45748</v>
      </c>
      <c r="I1834" s="3">
        <v>45775</v>
      </c>
      <c r="J1834" s="3">
        <f t="shared" si="28"/>
        <v>45780</v>
      </c>
      <c r="K1834" s="4">
        <v>2085.6400009999998</v>
      </c>
      <c r="L1834">
        <v>293708</v>
      </c>
    </row>
    <row r="1835" spans="1:12" x14ac:dyDescent="0.35">
      <c r="A1835" t="s">
        <v>8</v>
      </c>
      <c r="B1835" t="s">
        <v>9</v>
      </c>
      <c r="C1835" t="s">
        <v>34</v>
      </c>
      <c r="D1835" t="str" cm="1">
        <f t="array" ref="D1835">INDEX(_xlfn.TEXTSPLIT(C1835,"_"),3)</f>
        <v>hydrasource</v>
      </c>
      <c r="E1835" t="str">
        <f>VLOOKUP(D1835,FranchiseMapping!$A$1:$B$15,2,FALSE)</f>
        <v>Hydrasource</v>
      </c>
      <c r="F1835" s="1">
        <v>45292</v>
      </c>
      <c r="G1835" t="s">
        <v>12</v>
      </c>
      <c r="H1835" s="2">
        <v>45292</v>
      </c>
      <c r="I1835" s="3">
        <v>45310</v>
      </c>
      <c r="J1835" s="3">
        <f t="shared" si="28"/>
        <v>45311</v>
      </c>
      <c r="K1835" s="4">
        <v>636.09000099999992</v>
      </c>
      <c r="L1835">
        <v>165790</v>
      </c>
    </row>
    <row r="1836" spans="1:12" x14ac:dyDescent="0.35">
      <c r="A1836" t="s">
        <v>8</v>
      </c>
      <c r="B1836" t="s">
        <v>9</v>
      </c>
      <c r="C1836" t="s">
        <v>45</v>
      </c>
      <c r="D1836" t="str" cm="1">
        <f t="array" ref="D1836">INDEX(_xlfn.TEXTSPLIT(C1836,"_"),3)</f>
        <v>hydrasource</v>
      </c>
      <c r="E1836" t="str">
        <f>VLOOKUP(D1836,FranchiseMapping!$A$1:$B$15,2,FALSE)</f>
        <v>Hydrasource</v>
      </c>
      <c r="F1836" s="1">
        <v>45292</v>
      </c>
      <c r="G1836" t="s">
        <v>12</v>
      </c>
      <c r="H1836" s="2">
        <v>45566</v>
      </c>
      <c r="I1836" s="3">
        <v>45584</v>
      </c>
      <c r="J1836" s="3">
        <f t="shared" si="28"/>
        <v>45584</v>
      </c>
      <c r="K1836" s="4">
        <v>2673.1099950000003</v>
      </c>
      <c r="L1836">
        <v>285179</v>
      </c>
    </row>
    <row r="1837" spans="1:12" x14ac:dyDescent="0.35">
      <c r="A1837" t="s">
        <v>8</v>
      </c>
      <c r="B1837" t="s">
        <v>13</v>
      </c>
      <c r="C1837" t="s">
        <v>42</v>
      </c>
      <c r="D1837" t="str" cm="1">
        <f t="array" ref="D1837">INDEX(_xlfn.TEXTSPLIT(C1837,"_"),3)</f>
        <v>bfr</v>
      </c>
      <c r="E1837" t="str">
        <f>VLOOKUP(D1837,FranchiseMapping!$A$1:$B$15,2,FALSE)</f>
        <v>Full Rescue</v>
      </c>
      <c r="F1837" s="1">
        <v>45658</v>
      </c>
      <c r="G1837" t="s">
        <v>12</v>
      </c>
      <c r="H1837" s="2">
        <v>45809</v>
      </c>
      <c r="I1837" s="3">
        <v>45837</v>
      </c>
      <c r="J1837" s="3">
        <f t="shared" si="28"/>
        <v>45843</v>
      </c>
      <c r="K1837" s="4">
        <v>1354.7081830000002</v>
      </c>
      <c r="L1837">
        <v>582313</v>
      </c>
    </row>
    <row r="1838" spans="1:12" x14ac:dyDescent="0.35">
      <c r="A1838" t="s">
        <v>8</v>
      </c>
      <c r="B1838" t="s">
        <v>9</v>
      </c>
      <c r="C1838" t="s">
        <v>50</v>
      </c>
      <c r="D1838" t="str" cm="1">
        <f t="array" ref="D1838">INDEX(_xlfn.TEXTSPLIT(C1838,"_"),3)</f>
        <v>bond-therapy</v>
      </c>
      <c r="E1838" t="str">
        <f>VLOOKUP(D1838,FranchiseMapping!$A$1:$B$15,2,FALSE)</f>
        <v>Bond Therapy</v>
      </c>
      <c r="F1838" s="1">
        <v>44927</v>
      </c>
      <c r="G1838" t="s">
        <v>12</v>
      </c>
      <c r="H1838" s="2">
        <v>45261</v>
      </c>
      <c r="I1838" s="3">
        <v>45277</v>
      </c>
      <c r="J1838" s="3">
        <f t="shared" si="28"/>
        <v>45283</v>
      </c>
      <c r="K1838" s="4">
        <v>3172.2400000000002</v>
      </c>
      <c r="L1838">
        <v>280278</v>
      </c>
    </row>
    <row r="1839" spans="1:12" x14ac:dyDescent="0.35">
      <c r="A1839" t="s">
        <v>8</v>
      </c>
      <c r="B1839" t="s">
        <v>9</v>
      </c>
      <c r="C1839" t="s">
        <v>52</v>
      </c>
      <c r="D1839" t="str" cm="1">
        <f t="array" ref="D1839">INDEX(_xlfn.TEXTSPLIT(C1839,"_"),3)</f>
        <v>bond-therapy</v>
      </c>
      <c r="E1839" t="str">
        <f>VLOOKUP(D1839,FranchiseMapping!$A$1:$B$15,2,FALSE)</f>
        <v>Bond Therapy</v>
      </c>
      <c r="F1839" s="1">
        <v>44927</v>
      </c>
      <c r="G1839" t="s">
        <v>11</v>
      </c>
      <c r="H1839" s="2">
        <v>45261</v>
      </c>
      <c r="I1839" s="3">
        <v>45273</v>
      </c>
      <c r="J1839" s="3">
        <f t="shared" si="28"/>
        <v>45276</v>
      </c>
      <c r="K1839" s="4">
        <v>2724.8900020000001</v>
      </c>
      <c r="L1839">
        <v>486183</v>
      </c>
    </row>
    <row r="1840" spans="1:12" x14ac:dyDescent="0.35">
      <c r="A1840" t="s">
        <v>8</v>
      </c>
      <c r="B1840" t="s">
        <v>9</v>
      </c>
      <c r="C1840" t="s">
        <v>30</v>
      </c>
      <c r="D1840" t="str" cm="1">
        <f t="array" ref="D1840">INDEX(_xlfn.TEXTSPLIT(C1840,"_"),3)</f>
        <v>q3-haca-colorlast</v>
      </c>
      <c r="E1840" t="str">
        <f>VLOOKUP(D1840,FranchiseMapping!$A$1:$B$15,2,FALSE)</f>
        <v>Color Last</v>
      </c>
      <c r="F1840" s="1">
        <v>44927</v>
      </c>
      <c r="G1840" t="s">
        <v>10</v>
      </c>
      <c r="H1840" s="2">
        <v>45139</v>
      </c>
      <c r="I1840" s="3">
        <v>45154</v>
      </c>
      <c r="J1840" s="3">
        <f t="shared" si="28"/>
        <v>45157</v>
      </c>
      <c r="K1840" s="4">
        <v>3966.7799969999996</v>
      </c>
      <c r="L1840">
        <v>583721</v>
      </c>
    </row>
    <row r="1841" spans="1:12" x14ac:dyDescent="0.35">
      <c r="A1841" t="s">
        <v>8</v>
      </c>
      <c r="B1841" t="s">
        <v>14</v>
      </c>
      <c r="C1841" t="s">
        <v>49</v>
      </c>
      <c r="D1841" t="str" cm="1">
        <f t="array" ref="D1841">INDEX(_xlfn.TEXTSPLIT(C1841,"_"),3)</f>
        <v>hys</v>
      </c>
      <c r="E1841" t="str">
        <f>VLOOKUP(D1841,FranchiseMapping!$A$1:$B$15,2,FALSE)</f>
        <v>Hydrasource</v>
      </c>
      <c r="F1841" s="1">
        <v>45658</v>
      </c>
      <c r="G1841" t="s">
        <v>12</v>
      </c>
      <c r="H1841" s="2">
        <v>45748</v>
      </c>
      <c r="I1841" s="3">
        <v>45759</v>
      </c>
      <c r="J1841" s="3">
        <f t="shared" si="28"/>
        <v>45759</v>
      </c>
      <c r="K1841" s="4">
        <v>5396.75</v>
      </c>
      <c r="L1841">
        <v>1201507</v>
      </c>
    </row>
    <row r="1842" spans="1:12" x14ac:dyDescent="0.35">
      <c r="A1842" t="s">
        <v>8</v>
      </c>
      <c r="B1842" t="s">
        <v>9</v>
      </c>
      <c r="C1842" t="s">
        <v>54</v>
      </c>
      <c r="D1842" t="str" cm="1">
        <f t="array" ref="D1842">INDEX(_xlfn.TEXTSPLIT(C1842,"_"),3)</f>
        <v>scalp</v>
      </c>
      <c r="E1842" t="str">
        <f>VLOOKUP(D1842,FranchiseMapping!$A$1:$B$15,2,FALSE)</f>
        <v>Scalp Sync</v>
      </c>
      <c r="F1842" s="1">
        <v>45292</v>
      </c>
      <c r="G1842" t="s">
        <v>10</v>
      </c>
      <c r="H1842" s="2">
        <v>45352</v>
      </c>
      <c r="I1842" s="3">
        <v>45376</v>
      </c>
      <c r="J1842" s="3">
        <f t="shared" si="28"/>
        <v>45381</v>
      </c>
      <c r="K1842" s="4">
        <v>2103.0100019999995</v>
      </c>
      <c r="L1842">
        <v>487015</v>
      </c>
    </row>
    <row r="1843" spans="1:12" x14ac:dyDescent="0.35">
      <c r="A1843" t="s">
        <v>8</v>
      </c>
      <c r="B1843" t="s">
        <v>9</v>
      </c>
      <c r="C1843" t="s">
        <v>30</v>
      </c>
      <c r="D1843" t="str" cm="1">
        <f t="array" ref="D1843">INDEX(_xlfn.TEXTSPLIT(C1843,"_"),3)</f>
        <v>q3-haca-colorlast</v>
      </c>
      <c r="E1843" t="str">
        <f>VLOOKUP(D1843,FranchiseMapping!$A$1:$B$15,2,FALSE)</f>
        <v>Color Last</v>
      </c>
      <c r="F1843" s="1">
        <v>44927</v>
      </c>
      <c r="G1843" t="s">
        <v>10</v>
      </c>
      <c r="H1843" s="2">
        <v>45108</v>
      </c>
      <c r="I1843" s="3">
        <v>45133</v>
      </c>
      <c r="J1843" s="3">
        <f t="shared" si="28"/>
        <v>45136</v>
      </c>
      <c r="K1843" s="4">
        <v>2157.4299960000003</v>
      </c>
      <c r="L1843">
        <v>312399</v>
      </c>
    </row>
    <row r="1844" spans="1:12" x14ac:dyDescent="0.35">
      <c r="A1844" t="s">
        <v>8</v>
      </c>
      <c r="B1844" t="s">
        <v>13</v>
      </c>
      <c r="C1844" t="s">
        <v>62</v>
      </c>
      <c r="D1844" t="str" cm="1">
        <f t="array" ref="D1844">INDEX(_xlfn.TEXTSPLIT(C1844,"_"),3)</f>
        <v>na</v>
      </c>
      <c r="E1844" t="str">
        <f>VLOOKUP(D1844,FranchiseMapping!$A$1:$B$15,2,FALSE)</f>
        <v>Biolage</v>
      </c>
      <c r="F1844" s="1">
        <v>44927</v>
      </c>
      <c r="G1844" t="s">
        <v>12</v>
      </c>
      <c r="H1844" s="2">
        <v>45108</v>
      </c>
      <c r="I1844" s="3">
        <v>45115</v>
      </c>
      <c r="J1844" s="3">
        <f t="shared" si="28"/>
        <v>45115</v>
      </c>
      <c r="K1844" s="4">
        <v>1186.18291</v>
      </c>
      <c r="L1844">
        <v>390191</v>
      </c>
    </row>
    <row r="1845" spans="1:12" x14ac:dyDescent="0.35">
      <c r="A1845" t="s">
        <v>8</v>
      </c>
      <c r="B1845" t="s">
        <v>13</v>
      </c>
      <c r="C1845" t="s">
        <v>44</v>
      </c>
      <c r="D1845" t="str" cm="1">
        <f t="array" ref="D1845">INDEX(_xlfn.TEXTSPLIT(C1845,"_"),3)</f>
        <v>na</v>
      </c>
      <c r="E1845" t="str">
        <f>VLOOKUP(D1845,FranchiseMapping!$A$1:$B$15,2,FALSE)</f>
        <v>Biolage</v>
      </c>
      <c r="F1845" s="1">
        <v>44927</v>
      </c>
      <c r="G1845" t="s">
        <v>11</v>
      </c>
      <c r="H1845" s="2">
        <v>45108</v>
      </c>
      <c r="I1845" s="3">
        <v>45118</v>
      </c>
      <c r="J1845" s="3">
        <f t="shared" si="28"/>
        <v>45122</v>
      </c>
      <c r="K1845" s="4">
        <v>676.78776400000004</v>
      </c>
      <c r="L1845">
        <v>360677</v>
      </c>
    </row>
    <row r="1846" spans="1:12" x14ac:dyDescent="0.35">
      <c r="A1846" t="s">
        <v>8</v>
      </c>
      <c r="B1846" t="s">
        <v>9</v>
      </c>
      <c r="C1846" t="s">
        <v>31</v>
      </c>
      <c r="D1846" t="str" cm="1">
        <f t="array" ref="D1846">INDEX(_xlfn.TEXTSPLIT(C1846,"_"),3)</f>
        <v>scalp</v>
      </c>
      <c r="E1846" t="str">
        <f>VLOOKUP(D1846,FranchiseMapping!$A$1:$B$15,2,FALSE)</f>
        <v>Scalp Sync</v>
      </c>
      <c r="F1846" s="1">
        <v>45292</v>
      </c>
      <c r="G1846" t="s">
        <v>10</v>
      </c>
      <c r="H1846" s="2">
        <v>45352</v>
      </c>
      <c r="I1846" s="3">
        <v>45364</v>
      </c>
      <c r="J1846" s="3">
        <f t="shared" si="28"/>
        <v>45367</v>
      </c>
      <c r="K1846" s="4">
        <v>1638.8000050000005</v>
      </c>
      <c r="L1846">
        <v>240297</v>
      </c>
    </row>
    <row r="1847" spans="1:12" x14ac:dyDescent="0.35">
      <c r="A1847" t="s">
        <v>8</v>
      </c>
      <c r="B1847" t="s">
        <v>9</v>
      </c>
      <c r="C1847" t="s">
        <v>36</v>
      </c>
      <c r="D1847" t="str" cm="1">
        <f t="array" ref="D1847">INDEX(_xlfn.TEXTSPLIT(C1847,"_"),3)</f>
        <v>bfr</v>
      </c>
      <c r="E1847" t="str">
        <f>VLOOKUP(D1847,FranchiseMapping!$A$1:$B$15,2,FALSE)</f>
        <v>Full Rescue</v>
      </c>
      <c r="F1847" s="1">
        <v>45658</v>
      </c>
      <c r="G1847" t="s">
        <v>10</v>
      </c>
      <c r="H1847" s="2">
        <v>45809</v>
      </c>
      <c r="I1847" s="3">
        <v>45822</v>
      </c>
      <c r="J1847" s="3">
        <f t="shared" si="28"/>
        <v>45822</v>
      </c>
      <c r="K1847" s="4">
        <v>1125.270002</v>
      </c>
      <c r="L1847">
        <v>151470</v>
      </c>
    </row>
    <row r="1848" spans="1:12" x14ac:dyDescent="0.35">
      <c r="A1848" t="s">
        <v>8</v>
      </c>
      <c r="B1848" t="s">
        <v>9</v>
      </c>
      <c r="C1848" t="s">
        <v>53</v>
      </c>
      <c r="D1848" t="str" cm="1">
        <f t="array" ref="D1848">INDEX(_xlfn.TEXTSPLIT(C1848,"_"),3)</f>
        <v>bond-therapy</v>
      </c>
      <c r="E1848" t="str">
        <f>VLOOKUP(D1848,FranchiseMapping!$A$1:$B$15,2,FALSE)</f>
        <v>Bond Therapy</v>
      </c>
      <c r="F1848" s="1">
        <v>44927</v>
      </c>
      <c r="G1848" t="s">
        <v>11</v>
      </c>
      <c r="H1848" s="2">
        <v>45231</v>
      </c>
      <c r="I1848" s="3">
        <v>45252</v>
      </c>
      <c r="J1848" s="3">
        <f t="shared" si="28"/>
        <v>45255</v>
      </c>
      <c r="K1848" s="4">
        <v>1206.0200009999999</v>
      </c>
      <c r="L1848">
        <v>201491</v>
      </c>
    </row>
    <row r="1849" spans="1:12" x14ac:dyDescent="0.35">
      <c r="A1849" t="s">
        <v>8</v>
      </c>
      <c r="B1849" t="s">
        <v>9</v>
      </c>
      <c r="C1849" t="s">
        <v>31</v>
      </c>
      <c r="D1849" t="str" cm="1">
        <f t="array" ref="D1849">INDEX(_xlfn.TEXTSPLIT(C1849,"_"),3)</f>
        <v>scalp</v>
      </c>
      <c r="E1849" t="str">
        <f>VLOOKUP(D1849,FranchiseMapping!$A$1:$B$15,2,FALSE)</f>
        <v>Scalp Sync</v>
      </c>
      <c r="F1849" s="1">
        <v>45292</v>
      </c>
      <c r="G1849" t="s">
        <v>10</v>
      </c>
      <c r="H1849" s="2">
        <v>45352</v>
      </c>
      <c r="I1849" s="3">
        <v>45382</v>
      </c>
      <c r="J1849" s="3">
        <f t="shared" si="28"/>
        <v>45388</v>
      </c>
      <c r="K1849" s="4">
        <v>77.310001</v>
      </c>
      <c r="L1849">
        <v>13510</v>
      </c>
    </row>
    <row r="1850" spans="1:12" x14ac:dyDescent="0.35">
      <c r="A1850" t="s">
        <v>8</v>
      </c>
      <c r="B1850" t="s">
        <v>13</v>
      </c>
      <c r="C1850" t="s">
        <v>42</v>
      </c>
      <c r="D1850" t="str" cm="1">
        <f t="array" ref="D1850">INDEX(_xlfn.TEXTSPLIT(C1850,"_"),3)</f>
        <v>bfr</v>
      </c>
      <c r="E1850" t="str">
        <f>VLOOKUP(D1850,FranchiseMapping!$A$1:$B$15,2,FALSE)</f>
        <v>Full Rescue</v>
      </c>
      <c r="F1850" s="1">
        <v>45658</v>
      </c>
      <c r="G1850" t="s">
        <v>10</v>
      </c>
      <c r="H1850" s="2">
        <v>45809</v>
      </c>
      <c r="I1850" s="3">
        <v>45829</v>
      </c>
      <c r="J1850" s="3">
        <f t="shared" si="28"/>
        <v>45829</v>
      </c>
      <c r="K1850" s="4">
        <v>348.08277600000002</v>
      </c>
      <c r="L1850">
        <v>153815</v>
      </c>
    </row>
    <row r="1851" spans="1:12" x14ac:dyDescent="0.35">
      <c r="A1851" t="s">
        <v>8</v>
      </c>
      <c r="B1851" t="s">
        <v>9</v>
      </c>
      <c r="C1851" t="s">
        <v>54</v>
      </c>
      <c r="D1851" t="str" cm="1">
        <f t="array" ref="D1851">INDEX(_xlfn.TEXTSPLIT(C1851,"_"),3)</f>
        <v>scalp</v>
      </c>
      <c r="E1851" t="str">
        <f>VLOOKUP(D1851,FranchiseMapping!$A$1:$B$15,2,FALSE)</f>
        <v>Scalp Sync</v>
      </c>
      <c r="F1851" s="1">
        <v>45292</v>
      </c>
      <c r="G1851" t="s">
        <v>10</v>
      </c>
      <c r="H1851" s="2">
        <v>45352</v>
      </c>
      <c r="I1851" s="3">
        <v>45369</v>
      </c>
      <c r="J1851" s="3">
        <f t="shared" si="28"/>
        <v>45374</v>
      </c>
      <c r="K1851" s="4">
        <v>2253.8900009999998</v>
      </c>
      <c r="L1851">
        <v>543135</v>
      </c>
    </row>
    <row r="1852" spans="1:12" x14ac:dyDescent="0.35">
      <c r="A1852" t="s">
        <v>8</v>
      </c>
      <c r="B1852" t="s">
        <v>9</v>
      </c>
      <c r="C1852" t="s">
        <v>61</v>
      </c>
      <c r="D1852" t="str" cm="1">
        <f t="array" ref="D1852">INDEX(_xlfn.TEXTSPLIT(C1852,"_"),3)</f>
        <v>prime-day</v>
      </c>
      <c r="E1852" t="str">
        <f>VLOOKUP(D1852,FranchiseMapping!$A$1:$B$15,2,FALSE)</f>
        <v>Prime Day</v>
      </c>
      <c r="F1852" s="1">
        <v>45292</v>
      </c>
      <c r="G1852" t="s">
        <v>10</v>
      </c>
      <c r="H1852" s="2">
        <v>45474</v>
      </c>
      <c r="I1852" s="3">
        <v>45478</v>
      </c>
      <c r="J1852" s="3">
        <f t="shared" si="28"/>
        <v>45479</v>
      </c>
      <c r="K1852" s="4">
        <v>3439.4000139999998</v>
      </c>
      <c r="L1852">
        <v>570369</v>
      </c>
    </row>
    <row r="1853" spans="1:12" x14ac:dyDescent="0.35">
      <c r="A1853" t="s">
        <v>8</v>
      </c>
      <c r="B1853" t="s">
        <v>13</v>
      </c>
      <c r="C1853" t="s">
        <v>42</v>
      </c>
      <c r="D1853" t="str" cm="1">
        <f t="array" ref="D1853">INDEX(_xlfn.TEXTSPLIT(C1853,"_"),3)</f>
        <v>bfr</v>
      </c>
      <c r="E1853" t="str">
        <f>VLOOKUP(D1853,FranchiseMapping!$A$1:$B$15,2,FALSE)</f>
        <v>Full Rescue</v>
      </c>
      <c r="F1853" s="1">
        <v>45658</v>
      </c>
      <c r="G1853" t="s">
        <v>10</v>
      </c>
      <c r="H1853" s="2">
        <v>45809</v>
      </c>
      <c r="I1853" s="3">
        <v>45820</v>
      </c>
      <c r="J1853" s="3">
        <f t="shared" si="28"/>
        <v>45822</v>
      </c>
      <c r="K1853" s="4">
        <v>439.59872299999995</v>
      </c>
      <c r="L1853">
        <v>204028</v>
      </c>
    </row>
    <row r="1854" spans="1:12" x14ac:dyDescent="0.35">
      <c r="A1854" t="s">
        <v>8</v>
      </c>
      <c r="B1854" t="s">
        <v>14</v>
      </c>
      <c r="C1854" t="s">
        <v>43</v>
      </c>
      <c r="D1854" t="str" cm="1">
        <f t="array" ref="D1854">INDEX(_xlfn.TEXTSPLIT(C1854,"_"),3)</f>
        <v>bfr</v>
      </c>
      <c r="E1854" t="str">
        <f>VLOOKUP(D1854,FranchiseMapping!$A$1:$B$15,2,FALSE)</f>
        <v>Full Rescue</v>
      </c>
      <c r="F1854" s="1">
        <v>45658</v>
      </c>
      <c r="G1854" t="s">
        <v>12</v>
      </c>
      <c r="H1854" s="2">
        <v>45809</v>
      </c>
      <c r="I1854" s="3">
        <v>45834</v>
      </c>
      <c r="J1854" s="3">
        <f t="shared" si="28"/>
        <v>45836</v>
      </c>
      <c r="K1854" s="4">
        <v>673.1</v>
      </c>
      <c r="L1854">
        <v>130354</v>
      </c>
    </row>
    <row r="1855" spans="1:12" x14ac:dyDescent="0.35">
      <c r="A1855" t="s">
        <v>8</v>
      </c>
      <c r="B1855" t="s">
        <v>9</v>
      </c>
      <c r="C1855" t="s">
        <v>34</v>
      </c>
      <c r="D1855" t="str" cm="1">
        <f t="array" ref="D1855">INDEX(_xlfn.TEXTSPLIT(C1855,"_"),3)</f>
        <v>hydrasource</v>
      </c>
      <c r="E1855" t="str">
        <f>VLOOKUP(D1855,FranchiseMapping!$A$1:$B$15,2,FALSE)</f>
        <v>Hydrasource</v>
      </c>
      <c r="F1855" s="1">
        <v>45292</v>
      </c>
      <c r="G1855" t="s">
        <v>12</v>
      </c>
      <c r="H1855" s="2">
        <v>45292</v>
      </c>
      <c r="I1855" s="3">
        <v>45315</v>
      </c>
      <c r="J1855" s="3">
        <f t="shared" si="28"/>
        <v>45318</v>
      </c>
      <c r="K1855" s="4">
        <v>649.65999900000008</v>
      </c>
      <c r="L1855">
        <v>159786</v>
      </c>
    </row>
    <row r="1856" spans="1:12" x14ac:dyDescent="0.35">
      <c r="A1856" t="s">
        <v>8</v>
      </c>
      <c r="B1856" t="s">
        <v>13</v>
      </c>
      <c r="C1856" t="s">
        <v>51</v>
      </c>
      <c r="D1856" t="str" cm="1">
        <f t="array" ref="D1856">INDEX(_xlfn.TEXTSPLIT(C1856,"_"),3)</f>
        <v>na</v>
      </c>
      <c r="E1856" t="str">
        <f>VLOOKUP(D1856,FranchiseMapping!$A$1:$B$15,2,FALSE)</f>
        <v>Biolage</v>
      </c>
      <c r="F1856" s="1">
        <v>44927</v>
      </c>
      <c r="G1856" t="s">
        <v>11</v>
      </c>
      <c r="H1856" s="2">
        <v>45108</v>
      </c>
      <c r="I1856" s="3">
        <v>45123</v>
      </c>
      <c r="J1856" s="3">
        <f t="shared" si="28"/>
        <v>45129</v>
      </c>
      <c r="K1856" s="4">
        <v>641.37330299999996</v>
      </c>
      <c r="L1856">
        <v>374964</v>
      </c>
    </row>
    <row r="1857" spans="1:12" x14ac:dyDescent="0.35">
      <c r="A1857" t="s">
        <v>8</v>
      </c>
      <c r="B1857" t="s">
        <v>9</v>
      </c>
      <c r="C1857" t="s">
        <v>45</v>
      </c>
      <c r="D1857" t="str" cm="1">
        <f t="array" ref="D1857">INDEX(_xlfn.TEXTSPLIT(C1857,"_"),3)</f>
        <v>hydrasource</v>
      </c>
      <c r="E1857" t="str">
        <f>VLOOKUP(D1857,FranchiseMapping!$A$1:$B$15,2,FALSE)</f>
        <v>Hydrasource</v>
      </c>
      <c r="F1857" s="1">
        <v>45292</v>
      </c>
      <c r="G1857" t="s">
        <v>12</v>
      </c>
      <c r="H1857" s="2">
        <v>45566</v>
      </c>
      <c r="I1857" s="3">
        <v>45567</v>
      </c>
      <c r="J1857" s="3">
        <f t="shared" si="28"/>
        <v>45570</v>
      </c>
      <c r="K1857" s="4">
        <v>2649.9399960000001</v>
      </c>
      <c r="L1857">
        <v>301645</v>
      </c>
    </row>
    <row r="1858" spans="1:12" x14ac:dyDescent="0.35">
      <c r="A1858" t="s">
        <v>8</v>
      </c>
      <c r="B1858" t="s">
        <v>14</v>
      </c>
      <c r="C1858" t="s">
        <v>37</v>
      </c>
      <c r="D1858" t="str" cm="1">
        <f t="array" ref="D1858">INDEX(_xlfn.TEXTSPLIT(C1858,"_"),3)</f>
        <v>mult</v>
      </c>
      <c r="E1858" t="str">
        <f>VLOOKUP(D1858,FranchiseMapping!$A$1:$B$15,2,FALSE)</f>
        <v>Biolage</v>
      </c>
      <c r="F1858" s="1">
        <v>45658</v>
      </c>
      <c r="G1858" t="s">
        <v>10</v>
      </c>
      <c r="H1858" s="2">
        <v>45748</v>
      </c>
      <c r="I1858" s="3">
        <v>45757</v>
      </c>
      <c r="J1858" s="3">
        <f t="shared" si="28"/>
        <v>45759</v>
      </c>
      <c r="K1858" s="4">
        <v>1400.75</v>
      </c>
      <c r="L1858">
        <v>372965</v>
      </c>
    </row>
    <row r="1859" spans="1:12" x14ac:dyDescent="0.35">
      <c r="A1859" t="s">
        <v>8</v>
      </c>
      <c r="B1859" t="s">
        <v>14</v>
      </c>
      <c r="C1859" t="s">
        <v>43</v>
      </c>
      <c r="D1859" t="str" cm="1">
        <f t="array" ref="D1859">INDEX(_xlfn.TEXTSPLIT(C1859,"_"),3)</f>
        <v>bfr</v>
      </c>
      <c r="E1859" t="str">
        <f>VLOOKUP(D1859,FranchiseMapping!$A$1:$B$15,2,FALSE)</f>
        <v>Full Rescue</v>
      </c>
      <c r="F1859" s="1">
        <v>45658</v>
      </c>
      <c r="G1859" t="s">
        <v>10</v>
      </c>
      <c r="H1859" s="2">
        <v>45809</v>
      </c>
      <c r="I1859" s="3">
        <v>45827</v>
      </c>
      <c r="J1859" s="3">
        <f t="shared" ref="J1859:J1895" si="29">I1859 + (7 - WEEKDAY(I1859, 1))</f>
        <v>45829</v>
      </c>
      <c r="K1859" s="4">
        <v>1987.3300000000002</v>
      </c>
      <c r="L1859">
        <v>377373</v>
      </c>
    </row>
    <row r="1860" spans="1:12" x14ac:dyDescent="0.35">
      <c r="A1860" t="s">
        <v>8</v>
      </c>
      <c r="B1860" t="s">
        <v>14</v>
      </c>
      <c r="C1860" t="s">
        <v>47</v>
      </c>
      <c r="D1860" t="str" cm="1">
        <f t="array" ref="D1860">INDEX(_xlfn.TEXTSPLIT(C1860,"_"),3)</f>
        <v>hys</v>
      </c>
      <c r="E1860" t="str">
        <f>VLOOKUP(D1860,FranchiseMapping!$A$1:$B$15,2,FALSE)</f>
        <v>Hydrasource</v>
      </c>
      <c r="F1860" s="1">
        <v>45658</v>
      </c>
      <c r="G1860" t="s">
        <v>12</v>
      </c>
      <c r="H1860" s="2">
        <v>45748</v>
      </c>
      <c r="I1860" s="3">
        <v>45748</v>
      </c>
      <c r="J1860" s="3">
        <f t="shared" si="29"/>
        <v>45752</v>
      </c>
      <c r="K1860" s="4">
        <v>103.02</v>
      </c>
      <c r="L1860">
        <v>28522</v>
      </c>
    </row>
    <row r="1861" spans="1:12" x14ac:dyDescent="0.35">
      <c r="A1861" t="s">
        <v>8</v>
      </c>
      <c r="B1861" t="s">
        <v>13</v>
      </c>
      <c r="C1861" t="s">
        <v>44</v>
      </c>
      <c r="D1861" t="str" cm="1">
        <f t="array" ref="D1861">INDEX(_xlfn.TEXTSPLIT(C1861,"_"),3)</f>
        <v>na</v>
      </c>
      <c r="E1861" t="str">
        <f>VLOOKUP(D1861,FranchiseMapping!$A$1:$B$15,2,FALSE)</f>
        <v>Biolage</v>
      </c>
      <c r="F1861" s="1">
        <v>44927</v>
      </c>
      <c r="G1861" t="s">
        <v>11</v>
      </c>
      <c r="H1861" s="2">
        <v>45108</v>
      </c>
      <c r="I1861" s="3">
        <v>45116</v>
      </c>
      <c r="J1861" s="3">
        <f t="shared" si="29"/>
        <v>45122</v>
      </c>
      <c r="K1861" s="4">
        <v>677.42532900000003</v>
      </c>
      <c r="L1861">
        <v>327996</v>
      </c>
    </row>
    <row r="1862" spans="1:12" x14ac:dyDescent="0.35">
      <c r="A1862" t="s">
        <v>8</v>
      </c>
      <c r="B1862" t="s">
        <v>13</v>
      </c>
      <c r="C1862" t="s">
        <v>42</v>
      </c>
      <c r="D1862" t="str" cm="1">
        <f t="array" ref="D1862">INDEX(_xlfn.TEXTSPLIT(C1862,"_"),3)</f>
        <v>bfr</v>
      </c>
      <c r="E1862" t="str">
        <f>VLOOKUP(D1862,FranchiseMapping!$A$1:$B$15,2,FALSE)</f>
        <v>Full Rescue</v>
      </c>
      <c r="F1862" s="1">
        <v>45658</v>
      </c>
      <c r="G1862" t="s">
        <v>12</v>
      </c>
      <c r="H1862" s="2">
        <v>45809</v>
      </c>
      <c r="I1862" s="3">
        <v>45830</v>
      </c>
      <c r="J1862" s="3">
        <f t="shared" si="29"/>
        <v>45836</v>
      </c>
      <c r="K1862" s="4">
        <v>1382.2712330000002</v>
      </c>
      <c r="L1862">
        <v>574859</v>
      </c>
    </row>
    <row r="1863" spans="1:12" x14ac:dyDescent="0.35">
      <c r="A1863" t="s">
        <v>8</v>
      </c>
      <c r="B1863" t="s">
        <v>14</v>
      </c>
      <c r="C1863" t="s">
        <v>37</v>
      </c>
      <c r="D1863" t="str" cm="1">
        <f t="array" ref="D1863">INDEX(_xlfn.TEXTSPLIT(C1863,"_"),3)</f>
        <v>mult</v>
      </c>
      <c r="E1863" t="str">
        <f>VLOOKUP(D1863,FranchiseMapping!$A$1:$B$15,2,FALSE)</f>
        <v>Biolage</v>
      </c>
      <c r="F1863" s="1">
        <v>45658</v>
      </c>
      <c r="G1863" t="s">
        <v>12</v>
      </c>
      <c r="H1863" s="2">
        <v>45778</v>
      </c>
      <c r="I1863" s="3">
        <v>45782</v>
      </c>
      <c r="J1863" s="3">
        <f t="shared" si="29"/>
        <v>45787</v>
      </c>
      <c r="K1863" s="4">
        <v>589.98</v>
      </c>
      <c r="L1863">
        <v>203213</v>
      </c>
    </row>
    <row r="1864" spans="1:12" x14ac:dyDescent="0.35">
      <c r="A1864" t="s">
        <v>8</v>
      </c>
      <c r="B1864" t="s">
        <v>13</v>
      </c>
      <c r="C1864" t="s">
        <v>28</v>
      </c>
      <c r="D1864" t="str" cm="1">
        <f t="array" ref="D1864">INDEX(_xlfn.TEXTSPLIT(C1864,"_"),3)</f>
        <v>na</v>
      </c>
      <c r="E1864" t="str">
        <f>VLOOKUP(D1864,FranchiseMapping!$A$1:$B$15,2,FALSE)</f>
        <v>Biolage</v>
      </c>
      <c r="F1864" s="1">
        <v>44927</v>
      </c>
      <c r="G1864" t="s">
        <v>10</v>
      </c>
      <c r="H1864" s="2">
        <v>45108</v>
      </c>
      <c r="I1864" s="3">
        <v>45124</v>
      </c>
      <c r="J1864" s="3">
        <f t="shared" si="29"/>
        <v>45129</v>
      </c>
      <c r="K1864" s="4">
        <v>944.48899500000005</v>
      </c>
      <c r="L1864">
        <v>186270</v>
      </c>
    </row>
    <row r="1865" spans="1:12" x14ac:dyDescent="0.35">
      <c r="A1865" t="s">
        <v>8</v>
      </c>
      <c r="B1865" t="s">
        <v>9</v>
      </c>
      <c r="C1865" t="s">
        <v>41</v>
      </c>
      <c r="D1865" t="str" cm="1">
        <f t="array" ref="D1865">INDEX(_xlfn.TEXTSPLIT(C1865,"_"),3)</f>
        <v>hys</v>
      </c>
      <c r="E1865" t="str">
        <f>VLOOKUP(D1865,FranchiseMapping!$A$1:$B$15,2,FALSE)</f>
        <v>Hydrasource</v>
      </c>
      <c r="F1865" s="1">
        <v>45658</v>
      </c>
      <c r="G1865" t="s">
        <v>12</v>
      </c>
      <c r="H1865" s="2">
        <v>45748</v>
      </c>
      <c r="I1865" s="3">
        <v>45751</v>
      </c>
      <c r="J1865" s="3">
        <f t="shared" si="29"/>
        <v>45752</v>
      </c>
      <c r="K1865" s="4">
        <v>3758.8800030000007</v>
      </c>
      <c r="L1865">
        <v>451693</v>
      </c>
    </row>
    <row r="1866" spans="1:12" x14ac:dyDescent="0.35">
      <c r="A1866" t="s">
        <v>8</v>
      </c>
      <c r="B1866" t="s">
        <v>9</v>
      </c>
      <c r="C1866" t="s">
        <v>50</v>
      </c>
      <c r="D1866" t="str" cm="1">
        <f t="array" ref="D1866">INDEX(_xlfn.TEXTSPLIT(C1866,"_"),3)</f>
        <v>bond-therapy</v>
      </c>
      <c r="E1866" t="str">
        <f>VLOOKUP(D1866,FranchiseMapping!$A$1:$B$15,2,FALSE)</f>
        <v>Bond Therapy</v>
      </c>
      <c r="F1866" s="1">
        <v>44927</v>
      </c>
      <c r="G1866" t="s">
        <v>12</v>
      </c>
      <c r="H1866" s="2">
        <v>45261</v>
      </c>
      <c r="I1866" s="3">
        <v>45273</v>
      </c>
      <c r="J1866" s="3">
        <f t="shared" si="29"/>
        <v>45276</v>
      </c>
      <c r="K1866" s="4">
        <v>3025.7300020000002</v>
      </c>
      <c r="L1866">
        <v>284016</v>
      </c>
    </row>
    <row r="1867" spans="1:12" x14ac:dyDescent="0.35">
      <c r="A1867" t="s">
        <v>8</v>
      </c>
      <c r="B1867" t="s">
        <v>9</v>
      </c>
      <c r="C1867" t="s">
        <v>46</v>
      </c>
      <c r="D1867" t="str" cm="1">
        <f t="array" ref="D1867">INDEX(_xlfn.TEXTSPLIT(C1867,"_"),3)</f>
        <v>mult</v>
      </c>
      <c r="E1867" t="str">
        <f>VLOOKUP(D1867,FranchiseMapping!$A$1:$B$15,2,FALSE)</f>
        <v>Biolage</v>
      </c>
      <c r="F1867" s="1">
        <v>45658</v>
      </c>
      <c r="G1867" t="s">
        <v>12</v>
      </c>
      <c r="H1867" s="2">
        <v>45717</v>
      </c>
      <c r="I1867" s="3">
        <v>45738</v>
      </c>
      <c r="J1867" s="3">
        <f t="shared" si="29"/>
        <v>45738</v>
      </c>
      <c r="K1867" s="4">
        <v>2745.8900000000008</v>
      </c>
      <c r="L1867">
        <v>492915</v>
      </c>
    </row>
    <row r="1868" spans="1:12" x14ac:dyDescent="0.35">
      <c r="A1868" t="s">
        <v>8</v>
      </c>
      <c r="B1868" t="s">
        <v>9</v>
      </c>
      <c r="C1868" t="s">
        <v>40</v>
      </c>
      <c r="D1868" t="str" cm="1">
        <f t="array" ref="D1868">INDEX(_xlfn.TEXTSPLIT(C1868,"_"),3)</f>
        <v>hydrasource</v>
      </c>
      <c r="E1868" t="str">
        <f>VLOOKUP(D1868,FranchiseMapping!$A$1:$B$15,2,FALSE)</f>
        <v>Hydrasource</v>
      </c>
      <c r="F1868" s="1">
        <v>45292</v>
      </c>
      <c r="G1868" t="s">
        <v>12</v>
      </c>
      <c r="H1868" s="2">
        <v>45292</v>
      </c>
      <c r="I1868" s="3">
        <v>45313</v>
      </c>
      <c r="J1868" s="3">
        <f t="shared" si="29"/>
        <v>45318</v>
      </c>
      <c r="K1868" s="4">
        <v>3279.3199919999997</v>
      </c>
      <c r="L1868">
        <v>590536</v>
      </c>
    </row>
    <row r="1869" spans="1:12" x14ac:dyDescent="0.35">
      <c r="A1869" t="s">
        <v>8</v>
      </c>
      <c r="B1869" t="s">
        <v>13</v>
      </c>
      <c r="C1869" t="s">
        <v>59</v>
      </c>
      <c r="D1869" t="str" cm="1">
        <f t="array" ref="D1869">INDEX(_xlfn.TEXTSPLIT(C1869,"_"),3)</f>
        <v>scalp-sync</v>
      </c>
      <c r="E1869" t="str">
        <f>VLOOKUP(D1869,FranchiseMapping!$A$1:$B$15,2,FALSE)</f>
        <v>Scalp Sync</v>
      </c>
      <c r="F1869" s="1">
        <v>45292</v>
      </c>
      <c r="G1869" t="s">
        <v>11</v>
      </c>
      <c r="H1869" s="2">
        <v>45383</v>
      </c>
      <c r="I1869" s="3">
        <v>45409</v>
      </c>
      <c r="J1869" s="3">
        <f t="shared" si="29"/>
        <v>45409</v>
      </c>
      <c r="K1869" s="4">
        <v>3355.7211179999999</v>
      </c>
      <c r="L1869">
        <v>1579075</v>
      </c>
    </row>
    <row r="1870" spans="1:12" x14ac:dyDescent="0.35">
      <c r="A1870" t="s">
        <v>8</v>
      </c>
      <c r="B1870" t="s">
        <v>14</v>
      </c>
      <c r="C1870" t="s">
        <v>37</v>
      </c>
      <c r="D1870" t="str" cm="1">
        <f t="array" ref="D1870">INDEX(_xlfn.TEXTSPLIT(C1870,"_"),3)</f>
        <v>mult</v>
      </c>
      <c r="E1870" t="str">
        <f>VLOOKUP(D1870,FranchiseMapping!$A$1:$B$15,2,FALSE)</f>
        <v>Biolage</v>
      </c>
      <c r="F1870" s="1">
        <v>45658</v>
      </c>
      <c r="G1870" t="s">
        <v>10</v>
      </c>
      <c r="H1870" s="2">
        <v>45809</v>
      </c>
      <c r="I1870" s="3">
        <v>45816</v>
      </c>
      <c r="J1870" s="3">
        <f t="shared" si="29"/>
        <v>45822</v>
      </c>
      <c r="K1870" s="4">
        <v>0.34</v>
      </c>
      <c r="L1870">
        <v>30</v>
      </c>
    </row>
    <row r="1871" spans="1:12" x14ac:dyDescent="0.35">
      <c r="A1871" t="s">
        <v>8</v>
      </c>
      <c r="B1871" t="s">
        <v>9</v>
      </c>
      <c r="C1871" t="s">
        <v>35</v>
      </c>
      <c r="D1871" t="str" cm="1">
        <f t="array" ref="D1871">INDEX(_xlfn.TEXTSPLIT(C1871,"_"),3)</f>
        <v>bfr</v>
      </c>
      <c r="E1871" t="str">
        <f>VLOOKUP(D1871,FranchiseMapping!$A$1:$B$15,2,FALSE)</f>
        <v>Full Rescue</v>
      </c>
      <c r="F1871" s="1">
        <v>45658</v>
      </c>
      <c r="G1871" t="s">
        <v>10</v>
      </c>
      <c r="H1871" s="2">
        <v>45809</v>
      </c>
      <c r="I1871" s="3">
        <v>45826</v>
      </c>
      <c r="J1871" s="3">
        <f t="shared" si="29"/>
        <v>45829</v>
      </c>
      <c r="K1871" s="4">
        <v>49.620000000000005</v>
      </c>
      <c r="L1871">
        <v>7196</v>
      </c>
    </row>
    <row r="1872" spans="1:12" x14ac:dyDescent="0.35">
      <c r="A1872" t="s">
        <v>8</v>
      </c>
      <c r="B1872" t="s">
        <v>9</v>
      </c>
      <c r="C1872" t="s">
        <v>52</v>
      </c>
      <c r="D1872" t="str" cm="1">
        <f t="array" ref="D1872">INDEX(_xlfn.TEXTSPLIT(C1872,"_"),3)</f>
        <v>bond-therapy</v>
      </c>
      <c r="E1872" t="str">
        <f>VLOOKUP(D1872,FranchiseMapping!$A$1:$B$15,2,FALSE)</f>
        <v>Bond Therapy</v>
      </c>
      <c r="F1872" s="1">
        <v>44927</v>
      </c>
      <c r="G1872" t="s">
        <v>11</v>
      </c>
      <c r="H1872" s="2">
        <v>45261</v>
      </c>
      <c r="I1872" s="3">
        <v>45282</v>
      </c>
      <c r="J1872" s="3">
        <f t="shared" si="29"/>
        <v>45283</v>
      </c>
      <c r="K1872" s="4">
        <v>2657.7899969999999</v>
      </c>
      <c r="L1872">
        <v>376214</v>
      </c>
    </row>
    <row r="1873" spans="1:12" x14ac:dyDescent="0.35">
      <c r="A1873" t="s">
        <v>8</v>
      </c>
      <c r="B1873" t="s">
        <v>13</v>
      </c>
      <c r="C1873" t="s">
        <v>59</v>
      </c>
      <c r="D1873" t="str" cm="1">
        <f t="array" ref="D1873">INDEX(_xlfn.TEXTSPLIT(C1873,"_"),3)</f>
        <v>scalp-sync</v>
      </c>
      <c r="E1873" t="str">
        <f>VLOOKUP(D1873,FranchiseMapping!$A$1:$B$15,2,FALSE)</f>
        <v>Scalp Sync</v>
      </c>
      <c r="F1873" s="1">
        <v>45292</v>
      </c>
      <c r="G1873" t="s">
        <v>11</v>
      </c>
      <c r="H1873" s="2">
        <v>45413</v>
      </c>
      <c r="I1873" s="3">
        <v>45421</v>
      </c>
      <c r="J1873" s="3">
        <f t="shared" si="29"/>
        <v>45423</v>
      </c>
      <c r="K1873" s="4">
        <v>3359.9452889999989</v>
      </c>
      <c r="L1873">
        <v>1472635</v>
      </c>
    </row>
    <row r="1874" spans="1:12" x14ac:dyDescent="0.35">
      <c r="A1874" t="s">
        <v>8</v>
      </c>
      <c r="B1874" t="s">
        <v>9</v>
      </c>
      <c r="C1874" t="s">
        <v>31</v>
      </c>
      <c r="D1874" t="str" cm="1">
        <f t="array" ref="D1874">INDEX(_xlfn.TEXTSPLIT(C1874,"_"),3)</f>
        <v>scalp</v>
      </c>
      <c r="E1874" t="str">
        <f>VLOOKUP(D1874,FranchiseMapping!$A$1:$B$15,2,FALSE)</f>
        <v>Scalp Sync</v>
      </c>
      <c r="F1874" s="1">
        <v>45292</v>
      </c>
      <c r="G1874" t="s">
        <v>12</v>
      </c>
      <c r="H1874" s="2">
        <v>45383</v>
      </c>
      <c r="I1874" s="3">
        <v>45390</v>
      </c>
      <c r="J1874" s="3">
        <f t="shared" si="29"/>
        <v>45395</v>
      </c>
      <c r="K1874" s="4">
        <v>1472.0900000000001</v>
      </c>
      <c r="L1874">
        <v>251389</v>
      </c>
    </row>
    <row r="1875" spans="1:12" x14ac:dyDescent="0.35">
      <c r="A1875" t="s">
        <v>8</v>
      </c>
      <c r="B1875" t="s">
        <v>9</v>
      </c>
      <c r="C1875" t="s">
        <v>54</v>
      </c>
      <c r="D1875" t="str" cm="1">
        <f t="array" ref="D1875">INDEX(_xlfn.TEXTSPLIT(C1875,"_"),3)</f>
        <v>scalp</v>
      </c>
      <c r="E1875" t="str">
        <f>VLOOKUP(D1875,FranchiseMapping!$A$1:$B$15,2,FALSE)</f>
        <v>Scalp Sync</v>
      </c>
      <c r="F1875" s="1">
        <v>45292</v>
      </c>
      <c r="G1875" t="s">
        <v>10</v>
      </c>
      <c r="H1875" s="2">
        <v>45352</v>
      </c>
      <c r="I1875" s="3">
        <v>45371</v>
      </c>
      <c r="J1875" s="3">
        <f t="shared" si="29"/>
        <v>45374</v>
      </c>
      <c r="K1875" s="4">
        <v>2222.8700030000009</v>
      </c>
      <c r="L1875">
        <v>506908</v>
      </c>
    </row>
    <row r="1876" spans="1:12" x14ac:dyDescent="0.35">
      <c r="A1876" t="s">
        <v>8</v>
      </c>
      <c r="B1876" t="s">
        <v>9</v>
      </c>
      <c r="C1876" t="s">
        <v>30</v>
      </c>
      <c r="D1876" t="str" cm="1">
        <f t="array" ref="D1876">INDEX(_xlfn.TEXTSPLIT(C1876,"_"),3)</f>
        <v>q3-haca-colorlast</v>
      </c>
      <c r="E1876" t="str">
        <f>VLOOKUP(D1876,FranchiseMapping!$A$1:$B$15,2,FALSE)</f>
        <v>Color Last</v>
      </c>
      <c r="F1876" s="1">
        <v>44927</v>
      </c>
      <c r="G1876" t="s">
        <v>10</v>
      </c>
      <c r="H1876" s="2">
        <v>45139</v>
      </c>
      <c r="I1876" s="3">
        <v>45158</v>
      </c>
      <c r="J1876" s="3">
        <f t="shared" si="29"/>
        <v>45164</v>
      </c>
      <c r="K1876" s="4">
        <v>3604.5899999999997</v>
      </c>
      <c r="L1876">
        <v>566879</v>
      </c>
    </row>
    <row r="1877" spans="1:12" x14ac:dyDescent="0.35">
      <c r="A1877" t="s">
        <v>8</v>
      </c>
      <c r="B1877" t="s">
        <v>9</v>
      </c>
      <c r="C1877" t="s">
        <v>53</v>
      </c>
      <c r="D1877" t="str" cm="1">
        <f t="array" ref="D1877">INDEX(_xlfn.TEXTSPLIT(C1877,"_"),3)</f>
        <v>bond-therapy</v>
      </c>
      <c r="E1877" t="str">
        <f>VLOOKUP(D1877,FranchiseMapping!$A$1:$B$15,2,FALSE)</f>
        <v>Bond Therapy</v>
      </c>
      <c r="F1877" s="1">
        <v>44927</v>
      </c>
      <c r="G1877" t="s">
        <v>11</v>
      </c>
      <c r="H1877" s="2">
        <v>45261</v>
      </c>
      <c r="I1877" s="3">
        <v>45269</v>
      </c>
      <c r="J1877" s="3">
        <f t="shared" si="29"/>
        <v>45269</v>
      </c>
      <c r="K1877" s="4">
        <v>1202.1100020000001</v>
      </c>
      <c r="L1877">
        <v>197837</v>
      </c>
    </row>
    <row r="1878" spans="1:12" x14ac:dyDescent="0.35">
      <c r="A1878" t="s">
        <v>8</v>
      </c>
      <c r="B1878" t="s">
        <v>9</v>
      </c>
      <c r="C1878" t="s">
        <v>55</v>
      </c>
      <c r="D1878" t="str" cm="1">
        <f t="array" ref="D1878">INDEX(_xlfn.TEXTSPLIT(C1878,"_"),3)</f>
        <v>hydrasource</v>
      </c>
      <c r="E1878" t="str">
        <f>VLOOKUP(D1878,FranchiseMapping!$A$1:$B$15,2,FALSE)</f>
        <v>Hydrasource</v>
      </c>
      <c r="F1878" s="1">
        <v>45292</v>
      </c>
      <c r="G1878" t="s">
        <v>12</v>
      </c>
      <c r="H1878" s="2">
        <v>45566</v>
      </c>
      <c r="I1878" s="3">
        <v>45579</v>
      </c>
      <c r="J1878" s="3">
        <f t="shared" si="29"/>
        <v>45584</v>
      </c>
      <c r="K1878" s="4">
        <v>3550.0000100000002</v>
      </c>
      <c r="L1878">
        <v>664839</v>
      </c>
    </row>
    <row r="1879" spans="1:12" x14ac:dyDescent="0.35">
      <c r="A1879" t="s">
        <v>8</v>
      </c>
      <c r="B1879" t="s">
        <v>13</v>
      </c>
      <c r="C1879" t="s">
        <v>39</v>
      </c>
      <c r="D1879" t="str" cm="1">
        <f t="array" ref="D1879">INDEX(_xlfn.TEXTSPLIT(C1879,"_"),3)</f>
        <v>scalp-sync</v>
      </c>
      <c r="E1879" t="str">
        <f>VLOOKUP(D1879,FranchiseMapping!$A$1:$B$15,2,FALSE)</f>
        <v>Scalp Sync</v>
      </c>
      <c r="F1879" s="1">
        <v>45292</v>
      </c>
      <c r="G1879" t="s">
        <v>12</v>
      </c>
      <c r="H1879" s="2">
        <v>45413</v>
      </c>
      <c r="I1879" s="3">
        <v>45420</v>
      </c>
      <c r="J1879" s="3">
        <f t="shared" si="29"/>
        <v>45423</v>
      </c>
      <c r="K1879" s="4">
        <v>1732.4525249999997</v>
      </c>
      <c r="L1879">
        <v>509525</v>
      </c>
    </row>
    <row r="1880" spans="1:12" x14ac:dyDescent="0.35">
      <c r="A1880" t="s">
        <v>8</v>
      </c>
      <c r="B1880" t="s">
        <v>9</v>
      </c>
      <c r="C1880" t="s">
        <v>48</v>
      </c>
      <c r="D1880" t="str" cm="1">
        <f t="array" ref="D1880">INDEX(_xlfn.TEXTSPLIT(C1880,"_"),3)</f>
        <v>scalp</v>
      </c>
      <c r="E1880" t="str">
        <f>VLOOKUP(D1880,FranchiseMapping!$A$1:$B$15,2,FALSE)</f>
        <v>Scalp Sync</v>
      </c>
      <c r="F1880" s="1">
        <v>45292</v>
      </c>
      <c r="G1880" t="s">
        <v>10</v>
      </c>
      <c r="H1880" s="2">
        <v>45352</v>
      </c>
      <c r="I1880" s="3">
        <v>45381</v>
      </c>
      <c r="J1880" s="3">
        <f t="shared" si="29"/>
        <v>45381</v>
      </c>
      <c r="K1880" s="4">
        <v>169.77999899999998</v>
      </c>
      <c r="L1880">
        <v>41108</v>
      </c>
    </row>
    <row r="1881" spans="1:12" x14ac:dyDescent="0.35">
      <c r="A1881" t="s">
        <v>8</v>
      </c>
      <c r="B1881" t="s">
        <v>13</v>
      </c>
      <c r="C1881" t="s">
        <v>51</v>
      </c>
      <c r="D1881" t="str" cm="1">
        <f t="array" ref="D1881">INDEX(_xlfn.TEXTSPLIT(C1881,"_"),3)</f>
        <v>na</v>
      </c>
      <c r="E1881" t="str">
        <f>VLOOKUP(D1881,FranchiseMapping!$A$1:$B$15,2,FALSE)</f>
        <v>Biolage</v>
      </c>
      <c r="F1881" s="1">
        <v>44927</v>
      </c>
      <c r="G1881" t="s">
        <v>11</v>
      </c>
      <c r="H1881" s="2">
        <v>45139</v>
      </c>
      <c r="I1881" s="3">
        <v>45147</v>
      </c>
      <c r="J1881" s="3">
        <f t="shared" si="29"/>
        <v>45150</v>
      </c>
      <c r="K1881" s="4">
        <v>769.43815400000005</v>
      </c>
      <c r="L1881">
        <v>382400</v>
      </c>
    </row>
    <row r="1882" spans="1:12" x14ac:dyDescent="0.35">
      <c r="A1882" t="s">
        <v>8</v>
      </c>
      <c r="B1882" t="s">
        <v>13</v>
      </c>
      <c r="C1882" t="s">
        <v>28</v>
      </c>
      <c r="D1882" t="str" cm="1">
        <f t="array" ref="D1882">INDEX(_xlfn.TEXTSPLIT(C1882,"_"),3)</f>
        <v>na</v>
      </c>
      <c r="E1882" t="str">
        <f>VLOOKUP(D1882,FranchiseMapping!$A$1:$B$15,2,FALSE)</f>
        <v>Biolage</v>
      </c>
      <c r="F1882" s="1">
        <v>44927</v>
      </c>
      <c r="G1882" t="s">
        <v>10</v>
      </c>
      <c r="H1882" s="2">
        <v>45139</v>
      </c>
      <c r="I1882" s="3">
        <v>45144</v>
      </c>
      <c r="J1882" s="3">
        <f t="shared" si="29"/>
        <v>45150</v>
      </c>
      <c r="K1882" s="4">
        <v>1175.852897</v>
      </c>
      <c r="L1882">
        <v>135087</v>
      </c>
    </row>
    <row r="1883" spans="1:12" x14ac:dyDescent="0.35">
      <c r="A1883" t="s">
        <v>8</v>
      </c>
      <c r="B1883" t="s">
        <v>14</v>
      </c>
      <c r="C1883" t="s">
        <v>37</v>
      </c>
      <c r="D1883" t="str" cm="1">
        <f t="array" ref="D1883">INDEX(_xlfn.TEXTSPLIT(C1883,"_"),3)</f>
        <v>mult</v>
      </c>
      <c r="E1883" t="str">
        <f>VLOOKUP(D1883,FranchiseMapping!$A$1:$B$15,2,FALSE)</f>
        <v>Biolage</v>
      </c>
      <c r="F1883" s="1">
        <v>45658</v>
      </c>
      <c r="G1883" t="s">
        <v>10</v>
      </c>
      <c r="H1883" s="2">
        <v>45748</v>
      </c>
      <c r="I1883" s="3">
        <v>45772</v>
      </c>
      <c r="J1883" s="3">
        <f t="shared" si="29"/>
        <v>45773</v>
      </c>
      <c r="K1883" s="4">
        <v>1537.55</v>
      </c>
      <c r="L1883">
        <v>383602</v>
      </c>
    </row>
    <row r="1884" spans="1:12" x14ac:dyDescent="0.35">
      <c r="A1884" t="s">
        <v>8</v>
      </c>
      <c r="B1884" t="s">
        <v>9</v>
      </c>
      <c r="C1884" t="s">
        <v>36</v>
      </c>
      <c r="D1884" t="str" cm="1">
        <f t="array" ref="D1884">INDEX(_xlfn.TEXTSPLIT(C1884,"_"),3)</f>
        <v>bfr</v>
      </c>
      <c r="E1884" t="str">
        <f>VLOOKUP(D1884,FranchiseMapping!$A$1:$B$15,2,FALSE)</f>
        <v>Full Rescue</v>
      </c>
      <c r="F1884" s="1">
        <v>45658</v>
      </c>
      <c r="G1884" t="s">
        <v>10</v>
      </c>
      <c r="H1884" s="2">
        <v>45778</v>
      </c>
      <c r="I1884" s="3">
        <v>45803</v>
      </c>
      <c r="J1884" s="3">
        <f t="shared" si="29"/>
        <v>45808</v>
      </c>
      <c r="K1884" s="4">
        <v>24.09</v>
      </c>
      <c r="L1884">
        <v>969</v>
      </c>
    </row>
    <row r="1885" spans="1:12" x14ac:dyDescent="0.35">
      <c r="A1885" t="s">
        <v>8</v>
      </c>
      <c r="B1885" t="s">
        <v>14</v>
      </c>
      <c r="C1885" t="s">
        <v>29</v>
      </c>
      <c r="D1885" t="str" cm="1">
        <f t="array" ref="D1885">INDEX(_xlfn.TEXTSPLIT(C1885,"_"),3)</f>
        <v>bfr</v>
      </c>
      <c r="E1885" t="str">
        <f>VLOOKUP(D1885,FranchiseMapping!$A$1:$B$15,2,FALSE)</f>
        <v>Full Rescue</v>
      </c>
      <c r="F1885" s="1">
        <v>45658</v>
      </c>
      <c r="G1885" t="s">
        <v>10</v>
      </c>
      <c r="H1885" s="2">
        <v>45809</v>
      </c>
      <c r="I1885" s="3">
        <v>45811</v>
      </c>
      <c r="J1885" s="3">
        <f t="shared" si="29"/>
        <v>45815</v>
      </c>
      <c r="K1885" s="4">
        <v>1734.95</v>
      </c>
      <c r="L1885">
        <v>264562</v>
      </c>
    </row>
    <row r="1886" spans="1:12" x14ac:dyDescent="0.35">
      <c r="A1886" t="s">
        <v>8</v>
      </c>
      <c r="B1886" t="s">
        <v>14</v>
      </c>
      <c r="C1886" t="s">
        <v>43</v>
      </c>
      <c r="D1886" t="str" cm="1">
        <f t="array" ref="D1886">INDEX(_xlfn.TEXTSPLIT(C1886,"_"),3)</f>
        <v>bfr</v>
      </c>
      <c r="E1886" t="str">
        <f>VLOOKUP(D1886,FranchiseMapping!$A$1:$B$15,2,FALSE)</f>
        <v>Full Rescue</v>
      </c>
      <c r="F1886" s="1">
        <v>45658</v>
      </c>
      <c r="G1886" t="s">
        <v>10</v>
      </c>
      <c r="H1886" s="2">
        <v>45809</v>
      </c>
      <c r="I1886" s="3">
        <v>45814</v>
      </c>
      <c r="J1886" s="3">
        <f t="shared" si="29"/>
        <v>45815</v>
      </c>
      <c r="K1886" s="4">
        <v>738.05</v>
      </c>
      <c r="L1886">
        <v>145761</v>
      </c>
    </row>
    <row r="1887" spans="1:12" x14ac:dyDescent="0.35">
      <c r="A1887" t="s">
        <v>8</v>
      </c>
      <c r="B1887" t="s">
        <v>9</v>
      </c>
      <c r="C1887" t="s">
        <v>68</v>
      </c>
      <c r="D1887" t="str" cm="1">
        <f t="array" ref="D1887">INDEX(_xlfn.TEXTSPLIT(C1887,"_"),3)</f>
        <v>na</v>
      </c>
      <c r="E1887" t="str">
        <f>VLOOKUP(D1887,FranchiseMapping!$A$1:$B$15,2,FALSE)</f>
        <v>Biolage</v>
      </c>
      <c r="F1887" s="1">
        <v>44927</v>
      </c>
      <c r="G1887" t="s">
        <v>11</v>
      </c>
      <c r="H1887" s="2">
        <v>45231</v>
      </c>
      <c r="I1887" s="3">
        <v>45233</v>
      </c>
      <c r="J1887" s="3">
        <f t="shared" si="29"/>
        <v>45234</v>
      </c>
      <c r="K1887" s="4">
        <v>340.9800029999999</v>
      </c>
      <c r="L1887">
        <v>38739</v>
      </c>
    </row>
    <row r="1888" spans="1:12" x14ac:dyDescent="0.35">
      <c r="A1888" t="s">
        <v>8</v>
      </c>
      <c r="B1888" t="s">
        <v>14</v>
      </c>
      <c r="C1888" t="s">
        <v>43</v>
      </c>
      <c r="D1888" t="str" cm="1">
        <f t="array" ref="D1888">INDEX(_xlfn.TEXTSPLIT(C1888,"_"),3)</f>
        <v>bfr</v>
      </c>
      <c r="E1888" t="str">
        <f>VLOOKUP(D1888,FranchiseMapping!$A$1:$B$15,2,FALSE)</f>
        <v>Full Rescue</v>
      </c>
      <c r="F1888" s="1">
        <v>45658</v>
      </c>
      <c r="G1888" t="s">
        <v>10</v>
      </c>
      <c r="H1888" s="2">
        <v>45809</v>
      </c>
      <c r="I1888" s="3">
        <v>45823</v>
      </c>
      <c r="J1888" s="3">
        <f t="shared" si="29"/>
        <v>45829</v>
      </c>
      <c r="K1888" s="4">
        <v>670.1</v>
      </c>
      <c r="L1888">
        <v>139721</v>
      </c>
    </row>
    <row r="1889" spans="1:12" x14ac:dyDescent="0.35">
      <c r="A1889" t="s">
        <v>8</v>
      </c>
      <c r="B1889" t="s">
        <v>13</v>
      </c>
      <c r="C1889" t="s">
        <v>42</v>
      </c>
      <c r="D1889" t="str" cm="1">
        <f t="array" ref="D1889">INDEX(_xlfn.TEXTSPLIT(C1889,"_"),3)</f>
        <v>bfr</v>
      </c>
      <c r="E1889" t="str">
        <f>VLOOKUP(D1889,FranchiseMapping!$A$1:$B$15,2,FALSE)</f>
        <v>Full Rescue</v>
      </c>
      <c r="F1889" s="1">
        <v>45658</v>
      </c>
      <c r="G1889" t="s">
        <v>10</v>
      </c>
      <c r="H1889" s="2">
        <v>45809</v>
      </c>
      <c r="I1889" s="3">
        <v>45823</v>
      </c>
      <c r="J1889" s="3">
        <f t="shared" si="29"/>
        <v>45829</v>
      </c>
      <c r="K1889" s="4">
        <v>353.02917200000002</v>
      </c>
      <c r="L1889">
        <v>161318</v>
      </c>
    </row>
    <row r="1890" spans="1:12" x14ac:dyDescent="0.35">
      <c r="A1890" t="s">
        <v>8</v>
      </c>
      <c r="B1890" t="s">
        <v>9</v>
      </c>
      <c r="C1890" t="s">
        <v>53</v>
      </c>
      <c r="D1890" t="str" cm="1">
        <f t="array" ref="D1890">INDEX(_xlfn.TEXTSPLIT(C1890,"_"),3)</f>
        <v>bond-therapy</v>
      </c>
      <c r="E1890" t="str">
        <f>VLOOKUP(D1890,FranchiseMapping!$A$1:$B$15,2,FALSE)</f>
        <v>Bond Therapy</v>
      </c>
      <c r="F1890" s="1">
        <v>44927</v>
      </c>
      <c r="G1890" t="s">
        <v>11</v>
      </c>
      <c r="H1890" s="2">
        <v>45231</v>
      </c>
      <c r="I1890" s="3">
        <v>45255</v>
      </c>
      <c r="J1890" s="3">
        <f t="shared" si="29"/>
        <v>45255</v>
      </c>
      <c r="K1890" s="4">
        <v>1271.4100000000003</v>
      </c>
      <c r="L1890">
        <v>209097</v>
      </c>
    </row>
    <row r="1891" spans="1:12" x14ac:dyDescent="0.35">
      <c r="A1891" t="s">
        <v>8</v>
      </c>
      <c r="B1891" t="s">
        <v>9</v>
      </c>
      <c r="C1891" t="s">
        <v>38</v>
      </c>
      <c r="D1891" t="str" cm="1">
        <f t="array" ref="D1891">INDEX(_xlfn.TEXTSPLIT(C1891,"_"),3)</f>
        <v>hys</v>
      </c>
      <c r="E1891" t="str">
        <f>VLOOKUP(D1891,FranchiseMapping!$A$1:$B$15,2,FALSE)</f>
        <v>Hydrasource</v>
      </c>
      <c r="F1891" s="1">
        <v>45658</v>
      </c>
      <c r="G1891" t="s">
        <v>10</v>
      </c>
      <c r="H1891" s="2">
        <v>45748</v>
      </c>
      <c r="I1891" s="3">
        <v>45765</v>
      </c>
      <c r="J1891" s="3">
        <f t="shared" si="29"/>
        <v>45766</v>
      </c>
      <c r="K1891" s="4">
        <v>325.40999999999991</v>
      </c>
      <c r="L1891">
        <v>12536</v>
      </c>
    </row>
    <row r="1892" spans="1:12" x14ac:dyDescent="0.35">
      <c r="A1892" t="s">
        <v>8</v>
      </c>
      <c r="B1892" t="s">
        <v>9</v>
      </c>
      <c r="C1892" t="s">
        <v>34</v>
      </c>
      <c r="D1892" t="str" cm="1">
        <f t="array" ref="D1892">INDEX(_xlfn.TEXTSPLIT(C1892,"_"),3)</f>
        <v>hydrasource</v>
      </c>
      <c r="E1892" t="str">
        <f>VLOOKUP(D1892,FranchiseMapping!$A$1:$B$15,2,FALSE)</f>
        <v>Hydrasource</v>
      </c>
      <c r="F1892" s="1">
        <v>45292</v>
      </c>
      <c r="G1892" t="s">
        <v>12</v>
      </c>
      <c r="H1892" s="2">
        <v>45323</v>
      </c>
      <c r="I1892" s="3">
        <v>45334</v>
      </c>
      <c r="J1892" s="3">
        <f t="shared" si="29"/>
        <v>45339</v>
      </c>
      <c r="K1892" s="4">
        <v>895.51999899999987</v>
      </c>
      <c r="L1892">
        <v>204557</v>
      </c>
    </row>
    <row r="1893" spans="1:12" x14ac:dyDescent="0.35">
      <c r="A1893" t="s">
        <v>8</v>
      </c>
      <c r="B1893" t="s">
        <v>9</v>
      </c>
      <c r="C1893" t="s">
        <v>48</v>
      </c>
      <c r="D1893" t="str" cm="1">
        <f t="array" ref="D1893">INDEX(_xlfn.TEXTSPLIT(C1893,"_"),3)</f>
        <v>scalp</v>
      </c>
      <c r="E1893" t="str">
        <f>VLOOKUP(D1893,FranchiseMapping!$A$1:$B$15,2,FALSE)</f>
        <v>Scalp Sync</v>
      </c>
      <c r="F1893" s="1">
        <v>45292</v>
      </c>
      <c r="G1893" t="s">
        <v>10</v>
      </c>
      <c r="H1893" s="2">
        <v>45352</v>
      </c>
      <c r="I1893" s="3">
        <v>45368</v>
      </c>
      <c r="J1893" s="3">
        <f t="shared" si="29"/>
        <v>45374</v>
      </c>
      <c r="K1893" s="4">
        <v>1058.3099989999998</v>
      </c>
      <c r="L1893">
        <v>263212</v>
      </c>
    </row>
    <row r="1894" spans="1:12" x14ac:dyDescent="0.35">
      <c r="A1894" t="s">
        <v>8</v>
      </c>
      <c r="B1894" t="s">
        <v>9</v>
      </c>
      <c r="C1894" t="s">
        <v>48</v>
      </c>
      <c r="D1894" t="str" cm="1">
        <f t="array" ref="D1894">INDEX(_xlfn.TEXTSPLIT(C1894,"_"),3)</f>
        <v>scalp</v>
      </c>
      <c r="E1894" t="str">
        <f>VLOOKUP(D1894,FranchiseMapping!$A$1:$B$15,2,FALSE)</f>
        <v>Scalp Sync</v>
      </c>
      <c r="F1894" s="1">
        <v>45292</v>
      </c>
      <c r="G1894" t="s">
        <v>10</v>
      </c>
      <c r="H1894" s="2">
        <v>45352</v>
      </c>
      <c r="I1894" s="3">
        <v>45382</v>
      </c>
      <c r="J1894" s="3">
        <f t="shared" si="29"/>
        <v>45388</v>
      </c>
      <c r="K1894" s="4">
        <v>225.44000199999999</v>
      </c>
      <c r="L1894">
        <v>60132</v>
      </c>
    </row>
    <row r="1895" spans="1:12" x14ac:dyDescent="0.35">
      <c r="A1895" t="s">
        <v>8</v>
      </c>
      <c r="B1895" t="s">
        <v>9</v>
      </c>
      <c r="C1895" t="s">
        <v>46</v>
      </c>
      <c r="D1895" t="str" cm="1">
        <f t="array" ref="D1895">INDEX(_xlfn.TEXTSPLIT(C1895,"_"),3)</f>
        <v>mult</v>
      </c>
      <c r="E1895" t="str">
        <f>VLOOKUP(D1895,FranchiseMapping!$A$1:$B$15,2,FALSE)</f>
        <v>Biolage</v>
      </c>
      <c r="F1895" s="1">
        <v>45658</v>
      </c>
      <c r="G1895" t="s">
        <v>10</v>
      </c>
      <c r="H1895" s="2">
        <v>45748</v>
      </c>
      <c r="I1895" s="3">
        <v>45774</v>
      </c>
      <c r="J1895" s="3">
        <f t="shared" si="29"/>
        <v>45780</v>
      </c>
      <c r="K1895" s="4">
        <v>876.35000000000014</v>
      </c>
      <c r="L1895">
        <v>176960</v>
      </c>
    </row>
  </sheetData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97049-541B-492B-A9B6-9B8F83BA3D13}">
  <dimension ref="A1:B22"/>
  <sheetViews>
    <sheetView workbookViewId="0">
      <selection activeCell="B13" sqref="B13:B21"/>
    </sheetView>
  </sheetViews>
  <sheetFormatPr defaultRowHeight="14.5" x14ac:dyDescent="0.35"/>
  <cols>
    <col min="1" max="1" width="12.90625" bestFit="1" customWidth="1"/>
    <col min="2" max="2" width="16.1796875" bestFit="1" customWidth="1"/>
    <col min="3" max="4" width="11.81640625" bestFit="1" customWidth="1"/>
  </cols>
  <sheetData>
    <row r="1" spans="1:2" x14ac:dyDescent="0.35">
      <c r="A1" s="5" t="s">
        <v>1</v>
      </c>
      <c r="B1" t="s">
        <v>84</v>
      </c>
    </row>
    <row r="2" spans="1:2" x14ac:dyDescent="0.35">
      <c r="A2" s="5" t="s">
        <v>79</v>
      </c>
      <c r="B2" t="s">
        <v>97</v>
      </c>
    </row>
    <row r="4" spans="1:2" x14ac:dyDescent="0.35">
      <c r="A4" s="5" t="s">
        <v>111</v>
      </c>
      <c r="B4" t="s">
        <v>6</v>
      </c>
    </row>
    <row r="5" spans="1:2" x14ac:dyDescent="0.35">
      <c r="A5" s="17">
        <v>45458</v>
      </c>
      <c r="B5" s="18">
        <v>273.60270000000003</v>
      </c>
    </row>
    <row r="6" spans="1:2" x14ac:dyDescent="0.35">
      <c r="A6" s="17">
        <v>45465</v>
      </c>
      <c r="B6" s="18">
        <v>1784.9059999999999</v>
      </c>
    </row>
    <row r="7" spans="1:2" x14ac:dyDescent="0.35">
      <c r="A7" s="17">
        <v>45472</v>
      </c>
      <c r="B7" s="18">
        <v>1749.7381</v>
      </c>
    </row>
    <row r="8" spans="1:2" x14ac:dyDescent="0.35">
      <c r="A8" s="17">
        <v>45479</v>
      </c>
      <c r="B8" s="18">
        <v>1723.3786000000002</v>
      </c>
    </row>
    <row r="9" spans="1:2" x14ac:dyDescent="0.35">
      <c r="A9" s="17">
        <v>45486</v>
      </c>
      <c r="B9" s="18">
        <v>1774.6779000000001</v>
      </c>
    </row>
    <row r="10" spans="1:2" x14ac:dyDescent="0.35">
      <c r="A10" s="17">
        <v>45493</v>
      </c>
      <c r="B10" s="18">
        <v>1821.8292000000001</v>
      </c>
    </row>
    <row r="11" spans="1:2" x14ac:dyDescent="0.35">
      <c r="A11" s="17">
        <v>45500</v>
      </c>
      <c r="B11" s="18">
        <v>1789.8894</v>
      </c>
    </row>
    <row r="12" spans="1:2" x14ac:dyDescent="0.35">
      <c r="A12" s="17">
        <v>45507</v>
      </c>
      <c r="B12" s="18">
        <v>688.82029999999997</v>
      </c>
    </row>
    <row r="13" spans="1:2" x14ac:dyDescent="0.35">
      <c r="A13" s="17">
        <v>45780</v>
      </c>
      <c r="B13" s="18">
        <v>8507.5246000000006</v>
      </c>
    </row>
    <row r="14" spans="1:2" x14ac:dyDescent="0.35">
      <c r="A14" s="17">
        <v>45787</v>
      </c>
      <c r="B14" s="18">
        <v>22785.651300000005</v>
      </c>
    </row>
    <row r="15" spans="1:2" x14ac:dyDescent="0.35">
      <c r="A15" s="17">
        <v>45794</v>
      </c>
      <c r="B15" s="18">
        <v>24157.396700000001</v>
      </c>
    </row>
    <row r="16" spans="1:2" x14ac:dyDescent="0.35">
      <c r="A16" s="17">
        <v>45801</v>
      </c>
      <c r="B16" s="18">
        <v>24013.282599999995</v>
      </c>
    </row>
    <row r="17" spans="1:2" x14ac:dyDescent="0.35">
      <c r="A17" s="17">
        <v>45808</v>
      </c>
      <c r="B17" s="18">
        <v>44444.99629999997</v>
      </c>
    </row>
    <row r="18" spans="1:2" x14ac:dyDescent="0.35">
      <c r="A18" s="17">
        <v>45815</v>
      </c>
      <c r="B18" s="18">
        <v>41723.29730000002</v>
      </c>
    </row>
    <row r="19" spans="1:2" x14ac:dyDescent="0.35">
      <c r="A19" s="17">
        <v>45822</v>
      </c>
      <c r="B19" s="18">
        <v>32770.593000000023</v>
      </c>
    </row>
    <row r="20" spans="1:2" x14ac:dyDescent="0.35">
      <c r="A20" s="17">
        <v>45829</v>
      </c>
      <c r="B20" s="18">
        <v>25464.323799999987</v>
      </c>
    </row>
    <row r="21" spans="1:2" x14ac:dyDescent="0.35">
      <c r="A21" s="17">
        <v>45836</v>
      </c>
      <c r="B21" s="18">
        <v>18826.381600000001</v>
      </c>
    </row>
    <row r="22" spans="1:2" x14ac:dyDescent="0.35">
      <c r="A22" s="17" t="s">
        <v>112</v>
      </c>
      <c r="B22" s="18">
        <v>254300.28939999998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EDA5-FE63-41AA-9E2A-C0EC425C55DE}">
  <dimension ref="A1:L2418"/>
  <sheetViews>
    <sheetView tabSelected="1" workbookViewId="0">
      <selection activeCell="J2430" sqref="J2430"/>
    </sheetView>
  </sheetViews>
  <sheetFormatPr defaultRowHeight="14.5" x14ac:dyDescent="0.35"/>
  <cols>
    <col min="1" max="1" width="14" customWidth="1"/>
    <col min="2" max="2" width="18.26953125" customWidth="1"/>
    <col min="3" max="3" width="11.453125" customWidth="1"/>
    <col min="4" max="4" width="14.1796875" customWidth="1"/>
    <col min="5" max="5" width="17.81640625" customWidth="1"/>
    <col min="6" max="7" width="13.453125" bestFit="1" customWidth="1"/>
    <col min="8" max="8" width="8.54296875" bestFit="1" customWidth="1"/>
    <col min="9" max="9" width="15.26953125" customWidth="1"/>
    <col min="10" max="10" width="18.1796875" customWidth="1"/>
    <col min="11" max="11" width="14.81640625" bestFit="1" customWidth="1"/>
    <col min="12" max="12" width="13.453125" style="16" bestFit="1" customWidth="1"/>
    <col min="16" max="16" width="13.453125" bestFit="1" customWidth="1"/>
    <col min="17" max="17" width="17" bestFit="1" customWidth="1"/>
  </cols>
  <sheetData>
    <row r="1" spans="1:12" x14ac:dyDescent="0.35">
      <c r="A1" t="s">
        <v>0</v>
      </c>
      <c r="B1" t="s">
        <v>1</v>
      </c>
      <c r="C1" t="s">
        <v>79</v>
      </c>
      <c r="D1" t="s">
        <v>80</v>
      </c>
      <c r="E1" t="s">
        <v>3</v>
      </c>
      <c r="F1" t="s">
        <v>81</v>
      </c>
      <c r="G1" t="s">
        <v>5</v>
      </c>
      <c r="H1" t="s">
        <v>26</v>
      </c>
      <c r="I1" t="s">
        <v>27</v>
      </c>
      <c r="J1" t="s">
        <v>82</v>
      </c>
      <c r="K1" t="s">
        <v>83</v>
      </c>
      <c r="L1" s="16" t="s">
        <v>132</v>
      </c>
    </row>
    <row r="2" spans="1:12" x14ac:dyDescent="0.35">
      <c r="A2" t="s">
        <v>8</v>
      </c>
      <c r="B2" t="s">
        <v>84</v>
      </c>
      <c r="C2" t="s">
        <v>85</v>
      </c>
      <c r="D2" t="s">
        <v>13</v>
      </c>
      <c r="E2" t="s">
        <v>10</v>
      </c>
      <c r="F2" s="7">
        <v>45108</v>
      </c>
      <c r="G2" s="1">
        <v>44927</v>
      </c>
      <c r="H2" s="14">
        <v>33.569313000000001</v>
      </c>
      <c r="I2">
        <v>12647</v>
      </c>
      <c r="J2" t="s">
        <v>89</v>
      </c>
      <c r="K2" t="s">
        <v>90</v>
      </c>
      <c r="L2" s="16" t="s">
        <v>13</v>
      </c>
    </row>
    <row r="3" spans="1:12" x14ac:dyDescent="0.35">
      <c r="A3" t="s">
        <v>8</v>
      </c>
      <c r="B3" t="s">
        <v>84</v>
      </c>
      <c r="C3" t="s">
        <v>85</v>
      </c>
      <c r="D3" t="s">
        <v>13</v>
      </c>
      <c r="E3" t="s">
        <v>11</v>
      </c>
      <c r="F3" s="7">
        <v>45108</v>
      </c>
      <c r="G3" s="1">
        <v>44927</v>
      </c>
      <c r="H3" s="14">
        <v>673.32786600000009</v>
      </c>
      <c r="I3">
        <v>319241</v>
      </c>
      <c r="J3" t="s">
        <v>89</v>
      </c>
      <c r="K3" t="s">
        <v>90</v>
      </c>
      <c r="L3" s="16" t="s">
        <v>13</v>
      </c>
    </row>
    <row r="4" spans="1:12" x14ac:dyDescent="0.35">
      <c r="A4" t="s">
        <v>8</v>
      </c>
      <c r="B4" t="s">
        <v>84</v>
      </c>
      <c r="C4" t="s">
        <v>85</v>
      </c>
      <c r="D4" t="s">
        <v>13</v>
      </c>
      <c r="E4" t="s">
        <v>12</v>
      </c>
      <c r="F4" s="7">
        <v>45108</v>
      </c>
      <c r="G4" s="1">
        <v>44927</v>
      </c>
      <c r="H4" s="14">
        <v>1431.8508470000002</v>
      </c>
      <c r="I4">
        <v>145797</v>
      </c>
      <c r="J4" t="s">
        <v>89</v>
      </c>
      <c r="K4" t="s">
        <v>90</v>
      </c>
      <c r="L4" s="16" t="s">
        <v>12</v>
      </c>
    </row>
    <row r="5" spans="1:12" x14ac:dyDescent="0.35">
      <c r="A5" t="s">
        <v>8</v>
      </c>
      <c r="B5" t="s">
        <v>92</v>
      </c>
      <c r="C5" t="s">
        <v>93</v>
      </c>
      <c r="D5" t="s">
        <v>10</v>
      </c>
      <c r="E5" t="s">
        <v>10</v>
      </c>
      <c r="F5" s="7">
        <v>45108</v>
      </c>
      <c r="G5" s="1">
        <v>44927</v>
      </c>
      <c r="H5" s="14">
        <v>954.95109999999988</v>
      </c>
      <c r="I5">
        <v>106664</v>
      </c>
      <c r="J5" t="s">
        <v>89</v>
      </c>
      <c r="K5" t="s">
        <v>94</v>
      </c>
      <c r="L5" s="16" t="s">
        <v>10</v>
      </c>
    </row>
    <row r="6" spans="1:12" x14ac:dyDescent="0.35">
      <c r="A6" t="s">
        <v>8</v>
      </c>
      <c r="B6" t="s">
        <v>92</v>
      </c>
      <c r="C6" t="s">
        <v>95</v>
      </c>
      <c r="D6" t="s">
        <v>10</v>
      </c>
      <c r="E6" t="s">
        <v>10</v>
      </c>
      <c r="F6" s="7">
        <v>45108</v>
      </c>
      <c r="G6" s="1">
        <v>44927</v>
      </c>
      <c r="H6" s="14">
        <v>2859.39</v>
      </c>
      <c r="I6">
        <v>356095</v>
      </c>
      <c r="J6" t="s">
        <v>89</v>
      </c>
      <c r="K6" t="s">
        <v>96</v>
      </c>
      <c r="L6" s="16" t="s">
        <v>10</v>
      </c>
    </row>
    <row r="7" spans="1:12" x14ac:dyDescent="0.35">
      <c r="A7" t="s">
        <v>8</v>
      </c>
      <c r="B7" t="s">
        <v>84</v>
      </c>
      <c r="C7" t="s">
        <v>93</v>
      </c>
      <c r="D7" t="s">
        <v>10</v>
      </c>
      <c r="E7" t="s">
        <v>10</v>
      </c>
      <c r="F7" s="7">
        <v>45108</v>
      </c>
      <c r="G7" s="1">
        <v>44927</v>
      </c>
      <c r="H7" s="14">
        <v>6081.0295999999998</v>
      </c>
      <c r="I7">
        <v>950878</v>
      </c>
      <c r="J7" t="s">
        <v>89</v>
      </c>
      <c r="K7" t="s">
        <v>94</v>
      </c>
      <c r="L7" s="16" t="s">
        <v>10</v>
      </c>
    </row>
    <row r="8" spans="1:12" x14ac:dyDescent="0.35">
      <c r="A8" t="s">
        <v>8</v>
      </c>
      <c r="B8" t="s">
        <v>84</v>
      </c>
      <c r="C8" t="s">
        <v>95</v>
      </c>
      <c r="D8" t="s">
        <v>10</v>
      </c>
      <c r="E8" t="s">
        <v>10</v>
      </c>
      <c r="F8" s="7">
        <v>45108</v>
      </c>
      <c r="G8" s="1">
        <v>44927</v>
      </c>
      <c r="H8" s="14">
        <v>2394.65</v>
      </c>
      <c r="I8">
        <v>231909</v>
      </c>
      <c r="J8" t="s">
        <v>89</v>
      </c>
      <c r="K8" t="s">
        <v>96</v>
      </c>
      <c r="L8" s="16" t="s">
        <v>10</v>
      </c>
    </row>
    <row r="9" spans="1:12" x14ac:dyDescent="0.35">
      <c r="A9" t="s">
        <v>8</v>
      </c>
      <c r="B9" t="s">
        <v>17</v>
      </c>
      <c r="C9" t="s">
        <v>93</v>
      </c>
      <c r="D9" t="s">
        <v>10</v>
      </c>
      <c r="E9" t="s">
        <v>10</v>
      </c>
      <c r="F9" s="7">
        <v>45108</v>
      </c>
      <c r="G9" s="1">
        <v>44927</v>
      </c>
      <c r="H9" s="14">
        <v>838.63439999999991</v>
      </c>
      <c r="I9">
        <v>113183</v>
      </c>
      <c r="J9" t="s">
        <v>89</v>
      </c>
      <c r="K9" t="s">
        <v>94</v>
      </c>
      <c r="L9" s="16" t="s">
        <v>10</v>
      </c>
    </row>
    <row r="10" spans="1:12" x14ac:dyDescent="0.35">
      <c r="A10" t="s">
        <v>8</v>
      </c>
      <c r="B10" t="s">
        <v>17</v>
      </c>
      <c r="C10" t="s">
        <v>95</v>
      </c>
      <c r="D10" t="s">
        <v>10</v>
      </c>
      <c r="E10" t="s">
        <v>10</v>
      </c>
      <c r="F10" s="7">
        <v>45108</v>
      </c>
      <c r="G10" s="1">
        <v>44927</v>
      </c>
      <c r="H10" s="14">
        <v>3155.5600000000004</v>
      </c>
      <c r="I10">
        <v>401729</v>
      </c>
      <c r="J10" t="s">
        <v>89</v>
      </c>
      <c r="K10" t="s">
        <v>96</v>
      </c>
      <c r="L10" s="16" t="s">
        <v>10</v>
      </c>
    </row>
    <row r="11" spans="1:12" x14ac:dyDescent="0.35">
      <c r="A11" t="s">
        <v>8</v>
      </c>
      <c r="B11" t="s">
        <v>99</v>
      </c>
      <c r="C11" t="s">
        <v>93</v>
      </c>
      <c r="D11" t="s">
        <v>10</v>
      </c>
      <c r="E11" t="s">
        <v>10</v>
      </c>
      <c r="F11" s="7">
        <v>45108</v>
      </c>
      <c r="G11" s="1">
        <v>44927</v>
      </c>
      <c r="H11" s="14">
        <v>740.48889999999994</v>
      </c>
      <c r="I11">
        <v>87514</v>
      </c>
      <c r="J11" t="s">
        <v>89</v>
      </c>
      <c r="K11" t="s">
        <v>94</v>
      </c>
      <c r="L11" s="16" t="s">
        <v>10</v>
      </c>
    </row>
    <row r="12" spans="1:12" x14ac:dyDescent="0.35">
      <c r="A12" t="s">
        <v>8</v>
      </c>
      <c r="B12" t="s">
        <v>99</v>
      </c>
      <c r="C12" t="s">
        <v>95</v>
      </c>
      <c r="D12" t="s">
        <v>10</v>
      </c>
      <c r="E12" t="s">
        <v>10</v>
      </c>
      <c r="F12" s="7">
        <v>45108</v>
      </c>
      <c r="G12" s="1">
        <v>44927</v>
      </c>
      <c r="H12" s="14">
        <v>1117.17</v>
      </c>
      <c r="I12">
        <v>142010</v>
      </c>
      <c r="J12" t="s">
        <v>89</v>
      </c>
      <c r="K12" t="s">
        <v>96</v>
      </c>
      <c r="L12" s="16" t="s">
        <v>10</v>
      </c>
    </row>
    <row r="13" spans="1:12" x14ac:dyDescent="0.35">
      <c r="A13" t="s">
        <v>8</v>
      </c>
      <c r="B13" t="s">
        <v>100</v>
      </c>
      <c r="C13" t="s">
        <v>93</v>
      </c>
      <c r="D13" t="s">
        <v>10</v>
      </c>
      <c r="E13" t="s">
        <v>10</v>
      </c>
      <c r="F13" s="7">
        <v>45108</v>
      </c>
      <c r="G13" s="1">
        <v>44927</v>
      </c>
      <c r="H13" s="14">
        <v>709.24260000000004</v>
      </c>
      <c r="I13">
        <v>102065</v>
      </c>
      <c r="J13" t="s">
        <v>89</v>
      </c>
      <c r="K13" t="s">
        <v>94</v>
      </c>
      <c r="L13" s="16" t="s">
        <v>10</v>
      </c>
    </row>
    <row r="14" spans="1:12" x14ac:dyDescent="0.35">
      <c r="A14" t="s">
        <v>8</v>
      </c>
      <c r="B14" t="s">
        <v>100</v>
      </c>
      <c r="C14" t="s">
        <v>95</v>
      </c>
      <c r="D14" t="s">
        <v>10</v>
      </c>
      <c r="E14" t="s">
        <v>10</v>
      </c>
      <c r="F14" s="7">
        <v>45108</v>
      </c>
      <c r="G14" s="1">
        <v>44927</v>
      </c>
      <c r="H14" s="14">
        <v>503.13</v>
      </c>
      <c r="I14">
        <v>89476</v>
      </c>
      <c r="J14" t="s">
        <v>89</v>
      </c>
      <c r="K14" t="s">
        <v>96</v>
      </c>
      <c r="L14" s="16" t="s">
        <v>10</v>
      </c>
    </row>
    <row r="15" spans="1:12" x14ac:dyDescent="0.35">
      <c r="A15" t="s">
        <v>8</v>
      </c>
      <c r="B15" t="s">
        <v>21</v>
      </c>
      <c r="C15" t="s">
        <v>95</v>
      </c>
      <c r="D15" t="s">
        <v>10</v>
      </c>
      <c r="E15" t="s">
        <v>10</v>
      </c>
      <c r="F15" s="7">
        <v>45108</v>
      </c>
      <c r="G15" s="1">
        <v>44927</v>
      </c>
      <c r="H15" s="14">
        <v>269.72000000000003</v>
      </c>
      <c r="I15">
        <v>41339</v>
      </c>
      <c r="J15" t="s">
        <v>89</v>
      </c>
      <c r="K15" t="s">
        <v>96</v>
      </c>
      <c r="L15" s="16" t="s">
        <v>10</v>
      </c>
    </row>
    <row r="16" spans="1:12" x14ac:dyDescent="0.35">
      <c r="A16" t="s">
        <v>8</v>
      </c>
      <c r="B16" t="s">
        <v>84</v>
      </c>
      <c r="C16" t="s">
        <v>95</v>
      </c>
      <c r="D16" t="s">
        <v>104</v>
      </c>
      <c r="E16" t="s">
        <v>8</v>
      </c>
      <c r="F16" s="7">
        <v>45108</v>
      </c>
      <c r="G16" s="1">
        <v>44927</v>
      </c>
      <c r="H16" s="14">
        <v>1767.83</v>
      </c>
      <c r="I16">
        <v>6136</v>
      </c>
      <c r="J16" t="s">
        <v>89</v>
      </c>
      <c r="K16" t="s">
        <v>105</v>
      </c>
      <c r="L16" s="16" t="s">
        <v>95</v>
      </c>
    </row>
    <row r="17" spans="1:12" x14ac:dyDescent="0.35">
      <c r="A17" t="s">
        <v>8</v>
      </c>
      <c r="B17" t="s">
        <v>84</v>
      </c>
      <c r="C17" t="s">
        <v>85</v>
      </c>
      <c r="D17" t="s">
        <v>13</v>
      </c>
      <c r="E17" t="s">
        <v>10</v>
      </c>
      <c r="F17" s="7">
        <v>45115</v>
      </c>
      <c r="G17" s="1">
        <v>44927</v>
      </c>
      <c r="H17" s="14">
        <v>999.85672</v>
      </c>
      <c r="I17">
        <v>656796</v>
      </c>
      <c r="J17" t="s">
        <v>89</v>
      </c>
      <c r="K17" t="s">
        <v>90</v>
      </c>
      <c r="L17" s="16" t="s">
        <v>13</v>
      </c>
    </row>
    <row r="18" spans="1:12" x14ac:dyDescent="0.35">
      <c r="A18" t="s">
        <v>8</v>
      </c>
      <c r="B18" t="s">
        <v>84</v>
      </c>
      <c r="C18" t="s">
        <v>85</v>
      </c>
      <c r="D18" t="s">
        <v>13</v>
      </c>
      <c r="E18" t="s">
        <v>11</v>
      </c>
      <c r="F18" s="7">
        <v>45115</v>
      </c>
      <c r="G18" s="1">
        <v>44927</v>
      </c>
      <c r="H18" s="14">
        <v>4737.6254869999993</v>
      </c>
      <c r="I18">
        <v>2358886</v>
      </c>
      <c r="J18" t="s">
        <v>89</v>
      </c>
      <c r="K18" t="s">
        <v>90</v>
      </c>
      <c r="L18" s="16" t="s">
        <v>13</v>
      </c>
    </row>
    <row r="19" spans="1:12" x14ac:dyDescent="0.35">
      <c r="A19" t="s">
        <v>8</v>
      </c>
      <c r="B19" t="s">
        <v>84</v>
      </c>
      <c r="C19" t="s">
        <v>85</v>
      </c>
      <c r="D19" t="s">
        <v>13</v>
      </c>
      <c r="E19" t="s">
        <v>12</v>
      </c>
      <c r="F19" s="7">
        <v>45115</v>
      </c>
      <c r="G19" s="1">
        <v>44927</v>
      </c>
      <c r="H19" s="14">
        <v>9275.4324950000009</v>
      </c>
      <c r="I19">
        <v>2234097</v>
      </c>
      <c r="J19" t="s">
        <v>89</v>
      </c>
      <c r="K19" t="s">
        <v>90</v>
      </c>
      <c r="L19" s="16" t="s">
        <v>12</v>
      </c>
    </row>
    <row r="20" spans="1:12" x14ac:dyDescent="0.35">
      <c r="A20" t="s">
        <v>8</v>
      </c>
      <c r="B20" t="s">
        <v>92</v>
      </c>
      <c r="C20" t="s">
        <v>93</v>
      </c>
      <c r="D20" t="s">
        <v>10</v>
      </c>
      <c r="E20" t="s">
        <v>10</v>
      </c>
      <c r="F20" s="7">
        <v>45115</v>
      </c>
      <c r="G20" s="1">
        <v>44927</v>
      </c>
      <c r="H20" s="14">
        <v>12454.641899999995</v>
      </c>
      <c r="I20">
        <v>1332292</v>
      </c>
      <c r="J20" t="s">
        <v>89</v>
      </c>
      <c r="K20" t="s">
        <v>94</v>
      </c>
      <c r="L20" s="16" t="s">
        <v>10</v>
      </c>
    </row>
    <row r="21" spans="1:12" x14ac:dyDescent="0.35">
      <c r="A21" t="s">
        <v>8</v>
      </c>
      <c r="B21" t="s">
        <v>92</v>
      </c>
      <c r="C21" t="s">
        <v>95</v>
      </c>
      <c r="D21" t="s">
        <v>10</v>
      </c>
      <c r="E21" t="s">
        <v>10</v>
      </c>
      <c r="F21" s="7">
        <v>45115</v>
      </c>
      <c r="G21" s="1">
        <v>44927</v>
      </c>
      <c r="H21" s="14">
        <v>14398.470000000007</v>
      </c>
      <c r="I21">
        <v>1947985</v>
      </c>
      <c r="J21" t="s">
        <v>89</v>
      </c>
      <c r="K21" t="s">
        <v>96</v>
      </c>
      <c r="L21" s="16" t="s">
        <v>10</v>
      </c>
    </row>
    <row r="22" spans="1:12" x14ac:dyDescent="0.35">
      <c r="A22" t="s">
        <v>8</v>
      </c>
      <c r="B22" t="s">
        <v>84</v>
      </c>
      <c r="C22" t="s">
        <v>93</v>
      </c>
      <c r="D22" t="s">
        <v>10</v>
      </c>
      <c r="E22" t="s">
        <v>10</v>
      </c>
      <c r="F22" s="7">
        <v>45115</v>
      </c>
      <c r="G22" s="1">
        <v>44927</v>
      </c>
      <c r="H22" s="14">
        <v>42121.893799999998</v>
      </c>
      <c r="I22">
        <v>6908484</v>
      </c>
      <c r="J22" t="s">
        <v>89</v>
      </c>
      <c r="K22" t="s">
        <v>94</v>
      </c>
      <c r="L22" s="16" t="s">
        <v>10</v>
      </c>
    </row>
    <row r="23" spans="1:12" x14ac:dyDescent="0.35">
      <c r="A23" t="s">
        <v>8</v>
      </c>
      <c r="B23" t="s">
        <v>84</v>
      </c>
      <c r="C23" t="s">
        <v>95</v>
      </c>
      <c r="D23" t="s">
        <v>10</v>
      </c>
      <c r="E23" t="s">
        <v>10</v>
      </c>
      <c r="F23" s="7">
        <v>45115</v>
      </c>
      <c r="G23" s="1">
        <v>44927</v>
      </c>
      <c r="H23" s="14">
        <v>17444.350000000006</v>
      </c>
      <c r="I23">
        <v>1941689</v>
      </c>
      <c r="J23" t="s">
        <v>89</v>
      </c>
      <c r="K23" t="s">
        <v>96</v>
      </c>
      <c r="L23" s="16" t="s">
        <v>10</v>
      </c>
    </row>
    <row r="24" spans="1:12" x14ac:dyDescent="0.35">
      <c r="A24" t="s">
        <v>8</v>
      </c>
      <c r="B24" t="s">
        <v>17</v>
      </c>
      <c r="C24" t="s">
        <v>93</v>
      </c>
      <c r="D24" t="s">
        <v>10</v>
      </c>
      <c r="E24" t="s">
        <v>10</v>
      </c>
      <c r="F24" s="7">
        <v>45115</v>
      </c>
      <c r="G24" s="1">
        <v>44927</v>
      </c>
      <c r="H24" s="14">
        <v>5782.3420999999989</v>
      </c>
      <c r="I24">
        <v>732872</v>
      </c>
      <c r="J24" t="s">
        <v>89</v>
      </c>
      <c r="K24" t="s">
        <v>94</v>
      </c>
      <c r="L24" s="16" t="s">
        <v>10</v>
      </c>
    </row>
    <row r="25" spans="1:12" x14ac:dyDescent="0.35">
      <c r="A25" t="s">
        <v>8</v>
      </c>
      <c r="B25" t="s">
        <v>17</v>
      </c>
      <c r="C25" t="s">
        <v>95</v>
      </c>
      <c r="D25" t="s">
        <v>10</v>
      </c>
      <c r="E25" t="s">
        <v>10</v>
      </c>
      <c r="F25" s="7">
        <v>45115</v>
      </c>
      <c r="G25" s="1">
        <v>44927</v>
      </c>
      <c r="H25" s="14">
        <v>16312.230000000001</v>
      </c>
      <c r="I25">
        <v>2309552</v>
      </c>
      <c r="J25" t="s">
        <v>89</v>
      </c>
      <c r="K25" t="s">
        <v>96</v>
      </c>
      <c r="L25" s="16" t="s">
        <v>10</v>
      </c>
    </row>
    <row r="26" spans="1:12" x14ac:dyDescent="0.35">
      <c r="A26" t="s">
        <v>8</v>
      </c>
      <c r="B26" t="s">
        <v>99</v>
      </c>
      <c r="C26" t="s">
        <v>93</v>
      </c>
      <c r="D26" t="s">
        <v>10</v>
      </c>
      <c r="E26" t="s">
        <v>10</v>
      </c>
      <c r="F26" s="7">
        <v>45115</v>
      </c>
      <c r="G26" s="1">
        <v>44927</v>
      </c>
      <c r="H26" s="14">
        <v>5084.612799999999</v>
      </c>
      <c r="I26">
        <v>644944</v>
      </c>
      <c r="J26" t="s">
        <v>89</v>
      </c>
      <c r="K26" t="s">
        <v>94</v>
      </c>
      <c r="L26" s="16" t="s">
        <v>10</v>
      </c>
    </row>
    <row r="27" spans="1:12" x14ac:dyDescent="0.35">
      <c r="A27" t="s">
        <v>8</v>
      </c>
      <c r="B27" t="s">
        <v>99</v>
      </c>
      <c r="C27" t="s">
        <v>95</v>
      </c>
      <c r="D27" t="s">
        <v>10</v>
      </c>
      <c r="E27" t="s">
        <v>10</v>
      </c>
      <c r="F27" s="7">
        <v>45115</v>
      </c>
      <c r="G27" s="1">
        <v>44927</v>
      </c>
      <c r="H27" s="14">
        <v>6553.2099999999982</v>
      </c>
      <c r="I27">
        <v>981257</v>
      </c>
      <c r="J27" t="s">
        <v>89</v>
      </c>
      <c r="K27" t="s">
        <v>96</v>
      </c>
      <c r="L27" s="16" t="s">
        <v>10</v>
      </c>
    </row>
    <row r="28" spans="1:12" x14ac:dyDescent="0.35">
      <c r="A28" t="s">
        <v>8</v>
      </c>
      <c r="B28" t="s">
        <v>100</v>
      </c>
      <c r="C28" t="s">
        <v>93</v>
      </c>
      <c r="D28" t="s">
        <v>10</v>
      </c>
      <c r="E28" t="s">
        <v>10</v>
      </c>
      <c r="F28" s="7">
        <v>45115</v>
      </c>
      <c r="G28" s="1">
        <v>44927</v>
      </c>
      <c r="H28" s="14">
        <v>5234.5829000000022</v>
      </c>
      <c r="I28">
        <v>724079</v>
      </c>
      <c r="J28" t="s">
        <v>89</v>
      </c>
      <c r="K28" t="s">
        <v>94</v>
      </c>
      <c r="L28" s="16" t="s">
        <v>10</v>
      </c>
    </row>
    <row r="29" spans="1:12" x14ac:dyDescent="0.35">
      <c r="A29" t="s">
        <v>8</v>
      </c>
      <c r="B29" t="s">
        <v>100</v>
      </c>
      <c r="C29" t="s">
        <v>95</v>
      </c>
      <c r="D29" t="s">
        <v>10</v>
      </c>
      <c r="E29" t="s">
        <v>10</v>
      </c>
      <c r="F29" s="7">
        <v>45115</v>
      </c>
      <c r="G29" s="1">
        <v>44927</v>
      </c>
      <c r="H29" s="14">
        <v>4101.8500000000004</v>
      </c>
      <c r="I29">
        <v>988367</v>
      </c>
      <c r="J29" t="s">
        <v>89</v>
      </c>
      <c r="K29" t="s">
        <v>96</v>
      </c>
      <c r="L29" s="16" t="s">
        <v>10</v>
      </c>
    </row>
    <row r="30" spans="1:12" x14ac:dyDescent="0.35">
      <c r="A30" t="s">
        <v>8</v>
      </c>
      <c r="B30" t="s">
        <v>21</v>
      </c>
      <c r="C30" t="s">
        <v>95</v>
      </c>
      <c r="D30" t="s">
        <v>10</v>
      </c>
      <c r="E30" t="s">
        <v>10</v>
      </c>
      <c r="F30" s="7">
        <v>45115</v>
      </c>
      <c r="G30" s="1">
        <v>44927</v>
      </c>
      <c r="H30" s="14">
        <v>1622.5500000000002</v>
      </c>
      <c r="I30">
        <v>437318</v>
      </c>
      <c r="J30" t="s">
        <v>89</v>
      </c>
      <c r="K30" t="s">
        <v>96</v>
      </c>
      <c r="L30" s="16" t="s">
        <v>10</v>
      </c>
    </row>
    <row r="31" spans="1:12" x14ac:dyDescent="0.35">
      <c r="A31" t="s">
        <v>8</v>
      </c>
      <c r="B31" t="s">
        <v>84</v>
      </c>
      <c r="C31" t="s">
        <v>95</v>
      </c>
      <c r="D31" t="s">
        <v>104</v>
      </c>
      <c r="E31" t="s">
        <v>8</v>
      </c>
      <c r="F31" s="7">
        <v>45115</v>
      </c>
      <c r="G31" s="1">
        <v>44927</v>
      </c>
      <c r="H31" s="14">
        <v>12810.929999999998</v>
      </c>
      <c r="I31">
        <v>42285</v>
      </c>
      <c r="J31" t="s">
        <v>89</v>
      </c>
      <c r="K31" t="s">
        <v>105</v>
      </c>
      <c r="L31" s="16" t="s">
        <v>95</v>
      </c>
    </row>
    <row r="32" spans="1:12" x14ac:dyDescent="0.35">
      <c r="A32" t="s">
        <v>8</v>
      </c>
      <c r="B32" t="s">
        <v>84</v>
      </c>
      <c r="C32" t="s">
        <v>85</v>
      </c>
      <c r="D32" t="s">
        <v>13</v>
      </c>
      <c r="E32" t="s">
        <v>10</v>
      </c>
      <c r="F32" s="7">
        <v>45122</v>
      </c>
      <c r="G32" s="1">
        <v>44927</v>
      </c>
      <c r="H32" s="14">
        <v>5655.9730740000005</v>
      </c>
      <c r="I32">
        <v>1323770</v>
      </c>
      <c r="J32" t="s">
        <v>88</v>
      </c>
      <c r="K32" t="s">
        <v>90</v>
      </c>
      <c r="L32" s="16" t="s">
        <v>13</v>
      </c>
    </row>
    <row r="33" spans="1:12" x14ac:dyDescent="0.35">
      <c r="A33" t="s">
        <v>8</v>
      </c>
      <c r="B33" t="s">
        <v>84</v>
      </c>
      <c r="C33" t="s">
        <v>85</v>
      </c>
      <c r="D33" t="s">
        <v>13</v>
      </c>
      <c r="E33" t="s">
        <v>11</v>
      </c>
      <c r="F33" s="7">
        <v>45122</v>
      </c>
      <c r="G33" s="1">
        <v>44927</v>
      </c>
      <c r="H33" s="14">
        <v>5037.4189039999992</v>
      </c>
      <c r="I33">
        <v>2664362</v>
      </c>
      <c r="J33" t="s">
        <v>88</v>
      </c>
      <c r="K33" t="s">
        <v>90</v>
      </c>
      <c r="L33" s="16" t="s">
        <v>13</v>
      </c>
    </row>
    <row r="34" spans="1:12" x14ac:dyDescent="0.35">
      <c r="A34" t="s">
        <v>8</v>
      </c>
      <c r="B34" t="s">
        <v>84</v>
      </c>
      <c r="C34" t="s">
        <v>85</v>
      </c>
      <c r="D34" t="s">
        <v>13</v>
      </c>
      <c r="E34" t="s">
        <v>12</v>
      </c>
      <c r="F34" s="7">
        <v>45122</v>
      </c>
      <c r="G34" s="1">
        <v>44927</v>
      </c>
      <c r="H34" s="14">
        <v>5353.4812869999996</v>
      </c>
      <c r="I34">
        <v>1219258</v>
      </c>
      <c r="J34" t="s">
        <v>88</v>
      </c>
      <c r="K34" t="s">
        <v>90</v>
      </c>
      <c r="L34" s="16" t="s">
        <v>12</v>
      </c>
    </row>
    <row r="35" spans="1:12" x14ac:dyDescent="0.35">
      <c r="A35" t="s">
        <v>8</v>
      </c>
      <c r="B35" t="s">
        <v>17</v>
      </c>
      <c r="C35" t="s">
        <v>85</v>
      </c>
      <c r="D35" t="s">
        <v>9</v>
      </c>
      <c r="E35" t="s">
        <v>10</v>
      </c>
      <c r="F35" s="7">
        <v>45122</v>
      </c>
      <c r="G35" s="1">
        <v>44927</v>
      </c>
      <c r="H35" s="14">
        <v>32023.799993000004</v>
      </c>
      <c r="I35">
        <v>4557001</v>
      </c>
      <c r="J35" t="s">
        <v>88</v>
      </c>
      <c r="K35" t="s">
        <v>87</v>
      </c>
      <c r="L35" s="16" t="s">
        <v>9</v>
      </c>
    </row>
    <row r="36" spans="1:12" x14ac:dyDescent="0.35">
      <c r="A36" t="s">
        <v>8</v>
      </c>
      <c r="B36" t="s">
        <v>92</v>
      </c>
      <c r="C36" t="s">
        <v>93</v>
      </c>
      <c r="D36" t="s">
        <v>10</v>
      </c>
      <c r="E36" t="s">
        <v>10</v>
      </c>
      <c r="F36" s="7">
        <v>45122</v>
      </c>
      <c r="G36" s="1">
        <v>44927</v>
      </c>
      <c r="H36" s="14">
        <v>12869.128399999998</v>
      </c>
      <c r="I36">
        <v>1473913</v>
      </c>
      <c r="J36" t="s">
        <v>88</v>
      </c>
      <c r="K36" t="s">
        <v>94</v>
      </c>
      <c r="L36" s="16" t="s">
        <v>10</v>
      </c>
    </row>
    <row r="37" spans="1:12" x14ac:dyDescent="0.35">
      <c r="A37" t="s">
        <v>8</v>
      </c>
      <c r="B37" t="s">
        <v>92</v>
      </c>
      <c r="C37" t="s">
        <v>95</v>
      </c>
      <c r="D37" t="s">
        <v>10</v>
      </c>
      <c r="E37" t="s">
        <v>10</v>
      </c>
      <c r="F37" s="7">
        <v>45122</v>
      </c>
      <c r="G37" s="1">
        <v>44927</v>
      </c>
      <c r="H37" s="14">
        <v>96289.889999999941</v>
      </c>
      <c r="I37">
        <v>7276438</v>
      </c>
      <c r="J37" t="s">
        <v>88</v>
      </c>
      <c r="K37" t="s">
        <v>96</v>
      </c>
      <c r="L37" s="16" t="s">
        <v>10</v>
      </c>
    </row>
    <row r="38" spans="1:12" x14ac:dyDescent="0.35">
      <c r="A38" t="s">
        <v>8</v>
      </c>
      <c r="B38" t="s">
        <v>84</v>
      </c>
      <c r="C38" t="s">
        <v>93</v>
      </c>
      <c r="D38" t="s">
        <v>10</v>
      </c>
      <c r="E38" t="s">
        <v>10</v>
      </c>
      <c r="F38" s="7">
        <v>45122</v>
      </c>
      <c r="G38" s="1">
        <v>44927</v>
      </c>
      <c r="H38" s="14">
        <v>47907.900499999952</v>
      </c>
      <c r="I38">
        <v>8447570</v>
      </c>
      <c r="J38" t="s">
        <v>88</v>
      </c>
      <c r="K38" t="s">
        <v>94</v>
      </c>
      <c r="L38" s="16" t="s">
        <v>10</v>
      </c>
    </row>
    <row r="39" spans="1:12" x14ac:dyDescent="0.35">
      <c r="A39" t="s">
        <v>8</v>
      </c>
      <c r="B39" t="s">
        <v>84</v>
      </c>
      <c r="C39" t="s">
        <v>95</v>
      </c>
      <c r="D39" t="s">
        <v>10</v>
      </c>
      <c r="E39" t="s">
        <v>10</v>
      </c>
      <c r="F39" s="7">
        <v>45122</v>
      </c>
      <c r="G39" s="1">
        <v>44927</v>
      </c>
      <c r="H39" s="14">
        <v>74943.300000000017</v>
      </c>
      <c r="I39">
        <v>4749934</v>
      </c>
      <c r="J39" t="s">
        <v>88</v>
      </c>
      <c r="K39" t="s">
        <v>96</v>
      </c>
      <c r="L39" s="16" t="s">
        <v>10</v>
      </c>
    </row>
    <row r="40" spans="1:12" x14ac:dyDescent="0.35">
      <c r="A40" t="s">
        <v>8</v>
      </c>
      <c r="B40" t="s">
        <v>17</v>
      </c>
      <c r="C40" t="s">
        <v>93</v>
      </c>
      <c r="D40" t="s">
        <v>10</v>
      </c>
      <c r="E40" t="s">
        <v>10</v>
      </c>
      <c r="F40" s="7">
        <v>45122</v>
      </c>
      <c r="G40" s="1">
        <v>44927</v>
      </c>
      <c r="H40" s="14">
        <v>5795.5743999999995</v>
      </c>
      <c r="I40">
        <v>727121</v>
      </c>
      <c r="J40" t="s">
        <v>88</v>
      </c>
      <c r="K40" t="s">
        <v>94</v>
      </c>
      <c r="L40" s="16" t="s">
        <v>10</v>
      </c>
    </row>
    <row r="41" spans="1:12" x14ac:dyDescent="0.35">
      <c r="A41" t="s">
        <v>8</v>
      </c>
      <c r="B41" t="s">
        <v>17</v>
      </c>
      <c r="C41" t="s">
        <v>95</v>
      </c>
      <c r="D41" t="s">
        <v>10</v>
      </c>
      <c r="E41" t="s">
        <v>10</v>
      </c>
      <c r="F41" s="7">
        <v>45122</v>
      </c>
      <c r="G41" s="1">
        <v>44927</v>
      </c>
      <c r="H41" s="14">
        <v>86543.2</v>
      </c>
      <c r="I41">
        <v>6001537</v>
      </c>
      <c r="J41" t="s">
        <v>88</v>
      </c>
      <c r="K41" t="s">
        <v>96</v>
      </c>
      <c r="L41" s="16" t="s">
        <v>10</v>
      </c>
    </row>
    <row r="42" spans="1:12" x14ac:dyDescent="0.35">
      <c r="A42" t="s">
        <v>8</v>
      </c>
      <c r="B42" t="s">
        <v>99</v>
      </c>
      <c r="C42" t="s">
        <v>93</v>
      </c>
      <c r="D42" t="s">
        <v>10</v>
      </c>
      <c r="E42" t="s">
        <v>10</v>
      </c>
      <c r="F42" s="7">
        <v>45122</v>
      </c>
      <c r="G42" s="1">
        <v>44927</v>
      </c>
      <c r="H42" s="14">
        <v>5096.2629999999981</v>
      </c>
      <c r="I42">
        <v>705589</v>
      </c>
      <c r="J42" t="s">
        <v>88</v>
      </c>
      <c r="K42" t="s">
        <v>94</v>
      </c>
      <c r="L42" s="16" t="s">
        <v>10</v>
      </c>
    </row>
    <row r="43" spans="1:12" x14ac:dyDescent="0.35">
      <c r="A43" t="s">
        <v>8</v>
      </c>
      <c r="B43" t="s">
        <v>99</v>
      </c>
      <c r="C43" t="s">
        <v>95</v>
      </c>
      <c r="D43" t="s">
        <v>10</v>
      </c>
      <c r="E43" t="s">
        <v>10</v>
      </c>
      <c r="F43" s="7">
        <v>45122</v>
      </c>
      <c r="G43" s="1">
        <v>44927</v>
      </c>
      <c r="H43" s="14">
        <v>26588.239999999987</v>
      </c>
      <c r="I43">
        <v>2463552</v>
      </c>
      <c r="J43" t="s">
        <v>88</v>
      </c>
      <c r="K43" t="s">
        <v>96</v>
      </c>
      <c r="L43" s="16" t="s">
        <v>10</v>
      </c>
    </row>
    <row r="44" spans="1:12" x14ac:dyDescent="0.35">
      <c r="A44" t="s">
        <v>8</v>
      </c>
      <c r="B44" t="s">
        <v>100</v>
      </c>
      <c r="C44" t="s">
        <v>93</v>
      </c>
      <c r="D44" t="s">
        <v>10</v>
      </c>
      <c r="E44" t="s">
        <v>10</v>
      </c>
      <c r="F44" s="7">
        <v>45122</v>
      </c>
      <c r="G44" s="1">
        <v>44927</v>
      </c>
      <c r="H44" s="14">
        <v>5347.2809999999999</v>
      </c>
      <c r="I44">
        <v>787074</v>
      </c>
      <c r="J44" t="s">
        <v>88</v>
      </c>
      <c r="K44" t="s">
        <v>94</v>
      </c>
      <c r="L44" s="16" t="s">
        <v>10</v>
      </c>
    </row>
    <row r="45" spans="1:12" x14ac:dyDescent="0.35">
      <c r="A45" t="s">
        <v>8</v>
      </c>
      <c r="B45" t="s">
        <v>100</v>
      </c>
      <c r="C45" t="s">
        <v>95</v>
      </c>
      <c r="D45" t="s">
        <v>10</v>
      </c>
      <c r="E45" t="s">
        <v>10</v>
      </c>
      <c r="F45" s="7">
        <v>45122</v>
      </c>
      <c r="G45" s="1">
        <v>44927</v>
      </c>
      <c r="H45" s="14">
        <v>20015.16</v>
      </c>
      <c r="I45">
        <v>2356562</v>
      </c>
      <c r="J45" t="s">
        <v>88</v>
      </c>
      <c r="K45" t="s">
        <v>96</v>
      </c>
      <c r="L45" s="16" t="s">
        <v>10</v>
      </c>
    </row>
    <row r="46" spans="1:12" x14ac:dyDescent="0.35">
      <c r="A46" t="s">
        <v>8</v>
      </c>
      <c r="B46" t="s">
        <v>21</v>
      </c>
      <c r="C46" t="s">
        <v>95</v>
      </c>
      <c r="D46" t="s">
        <v>10</v>
      </c>
      <c r="E46" t="s">
        <v>10</v>
      </c>
      <c r="F46" s="7">
        <v>45122</v>
      </c>
      <c r="G46" s="1">
        <v>44927</v>
      </c>
      <c r="H46" s="14">
        <v>3261.69</v>
      </c>
      <c r="I46">
        <v>329693</v>
      </c>
      <c r="J46" t="s">
        <v>88</v>
      </c>
      <c r="K46" t="s">
        <v>96</v>
      </c>
      <c r="L46" s="16" t="s">
        <v>10</v>
      </c>
    </row>
    <row r="47" spans="1:12" x14ac:dyDescent="0.35">
      <c r="A47" t="s">
        <v>8</v>
      </c>
      <c r="B47" t="s">
        <v>84</v>
      </c>
      <c r="C47" t="s">
        <v>95</v>
      </c>
      <c r="D47" t="s">
        <v>104</v>
      </c>
      <c r="E47" t="s">
        <v>8</v>
      </c>
      <c r="F47" s="7">
        <v>45122</v>
      </c>
      <c r="G47" s="1">
        <v>44927</v>
      </c>
      <c r="H47" s="14">
        <v>12360.560000000001</v>
      </c>
      <c r="I47">
        <v>46045</v>
      </c>
      <c r="J47" t="s">
        <v>88</v>
      </c>
      <c r="K47" t="s">
        <v>105</v>
      </c>
      <c r="L47" s="16" t="s">
        <v>95</v>
      </c>
    </row>
    <row r="48" spans="1:12" x14ac:dyDescent="0.35">
      <c r="A48" t="s">
        <v>8</v>
      </c>
      <c r="B48" t="s">
        <v>84</v>
      </c>
      <c r="C48" t="s">
        <v>85</v>
      </c>
      <c r="D48" t="s">
        <v>13</v>
      </c>
      <c r="E48" t="s">
        <v>10</v>
      </c>
      <c r="F48" s="7">
        <v>45129</v>
      </c>
      <c r="G48" s="1">
        <v>44927</v>
      </c>
      <c r="H48" s="14">
        <v>8305.2923260000007</v>
      </c>
      <c r="I48">
        <v>1067550</v>
      </c>
      <c r="J48" t="s">
        <v>88</v>
      </c>
      <c r="K48" t="s">
        <v>90</v>
      </c>
      <c r="L48" s="16" t="s">
        <v>13</v>
      </c>
    </row>
    <row r="49" spans="1:12" x14ac:dyDescent="0.35">
      <c r="A49" t="s">
        <v>8</v>
      </c>
      <c r="B49" t="s">
        <v>84</v>
      </c>
      <c r="C49" t="s">
        <v>85</v>
      </c>
      <c r="D49" t="s">
        <v>13</v>
      </c>
      <c r="E49" t="s">
        <v>11</v>
      </c>
      <c r="F49" s="7">
        <v>45129</v>
      </c>
      <c r="G49" s="1">
        <v>44927</v>
      </c>
      <c r="H49" s="14">
        <v>4364.9173510000001</v>
      </c>
      <c r="I49">
        <v>2662776</v>
      </c>
      <c r="J49" t="s">
        <v>88</v>
      </c>
      <c r="K49" t="s">
        <v>90</v>
      </c>
      <c r="L49" s="16" t="s">
        <v>13</v>
      </c>
    </row>
    <row r="50" spans="1:12" x14ac:dyDescent="0.35">
      <c r="A50" t="s">
        <v>8</v>
      </c>
      <c r="B50" t="s">
        <v>84</v>
      </c>
      <c r="C50" t="s">
        <v>85</v>
      </c>
      <c r="D50" t="s">
        <v>13</v>
      </c>
      <c r="E50" t="s">
        <v>12</v>
      </c>
      <c r="F50" s="7">
        <v>45129</v>
      </c>
      <c r="G50" s="1">
        <v>44927</v>
      </c>
      <c r="H50" s="14">
        <v>1758.2325850000002</v>
      </c>
      <c r="I50">
        <v>634400</v>
      </c>
      <c r="J50" t="s">
        <v>88</v>
      </c>
      <c r="K50" t="s">
        <v>90</v>
      </c>
      <c r="L50" s="16" t="s">
        <v>12</v>
      </c>
    </row>
    <row r="51" spans="1:12" x14ac:dyDescent="0.35">
      <c r="A51" t="s">
        <v>8</v>
      </c>
      <c r="B51" t="s">
        <v>17</v>
      </c>
      <c r="C51" t="s">
        <v>85</v>
      </c>
      <c r="D51" t="s">
        <v>9</v>
      </c>
      <c r="E51" t="s">
        <v>10</v>
      </c>
      <c r="F51" s="7">
        <v>45129</v>
      </c>
      <c r="G51" s="1">
        <v>44927</v>
      </c>
      <c r="H51" s="14">
        <v>33622.089997999996</v>
      </c>
      <c r="I51">
        <v>4804148</v>
      </c>
      <c r="J51" t="s">
        <v>88</v>
      </c>
      <c r="K51" t="s">
        <v>87</v>
      </c>
      <c r="L51" s="16" t="s">
        <v>9</v>
      </c>
    </row>
    <row r="52" spans="1:12" x14ac:dyDescent="0.35">
      <c r="A52" t="s">
        <v>8</v>
      </c>
      <c r="B52" t="s">
        <v>92</v>
      </c>
      <c r="C52" t="s">
        <v>93</v>
      </c>
      <c r="D52" t="s">
        <v>10</v>
      </c>
      <c r="E52" t="s">
        <v>10</v>
      </c>
      <c r="F52" s="7">
        <v>45129</v>
      </c>
      <c r="G52" s="1">
        <v>44927</v>
      </c>
      <c r="H52" s="14">
        <v>12328.686600000005</v>
      </c>
      <c r="I52">
        <v>1586895</v>
      </c>
      <c r="J52" t="s">
        <v>88</v>
      </c>
      <c r="K52" t="s">
        <v>94</v>
      </c>
      <c r="L52" s="16" t="s">
        <v>10</v>
      </c>
    </row>
    <row r="53" spans="1:12" x14ac:dyDescent="0.35">
      <c r="A53" t="s">
        <v>8</v>
      </c>
      <c r="B53" t="s">
        <v>92</v>
      </c>
      <c r="C53" t="s">
        <v>95</v>
      </c>
      <c r="D53" t="s">
        <v>10</v>
      </c>
      <c r="E53" t="s">
        <v>10</v>
      </c>
      <c r="F53" s="7">
        <v>45129</v>
      </c>
      <c r="G53" s="1">
        <v>44927</v>
      </c>
      <c r="H53" s="14">
        <v>6721.489999999998</v>
      </c>
      <c r="I53">
        <v>1445197</v>
      </c>
      <c r="J53" t="s">
        <v>88</v>
      </c>
      <c r="K53" t="s">
        <v>96</v>
      </c>
      <c r="L53" s="16" t="s">
        <v>10</v>
      </c>
    </row>
    <row r="54" spans="1:12" x14ac:dyDescent="0.35">
      <c r="A54" t="s">
        <v>8</v>
      </c>
      <c r="B54" t="s">
        <v>84</v>
      </c>
      <c r="C54" t="s">
        <v>93</v>
      </c>
      <c r="D54" t="s">
        <v>10</v>
      </c>
      <c r="E54" t="s">
        <v>10</v>
      </c>
      <c r="F54" s="7">
        <v>45129</v>
      </c>
      <c r="G54" s="1">
        <v>44927</v>
      </c>
      <c r="H54" s="14">
        <v>13306.024299999999</v>
      </c>
      <c r="I54">
        <v>2636768</v>
      </c>
      <c r="J54" t="s">
        <v>88</v>
      </c>
      <c r="K54" t="s">
        <v>94</v>
      </c>
      <c r="L54" s="16" t="s">
        <v>10</v>
      </c>
    </row>
    <row r="55" spans="1:12" x14ac:dyDescent="0.35">
      <c r="A55" t="s">
        <v>8</v>
      </c>
      <c r="B55" t="s">
        <v>84</v>
      </c>
      <c r="C55" t="s">
        <v>95</v>
      </c>
      <c r="D55" t="s">
        <v>10</v>
      </c>
      <c r="E55" t="s">
        <v>10</v>
      </c>
      <c r="F55" s="7">
        <v>45129</v>
      </c>
      <c r="G55" s="1">
        <v>44927</v>
      </c>
      <c r="H55" s="14">
        <v>13233.259999999998</v>
      </c>
      <c r="I55">
        <v>3110099</v>
      </c>
      <c r="J55" t="s">
        <v>88</v>
      </c>
      <c r="K55" t="s">
        <v>96</v>
      </c>
      <c r="L55" s="16" t="s">
        <v>10</v>
      </c>
    </row>
    <row r="56" spans="1:12" x14ac:dyDescent="0.35">
      <c r="A56" t="s">
        <v>8</v>
      </c>
      <c r="B56" t="s">
        <v>17</v>
      </c>
      <c r="C56" t="s">
        <v>93</v>
      </c>
      <c r="D56" t="s">
        <v>10</v>
      </c>
      <c r="E56" t="s">
        <v>10</v>
      </c>
      <c r="F56" s="7">
        <v>45129</v>
      </c>
      <c r="G56" s="1">
        <v>44927</v>
      </c>
      <c r="H56" s="14">
        <v>6467.8800999999985</v>
      </c>
      <c r="I56">
        <v>870309</v>
      </c>
      <c r="J56" t="s">
        <v>88</v>
      </c>
      <c r="K56" t="s">
        <v>94</v>
      </c>
      <c r="L56" s="16" t="s">
        <v>10</v>
      </c>
    </row>
    <row r="57" spans="1:12" x14ac:dyDescent="0.35">
      <c r="A57" t="s">
        <v>8</v>
      </c>
      <c r="B57" t="s">
        <v>17</v>
      </c>
      <c r="C57" t="s">
        <v>95</v>
      </c>
      <c r="D57" t="s">
        <v>10</v>
      </c>
      <c r="E57" t="s">
        <v>10</v>
      </c>
      <c r="F57" s="7">
        <v>45129</v>
      </c>
      <c r="G57" s="1">
        <v>44927</v>
      </c>
      <c r="H57" s="14">
        <v>5971.3799999999992</v>
      </c>
      <c r="I57">
        <v>1453405</v>
      </c>
      <c r="J57" t="s">
        <v>88</v>
      </c>
      <c r="K57" t="s">
        <v>96</v>
      </c>
      <c r="L57" s="16" t="s">
        <v>10</v>
      </c>
    </row>
    <row r="58" spans="1:12" x14ac:dyDescent="0.35">
      <c r="A58" t="s">
        <v>8</v>
      </c>
      <c r="B58" t="s">
        <v>99</v>
      </c>
      <c r="C58" t="s">
        <v>93</v>
      </c>
      <c r="D58" t="s">
        <v>10</v>
      </c>
      <c r="E58" t="s">
        <v>10</v>
      </c>
      <c r="F58" s="7">
        <v>45129</v>
      </c>
      <c r="G58" s="1">
        <v>44927</v>
      </c>
      <c r="H58" s="14">
        <v>6071.4559000000008</v>
      </c>
      <c r="I58">
        <v>949823</v>
      </c>
      <c r="J58" t="s">
        <v>88</v>
      </c>
      <c r="K58" t="s">
        <v>94</v>
      </c>
      <c r="L58" s="16" t="s">
        <v>10</v>
      </c>
    </row>
    <row r="59" spans="1:12" x14ac:dyDescent="0.35">
      <c r="A59" t="s">
        <v>8</v>
      </c>
      <c r="B59" t="s">
        <v>99</v>
      </c>
      <c r="C59" t="s">
        <v>95</v>
      </c>
      <c r="D59" t="s">
        <v>10</v>
      </c>
      <c r="E59" t="s">
        <v>10</v>
      </c>
      <c r="F59" s="7">
        <v>45129</v>
      </c>
      <c r="G59" s="1">
        <v>44927</v>
      </c>
      <c r="H59" s="14">
        <v>3061.0800000000013</v>
      </c>
      <c r="I59">
        <v>1221281</v>
      </c>
      <c r="J59" t="s">
        <v>88</v>
      </c>
      <c r="K59" t="s">
        <v>96</v>
      </c>
      <c r="L59" s="16" t="s">
        <v>10</v>
      </c>
    </row>
    <row r="60" spans="1:12" x14ac:dyDescent="0.35">
      <c r="A60" t="s">
        <v>8</v>
      </c>
      <c r="B60" t="s">
        <v>100</v>
      </c>
      <c r="C60" t="s">
        <v>93</v>
      </c>
      <c r="D60" t="s">
        <v>10</v>
      </c>
      <c r="E60" t="s">
        <v>10</v>
      </c>
      <c r="F60" s="7">
        <v>45129</v>
      </c>
      <c r="G60" s="1">
        <v>44927</v>
      </c>
      <c r="H60" s="14">
        <v>5748.3383999999987</v>
      </c>
      <c r="I60">
        <v>844367</v>
      </c>
      <c r="J60" t="s">
        <v>88</v>
      </c>
      <c r="K60" t="s">
        <v>94</v>
      </c>
      <c r="L60" s="16" t="s">
        <v>10</v>
      </c>
    </row>
    <row r="61" spans="1:12" x14ac:dyDescent="0.35">
      <c r="A61" t="s">
        <v>8</v>
      </c>
      <c r="B61" t="s">
        <v>100</v>
      </c>
      <c r="C61" t="s">
        <v>95</v>
      </c>
      <c r="D61" t="s">
        <v>10</v>
      </c>
      <c r="E61" t="s">
        <v>10</v>
      </c>
      <c r="F61" s="7">
        <v>45129</v>
      </c>
      <c r="G61" s="1">
        <v>44927</v>
      </c>
      <c r="H61" s="14">
        <v>2718.9999999999995</v>
      </c>
      <c r="I61">
        <v>1385964</v>
      </c>
      <c r="J61" t="s">
        <v>88</v>
      </c>
      <c r="K61" t="s">
        <v>96</v>
      </c>
      <c r="L61" s="16" t="s">
        <v>10</v>
      </c>
    </row>
    <row r="62" spans="1:12" x14ac:dyDescent="0.35">
      <c r="A62" t="s">
        <v>8</v>
      </c>
      <c r="B62" t="s">
        <v>84</v>
      </c>
      <c r="C62" t="s">
        <v>95</v>
      </c>
      <c r="D62" t="s">
        <v>104</v>
      </c>
      <c r="E62" t="s">
        <v>8</v>
      </c>
      <c r="F62" s="7">
        <v>45129</v>
      </c>
      <c r="G62" s="1">
        <v>44927</v>
      </c>
      <c r="H62" s="14">
        <v>12450.269999999999</v>
      </c>
      <c r="I62">
        <v>49655</v>
      </c>
      <c r="J62" t="s">
        <v>88</v>
      </c>
      <c r="K62" t="s">
        <v>105</v>
      </c>
      <c r="L62" s="16" t="s">
        <v>95</v>
      </c>
    </row>
    <row r="63" spans="1:12" x14ac:dyDescent="0.35">
      <c r="A63" t="s">
        <v>8</v>
      </c>
      <c r="B63" t="s">
        <v>84</v>
      </c>
      <c r="C63" t="s">
        <v>85</v>
      </c>
      <c r="D63" t="s">
        <v>13</v>
      </c>
      <c r="E63" t="s">
        <v>10</v>
      </c>
      <c r="F63" s="7">
        <v>45136</v>
      </c>
      <c r="G63" s="1">
        <v>44927</v>
      </c>
      <c r="H63" s="14">
        <v>8664.595331999999</v>
      </c>
      <c r="I63">
        <v>903828</v>
      </c>
      <c r="J63" t="s">
        <v>88</v>
      </c>
      <c r="K63" t="s">
        <v>90</v>
      </c>
      <c r="L63" s="16" t="s">
        <v>13</v>
      </c>
    </row>
    <row r="64" spans="1:12" x14ac:dyDescent="0.35">
      <c r="A64" t="s">
        <v>8</v>
      </c>
      <c r="B64" t="s">
        <v>84</v>
      </c>
      <c r="C64" t="s">
        <v>85</v>
      </c>
      <c r="D64" t="s">
        <v>13</v>
      </c>
      <c r="E64" t="s">
        <v>11</v>
      </c>
      <c r="F64" s="7">
        <v>45136</v>
      </c>
      <c r="G64" s="1">
        <v>44927</v>
      </c>
      <c r="H64" s="14">
        <v>4655.8757210000003</v>
      </c>
      <c r="I64">
        <v>2613774</v>
      </c>
      <c r="J64" t="s">
        <v>88</v>
      </c>
      <c r="K64" t="s">
        <v>90</v>
      </c>
      <c r="L64" s="16" t="s">
        <v>13</v>
      </c>
    </row>
    <row r="65" spans="1:12" x14ac:dyDescent="0.35">
      <c r="A65" t="s">
        <v>8</v>
      </c>
      <c r="B65" t="s">
        <v>84</v>
      </c>
      <c r="C65" t="s">
        <v>85</v>
      </c>
      <c r="D65" t="s">
        <v>13</v>
      </c>
      <c r="E65" t="s">
        <v>12</v>
      </c>
      <c r="F65" s="7">
        <v>45136</v>
      </c>
      <c r="G65" s="1">
        <v>44927</v>
      </c>
      <c r="H65" s="14">
        <v>1325.620359</v>
      </c>
      <c r="I65">
        <v>403494</v>
      </c>
      <c r="J65" t="s">
        <v>88</v>
      </c>
      <c r="K65" t="s">
        <v>90</v>
      </c>
      <c r="L65" s="16" t="s">
        <v>12</v>
      </c>
    </row>
    <row r="66" spans="1:12" x14ac:dyDescent="0.35">
      <c r="A66" t="s">
        <v>8</v>
      </c>
      <c r="B66" t="s">
        <v>17</v>
      </c>
      <c r="C66" t="s">
        <v>85</v>
      </c>
      <c r="D66" t="s">
        <v>9</v>
      </c>
      <c r="E66" t="s">
        <v>10</v>
      </c>
      <c r="F66" s="7">
        <v>45136</v>
      </c>
      <c r="G66" s="1">
        <v>44927</v>
      </c>
      <c r="H66" s="14">
        <v>32824.410005999998</v>
      </c>
      <c r="I66">
        <v>4753491</v>
      </c>
      <c r="J66" t="s">
        <v>88</v>
      </c>
      <c r="K66" t="s">
        <v>87</v>
      </c>
      <c r="L66" s="16" t="s">
        <v>9</v>
      </c>
    </row>
    <row r="67" spans="1:12" x14ac:dyDescent="0.35">
      <c r="A67" t="s">
        <v>8</v>
      </c>
      <c r="B67" t="s">
        <v>92</v>
      </c>
      <c r="C67" t="s">
        <v>93</v>
      </c>
      <c r="D67" t="s">
        <v>10</v>
      </c>
      <c r="E67" t="s">
        <v>10</v>
      </c>
      <c r="F67" s="7">
        <v>45136</v>
      </c>
      <c r="G67" s="1">
        <v>44927</v>
      </c>
      <c r="H67" s="14">
        <v>10575.788399999998</v>
      </c>
      <c r="I67">
        <v>1456872</v>
      </c>
      <c r="J67" t="s">
        <v>88</v>
      </c>
      <c r="K67" t="s">
        <v>94</v>
      </c>
      <c r="L67" s="16" t="s">
        <v>10</v>
      </c>
    </row>
    <row r="68" spans="1:12" x14ac:dyDescent="0.35">
      <c r="A68" t="s">
        <v>8</v>
      </c>
      <c r="B68" t="s">
        <v>92</v>
      </c>
      <c r="C68" t="s">
        <v>95</v>
      </c>
      <c r="D68" t="s">
        <v>10</v>
      </c>
      <c r="E68" t="s">
        <v>10</v>
      </c>
      <c r="F68" s="7">
        <v>45136</v>
      </c>
      <c r="G68" s="1">
        <v>44927</v>
      </c>
      <c r="H68" s="14">
        <v>3305.3899999999994</v>
      </c>
      <c r="I68">
        <v>639800</v>
      </c>
      <c r="J68" t="s">
        <v>88</v>
      </c>
      <c r="K68" t="s">
        <v>96</v>
      </c>
      <c r="L68" s="16" t="s">
        <v>10</v>
      </c>
    </row>
    <row r="69" spans="1:12" x14ac:dyDescent="0.35">
      <c r="A69" t="s">
        <v>8</v>
      </c>
      <c r="B69" t="s">
        <v>84</v>
      </c>
      <c r="C69" t="s">
        <v>93</v>
      </c>
      <c r="D69" t="s">
        <v>10</v>
      </c>
      <c r="E69" t="s">
        <v>10</v>
      </c>
      <c r="F69" s="7">
        <v>45136</v>
      </c>
      <c r="G69" s="1">
        <v>44927</v>
      </c>
      <c r="H69" s="14">
        <v>17622.624800000001</v>
      </c>
      <c r="I69">
        <v>2517354</v>
      </c>
      <c r="J69" t="s">
        <v>88</v>
      </c>
      <c r="K69" t="s">
        <v>94</v>
      </c>
      <c r="L69" s="16" t="s">
        <v>10</v>
      </c>
    </row>
    <row r="70" spans="1:12" x14ac:dyDescent="0.35">
      <c r="A70" t="s">
        <v>8</v>
      </c>
      <c r="B70" t="s">
        <v>84</v>
      </c>
      <c r="C70" t="s">
        <v>95</v>
      </c>
      <c r="D70" t="s">
        <v>10</v>
      </c>
      <c r="E70" t="s">
        <v>10</v>
      </c>
      <c r="F70" s="7">
        <v>45136</v>
      </c>
      <c r="G70" s="1">
        <v>44927</v>
      </c>
      <c r="H70" s="14">
        <v>22424.630000000005</v>
      </c>
      <c r="I70">
        <v>4265016</v>
      </c>
      <c r="J70" t="s">
        <v>88</v>
      </c>
      <c r="K70" t="s">
        <v>96</v>
      </c>
      <c r="L70" s="16" t="s">
        <v>10</v>
      </c>
    </row>
    <row r="71" spans="1:12" x14ac:dyDescent="0.35">
      <c r="A71" t="s">
        <v>8</v>
      </c>
      <c r="B71" t="s">
        <v>17</v>
      </c>
      <c r="C71" t="s">
        <v>93</v>
      </c>
      <c r="D71" t="s">
        <v>10</v>
      </c>
      <c r="E71" t="s">
        <v>10</v>
      </c>
      <c r="F71" s="7">
        <v>45136</v>
      </c>
      <c r="G71" s="1">
        <v>44927</v>
      </c>
      <c r="H71" s="14">
        <v>6478.1186000000043</v>
      </c>
      <c r="I71">
        <v>853281</v>
      </c>
      <c r="J71" t="s">
        <v>88</v>
      </c>
      <c r="K71" t="s">
        <v>94</v>
      </c>
      <c r="L71" s="16" t="s">
        <v>10</v>
      </c>
    </row>
    <row r="72" spans="1:12" x14ac:dyDescent="0.35">
      <c r="A72" t="s">
        <v>8</v>
      </c>
      <c r="B72" t="s">
        <v>17</v>
      </c>
      <c r="C72" t="s">
        <v>95</v>
      </c>
      <c r="D72" t="s">
        <v>10</v>
      </c>
      <c r="E72" t="s">
        <v>10</v>
      </c>
      <c r="F72" s="7">
        <v>45136</v>
      </c>
      <c r="G72" s="1">
        <v>44927</v>
      </c>
      <c r="H72" s="14">
        <v>6216.0800000000027</v>
      </c>
      <c r="I72">
        <v>1680381</v>
      </c>
      <c r="J72" t="s">
        <v>88</v>
      </c>
      <c r="K72" t="s">
        <v>96</v>
      </c>
      <c r="L72" s="16" t="s">
        <v>10</v>
      </c>
    </row>
    <row r="73" spans="1:12" x14ac:dyDescent="0.35">
      <c r="A73" t="s">
        <v>8</v>
      </c>
      <c r="B73" t="s">
        <v>99</v>
      </c>
      <c r="C73" t="s">
        <v>93</v>
      </c>
      <c r="D73" t="s">
        <v>10</v>
      </c>
      <c r="E73" t="s">
        <v>10</v>
      </c>
      <c r="F73" s="7">
        <v>45136</v>
      </c>
      <c r="G73" s="1">
        <v>44927</v>
      </c>
      <c r="H73" s="14">
        <v>6057.3192000000008</v>
      </c>
      <c r="I73">
        <v>932308</v>
      </c>
      <c r="J73" t="s">
        <v>88</v>
      </c>
      <c r="K73" t="s">
        <v>94</v>
      </c>
      <c r="L73" s="16" t="s">
        <v>10</v>
      </c>
    </row>
    <row r="74" spans="1:12" x14ac:dyDescent="0.35">
      <c r="A74" t="s">
        <v>8</v>
      </c>
      <c r="B74" t="s">
        <v>99</v>
      </c>
      <c r="C74" t="s">
        <v>95</v>
      </c>
      <c r="D74" t="s">
        <v>10</v>
      </c>
      <c r="E74" t="s">
        <v>10</v>
      </c>
      <c r="F74" s="7">
        <v>45136</v>
      </c>
      <c r="G74" s="1">
        <v>44927</v>
      </c>
      <c r="H74" s="14">
        <v>8279.9100000000017</v>
      </c>
      <c r="I74">
        <v>2752806</v>
      </c>
      <c r="J74" t="s">
        <v>88</v>
      </c>
      <c r="K74" t="s">
        <v>96</v>
      </c>
      <c r="L74" s="16" t="s">
        <v>10</v>
      </c>
    </row>
    <row r="75" spans="1:12" x14ac:dyDescent="0.35">
      <c r="A75" t="s">
        <v>8</v>
      </c>
      <c r="B75" t="s">
        <v>100</v>
      </c>
      <c r="C75" t="s">
        <v>93</v>
      </c>
      <c r="D75" t="s">
        <v>10</v>
      </c>
      <c r="E75" t="s">
        <v>10</v>
      </c>
      <c r="F75" s="7">
        <v>45136</v>
      </c>
      <c r="G75" s="1">
        <v>44927</v>
      </c>
      <c r="H75" s="14">
        <v>5831.0729000000028</v>
      </c>
      <c r="I75">
        <v>827455</v>
      </c>
      <c r="J75" t="s">
        <v>88</v>
      </c>
      <c r="K75" t="s">
        <v>94</v>
      </c>
      <c r="L75" s="16" t="s">
        <v>10</v>
      </c>
    </row>
    <row r="76" spans="1:12" x14ac:dyDescent="0.35">
      <c r="A76" t="s">
        <v>8</v>
      </c>
      <c r="B76" t="s">
        <v>100</v>
      </c>
      <c r="C76" t="s">
        <v>95</v>
      </c>
      <c r="D76" t="s">
        <v>10</v>
      </c>
      <c r="E76" t="s">
        <v>10</v>
      </c>
      <c r="F76" s="7">
        <v>45136</v>
      </c>
      <c r="G76" s="1">
        <v>44927</v>
      </c>
      <c r="H76" s="14">
        <v>3139.6</v>
      </c>
      <c r="I76">
        <v>1509103</v>
      </c>
      <c r="J76" t="s">
        <v>88</v>
      </c>
      <c r="K76" t="s">
        <v>96</v>
      </c>
      <c r="L76" s="16" t="s">
        <v>10</v>
      </c>
    </row>
    <row r="77" spans="1:12" x14ac:dyDescent="0.35">
      <c r="A77" t="s">
        <v>8</v>
      </c>
      <c r="B77" t="s">
        <v>102</v>
      </c>
      <c r="C77" t="s">
        <v>95</v>
      </c>
      <c r="D77" t="s">
        <v>10</v>
      </c>
      <c r="E77" t="s">
        <v>10</v>
      </c>
      <c r="F77" s="7">
        <v>45136</v>
      </c>
      <c r="G77" s="1">
        <v>44927</v>
      </c>
      <c r="H77" s="14">
        <v>141.92000000000002</v>
      </c>
      <c r="I77">
        <v>32353</v>
      </c>
      <c r="J77" t="s">
        <v>88</v>
      </c>
      <c r="K77" t="s">
        <v>96</v>
      </c>
      <c r="L77" s="16" t="s">
        <v>10</v>
      </c>
    </row>
    <row r="78" spans="1:12" x14ac:dyDescent="0.35">
      <c r="A78" t="s">
        <v>8</v>
      </c>
      <c r="B78" t="s">
        <v>84</v>
      </c>
      <c r="C78" t="s">
        <v>95</v>
      </c>
      <c r="D78" t="s">
        <v>104</v>
      </c>
      <c r="E78" t="s">
        <v>8</v>
      </c>
      <c r="F78" s="7">
        <v>45136</v>
      </c>
      <c r="G78" s="1">
        <v>44927</v>
      </c>
      <c r="H78" s="14">
        <v>13948.090000000004</v>
      </c>
      <c r="I78">
        <v>50953</v>
      </c>
      <c r="J78" t="s">
        <v>88</v>
      </c>
      <c r="K78" t="s">
        <v>105</v>
      </c>
      <c r="L78" s="16" t="s">
        <v>95</v>
      </c>
    </row>
    <row r="79" spans="1:12" x14ac:dyDescent="0.35">
      <c r="A79" t="s">
        <v>8</v>
      </c>
      <c r="B79" t="s">
        <v>84</v>
      </c>
      <c r="C79" t="s">
        <v>85</v>
      </c>
      <c r="D79" t="s">
        <v>13</v>
      </c>
      <c r="E79" t="s">
        <v>10</v>
      </c>
      <c r="F79" s="7">
        <v>45143</v>
      </c>
      <c r="G79" s="1">
        <v>44927</v>
      </c>
      <c r="H79" s="14">
        <v>7389.390907</v>
      </c>
      <c r="I79">
        <v>769110</v>
      </c>
      <c r="J79" t="s">
        <v>88</v>
      </c>
      <c r="K79" t="s">
        <v>90</v>
      </c>
      <c r="L79" s="16" t="s">
        <v>13</v>
      </c>
    </row>
    <row r="80" spans="1:12" x14ac:dyDescent="0.35">
      <c r="A80" t="s">
        <v>8</v>
      </c>
      <c r="B80" t="s">
        <v>84</v>
      </c>
      <c r="C80" t="s">
        <v>85</v>
      </c>
      <c r="D80" t="s">
        <v>13</v>
      </c>
      <c r="E80" t="s">
        <v>11</v>
      </c>
      <c r="F80" s="7">
        <v>45143</v>
      </c>
      <c r="G80" s="1">
        <v>44927</v>
      </c>
      <c r="H80" s="14">
        <v>4551.2395979999992</v>
      </c>
      <c r="I80">
        <v>2431409</v>
      </c>
      <c r="J80" t="s">
        <v>88</v>
      </c>
      <c r="K80" t="s">
        <v>90</v>
      </c>
      <c r="L80" s="16" t="s">
        <v>13</v>
      </c>
    </row>
    <row r="81" spans="1:12" x14ac:dyDescent="0.35">
      <c r="A81" t="s">
        <v>8</v>
      </c>
      <c r="B81" t="s">
        <v>84</v>
      </c>
      <c r="C81" t="s">
        <v>85</v>
      </c>
      <c r="D81" t="s">
        <v>13</v>
      </c>
      <c r="E81" t="s">
        <v>12</v>
      </c>
      <c r="F81" s="7">
        <v>45143</v>
      </c>
      <c r="G81" s="1">
        <v>44927</v>
      </c>
      <c r="H81" s="14">
        <v>1480.8282359999998</v>
      </c>
      <c r="I81">
        <v>516226</v>
      </c>
      <c r="J81" t="s">
        <v>88</v>
      </c>
      <c r="K81" t="s">
        <v>90</v>
      </c>
      <c r="L81" s="16" t="s">
        <v>12</v>
      </c>
    </row>
    <row r="82" spans="1:12" x14ac:dyDescent="0.35">
      <c r="A82" t="s">
        <v>8</v>
      </c>
      <c r="B82" t="s">
        <v>17</v>
      </c>
      <c r="C82" t="s">
        <v>85</v>
      </c>
      <c r="D82" t="s">
        <v>9</v>
      </c>
      <c r="E82" t="s">
        <v>10</v>
      </c>
      <c r="F82" s="7">
        <v>45143</v>
      </c>
      <c r="G82" s="1">
        <v>44927</v>
      </c>
      <c r="H82" s="14">
        <v>32766.600002999992</v>
      </c>
      <c r="I82">
        <v>5233861</v>
      </c>
      <c r="J82" t="s">
        <v>88</v>
      </c>
      <c r="K82" t="s">
        <v>87</v>
      </c>
      <c r="L82" s="16" t="s">
        <v>9</v>
      </c>
    </row>
    <row r="83" spans="1:12" x14ac:dyDescent="0.35">
      <c r="A83" t="s">
        <v>8</v>
      </c>
      <c r="B83" t="s">
        <v>92</v>
      </c>
      <c r="C83" t="s">
        <v>93</v>
      </c>
      <c r="D83" t="s">
        <v>10</v>
      </c>
      <c r="E83" t="s">
        <v>10</v>
      </c>
      <c r="F83" s="7">
        <v>45143</v>
      </c>
      <c r="G83" s="1">
        <v>44927</v>
      </c>
      <c r="H83" s="14">
        <v>6201.795500000002</v>
      </c>
      <c r="I83">
        <v>939725</v>
      </c>
      <c r="J83" t="s">
        <v>88</v>
      </c>
      <c r="K83" t="s">
        <v>94</v>
      </c>
      <c r="L83" s="16" t="s">
        <v>10</v>
      </c>
    </row>
    <row r="84" spans="1:12" x14ac:dyDescent="0.35">
      <c r="A84" t="s">
        <v>8</v>
      </c>
      <c r="B84" t="s">
        <v>92</v>
      </c>
      <c r="C84" t="s">
        <v>95</v>
      </c>
      <c r="D84" t="s">
        <v>10</v>
      </c>
      <c r="E84" t="s">
        <v>10</v>
      </c>
      <c r="F84" s="7">
        <v>45143</v>
      </c>
      <c r="G84" s="1">
        <v>44927</v>
      </c>
      <c r="H84" s="14">
        <v>4137.8999999999987</v>
      </c>
      <c r="I84">
        <v>788517</v>
      </c>
      <c r="J84" t="s">
        <v>88</v>
      </c>
      <c r="K84" t="s">
        <v>96</v>
      </c>
      <c r="L84" s="16" t="s">
        <v>10</v>
      </c>
    </row>
    <row r="85" spans="1:12" x14ac:dyDescent="0.35">
      <c r="A85" t="s">
        <v>8</v>
      </c>
      <c r="B85" t="s">
        <v>84</v>
      </c>
      <c r="C85" t="s">
        <v>93</v>
      </c>
      <c r="D85" t="s">
        <v>10</v>
      </c>
      <c r="E85" t="s">
        <v>10</v>
      </c>
      <c r="F85" s="7">
        <v>45143</v>
      </c>
      <c r="G85" s="1">
        <v>44927</v>
      </c>
      <c r="H85" s="14">
        <v>18644.331200000008</v>
      </c>
      <c r="I85">
        <v>2398985</v>
      </c>
      <c r="J85" t="s">
        <v>88</v>
      </c>
      <c r="K85" t="s">
        <v>94</v>
      </c>
      <c r="L85" s="16" t="s">
        <v>10</v>
      </c>
    </row>
    <row r="86" spans="1:12" x14ac:dyDescent="0.35">
      <c r="A86" t="s">
        <v>8</v>
      </c>
      <c r="B86" t="s">
        <v>84</v>
      </c>
      <c r="C86" t="s">
        <v>95</v>
      </c>
      <c r="D86" t="s">
        <v>10</v>
      </c>
      <c r="E86" t="s">
        <v>10</v>
      </c>
      <c r="F86" s="7">
        <v>45143</v>
      </c>
      <c r="G86" s="1">
        <v>44927</v>
      </c>
      <c r="H86" s="14">
        <v>19160.000000000015</v>
      </c>
      <c r="I86">
        <v>3578089</v>
      </c>
      <c r="J86" t="s">
        <v>88</v>
      </c>
      <c r="K86" t="s">
        <v>96</v>
      </c>
      <c r="L86" s="16" t="s">
        <v>10</v>
      </c>
    </row>
    <row r="87" spans="1:12" x14ac:dyDescent="0.35">
      <c r="A87" t="s">
        <v>8</v>
      </c>
      <c r="B87" t="s">
        <v>17</v>
      </c>
      <c r="C87" t="s">
        <v>93</v>
      </c>
      <c r="D87" t="s">
        <v>10</v>
      </c>
      <c r="E87" t="s">
        <v>10</v>
      </c>
      <c r="F87" s="7">
        <v>45143</v>
      </c>
      <c r="G87" s="1">
        <v>44927</v>
      </c>
      <c r="H87" s="14">
        <v>6616.887700000003</v>
      </c>
      <c r="I87">
        <v>997291</v>
      </c>
      <c r="J87" t="s">
        <v>88</v>
      </c>
      <c r="K87" t="s">
        <v>94</v>
      </c>
      <c r="L87" s="16" t="s">
        <v>10</v>
      </c>
    </row>
    <row r="88" spans="1:12" x14ac:dyDescent="0.35">
      <c r="A88" t="s">
        <v>8</v>
      </c>
      <c r="B88" t="s">
        <v>17</v>
      </c>
      <c r="C88" t="s">
        <v>95</v>
      </c>
      <c r="D88" t="s">
        <v>10</v>
      </c>
      <c r="E88" t="s">
        <v>10</v>
      </c>
      <c r="F88" s="7">
        <v>45143</v>
      </c>
      <c r="G88" s="1">
        <v>44927</v>
      </c>
      <c r="H88" s="14">
        <v>5883.1499999999978</v>
      </c>
      <c r="I88">
        <v>1498878</v>
      </c>
      <c r="J88" t="s">
        <v>88</v>
      </c>
      <c r="K88" t="s">
        <v>96</v>
      </c>
      <c r="L88" s="16" t="s">
        <v>10</v>
      </c>
    </row>
    <row r="89" spans="1:12" x14ac:dyDescent="0.35">
      <c r="A89" t="s">
        <v>8</v>
      </c>
      <c r="B89" t="s">
        <v>99</v>
      </c>
      <c r="C89" t="s">
        <v>93</v>
      </c>
      <c r="D89" t="s">
        <v>10</v>
      </c>
      <c r="E89" t="s">
        <v>10</v>
      </c>
      <c r="F89" s="7">
        <v>45143</v>
      </c>
      <c r="G89" s="1">
        <v>44927</v>
      </c>
      <c r="H89" s="14">
        <v>6018.5332000000017</v>
      </c>
      <c r="I89">
        <v>852071</v>
      </c>
      <c r="J89" t="s">
        <v>88</v>
      </c>
      <c r="K89" t="s">
        <v>94</v>
      </c>
      <c r="L89" s="16" t="s">
        <v>10</v>
      </c>
    </row>
    <row r="90" spans="1:12" x14ac:dyDescent="0.35">
      <c r="A90" t="s">
        <v>8</v>
      </c>
      <c r="B90" t="s">
        <v>99</v>
      </c>
      <c r="C90" t="s">
        <v>95</v>
      </c>
      <c r="D90" t="s">
        <v>10</v>
      </c>
      <c r="E90" t="s">
        <v>10</v>
      </c>
      <c r="F90" s="7">
        <v>45143</v>
      </c>
      <c r="G90" s="1">
        <v>44927</v>
      </c>
      <c r="H90" s="14">
        <v>13286.260000000002</v>
      </c>
      <c r="I90">
        <v>3596361</v>
      </c>
      <c r="J90" t="s">
        <v>88</v>
      </c>
      <c r="K90" t="s">
        <v>96</v>
      </c>
      <c r="L90" s="16" t="s">
        <v>10</v>
      </c>
    </row>
    <row r="91" spans="1:12" x14ac:dyDescent="0.35">
      <c r="A91" t="s">
        <v>8</v>
      </c>
      <c r="B91" t="s">
        <v>100</v>
      </c>
      <c r="C91" t="s">
        <v>93</v>
      </c>
      <c r="D91" t="s">
        <v>10</v>
      </c>
      <c r="E91" t="s">
        <v>10</v>
      </c>
      <c r="F91" s="7">
        <v>45143</v>
      </c>
      <c r="G91" s="1">
        <v>44927</v>
      </c>
      <c r="H91" s="14">
        <v>5907.6620999999986</v>
      </c>
      <c r="I91">
        <v>966883</v>
      </c>
      <c r="J91" t="s">
        <v>88</v>
      </c>
      <c r="K91" t="s">
        <v>94</v>
      </c>
      <c r="L91" s="16" t="s">
        <v>10</v>
      </c>
    </row>
    <row r="92" spans="1:12" x14ac:dyDescent="0.35">
      <c r="A92" t="s">
        <v>8</v>
      </c>
      <c r="B92" t="s">
        <v>100</v>
      </c>
      <c r="C92" t="s">
        <v>95</v>
      </c>
      <c r="D92" t="s">
        <v>10</v>
      </c>
      <c r="E92" t="s">
        <v>10</v>
      </c>
      <c r="F92" s="7">
        <v>45143</v>
      </c>
      <c r="G92" s="1">
        <v>44927</v>
      </c>
      <c r="H92" s="14">
        <v>3918.1000000000008</v>
      </c>
      <c r="I92">
        <v>2303619</v>
      </c>
      <c r="J92" t="s">
        <v>88</v>
      </c>
      <c r="K92" t="s">
        <v>96</v>
      </c>
      <c r="L92" s="16" t="s">
        <v>10</v>
      </c>
    </row>
    <row r="93" spans="1:12" x14ac:dyDescent="0.35">
      <c r="A93" t="s">
        <v>8</v>
      </c>
      <c r="B93" t="s">
        <v>102</v>
      </c>
      <c r="C93" t="s">
        <v>95</v>
      </c>
      <c r="D93" t="s">
        <v>10</v>
      </c>
      <c r="E93" t="s">
        <v>10</v>
      </c>
      <c r="F93" s="7">
        <v>45143</v>
      </c>
      <c r="G93" s="1">
        <v>44927</v>
      </c>
      <c r="H93" s="14">
        <v>90.8</v>
      </c>
      <c r="I93">
        <v>35542</v>
      </c>
      <c r="J93" t="s">
        <v>88</v>
      </c>
      <c r="K93" t="s">
        <v>96</v>
      </c>
      <c r="L93" s="16" t="s">
        <v>10</v>
      </c>
    </row>
    <row r="94" spans="1:12" x14ac:dyDescent="0.35">
      <c r="A94" t="s">
        <v>8</v>
      </c>
      <c r="B94" t="s">
        <v>84</v>
      </c>
      <c r="C94" t="s">
        <v>95</v>
      </c>
      <c r="D94" t="s">
        <v>104</v>
      </c>
      <c r="E94" t="s">
        <v>8</v>
      </c>
      <c r="F94" s="7">
        <v>45143</v>
      </c>
      <c r="G94" s="1">
        <v>44927</v>
      </c>
      <c r="H94" s="14">
        <v>15258.67</v>
      </c>
      <c r="I94">
        <v>46242</v>
      </c>
      <c r="J94" t="s">
        <v>88</v>
      </c>
      <c r="K94" t="s">
        <v>105</v>
      </c>
      <c r="L94" s="16" t="s">
        <v>95</v>
      </c>
    </row>
    <row r="95" spans="1:12" x14ac:dyDescent="0.35">
      <c r="A95" t="s">
        <v>8</v>
      </c>
      <c r="B95" t="s">
        <v>84</v>
      </c>
      <c r="C95" t="s">
        <v>85</v>
      </c>
      <c r="D95" t="s">
        <v>13</v>
      </c>
      <c r="E95" t="s">
        <v>10</v>
      </c>
      <c r="F95" s="7">
        <v>45150</v>
      </c>
      <c r="G95" s="1">
        <v>44927</v>
      </c>
      <c r="H95" s="14">
        <v>8215.789721000001</v>
      </c>
      <c r="I95">
        <v>1111682</v>
      </c>
      <c r="J95" t="s">
        <v>88</v>
      </c>
      <c r="K95" t="s">
        <v>90</v>
      </c>
      <c r="L95" s="16" t="s">
        <v>13</v>
      </c>
    </row>
    <row r="96" spans="1:12" x14ac:dyDescent="0.35">
      <c r="A96" t="s">
        <v>8</v>
      </c>
      <c r="B96" t="s">
        <v>84</v>
      </c>
      <c r="C96" t="s">
        <v>85</v>
      </c>
      <c r="D96" t="s">
        <v>13</v>
      </c>
      <c r="E96" t="s">
        <v>11</v>
      </c>
      <c r="F96" s="7">
        <v>45150</v>
      </c>
      <c r="G96" s="1">
        <v>44927</v>
      </c>
      <c r="H96" s="14">
        <v>5394.2591620000012</v>
      </c>
      <c r="I96">
        <v>2606318</v>
      </c>
      <c r="J96" t="s">
        <v>88</v>
      </c>
      <c r="K96" t="s">
        <v>90</v>
      </c>
      <c r="L96" s="16" t="s">
        <v>13</v>
      </c>
    </row>
    <row r="97" spans="1:12" x14ac:dyDescent="0.35">
      <c r="A97" t="s">
        <v>8</v>
      </c>
      <c r="B97" t="s">
        <v>84</v>
      </c>
      <c r="C97" t="s">
        <v>85</v>
      </c>
      <c r="D97" t="s">
        <v>13</v>
      </c>
      <c r="E97" t="s">
        <v>12</v>
      </c>
      <c r="F97" s="7">
        <v>45150</v>
      </c>
      <c r="G97" s="1">
        <v>44927</v>
      </c>
      <c r="H97" s="14">
        <v>2257.8540680000001</v>
      </c>
      <c r="I97">
        <v>748193</v>
      </c>
      <c r="J97" t="s">
        <v>88</v>
      </c>
      <c r="K97" t="s">
        <v>90</v>
      </c>
      <c r="L97" s="16" t="s">
        <v>12</v>
      </c>
    </row>
    <row r="98" spans="1:12" x14ac:dyDescent="0.35">
      <c r="A98" t="s">
        <v>8</v>
      </c>
      <c r="B98" t="s">
        <v>17</v>
      </c>
      <c r="C98" t="s">
        <v>85</v>
      </c>
      <c r="D98" t="s">
        <v>9</v>
      </c>
      <c r="E98" t="s">
        <v>10</v>
      </c>
      <c r="F98" s="7">
        <v>45150</v>
      </c>
      <c r="G98" s="1">
        <v>44927</v>
      </c>
      <c r="H98" s="14">
        <v>31935.239996999993</v>
      </c>
      <c r="I98">
        <v>4991273</v>
      </c>
      <c r="J98" t="s">
        <v>88</v>
      </c>
      <c r="K98" t="s">
        <v>87</v>
      </c>
      <c r="L98" s="16" t="s">
        <v>9</v>
      </c>
    </row>
    <row r="99" spans="1:12" x14ac:dyDescent="0.35">
      <c r="A99" t="s">
        <v>8</v>
      </c>
      <c r="B99" t="s">
        <v>92</v>
      </c>
      <c r="C99" t="s">
        <v>93</v>
      </c>
      <c r="D99" t="s">
        <v>10</v>
      </c>
      <c r="E99" t="s">
        <v>10</v>
      </c>
      <c r="F99" s="7">
        <v>45150</v>
      </c>
      <c r="G99" s="1">
        <v>44927</v>
      </c>
      <c r="H99" s="14">
        <v>4792.2232999999978</v>
      </c>
      <c r="I99">
        <v>899465</v>
      </c>
      <c r="J99" t="s">
        <v>88</v>
      </c>
      <c r="K99" t="s">
        <v>94</v>
      </c>
      <c r="L99" s="16" t="s">
        <v>10</v>
      </c>
    </row>
    <row r="100" spans="1:12" x14ac:dyDescent="0.35">
      <c r="A100" t="s">
        <v>8</v>
      </c>
      <c r="B100" t="s">
        <v>92</v>
      </c>
      <c r="C100" t="s">
        <v>95</v>
      </c>
      <c r="D100" t="s">
        <v>10</v>
      </c>
      <c r="E100" t="s">
        <v>10</v>
      </c>
      <c r="F100" s="7">
        <v>45150</v>
      </c>
      <c r="G100" s="1">
        <v>44927</v>
      </c>
      <c r="H100" s="14">
        <v>7268.3500000000013</v>
      </c>
      <c r="I100">
        <v>1892701</v>
      </c>
      <c r="J100" t="s">
        <v>88</v>
      </c>
      <c r="K100" t="s">
        <v>96</v>
      </c>
      <c r="L100" s="16" t="s">
        <v>10</v>
      </c>
    </row>
    <row r="101" spans="1:12" x14ac:dyDescent="0.35">
      <c r="A101" t="s">
        <v>8</v>
      </c>
      <c r="B101" t="s">
        <v>84</v>
      </c>
      <c r="C101" t="s">
        <v>93</v>
      </c>
      <c r="D101" t="s">
        <v>10</v>
      </c>
      <c r="E101" t="s">
        <v>10</v>
      </c>
      <c r="F101" s="7">
        <v>45150</v>
      </c>
      <c r="G101" s="1">
        <v>44927</v>
      </c>
      <c r="H101" s="14">
        <v>15486.809600000008</v>
      </c>
      <c r="I101">
        <v>2575987</v>
      </c>
      <c r="J101" t="s">
        <v>88</v>
      </c>
      <c r="K101" t="s">
        <v>94</v>
      </c>
      <c r="L101" s="16" t="s">
        <v>10</v>
      </c>
    </row>
    <row r="102" spans="1:12" x14ac:dyDescent="0.35">
      <c r="A102" t="s">
        <v>8</v>
      </c>
      <c r="B102" t="s">
        <v>84</v>
      </c>
      <c r="C102" t="s">
        <v>95</v>
      </c>
      <c r="D102" t="s">
        <v>10</v>
      </c>
      <c r="E102" t="s">
        <v>10</v>
      </c>
      <c r="F102" s="7">
        <v>45150</v>
      </c>
      <c r="G102" s="1">
        <v>44927</v>
      </c>
      <c r="H102" s="14">
        <v>7393.9799999999977</v>
      </c>
      <c r="I102">
        <v>2038179</v>
      </c>
      <c r="J102" t="s">
        <v>88</v>
      </c>
      <c r="K102" t="s">
        <v>96</v>
      </c>
      <c r="L102" s="16" t="s">
        <v>10</v>
      </c>
    </row>
    <row r="103" spans="1:12" x14ac:dyDescent="0.35">
      <c r="A103" t="s">
        <v>8</v>
      </c>
      <c r="B103" t="s">
        <v>17</v>
      </c>
      <c r="C103" t="s">
        <v>93</v>
      </c>
      <c r="D103" t="s">
        <v>10</v>
      </c>
      <c r="E103" t="s">
        <v>10</v>
      </c>
      <c r="F103" s="7">
        <v>45150</v>
      </c>
      <c r="G103" s="1">
        <v>44927</v>
      </c>
      <c r="H103" s="14">
        <v>6345.0311999999985</v>
      </c>
      <c r="I103">
        <v>880414</v>
      </c>
      <c r="J103" t="s">
        <v>88</v>
      </c>
      <c r="K103" t="s">
        <v>94</v>
      </c>
      <c r="L103" s="16" t="s">
        <v>10</v>
      </c>
    </row>
    <row r="104" spans="1:12" x14ac:dyDescent="0.35">
      <c r="A104" t="s">
        <v>8</v>
      </c>
      <c r="B104" t="s">
        <v>17</v>
      </c>
      <c r="C104" t="s">
        <v>95</v>
      </c>
      <c r="D104" t="s">
        <v>10</v>
      </c>
      <c r="E104" t="s">
        <v>10</v>
      </c>
      <c r="F104" s="7">
        <v>45150</v>
      </c>
      <c r="G104" s="1">
        <v>44927</v>
      </c>
      <c r="H104" s="14">
        <v>6986.8900000000012</v>
      </c>
      <c r="I104">
        <v>1632708</v>
      </c>
      <c r="J104" t="s">
        <v>88</v>
      </c>
      <c r="K104" t="s">
        <v>96</v>
      </c>
      <c r="L104" s="16" t="s">
        <v>10</v>
      </c>
    </row>
    <row r="105" spans="1:12" x14ac:dyDescent="0.35">
      <c r="A105" t="s">
        <v>8</v>
      </c>
      <c r="B105" t="s">
        <v>99</v>
      </c>
      <c r="C105" t="s">
        <v>93</v>
      </c>
      <c r="D105" t="s">
        <v>10</v>
      </c>
      <c r="E105" t="s">
        <v>10</v>
      </c>
      <c r="F105" s="7">
        <v>45150</v>
      </c>
      <c r="G105" s="1">
        <v>44927</v>
      </c>
      <c r="H105" s="14">
        <v>5830.0846000000001</v>
      </c>
      <c r="I105">
        <v>830217</v>
      </c>
      <c r="J105" t="s">
        <v>88</v>
      </c>
      <c r="K105" t="s">
        <v>94</v>
      </c>
      <c r="L105" s="16" t="s">
        <v>10</v>
      </c>
    </row>
    <row r="106" spans="1:12" x14ac:dyDescent="0.35">
      <c r="A106" t="s">
        <v>8</v>
      </c>
      <c r="B106" t="s">
        <v>99</v>
      </c>
      <c r="C106" t="s">
        <v>95</v>
      </c>
      <c r="D106" t="s">
        <v>10</v>
      </c>
      <c r="E106" t="s">
        <v>10</v>
      </c>
      <c r="F106" s="7">
        <v>45150</v>
      </c>
      <c r="G106" s="1">
        <v>44927</v>
      </c>
      <c r="H106" s="14">
        <v>5642.86</v>
      </c>
      <c r="I106">
        <v>1178802</v>
      </c>
      <c r="J106" t="s">
        <v>88</v>
      </c>
      <c r="K106" t="s">
        <v>96</v>
      </c>
      <c r="L106" s="16" t="s">
        <v>10</v>
      </c>
    </row>
    <row r="107" spans="1:12" x14ac:dyDescent="0.35">
      <c r="A107" t="s">
        <v>8</v>
      </c>
      <c r="B107" t="s">
        <v>100</v>
      </c>
      <c r="C107" t="s">
        <v>93</v>
      </c>
      <c r="D107" t="s">
        <v>10</v>
      </c>
      <c r="E107" t="s">
        <v>10</v>
      </c>
      <c r="F107" s="7">
        <v>45150</v>
      </c>
      <c r="G107" s="1">
        <v>44927</v>
      </c>
      <c r="H107" s="14">
        <v>6305.6124999999993</v>
      </c>
      <c r="I107">
        <v>972514</v>
      </c>
      <c r="J107" t="s">
        <v>88</v>
      </c>
      <c r="K107" t="s">
        <v>94</v>
      </c>
      <c r="L107" s="16" t="s">
        <v>10</v>
      </c>
    </row>
    <row r="108" spans="1:12" x14ac:dyDescent="0.35">
      <c r="A108" t="s">
        <v>8</v>
      </c>
      <c r="B108" t="s">
        <v>100</v>
      </c>
      <c r="C108" t="s">
        <v>95</v>
      </c>
      <c r="D108" t="s">
        <v>10</v>
      </c>
      <c r="E108" t="s">
        <v>10</v>
      </c>
      <c r="F108" s="7">
        <v>45150</v>
      </c>
      <c r="G108" s="1">
        <v>44927</v>
      </c>
      <c r="H108" s="14">
        <v>3812.1299999999992</v>
      </c>
      <c r="I108">
        <v>1478237</v>
      </c>
      <c r="J108" t="s">
        <v>88</v>
      </c>
      <c r="K108" t="s">
        <v>96</v>
      </c>
      <c r="L108" s="16" t="s">
        <v>10</v>
      </c>
    </row>
    <row r="109" spans="1:12" x14ac:dyDescent="0.35">
      <c r="A109" t="s">
        <v>8</v>
      </c>
      <c r="B109" t="s">
        <v>102</v>
      </c>
      <c r="C109" t="s">
        <v>95</v>
      </c>
      <c r="D109" t="s">
        <v>10</v>
      </c>
      <c r="E109" t="s">
        <v>10</v>
      </c>
      <c r="F109" s="7">
        <v>45150</v>
      </c>
      <c r="G109" s="1">
        <v>44927</v>
      </c>
      <c r="H109" s="14">
        <v>29.840000000000003</v>
      </c>
      <c r="I109">
        <v>17713</v>
      </c>
      <c r="J109" t="s">
        <v>88</v>
      </c>
      <c r="K109" t="s">
        <v>96</v>
      </c>
      <c r="L109" s="16" t="s">
        <v>10</v>
      </c>
    </row>
    <row r="110" spans="1:12" x14ac:dyDescent="0.35">
      <c r="A110" t="s">
        <v>8</v>
      </c>
      <c r="B110" t="s">
        <v>84</v>
      </c>
      <c r="C110" t="s">
        <v>95</v>
      </c>
      <c r="D110" t="s">
        <v>104</v>
      </c>
      <c r="E110" t="s">
        <v>8</v>
      </c>
      <c r="F110" s="7">
        <v>45150</v>
      </c>
      <c r="G110" s="1">
        <v>44927</v>
      </c>
      <c r="H110" s="14">
        <v>13302.56</v>
      </c>
      <c r="I110">
        <v>41698</v>
      </c>
      <c r="J110" t="s">
        <v>88</v>
      </c>
      <c r="K110" t="s">
        <v>105</v>
      </c>
      <c r="L110" s="16" t="s">
        <v>95</v>
      </c>
    </row>
    <row r="111" spans="1:12" x14ac:dyDescent="0.35">
      <c r="A111" t="s">
        <v>8</v>
      </c>
      <c r="B111" t="s">
        <v>84</v>
      </c>
      <c r="C111" t="s">
        <v>85</v>
      </c>
      <c r="D111" t="s">
        <v>13</v>
      </c>
      <c r="E111" t="s">
        <v>10</v>
      </c>
      <c r="F111" s="7">
        <v>45157</v>
      </c>
      <c r="G111" s="1">
        <v>44927</v>
      </c>
      <c r="H111" s="14">
        <v>7907.9364459999997</v>
      </c>
      <c r="I111">
        <v>940923</v>
      </c>
      <c r="J111" t="s">
        <v>88</v>
      </c>
      <c r="K111" t="s">
        <v>90</v>
      </c>
      <c r="L111" s="16" t="s">
        <v>13</v>
      </c>
    </row>
    <row r="112" spans="1:12" x14ac:dyDescent="0.35">
      <c r="A112" t="s">
        <v>8</v>
      </c>
      <c r="B112" t="s">
        <v>84</v>
      </c>
      <c r="C112" t="s">
        <v>85</v>
      </c>
      <c r="D112" t="s">
        <v>13</v>
      </c>
      <c r="E112" t="s">
        <v>11</v>
      </c>
      <c r="F112" s="7">
        <v>45157</v>
      </c>
      <c r="G112" s="1">
        <v>44927</v>
      </c>
      <c r="H112" s="14">
        <v>5355.2110149999999</v>
      </c>
      <c r="I112">
        <v>2268015</v>
      </c>
      <c r="J112" t="s">
        <v>88</v>
      </c>
      <c r="K112" t="s">
        <v>90</v>
      </c>
      <c r="L112" s="16" t="s">
        <v>13</v>
      </c>
    </row>
    <row r="113" spans="1:12" x14ac:dyDescent="0.35">
      <c r="A113" t="s">
        <v>8</v>
      </c>
      <c r="B113" t="s">
        <v>84</v>
      </c>
      <c r="C113" t="s">
        <v>85</v>
      </c>
      <c r="D113" t="s">
        <v>13</v>
      </c>
      <c r="E113" t="s">
        <v>12</v>
      </c>
      <c r="F113" s="7">
        <v>45157</v>
      </c>
      <c r="G113" s="1">
        <v>44927</v>
      </c>
      <c r="H113" s="14">
        <v>2433.0227869999999</v>
      </c>
      <c r="I113">
        <v>691033</v>
      </c>
      <c r="J113" t="s">
        <v>88</v>
      </c>
      <c r="K113" t="s">
        <v>90</v>
      </c>
      <c r="L113" s="16" t="s">
        <v>12</v>
      </c>
    </row>
    <row r="114" spans="1:12" x14ac:dyDescent="0.35">
      <c r="A114" t="s">
        <v>8</v>
      </c>
      <c r="B114" t="s">
        <v>17</v>
      </c>
      <c r="C114" t="s">
        <v>85</v>
      </c>
      <c r="D114" t="s">
        <v>9</v>
      </c>
      <c r="E114" t="s">
        <v>10</v>
      </c>
      <c r="F114" s="7">
        <v>45157</v>
      </c>
      <c r="G114" s="1">
        <v>44927</v>
      </c>
      <c r="H114" s="14">
        <v>32411.340014000001</v>
      </c>
      <c r="I114">
        <v>4861713</v>
      </c>
      <c r="J114" t="s">
        <v>88</v>
      </c>
      <c r="K114" t="s">
        <v>87</v>
      </c>
      <c r="L114" s="16" t="s">
        <v>9</v>
      </c>
    </row>
    <row r="115" spans="1:12" x14ac:dyDescent="0.35">
      <c r="A115" t="s">
        <v>8</v>
      </c>
      <c r="B115" t="s">
        <v>92</v>
      </c>
      <c r="C115" t="s">
        <v>93</v>
      </c>
      <c r="D115" t="s">
        <v>10</v>
      </c>
      <c r="E115" t="s">
        <v>10</v>
      </c>
      <c r="F115" s="7">
        <v>45157</v>
      </c>
      <c r="G115" s="1">
        <v>44927</v>
      </c>
      <c r="H115" s="14">
        <v>4842.7989000000025</v>
      </c>
      <c r="I115">
        <v>710921</v>
      </c>
      <c r="J115" t="s">
        <v>88</v>
      </c>
      <c r="K115" t="s">
        <v>94</v>
      </c>
      <c r="L115" s="16" t="s">
        <v>10</v>
      </c>
    </row>
    <row r="116" spans="1:12" x14ac:dyDescent="0.35">
      <c r="A116" t="s">
        <v>8</v>
      </c>
      <c r="B116" t="s">
        <v>92</v>
      </c>
      <c r="C116" t="s">
        <v>95</v>
      </c>
      <c r="D116" t="s">
        <v>10</v>
      </c>
      <c r="E116" t="s">
        <v>10</v>
      </c>
      <c r="F116" s="7">
        <v>45157</v>
      </c>
      <c r="G116" s="1">
        <v>44927</v>
      </c>
      <c r="H116" s="14">
        <v>6312.8200000000015</v>
      </c>
      <c r="I116">
        <v>1161472</v>
      </c>
      <c r="J116" t="s">
        <v>88</v>
      </c>
      <c r="K116" t="s">
        <v>96</v>
      </c>
      <c r="L116" s="16" t="s">
        <v>10</v>
      </c>
    </row>
    <row r="117" spans="1:12" x14ac:dyDescent="0.35">
      <c r="A117" t="s">
        <v>8</v>
      </c>
      <c r="B117" t="s">
        <v>84</v>
      </c>
      <c r="C117" t="s">
        <v>93</v>
      </c>
      <c r="D117" t="s">
        <v>10</v>
      </c>
      <c r="E117" t="s">
        <v>10</v>
      </c>
      <c r="F117" s="7">
        <v>45157</v>
      </c>
      <c r="G117" s="1">
        <v>44927</v>
      </c>
      <c r="H117" s="14">
        <v>17992.608899999996</v>
      </c>
      <c r="I117">
        <v>2788644</v>
      </c>
      <c r="J117" t="s">
        <v>88</v>
      </c>
      <c r="K117" t="s">
        <v>94</v>
      </c>
      <c r="L117" s="16" t="s">
        <v>10</v>
      </c>
    </row>
    <row r="118" spans="1:12" x14ac:dyDescent="0.35">
      <c r="A118" t="s">
        <v>8</v>
      </c>
      <c r="B118" t="s">
        <v>84</v>
      </c>
      <c r="C118" t="s">
        <v>95</v>
      </c>
      <c r="D118" t="s">
        <v>10</v>
      </c>
      <c r="E118" t="s">
        <v>10</v>
      </c>
      <c r="F118" s="7">
        <v>45157</v>
      </c>
      <c r="G118" s="1">
        <v>44927</v>
      </c>
      <c r="H118" s="14">
        <v>2508.8700000000003</v>
      </c>
      <c r="I118">
        <v>891382</v>
      </c>
      <c r="J118" t="s">
        <v>88</v>
      </c>
      <c r="K118" t="s">
        <v>96</v>
      </c>
      <c r="L118" s="16" t="s">
        <v>10</v>
      </c>
    </row>
    <row r="119" spans="1:12" x14ac:dyDescent="0.35">
      <c r="A119" t="s">
        <v>8</v>
      </c>
      <c r="B119" t="s">
        <v>17</v>
      </c>
      <c r="C119" t="s">
        <v>93</v>
      </c>
      <c r="D119" t="s">
        <v>10</v>
      </c>
      <c r="E119" t="s">
        <v>10</v>
      </c>
      <c r="F119" s="7">
        <v>45157</v>
      </c>
      <c r="G119" s="1">
        <v>44927</v>
      </c>
      <c r="H119" s="14">
        <v>8070.4940999999981</v>
      </c>
      <c r="I119">
        <v>1075785</v>
      </c>
      <c r="J119" t="s">
        <v>88</v>
      </c>
      <c r="K119" t="s">
        <v>94</v>
      </c>
      <c r="L119" s="16" t="s">
        <v>10</v>
      </c>
    </row>
    <row r="120" spans="1:12" x14ac:dyDescent="0.35">
      <c r="A120" t="s">
        <v>8</v>
      </c>
      <c r="B120" t="s">
        <v>17</v>
      </c>
      <c r="C120" t="s">
        <v>95</v>
      </c>
      <c r="D120" t="s">
        <v>10</v>
      </c>
      <c r="E120" t="s">
        <v>10</v>
      </c>
      <c r="F120" s="7">
        <v>45157</v>
      </c>
      <c r="G120" s="1">
        <v>44927</v>
      </c>
      <c r="H120" s="14">
        <v>7911.0200000000013</v>
      </c>
      <c r="I120">
        <v>1855963</v>
      </c>
      <c r="J120" t="s">
        <v>88</v>
      </c>
      <c r="K120" t="s">
        <v>96</v>
      </c>
      <c r="L120" s="16" t="s">
        <v>10</v>
      </c>
    </row>
    <row r="121" spans="1:12" x14ac:dyDescent="0.35">
      <c r="A121" t="s">
        <v>8</v>
      </c>
      <c r="B121" t="s">
        <v>99</v>
      </c>
      <c r="C121" t="s">
        <v>93</v>
      </c>
      <c r="D121" t="s">
        <v>10</v>
      </c>
      <c r="E121" t="s">
        <v>10</v>
      </c>
      <c r="F121" s="7">
        <v>45157</v>
      </c>
      <c r="G121" s="1">
        <v>44927</v>
      </c>
      <c r="H121" s="14">
        <v>4737.5258000000003</v>
      </c>
      <c r="I121">
        <v>592965</v>
      </c>
      <c r="J121" t="s">
        <v>88</v>
      </c>
      <c r="K121" t="s">
        <v>94</v>
      </c>
      <c r="L121" s="16" t="s">
        <v>10</v>
      </c>
    </row>
    <row r="122" spans="1:12" x14ac:dyDescent="0.35">
      <c r="A122" t="s">
        <v>8</v>
      </c>
      <c r="B122" t="s">
        <v>99</v>
      </c>
      <c r="C122" t="s">
        <v>95</v>
      </c>
      <c r="D122" t="s">
        <v>10</v>
      </c>
      <c r="E122" t="s">
        <v>10</v>
      </c>
      <c r="F122" s="7">
        <v>45157</v>
      </c>
      <c r="G122" s="1">
        <v>44927</v>
      </c>
      <c r="H122" s="14">
        <v>2912.7300000000014</v>
      </c>
      <c r="I122">
        <v>708787</v>
      </c>
      <c r="J122" t="s">
        <v>88</v>
      </c>
      <c r="K122" t="s">
        <v>96</v>
      </c>
      <c r="L122" s="16" t="s">
        <v>10</v>
      </c>
    </row>
    <row r="123" spans="1:12" x14ac:dyDescent="0.35">
      <c r="A123" t="s">
        <v>8</v>
      </c>
      <c r="B123" t="s">
        <v>100</v>
      </c>
      <c r="C123" t="s">
        <v>93</v>
      </c>
      <c r="D123" t="s">
        <v>10</v>
      </c>
      <c r="E123" t="s">
        <v>10</v>
      </c>
      <c r="F123" s="7">
        <v>45157</v>
      </c>
      <c r="G123" s="1">
        <v>44927</v>
      </c>
      <c r="H123" s="14">
        <v>4965.8113999999978</v>
      </c>
      <c r="I123">
        <v>685325</v>
      </c>
      <c r="J123" t="s">
        <v>88</v>
      </c>
      <c r="K123" t="s">
        <v>94</v>
      </c>
      <c r="L123" s="16" t="s">
        <v>10</v>
      </c>
    </row>
    <row r="124" spans="1:12" x14ac:dyDescent="0.35">
      <c r="A124" t="s">
        <v>8</v>
      </c>
      <c r="B124" t="s">
        <v>100</v>
      </c>
      <c r="C124" t="s">
        <v>95</v>
      </c>
      <c r="D124" t="s">
        <v>10</v>
      </c>
      <c r="E124" t="s">
        <v>10</v>
      </c>
      <c r="F124" s="7">
        <v>45157</v>
      </c>
      <c r="G124" s="1">
        <v>44927</v>
      </c>
      <c r="H124" s="14">
        <v>4888.55</v>
      </c>
      <c r="I124">
        <v>1936216</v>
      </c>
      <c r="J124" t="s">
        <v>88</v>
      </c>
      <c r="K124" t="s">
        <v>96</v>
      </c>
      <c r="L124" s="16" t="s">
        <v>10</v>
      </c>
    </row>
    <row r="125" spans="1:12" x14ac:dyDescent="0.35">
      <c r="A125" t="s">
        <v>8</v>
      </c>
      <c r="B125" t="s">
        <v>102</v>
      </c>
      <c r="C125" t="s">
        <v>95</v>
      </c>
      <c r="D125" t="s">
        <v>10</v>
      </c>
      <c r="E125" t="s">
        <v>10</v>
      </c>
      <c r="F125" s="7">
        <v>45157</v>
      </c>
      <c r="G125" s="1">
        <v>44927</v>
      </c>
      <c r="H125" s="14">
        <v>10.809999999999999</v>
      </c>
      <c r="I125">
        <v>10665</v>
      </c>
      <c r="J125" t="s">
        <v>88</v>
      </c>
      <c r="K125" t="s">
        <v>96</v>
      </c>
      <c r="L125" s="16" t="s">
        <v>10</v>
      </c>
    </row>
    <row r="126" spans="1:12" x14ac:dyDescent="0.35">
      <c r="A126" t="s">
        <v>8</v>
      </c>
      <c r="B126" t="s">
        <v>84</v>
      </c>
      <c r="C126" t="s">
        <v>95</v>
      </c>
      <c r="D126" t="s">
        <v>104</v>
      </c>
      <c r="E126" t="s">
        <v>8</v>
      </c>
      <c r="F126" s="7">
        <v>45157</v>
      </c>
      <c r="G126" s="1">
        <v>44927</v>
      </c>
      <c r="H126" s="14">
        <v>13178.14</v>
      </c>
      <c r="I126">
        <v>42774</v>
      </c>
      <c r="J126" t="s">
        <v>88</v>
      </c>
      <c r="K126" t="s">
        <v>105</v>
      </c>
      <c r="L126" s="16" t="s">
        <v>95</v>
      </c>
    </row>
    <row r="127" spans="1:12" x14ac:dyDescent="0.35">
      <c r="A127" t="s">
        <v>8</v>
      </c>
      <c r="B127" t="s">
        <v>84</v>
      </c>
      <c r="C127" t="s">
        <v>85</v>
      </c>
      <c r="D127" t="s">
        <v>13</v>
      </c>
      <c r="E127" t="s">
        <v>10</v>
      </c>
      <c r="F127" s="7">
        <v>45164</v>
      </c>
      <c r="G127" s="1">
        <v>44927</v>
      </c>
      <c r="H127" s="14">
        <v>1106.513954</v>
      </c>
      <c r="I127">
        <v>100107</v>
      </c>
      <c r="J127" t="s">
        <v>88</v>
      </c>
      <c r="K127" t="s">
        <v>90</v>
      </c>
      <c r="L127" s="16" t="s">
        <v>13</v>
      </c>
    </row>
    <row r="128" spans="1:12" x14ac:dyDescent="0.35">
      <c r="A128" t="s">
        <v>8</v>
      </c>
      <c r="B128" t="s">
        <v>84</v>
      </c>
      <c r="C128" t="s">
        <v>85</v>
      </c>
      <c r="D128" t="s">
        <v>13</v>
      </c>
      <c r="E128" t="s">
        <v>11</v>
      </c>
      <c r="F128" s="7">
        <v>45164</v>
      </c>
      <c r="G128" s="1">
        <v>44927</v>
      </c>
      <c r="H128" s="14">
        <v>11104.198451</v>
      </c>
      <c r="I128">
        <v>3483250</v>
      </c>
      <c r="J128" t="s">
        <v>88</v>
      </c>
      <c r="K128" t="s">
        <v>90</v>
      </c>
      <c r="L128" s="16" t="s">
        <v>13</v>
      </c>
    </row>
    <row r="129" spans="1:12" x14ac:dyDescent="0.35">
      <c r="A129" t="s">
        <v>8</v>
      </c>
      <c r="B129" t="s">
        <v>84</v>
      </c>
      <c r="C129" t="s">
        <v>85</v>
      </c>
      <c r="D129" t="s">
        <v>13</v>
      </c>
      <c r="E129" t="s">
        <v>12</v>
      </c>
      <c r="F129" s="7">
        <v>45164</v>
      </c>
      <c r="G129" s="1">
        <v>44927</v>
      </c>
      <c r="H129" s="14">
        <v>304.294445</v>
      </c>
      <c r="I129">
        <v>70891</v>
      </c>
      <c r="J129" t="s">
        <v>88</v>
      </c>
      <c r="K129" t="s">
        <v>90</v>
      </c>
      <c r="L129" s="16" t="s">
        <v>12</v>
      </c>
    </row>
    <row r="130" spans="1:12" x14ac:dyDescent="0.35">
      <c r="A130" t="s">
        <v>8</v>
      </c>
      <c r="B130" t="s">
        <v>17</v>
      </c>
      <c r="C130" t="s">
        <v>85</v>
      </c>
      <c r="D130" t="s">
        <v>9</v>
      </c>
      <c r="E130" t="s">
        <v>10</v>
      </c>
      <c r="F130" s="7">
        <v>45164</v>
      </c>
      <c r="G130" s="1">
        <v>44927</v>
      </c>
      <c r="H130" s="14">
        <v>4412.3699969999998</v>
      </c>
      <c r="I130">
        <v>699052</v>
      </c>
      <c r="J130" t="s">
        <v>88</v>
      </c>
      <c r="K130" t="s">
        <v>87</v>
      </c>
      <c r="L130" s="16" t="s">
        <v>9</v>
      </c>
    </row>
    <row r="131" spans="1:12" x14ac:dyDescent="0.35">
      <c r="A131" t="s">
        <v>8</v>
      </c>
      <c r="B131" t="s">
        <v>92</v>
      </c>
      <c r="C131" t="s">
        <v>93</v>
      </c>
      <c r="D131" t="s">
        <v>10</v>
      </c>
      <c r="E131" t="s">
        <v>10</v>
      </c>
      <c r="F131" s="7">
        <v>45164</v>
      </c>
      <c r="G131" s="1">
        <v>44927</v>
      </c>
      <c r="H131" s="14">
        <v>6698.2117999999982</v>
      </c>
      <c r="I131">
        <v>876186</v>
      </c>
      <c r="J131" t="s">
        <v>88</v>
      </c>
      <c r="K131" t="s">
        <v>94</v>
      </c>
      <c r="L131" s="16" t="s">
        <v>10</v>
      </c>
    </row>
    <row r="132" spans="1:12" x14ac:dyDescent="0.35">
      <c r="A132" t="s">
        <v>8</v>
      </c>
      <c r="B132" t="s">
        <v>92</v>
      </c>
      <c r="C132" t="s">
        <v>95</v>
      </c>
      <c r="D132" t="s">
        <v>10</v>
      </c>
      <c r="E132" t="s">
        <v>10</v>
      </c>
      <c r="F132" s="7">
        <v>45164</v>
      </c>
      <c r="G132" s="1">
        <v>44927</v>
      </c>
      <c r="H132" s="14">
        <v>6502.4300000000012</v>
      </c>
      <c r="I132">
        <v>1232927</v>
      </c>
      <c r="J132" t="s">
        <v>88</v>
      </c>
      <c r="K132" t="s">
        <v>96</v>
      </c>
      <c r="L132" s="16" t="s">
        <v>10</v>
      </c>
    </row>
    <row r="133" spans="1:12" x14ac:dyDescent="0.35">
      <c r="A133" t="s">
        <v>8</v>
      </c>
      <c r="B133" t="s">
        <v>84</v>
      </c>
      <c r="C133" t="s">
        <v>93</v>
      </c>
      <c r="D133" t="s">
        <v>10</v>
      </c>
      <c r="E133" t="s">
        <v>10</v>
      </c>
      <c r="F133" s="7">
        <v>45164</v>
      </c>
      <c r="G133" s="1">
        <v>44927</v>
      </c>
      <c r="H133" s="14">
        <v>18022.968700000001</v>
      </c>
      <c r="I133">
        <v>2904653</v>
      </c>
      <c r="J133" t="s">
        <v>88</v>
      </c>
      <c r="K133" t="s">
        <v>94</v>
      </c>
      <c r="L133" s="16" t="s">
        <v>10</v>
      </c>
    </row>
    <row r="134" spans="1:12" x14ac:dyDescent="0.35">
      <c r="A134" t="s">
        <v>8</v>
      </c>
      <c r="B134" t="s">
        <v>84</v>
      </c>
      <c r="C134" t="s">
        <v>95</v>
      </c>
      <c r="D134" t="s">
        <v>10</v>
      </c>
      <c r="E134" t="s">
        <v>10</v>
      </c>
      <c r="F134" s="7">
        <v>45164</v>
      </c>
      <c r="G134" s="1">
        <v>44927</v>
      </c>
      <c r="H134" s="14">
        <v>1923.2099999999998</v>
      </c>
      <c r="I134">
        <v>543927</v>
      </c>
      <c r="J134" t="s">
        <v>88</v>
      </c>
      <c r="K134" t="s">
        <v>96</v>
      </c>
      <c r="L134" s="16" t="s">
        <v>10</v>
      </c>
    </row>
    <row r="135" spans="1:12" x14ac:dyDescent="0.35">
      <c r="A135" t="s">
        <v>8</v>
      </c>
      <c r="B135" t="s">
        <v>17</v>
      </c>
      <c r="C135" t="s">
        <v>93</v>
      </c>
      <c r="D135" t="s">
        <v>10</v>
      </c>
      <c r="E135" t="s">
        <v>10</v>
      </c>
      <c r="F135" s="7">
        <v>45164</v>
      </c>
      <c r="G135" s="1">
        <v>44927</v>
      </c>
      <c r="H135" s="14">
        <v>8057.9412999999995</v>
      </c>
      <c r="I135">
        <v>1095793</v>
      </c>
      <c r="J135" t="s">
        <v>88</v>
      </c>
      <c r="K135" t="s">
        <v>94</v>
      </c>
      <c r="L135" s="16" t="s">
        <v>10</v>
      </c>
    </row>
    <row r="136" spans="1:12" x14ac:dyDescent="0.35">
      <c r="A136" t="s">
        <v>8</v>
      </c>
      <c r="B136" t="s">
        <v>17</v>
      </c>
      <c r="C136" t="s">
        <v>95</v>
      </c>
      <c r="D136" t="s">
        <v>10</v>
      </c>
      <c r="E136" t="s">
        <v>10</v>
      </c>
      <c r="F136" s="7">
        <v>45164</v>
      </c>
      <c r="G136" s="1">
        <v>44927</v>
      </c>
      <c r="H136" s="14">
        <v>9311.6699999999983</v>
      </c>
      <c r="I136">
        <v>2600185</v>
      </c>
      <c r="J136" t="s">
        <v>88</v>
      </c>
      <c r="K136" t="s">
        <v>96</v>
      </c>
      <c r="L136" s="16" t="s">
        <v>10</v>
      </c>
    </row>
    <row r="137" spans="1:12" x14ac:dyDescent="0.35">
      <c r="A137" t="s">
        <v>8</v>
      </c>
      <c r="B137" t="s">
        <v>99</v>
      </c>
      <c r="C137" t="s">
        <v>93</v>
      </c>
      <c r="D137" t="s">
        <v>10</v>
      </c>
      <c r="E137" t="s">
        <v>10</v>
      </c>
      <c r="F137" s="7">
        <v>45164</v>
      </c>
      <c r="G137" s="1">
        <v>44927</v>
      </c>
      <c r="H137" s="14">
        <v>4058.3792000000008</v>
      </c>
      <c r="I137">
        <v>557078</v>
      </c>
      <c r="J137" t="s">
        <v>88</v>
      </c>
      <c r="K137" t="s">
        <v>94</v>
      </c>
      <c r="L137" s="16" t="s">
        <v>10</v>
      </c>
    </row>
    <row r="138" spans="1:12" x14ac:dyDescent="0.35">
      <c r="A138" t="s">
        <v>8</v>
      </c>
      <c r="B138" t="s">
        <v>99</v>
      </c>
      <c r="C138" t="s">
        <v>95</v>
      </c>
      <c r="D138" t="s">
        <v>10</v>
      </c>
      <c r="E138" t="s">
        <v>10</v>
      </c>
      <c r="F138" s="7">
        <v>45164</v>
      </c>
      <c r="G138" s="1">
        <v>44927</v>
      </c>
      <c r="H138" s="14">
        <v>3040.0099999999993</v>
      </c>
      <c r="I138">
        <v>770475</v>
      </c>
      <c r="J138" t="s">
        <v>88</v>
      </c>
      <c r="K138" t="s">
        <v>96</v>
      </c>
      <c r="L138" s="16" t="s">
        <v>10</v>
      </c>
    </row>
    <row r="139" spans="1:12" x14ac:dyDescent="0.35">
      <c r="A139" t="s">
        <v>8</v>
      </c>
      <c r="B139" t="s">
        <v>100</v>
      </c>
      <c r="C139" t="s">
        <v>93</v>
      </c>
      <c r="D139" t="s">
        <v>10</v>
      </c>
      <c r="E139" t="s">
        <v>10</v>
      </c>
      <c r="F139" s="7">
        <v>45164</v>
      </c>
      <c r="G139" s="1">
        <v>44927</v>
      </c>
      <c r="H139" s="14">
        <v>4450.6425000000027</v>
      </c>
      <c r="I139">
        <v>579105</v>
      </c>
      <c r="J139" t="s">
        <v>88</v>
      </c>
      <c r="K139" t="s">
        <v>94</v>
      </c>
      <c r="L139" s="16" t="s">
        <v>10</v>
      </c>
    </row>
    <row r="140" spans="1:12" x14ac:dyDescent="0.35">
      <c r="A140" t="s">
        <v>8</v>
      </c>
      <c r="B140" t="s">
        <v>100</v>
      </c>
      <c r="C140" t="s">
        <v>95</v>
      </c>
      <c r="D140" t="s">
        <v>10</v>
      </c>
      <c r="E140" t="s">
        <v>10</v>
      </c>
      <c r="F140" s="7">
        <v>45164</v>
      </c>
      <c r="G140" s="1">
        <v>44927</v>
      </c>
      <c r="H140" s="14">
        <v>5839.829999999999</v>
      </c>
      <c r="I140">
        <v>2191585</v>
      </c>
      <c r="J140" t="s">
        <v>88</v>
      </c>
      <c r="K140" t="s">
        <v>96</v>
      </c>
      <c r="L140" s="16" t="s">
        <v>10</v>
      </c>
    </row>
    <row r="141" spans="1:12" x14ac:dyDescent="0.35">
      <c r="A141" t="s">
        <v>8</v>
      </c>
      <c r="B141" t="s">
        <v>102</v>
      </c>
      <c r="C141" t="s">
        <v>95</v>
      </c>
      <c r="D141" t="s">
        <v>10</v>
      </c>
      <c r="E141" t="s">
        <v>10</v>
      </c>
      <c r="F141" s="7">
        <v>45164</v>
      </c>
      <c r="G141" s="1">
        <v>44927</v>
      </c>
      <c r="H141" s="14">
        <v>14.78</v>
      </c>
      <c r="I141">
        <v>18598</v>
      </c>
      <c r="J141" t="s">
        <v>88</v>
      </c>
      <c r="K141" t="s">
        <v>96</v>
      </c>
      <c r="L141" s="16" t="s">
        <v>10</v>
      </c>
    </row>
    <row r="142" spans="1:12" x14ac:dyDescent="0.35">
      <c r="A142" t="s">
        <v>8</v>
      </c>
      <c r="B142" t="s">
        <v>84</v>
      </c>
      <c r="C142" t="s">
        <v>95</v>
      </c>
      <c r="D142" t="s">
        <v>104</v>
      </c>
      <c r="E142" t="s">
        <v>8</v>
      </c>
      <c r="F142" s="7">
        <v>45164</v>
      </c>
      <c r="G142" s="1">
        <v>44927</v>
      </c>
      <c r="H142" s="14">
        <v>13218.169999999998</v>
      </c>
      <c r="I142">
        <v>40784</v>
      </c>
      <c r="J142" t="s">
        <v>88</v>
      </c>
      <c r="K142" t="s">
        <v>105</v>
      </c>
      <c r="L142" s="16" t="s">
        <v>95</v>
      </c>
    </row>
    <row r="143" spans="1:12" x14ac:dyDescent="0.35">
      <c r="A143" t="s">
        <v>8</v>
      </c>
      <c r="B143" t="s">
        <v>84</v>
      </c>
      <c r="C143" t="s">
        <v>85</v>
      </c>
      <c r="D143" t="s">
        <v>13</v>
      </c>
      <c r="E143" t="s">
        <v>11</v>
      </c>
      <c r="F143" s="7">
        <v>45171</v>
      </c>
      <c r="G143" s="1">
        <v>44927</v>
      </c>
      <c r="H143" s="14">
        <v>12364.026618</v>
      </c>
      <c r="I143">
        <v>3661982</v>
      </c>
      <c r="J143" t="s">
        <v>88</v>
      </c>
      <c r="K143" t="s">
        <v>90</v>
      </c>
      <c r="L143" s="16" t="s">
        <v>13</v>
      </c>
    </row>
    <row r="144" spans="1:12" x14ac:dyDescent="0.35">
      <c r="A144" t="s">
        <v>8</v>
      </c>
      <c r="B144" t="s">
        <v>92</v>
      </c>
      <c r="C144" t="s">
        <v>93</v>
      </c>
      <c r="D144" t="s">
        <v>10</v>
      </c>
      <c r="E144" t="s">
        <v>10</v>
      </c>
      <c r="F144" s="7">
        <v>45171</v>
      </c>
      <c r="G144" s="1">
        <v>44927</v>
      </c>
      <c r="H144" s="14">
        <v>8248.0911999999953</v>
      </c>
      <c r="I144">
        <v>922680</v>
      </c>
      <c r="J144" t="s">
        <v>88</v>
      </c>
      <c r="K144" t="s">
        <v>94</v>
      </c>
      <c r="L144" s="16" t="s">
        <v>10</v>
      </c>
    </row>
    <row r="145" spans="1:12" x14ac:dyDescent="0.35">
      <c r="A145" t="s">
        <v>8</v>
      </c>
      <c r="B145" t="s">
        <v>92</v>
      </c>
      <c r="C145" t="s">
        <v>95</v>
      </c>
      <c r="D145" t="s">
        <v>10</v>
      </c>
      <c r="E145" t="s">
        <v>10</v>
      </c>
      <c r="F145" s="7">
        <v>45171</v>
      </c>
      <c r="G145" s="1">
        <v>44927</v>
      </c>
      <c r="H145" s="14">
        <v>10417.050000000008</v>
      </c>
      <c r="I145">
        <v>1752509</v>
      </c>
      <c r="J145" t="s">
        <v>88</v>
      </c>
      <c r="K145" t="s">
        <v>96</v>
      </c>
      <c r="L145" s="16" t="s">
        <v>10</v>
      </c>
    </row>
    <row r="146" spans="1:12" x14ac:dyDescent="0.35">
      <c r="A146" t="s">
        <v>8</v>
      </c>
      <c r="B146" t="s">
        <v>84</v>
      </c>
      <c r="C146" t="s">
        <v>93</v>
      </c>
      <c r="D146" t="s">
        <v>10</v>
      </c>
      <c r="E146" t="s">
        <v>10</v>
      </c>
      <c r="F146" s="7">
        <v>45171</v>
      </c>
      <c r="G146" s="1">
        <v>44927</v>
      </c>
      <c r="H146" s="14">
        <v>12216.676999999994</v>
      </c>
      <c r="I146">
        <v>1830948</v>
      </c>
      <c r="J146" t="s">
        <v>88</v>
      </c>
      <c r="K146" t="s">
        <v>94</v>
      </c>
      <c r="L146" s="16" t="s">
        <v>10</v>
      </c>
    </row>
    <row r="147" spans="1:12" x14ac:dyDescent="0.35">
      <c r="A147" t="s">
        <v>8</v>
      </c>
      <c r="B147" t="s">
        <v>84</v>
      </c>
      <c r="C147" t="s">
        <v>95</v>
      </c>
      <c r="D147" t="s">
        <v>10</v>
      </c>
      <c r="E147" t="s">
        <v>10</v>
      </c>
      <c r="F147" s="7">
        <v>45171</v>
      </c>
      <c r="G147" s="1">
        <v>44927</v>
      </c>
      <c r="H147" s="14">
        <v>2192.1400000000003</v>
      </c>
      <c r="I147">
        <v>640415</v>
      </c>
      <c r="J147" t="s">
        <v>88</v>
      </c>
      <c r="K147" t="s">
        <v>96</v>
      </c>
      <c r="L147" s="16" t="s">
        <v>10</v>
      </c>
    </row>
    <row r="148" spans="1:12" x14ac:dyDescent="0.35">
      <c r="A148" t="s">
        <v>8</v>
      </c>
      <c r="B148" t="s">
        <v>17</v>
      </c>
      <c r="C148" t="s">
        <v>93</v>
      </c>
      <c r="D148" t="s">
        <v>10</v>
      </c>
      <c r="E148" t="s">
        <v>10</v>
      </c>
      <c r="F148" s="7">
        <v>45171</v>
      </c>
      <c r="G148" s="1">
        <v>44927</v>
      </c>
      <c r="H148" s="14">
        <v>9400.9896000000044</v>
      </c>
      <c r="I148">
        <v>1092307</v>
      </c>
      <c r="J148" t="s">
        <v>88</v>
      </c>
      <c r="K148" t="s">
        <v>94</v>
      </c>
      <c r="L148" s="16" t="s">
        <v>10</v>
      </c>
    </row>
    <row r="149" spans="1:12" x14ac:dyDescent="0.35">
      <c r="A149" t="s">
        <v>8</v>
      </c>
      <c r="B149" t="s">
        <v>17</v>
      </c>
      <c r="C149" t="s">
        <v>95</v>
      </c>
      <c r="D149" t="s">
        <v>10</v>
      </c>
      <c r="E149" t="s">
        <v>10</v>
      </c>
      <c r="F149" s="7">
        <v>45171</v>
      </c>
      <c r="G149" s="1">
        <v>44927</v>
      </c>
      <c r="H149" s="14">
        <v>6580.8700000000026</v>
      </c>
      <c r="I149">
        <v>1293897</v>
      </c>
      <c r="J149" t="s">
        <v>88</v>
      </c>
      <c r="K149" t="s">
        <v>96</v>
      </c>
      <c r="L149" s="16" t="s">
        <v>10</v>
      </c>
    </row>
    <row r="150" spans="1:12" x14ac:dyDescent="0.35">
      <c r="A150" t="s">
        <v>8</v>
      </c>
      <c r="B150" t="s">
        <v>99</v>
      </c>
      <c r="C150" t="s">
        <v>93</v>
      </c>
      <c r="D150" t="s">
        <v>10</v>
      </c>
      <c r="E150" t="s">
        <v>10</v>
      </c>
      <c r="F150" s="7">
        <v>45171</v>
      </c>
      <c r="G150" s="1">
        <v>44927</v>
      </c>
      <c r="H150" s="14">
        <v>5023.656600000003</v>
      </c>
      <c r="I150">
        <v>554421</v>
      </c>
      <c r="J150" t="s">
        <v>88</v>
      </c>
      <c r="K150" t="s">
        <v>94</v>
      </c>
      <c r="L150" s="16" t="s">
        <v>10</v>
      </c>
    </row>
    <row r="151" spans="1:12" x14ac:dyDescent="0.35">
      <c r="A151" t="s">
        <v>8</v>
      </c>
      <c r="B151" t="s">
        <v>99</v>
      </c>
      <c r="C151" t="s">
        <v>95</v>
      </c>
      <c r="D151" t="s">
        <v>10</v>
      </c>
      <c r="E151" t="s">
        <v>10</v>
      </c>
      <c r="F151" s="7">
        <v>45171</v>
      </c>
      <c r="G151" s="1">
        <v>44927</v>
      </c>
      <c r="H151" s="14">
        <v>3448.2400000000007</v>
      </c>
      <c r="I151">
        <v>1029309</v>
      </c>
      <c r="J151" t="s">
        <v>88</v>
      </c>
      <c r="K151" t="s">
        <v>96</v>
      </c>
      <c r="L151" s="16" t="s">
        <v>10</v>
      </c>
    </row>
    <row r="152" spans="1:12" x14ac:dyDescent="0.35">
      <c r="A152" t="s">
        <v>8</v>
      </c>
      <c r="B152" t="s">
        <v>100</v>
      </c>
      <c r="C152" t="s">
        <v>93</v>
      </c>
      <c r="D152" t="s">
        <v>10</v>
      </c>
      <c r="E152" t="s">
        <v>10</v>
      </c>
      <c r="F152" s="7">
        <v>45171</v>
      </c>
      <c r="G152" s="1">
        <v>44927</v>
      </c>
      <c r="H152" s="14">
        <v>4754.7316000000001</v>
      </c>
      <c r="I152">
        <v>537208</v>
      </c>
      <c r="J152" t="s">
        <v>88</v>
      </c>
      <c r="K152" t="s">
        <v>94</v>
      </c>
      <c r="L152" s="16" t="s">
        <v>10</v>
      </c>
    </row>
    <row r="153" spans="1:12" x14ac:dyDescent="0.35">
      <c r="A153" t="s">
        <v>8</v>
      </c>
      <c r="B153" t="s">
        <v>100</v>
      </c>
      <c r="C153" t="s">
        <v>95</v>
      </c>
      <c r="D153" t="s">
        <v>10</v>
      </c>
      <c r="E153" t="s">
        <v>10</v>
      </c>
      <c r="F153" s="7">
        <v>45171</v>
      </c>
      <c r="G153" s="1">
        <v>44927</v>
      </c>
      <c r="H153" s="14">
        <v>4232.1999999999989</v>
      </c>
      <c r="I153">
        <v>1611220</v>
      </c>
      <c r="J153" t="s">
        <v>88</v>
      </c>
      <c r="K153" t="s">
        <v>96</v>
      </c>
      <c r="L153" s="16" t="s">
        <v>10</v>
      </c>
    </row>
    <row r="154" spans="1:12" x14ac:dyDescent="0.35">
      <c r="A154" t="s">
        <v>8</v>
      </c>
      <c r="B154" t="s">
        <v>102</v>
      </c>
      <c r="C154" t="s">
        <v>95</v>
      </c>
      <c r="D154" t="s">
        <v>10</v>
      </c>
      <c r="E154" t="s">
        <v>10</v>
      </c>
      <c r="F154" s="7">
        <v>45171</v>
      </c>
      <c r="G154" s="1">
        <v>44927</v>
      </c>
      <c r="H154" s="14">
        <v>33.820000000000007</v>
      </c>
      <c r="I154">
        <v>25234</v>
      </c>
      <c r="J154" t="s">
        <v>88</v>
      </c>
      <c r="K154" t="s">
        <v>96</v>
      </c>
      <c r="L154" s="16" t="s">
        <v>10</v>
      </c>
    </row>
    <row r="155" spans="1:12" x14ac:dyDescent="0.35">
      <c r="A155" t="s">
        <v>8</v>
      </c>
      <c r="B155" t="s">
        <v>84</v>
      </c>
      <c r="C155" t="s">
        <v>95</v>
      </c>
      <c r="D155" t="s">
        <v>104</v>
      </c>
      <c r="E155" t="s">
        <v>8</v>
      </c>
      <c r="F155" s="7">
        <v>45171</v>
      </c>
      <c r="G155" s="1">
        <v>44927</v>
      </c>
      <c r="H155" s="14">
        <v>12602.690000000002</v>
      </c>
      <c r="I155">
        <v>39432</v>
      </c>
      <c r="J155" t="s">
        <v>88</v>
      </c>
      <c r="K155" t="s">
        <v>105</v>
      </c>
      <c r="L155" s="16" t="s">
        <v>95</v>
      </c>
    </row>
    <row r="156" spans="1:12" x14ac:dyDescent="0.35">
      <c r="A156" t="s">
        <v>8</v>
      </c>
      <c r="B156" t="s">
        <v>84</v>
      </c>
      <c r="C156" t="s">
        <v>85</v>
      </c>
      <c r="D156" t="s">
        <v>13</v>
      </c>
      <c r="E156" t="s">
        <v>11</v>
      </c>
      <c r="F156" s="7">
        <v>45178</v>
      </c>
      <c r="G156" s="1">
        <v>44927</v>
      </c>
      <c r="H156" s="14">
        <v>3480.1052730000001</v>
      </c>
      <c r="I156">
        <v>1082526</v>
      </c>
      <c r="J156" t="s">
        <v>88</v>
      </c>
      <c r="K156" t="s">
        <v>90</v>
      </c>
      <c r="L156" s="16" t="s">
        <v>13</v>
      </c>
    </row>
    <row r="157" spans="1:12" x14ac:dyDescent="0.35">
      <c r="A157" t="s">
        <v>8</v>
      </c>
      <c r="B157" t="s">
        <v>92</v>
      </c>
      <c r="C157" t="s">
        <v>93</v>
      </c>
      <c r="D157" t="s">
        <v>10</v>
      </c>
      <c r="E157" t="s">
        <v>10</v>
      </c>
      <c r="F157" s="7">
        <v>45178</v>
      </c>
      <c r="G157" s="1">
        <v>44927</v>
      </c>
      <c r="H157" s="14">
        <v>5185.8033999999998</v>
      </c>
      <c r="I157">
        <v>695693</v>
      </c>
      <c r="J157" t="s">
        <v>88</v>
      </c>
      <c r="K157" t="s">
        <v>94</v>
      </c>
      <c r="L157" s="16" t="s">
        <v>10</v>
      </c>
    </row>
    <row r="158" spans="1:12" x14ac:dyDescent="0.35">
      <c r="A158" t="s">
        <v>8</v>
      </c>
      <c r="B158" t="s">
        <v>92</v>
      </c>
      <c r="C158" t="s">
        <v>95</v>
      </c>
      <c r="D158" t="s">
        <v>10</v>
      </c>
      <c r="E158" t="s">
        <v>10</v>
      </c>
      <c r="F158" s="7">
        <v>45178</v>
      </c>
      <c r="G158" s="1">
        <v>44927</v>
      </c>
      <c r="H158" s="14">
        <v>7264.7199999999993</v>
      </c>
      <c r="I158">
        <v>1263444</v>
      </c>
      <c r="J158" t="s">
        <v>88</v>
      </c>
      <c r="K158" t="s">
        <v>96</v>
      </c>
      <c r="L158" s="16" t="s">
        <v>10</v>
      </c>
    </row>
    <row r="159" spans="1:12" x14ac:dyDescent="0.35">
      <c r="A159" t="s">
        <v>8</v>
      </c>
      <c r="B159" t="s">
        <v>84</v>
      </c>
      <c r="C159" t="s">
        <v>93</v>
      </c>
      <c r="D159" t="s">
        <v>10</v>
      </c>
      <c r="E159" t="s">
        <v>10</v>
      </c>
      <c r="F159" s="7">
        <v>45178</v>
      </c>
      <c r="G159" s="1">
        <v>44927</v>
      </c>
      <c r="H159" s="14">
        <v>3748.4553999999998</v>
      </c>
      <c r="I159">
        <v>1364814</v>
      </c>
      <c r="J159" t="s">
        <v>88</v>
      </c>
      <c r="K159" t="s">
        <v>94</v>
      </c>
      <c r="L159" s="16" t="s">
        <v>10</v>
      </c>
    </row>
    <row r="160" spans="1:12" x14ac:dyDescent="0.35">
      <c r="A160" t="s">
        <v>8</v>
      </c>
      <c r="B160" t="s">
        <v>84</v>
      </c>
      <c r="C160" t="s">
        <v>95</v>
      </c>
      <c r="D160" t="s">
        <v>10</v>
      </c>
      <c r="E160" t="s">
        <v>10</v>
      </c>
      <c r="F160" s="7">
        <v>45178</v>
      </c>
      <c r="G160" s="1">
        <v>44927</v>
      </c>
      <c r="H160" s="14">
        <v>2109.2899999999995</v>
      </c>
      <c r="I160">
        <v>598304</v>
      </c>
      <c r="J160" t="s">
        <v>88</v>
      </c>
      <c r="K160" t="s">
        <v>96</v>
      </c>
      <c r="L160" s="16" t="s">
        <v>10</v>
      </c>
    </row>
    <row r="161" spans="1:12" x14ac:dyDescent="0.35">
      <c r="A161" t="s">
        <v>8</v>
      </c>
      <c r="B161" t="s">
        <v>17</v>
      </c>
      <c r="C161" t="s">
        <v>93</v>
      </c>
      <c r="D161" t="s">
        <v>10</v>
      </c>
      <c r="E161" t="s">
        <v>10</v>
      </c>
      <c r="F161" s="7">
        <v>45178</v>
      </c>
      <c r="G161" s="1">
        <v>44927</v>
      </c>
      <c r="H161" s="14">
        <v>5948.8983999999973</v>
      </c>
      <c r="I161">
        <v>956122</v>
      </c>
      <c r="J161" t="s">
        <v>88</v>
      </c>
      <c r="K161" t="s">
        <v>94</v>
      </c>
      <c r="L161" s="16" t="s">
        <v>10</v>
      </c>
    </row>
    <row r="162" spans="1:12" x14ac:dyDescent="0.35">
      <c r="A162" t="s">
        <v>8</v>
      </c>
      <c r="B162" t="s">
        <v>17</v>
      </c>
      <c r="C162" t="s">
        <v>95</v>
      </c>
      <c r="D162" t="s">
        <v>10</v>
      </c>
      <c r="E162" t="s">
        <v>10</v>
      </c>
      <c r="F162" s="7">
        <v>45178</v>
      </c>
      <c r="G162" s="1">
        <v>44927</v>
      </c>
      <c r="H162" s="14">
        <v>7492.2000000000016</v>
      </c>
      <c r="I162">
        <v>1003932</v>
      </c>
      <c r="J162" t="s">
        <v>88</v>
      </c>
      <c r="K162" t="s">
        <v>96</v>
      </c>
      <c r="L162" s="16" t="s">
        <v>10</v>
      </c>
    </row>
    <row r="163" spans="1:12" x14ac:dyDescent="0.35">
      <c r="A163" t="s">
        <v>8</v>
      </c>
      <c r="B163" t="s">
        <v>99</v>
      </c>
      <c r="C163" t="s">
        <v>93</v>
      </c>
      <c r="D163" t="s">
        <v>10</v>
      </c>
      <c r="E163" t="s">
        <v>10</v>
      </c>
      <c r="F163" s="7">
        <v>45178</v>
      </c>
      <c r="G163" s="1">
        <v>44927</v>
      </c>
      <c r="H163" s="14">
        <v>3559.2014000000004</v>
      </c>
      <c r="I163">
        <v>461366</v>
      </c>
      <c r="J163" t="s">
        <v>88</v>
      </c>
      <c r="K163" t="s">
        <v>94</v>
      </c>
      <c r="L163" s="16" t="s">
        <v>10</v>
      </c>
    </row>
    <row r="164" spans="1:12" x14ac:dyDescent="0.35">
      <c r="A164" t="s">
        <v>8</v>
      </c>
      <c r="B164" t="s">
        <v>99</v>
      </c>
      <c r="C164" t="s">
        <v>95</v>
      </c>
      <c r="D164" t="s">
        <v>10</v>
      </c>
      <c r="E164" t="s">
        <v>10</v>
      </c>
      <c r="F164" s="7">
        <v>45178</v>
      </c>
      <c r="G164" s="1">
        <v>44927</v>
      </c>
      <c r="H164" s="14">
        <v>3757.8999999999992</v>
      </c>
      <c r="I164">
        <v>911126</v>
      </c>
      <c r="J164" t="s">
        <v>88</v>
      </c>
      <c r="K164" t="s">
        <v>96</v>
      </c>
      <c r="L164" s="16" t="s">
        <v>10</v>
      </c>
    </row>
    <row r="165" spans="1:12" x14ac:dyDescent="0.35">
      <c r="A165" t="s">
        <v>8</v>
      </c>
      <c r="B165" t="s">
        <v>100</v>
      </c>
      <c r="C165" t="s">
        <v>93</v>
      </c>
      <c r="D165" t="s">
        <v>10</v>
      </c>
      <c r="E165" t="s">
        <v>10</v>
      </c>
      <c r="F165" s="7">
        <v>45178</v>
      </c>
      <c r="G165" s="1">
        <v>44927</v>
      </c>
      <c r="H165" s="14">
        <v>3636.9271999999992</v>
      </c>
      <c r="I165">
        <v>550405</v>
      </c>
      <c r="J165" t="s">
        <v>88</v>
      </c>
      <c r="K165" t="s">
        <v>94</v>
      </c>
      <c r="L165" s="16" t="s">
        <v>10</v>
      </c>
    </row>
    <row r="166" spans="1:12" x14ac:dyDescent="0.35">
      <c r="A166" t="s">
        <v>8</v>
      </c>
      <c r="B166" t="s">
        <v>100</v>
      </c>
      <c r="C166" t="s">
        <v>95</v>
      </c>
      <c r="D166" t="s">
        <v>10</v>
      </c>
      <c r="E166" t="s">
        <v>10</v>
      </c>
      <c r="F166" s="7">
        <v>45178</v>
      </c>
      <c r="G166" s="1">
        <v>44927</v>
      </c>
      <c r="H166" s="14">
        <v>4772.46</v>
      </c>
      <c r="I166">
        <v>1962236</v>
      </c>
      <c r="J166" t="s">
        <v>88</v>
      </c>
      <c r="K166" t="s">
        <v>96</v>
      </c>
      <c r="L166" s="16" t="s">
        <v>10</v>
      </c>
    </row>
    <row r="167" spans="1:12" x14ac:dyDescent="0.35">
      <c r="A167" t="s">
        <v>8</v>
      </c>
      <c r="B167" t="s">
        <v>102</v>
      </c>
      <c r="C167" t="s">
        <v>95</v>
      </c>
      <c r="D167" t="s">
        <v>10</v>
      </c>
      <c r="E167" t="s">
        <v>10</v>
      </c>
      <c r="F167" s="7">
        <v>45178</v>
      </c>
      <c r="G167" s="1">
        <v>44927</v>
      </c>
      <c r="H167" s="14">
        <v>5.69</v>
      </c>
      <c r="I167">
        <v>6391</v>
      </c>
      <c r="J167" t="s">
        <v>88</v>
      </c>
      <c r="K167" t="s">
        <v>96</v>
      </c>
      <c r="L167" s="16" t="s">
        <v>10</v>
      </c>
    </row>
    <row r="168" spans="1:12" x14ac:dyDescent="0.35">
      <c r="A168" t="s">
        <v>8</v>
      </c>
      <c r="B168" t="s">
        <v>84</v>
      </c>
      <c r="C168" t="s">
        <v>95</v>
      </c>
      <c r="D168" t="s">
        <v>104</v>
      </c>
      <c r="E168" t="s">
        <v>8</v>
      </c>
      <c r="F168" s="7">
        <v>45178</v>
      </c>
      <c r="G168" s="1">
        <v>44927</v>
      </c>
      <c r="H168" s="14">
        <v>13193.209999999997</v>
      </c>
      <c r="I168">
        <v>39833</v>
      </c>
      <c r="J168" t="s">
        <v>88</v>
      </c>
      <c r="K168" t="s">
        <v>105</v>
      </c>
      <c r="L168" s="16" t="s">
        <v>95</v>
      </c>
    </row>
    <row r="169" spans="1:12" x14ac:dyDescent="0.35">
      <c r="A169" t="s">
        <v>8</v>
      </c>
      <c r="B169" t="s">
        <v>15</v>
      </c>
      <c r="C169" t="s">
        <v>85</v>
      </c>
      <c r="D169" t="s">
        <v>9</v>
      </c>
      <c r="E169" t="s">
        <v>11</v>
      </c>
      <c r="F169" s="7">
        <v>45185</v>
      </c>
      <c r="G169" s="1">
        <v>44927</v>
      </c>
      <c r="H169" s="14">
        <v>3288.6699899999999</v>
      </c>
      <c r="I169">
        <v>218398</v>
      </c>
      <c r="J169" t="s">
        <v>88</v>
      </c>
      <c r="K169" t="s">
        <v>87</v>
      </c>
      <c r="L169" s="16" t="s">
        <v>9</v>
      </c>
    </row>
    <row r="170" spans="1:12" x14ac:dyDescent="0.35">
      <c r="A170" t="s">
        <v>8</v>
      </c>
      <c r="B170" t="s">
        <v>92</v>
      </c>
      <c r="C170" t="s">
        <v>93</v>
      </c>
      <c r="D170" t="s">
        <v>10</v>
      </c>
      <c r="E170" t="s">
        <v>10</v>
      </c>
      <c r="F170" s="7">
        <v>45185</v>
      </c>
      <c r="G170" s="1">
        <v>44927</v>
      </c>
      <c r="H170" s="14">
        <v>5286.1116999999986</v>
      </c>
      <c r="I170">
        <v>790554</v>
      </c>
      <c r="J170" t="s">
        <v>88</v>
      </c>
      <c r="K170" t="s">
        <v>94</v>
      </c>
      <c r="L170" s="16" t="s">
        <v>10</v>
      </c>
    </row>
    <row r="171" spans="1:12" x14ac:dyDescent="0.35">
      <c r="A171" t="s">
        <v>8</v>
      </c>
      <c r="B171" t="s">
        <v>92</v>
      </c>
      <c r="C171" t="s">
        <v>95</v>
      </c>
      <c r="D171" t="s">
        <v>10</v>
      </c>
      <c r="E171" t="s">
        <v>10</v>
      </c>
      <c r="F171" s="7">
        <v>45185</v>
      </c>
      <c r="G171" s="1">
        <v>44927</v>
      </c>
      <c r="H171" s="14">
        <v>6410.6700000000019</v>
      </c>
      <c r="I171">
        <v>979023</v>
      </c>
      <c r="J171" t="s">
        <v>88</v>
      </c>
      <c r="K171" t="s">
        <v>96</v>
      </c>
      <c r="L171" s="16" t="s">
        <v>10</v>
      </c>
    </row>
    <row r="172" spans="1:12" x14ac:dyDescent="0.35">
      <c r="A172" t="s">
        <v>8</v>
      </c>
      <c r="B172" t="s">
        <v>84</v>
      </c>
      <c r="C172" t="s">
        <v>93</v>
      </c>
      <c r="D172" t="s">
        <v>10</v>
      </c>
      <c r="E172" t="s">
        <v>10</v>
      </c>
      <c r="F172" s="7">
        <v>45185</v>
      </c>
      <c r="G172" s="1">
        <v>44927</v>
      </c>
      <c r="H172" s="14">
        <v>3345.7719000000006</v>
      </c>
      <c r="I172">
        <v>1399690</v>
      </c>
      <c r="J172" t="s">
        <v>88</v>
      </c>
      <c r="K172" t="s">
        <v>94</v>
      </c>
      <c r="L172" s="16" t="s">
        <v>10</v>
      </c>
    </row>
    <row r="173" spans="1:12" x14ac:dyDescent="0.35">
      <c r="A173" t="s">
        <v>8</v>
      </c>
      <c r="B173" t="s">
        <v>84</v>
      </c>
      <c r="C173" t="s">
        <v>95</v>
      </c>
      <c r="D173" t="s">
        <v>10</v>
      </c>
      <c r="E173" t="s">
        <v>10</v>
      </c>
      <c r="F173" s="7">
        <v>45185</v>
      </c>
      <c r="G173" s="1">
        <v>44927</v>
      </c>
      <c r="H173" s="14">
        <v>2960.1799999999994</v>
      </c>
      <c r="I173">
        <v>587208</v>
      </c>
      <c r="J173" t="s">
        <v>88</v>
      </c>
      <c r="K173" t="s">
        <v>96</v>
      </c>
      <c r="L173" s="16" t="s">
        <v>10</v>
      </c>
    </row>
    <row r="174" spans="1:12" x14ac:dyDescent="0.35">
      <c r="A174" t="s">
        <v>8</v>
      </c>
      <c r="B174" t="s">
        <v>17</v>
      </c>
      <c r="C174" t="s">
        <v>93</v>
      </c>
      <c r="D174" t="s">
        <v>10</v>
      </c>
      <c r="E174" t="s">
        <v>10</v>
      </c>
      <c r="F174" s="7">
        <v>45185</v>
      </c>
      <c r="G174" s="1">
        <v>44927</v>
      </c>
      <c r="H174" s="14">
        <v>6560.9118999999973</v>
      </c>
      <c r="I174">
        <v>1082202</v>
      </c>
      <c r="J174" t="s">
        <v>88</v>
      </c>
      <c r="K174" t="s">
        <v>94</v>
      </c>
      <c r="L174" s="16" t="s">
        <v>10</v>
      </c>
    </row>
    <row r="175" spans="1:12" x14ac:dyDescent="0.35">
      <c r="A175" t="s">
        <v>8</v>
      </c>
      <c r="B175" t="s">
        <v>17</v>
      </c>
      <c r="C175" t="s">
        <v>95</v>
      </c>
      <c r="D175" t="s">
        <v>10</v>
      </c>
      <c r="E175" t="s">
        <v>10</v>
      </c>
      <c r="F175" s="7">
        <v>45185</v>
      </c>
      <c r="G175" s="1">
        <v>44927</v>
      </c>
      <c r="H175" s="14">
        <v>8166.6700000000055</v>
      </c>
      <c r="I175">
        <v>1021776</v>
      </c>
      <c r="J175" t="s">
        <v>88</v>
      </c>
      <c r="K175" t="s">
        <v>96</v>
      </c>
      <c r="L175" s="16" t="s">
        <v>10</v>
      </c>
    </row>
    <row r="176" spans="1:12" x14ac:dyDescent="0.35">
      <c r="A176" t="s">
        <v>8</v>
      </c>
      <c r="B176" t="s">
        <v>99</v>
      </c>
      <c r="C176" t="s">
        <v>93</v>
      </c>
      <c r="D176" t="s">
        <v>10</v>
      </c>
      <c r="E176" t="s">
        <v>10</v>
      </c>
      <c r="F176" s="7">
        <v>45185</v>
      </c>
      <c r="G176" s="1">
        <v>44927</v>
      </c>
      <c r="H176" s="14">
        <v>3982.9713999999985</v>
      </c>
      <c r="I176">
        <v>512097</v>
      </c>
      <c r="J176" t="s">
        <v>88</v>
      </c>
      <c r="K176" t="s">
        <v>94</v>
      </c>
      <c r="L176" s="16" t="s">
        <v>10</v>
      </c>
    </row>
    <row r="177" spans="1:12" x14ac:dyDescent="0.35">
      <c r="A177" t="s">
        <v>8</v>
      </c>
      <c r="B177" t="s">
        <v>99</v>
      </c>
      <c r="C177" t="s">
        <v>95</v>
      </c>
      <c r="D177" t="s">
        <v>10</v>
      </c>
      <c r="E177" t="s">
        <v>10</v>
      </c>
      <c r="F177" s="7">
        <v>45185</v>
      </c>
      <c r="G177" s="1">
        <v>44927</v>
      </c>
      <c r="H177" s="14">
        <v>3708.8599999999983</v>
      </c>
      <c r="I177">
        <v>868829</v>
      </c>
      <c r="J177" t="s">
        <v>88</v>
      </c>
      <c r="K177" t="s">
        <v>96</v>
      </c>
      <c r="L177" s="16" t="s">
        <v>10</v>
      </c>
    </row>
    <row r="178" spans="1:12" x14ac:dyDescent="0.35">
      <c r="A178" t="s">
        <v>8</v>
      </c>
      <c r="B178" t="s">
        <v>100</v>
      </c>
      <c r="C178" t="s">
        <v>93</v>
      </c>
      <c r="D178" t="s">
        <v>10</v>
      </c>
      <c r="E178" t="s">
        <v>10</v>
      </c>
      <c r="F178" s="7">
        <v>45185</v>
      </c>
      <c r="G178" s="1">
        <v>44927</v>
      </c>
      <c r="H178" s="14">
        <v>3601.9108000000001</v>
      </c>
      <c r="I178">
        <v>549674</v>
      </c>
      <c r="J178" t="s">
        <v>88</v>
      </c>
      <c r="K178" t="s">
        <v>94</v>
      </c>
      <c r="L178" s="16" t="s">
        <v>10</v>
      </c>
    </row>
    <row r="179" spans="1:12" x14ac:dyDescent="0.35">
      <c r="A179" t="s">
        <v>8</v>
      </c>
      <c r="B179" t="s">
        <v>100</v>
      </c>
      <c r="C179" t="s">
        <v>95</v>
      </c>
      <c r="D179" t="s">
        <v>10</v>
      </c>
      <c r="E179" t="s">
        <v>10</v>
      </c>
      <c r="F179" s="7">
        <v>45185</v>
      </c>
      <c r="G179" s="1">
        <v>44927</v>
      </c>
      <c r="H179" s="14">
        <v>4385.33</v>
      </c>
      <c r="I179">
        <v>1669530</v>
      </c>
      <c r="J179" t="s">
        <v>88</v>
      </c>
      <c r="K179" t="s">
        <v>96</v>
      </c>
      <c r="L179" s="16" t="s">
        <v>10</v>
      </c>
    </row>
    <row r="180" spans="1:12" x14ac:dyDescent="0.35">
      <c r="A180" t="s">
        <v>8</v>
      </c>
      <c r="B180" t="s">
        <v>102</v>
      </c>
      <c r="C180" t="s">
        <v>95</v>
      </c>
      <c r="D180" t="s">
        <v>10</v>
      </c>
      <c r="E180" t="s">
        <v>10</v>
      </c>
      <c r="F180" s="7">
        <v>45185</v>
      </c>
      <c r="G180" s="1">
        <v>44927</v>
      </c>
      <c r="H180" s="14">
        <v>0.26</v>
      </c>
      <c r="I180">
        <v>72</v>
      </c>
      <c r="J180" t="s">
        <v>88</v>
      </c>
      <c r="K180" t="s">
        <v>96</v>
      </c>
      <c r="L180" s="16" t="s">
        <v>10</v>
      </c>
    </row>
    <row r="181" spans="1:12" x14ac:dyDescent="0.35">
      <c r="A181" t="s">
        <v>8</v>
      </c>
      <c r="B181" t="s">
        <v>84</v>
      </c>
      <c r="C181" t="s">
        <v>95</v>
      </c>
      <c r="D181" t="s">
        <v>104</v>
      </c>
      <c r="E181" t="s">
        <v>8</v>
      </c>
      <c r="F181" s="7">
        <v>45185</v>
      </c>
      <c r="G181" s="1">
        <v>44927</v>
      </c>
      <c r="H181" s="14">
        <v>13804.890000000003</v>
      </c>
      <c r="I181">
        <v>45241</v>
      </c>
      <c r="J181" t="s">
        <v>88</v>
      </c>
      <c r="K181" t="s">
        <v>105</v>
      </c>
      <c r="L181" s="16" t="s">
        <v>95</v>
      </c>
    </row>
    <row r="182" spans="1:12" x14ac:dyDescent="0.35">
      <c r="A182" t="s">
        <v>8</v>
      </c>
      <c r="B182" t="s">
        <v>15</v>
      </c>
      <c r="C182" t="s">
        <v>85</v>
      </c>
      <c r="D182" t="s">
        <v>9</v>
      </c>
      <c r="E182" t="s">
        <v>11</v>
      </c>
      <c r="F182" s="7">
        <v>45192</v>
      </c>
      <c r="G182" s="1">
        <v>44927</v>
      </c>
      <c r="H182" s="14">
        <v>14175.450015</v>
      </c>
      <c r="I182">
        <v>893066</v>
      </c>
      <c r="J182" t="s">
        <v>88</v>
      </c>
      <c r="K182" t="s">
        <v>87</v>
      </c>
      <c r="L182" s="16" t="s">
        <v>9</v>
      </c>
    </row>
    <row r="183" spans="1:12" x14ac:dyDescent="0.35">
      <c r="A183" t="s">
        <v>8</v>
      </c>
      <c r="B183" t="s">
        <v>92</v>
      </c>
      <c r="C183" t="s">
        <v>93</v>
      </c>
      <c r="D183" t="s">
        <v>10</v>
      </c>
      <c r="E183" t="s">
        <v>10</v>
      </c>
      <c r="F183" s="7">
        <v>45192</v>
      </c>
      <c r="G183" s="1">
        <v>44927</v>
      </c>
      <c r="H183" s="14">
        <v>5305.3565999999973</v>
      </c>
      <c r="I183">
        <v>743579</v>
      </c>
      <c r="J183" t="s">
        <v>88</v>
      </c>
      <c r="K183" t="s">
        <v>94</v>
      </c>
      <c r="L183" s="16" t="s">
        <v>10</v>
      </c>
    </row>
    <row r="184" spans="1:12" x14ac:dyDescent="0.35">
      <c r="A184" t="s">
        <v>8</v>
      </c>
      <c r="B184" t="s">
        <v>92</v>
      </c>
      <c r="C184" t="s">
        <v>95</v>
      </c>
      <c r="D184" t="s">
        <v>10</v>
      </c>
      <c r="E184" t="s">
        <v>10</v>
      </c>
      <c r="F184" s="7">
        <v>45192</v>
      </c>
      <c r="G184" s="1">
        <v>44927</v>
      </c>
      <c r="H184" s="14">
        <v>8174.7600000000048</v>
      </c>
      <c r="I184">
        <v>1351163</v>
      </c>
      <c r="J184" t="s">
        <v>88</v>
      </c>
      <c r="K184" t="s">
        <v>96</v>
      </c>
      <c r="L184" s="16" t="s">
        <v>10</v>
      </c>
    </row>
    <row r="185" spans="1:12" x14ac:dyDescent="0.35">
      <c r="A185" t="s">
        <v>8</v>
      </c>
      <c r="B185" t="s">
        <v>84</v>
      </c>
      <c r="C185" t="s">
        <v>93</v>
      </c>
      <c r="D185" t="s">
        <v>10</v>
      </c>
      <c r="E185" t="s">
        <v>10</v>
      </c>
      <c r="F185" s="7">
        <v>45192</v>
      </c>
      <c r="G185" s="1">
        <v>44927</v>
      </c>
      <c r="H185" s="14">
        <v>3905.2513000000017</v>
      </c>
      <c r="I185">
        <v>1399368</v>
      </c>
      <c r="J185" t="s">
        <v>88</v>
      </c>
      <c r="K185" t="s">
        <v>94</v>
      </c>
      <c r="L185" s="16" t="s">
        <v>10</v>
      </c>
    </row>
    <row r="186" spans="1:12" x14ac:dyDescent="0.35">
      <c r="A186" t="s">
        <v>8</v>
      </c>
      <c r="B186" t="s">
        <v>84</v>
      </c>
      <c r="C186" t="s">
        <v>95</v>
      </c>
      <c r="D186" t="s">
        <v>10</v>
      </c>
      <c r="E186" t="s">
        <v>10</v>
      </c>
      <c r="F186" s="7">
        <v>45192</v>
      </c>
      <c r="G186" s="1">
        <v>44927</v>
      </c>
      <c r="H186" s="14">
        <v>3158.5</v>
      </c>
      <c r="I186">
        <v>636873</v>
      </c>
      <c r="J186" t="s">
        <v>88</v>
      </c>
      <c r="K186" t="s">
        <v>96</v>
      </c>
      <c r="L186" s="16" t="s">
        <v>10</v>
      </c>
    </row>
    <row r="187" spans="1:12" x14ac:dyDescent="0.35">
      <c r="A187" t="s">
        <v>8</v>
      </c>
      <c r="B187" t="s">
        <v>17</v>
      </c>
      <c r="C187" t="s">
        <v>93</v>
      </c>
      <c r="D187" t="s">
        <v>10</v>
      </c>
      <c r="E187" t="s">
        <v>10</v>
      </c>
      <c r="F187" s="7">
        <v>45192</v>
      </c>
      <c r="G187" s="1">
        <v>44927</v>
      </c>
      <c r="H187" s="14">
        <v>4838.3943999999983</v>
      </c>
      <c r="I187">
        <v>721878</v>
      </c>
      <c r="J187" t="s">
        <v>88</v>
      </c>
      <c r="K187" t="s">
        <v>94</v>
      </c>
      <c r="L187" s="16" t="s">
        <v>10</v>
      </c>
    </row>
    <row r="188" spans="1:12" x14ac:dyDescent="0.35">
      <c r="A188" t="s">
        <v>8</v>
      </c>
      <c r="B188" t="s">
        <v>17</v>
      </c>
      <c r="C188" t="s">
        <v>95</v>
      </c>
      <c r="D188" t="s">
        <v>10</v>
      </c>
      <c r="E188" t="s">
        <v>10</v>
      </c>
      <c r="F188" s="7">
        <v>45192</v>
      </c>
      <c r="G188" s="1">
        <v>44927</v>
      </c>
      <c r="H188" s="14">
        <v>10469.630000000006</v>
      </c>
      <c r="I188">
        <v>1331006</v>
      </c>
      <c r="J188" t="s">
        <v>88</v>
      </c>
      <c r="K188" t="s">
        <v>96</v>
      </c>
      <c r="L188" s="16" t="s">
        <v>10</v>
      </c>
    </row>
    <row r="189" spans="1:12" x14ac:dyDescent="0.35">
      <c r="A189" t="s">
        <v>8</v>
      </c>
      <c r="B189" t="s">
        <v>99</v>
      </c>
      <c r="C189" t="s">
        <v>93</v>
      </c>
      <c r="D189" t="s">
        <v>10</v>
      </c>
      <c r="E189" t="s">
        <v>10</v>
      </c>
      <c r="F189" s="7">
        <v>45192</v>
      </c>
      <c r="G189" s="1">
        <v>44927</v>
      </c>
      <c r="H189" s="14">
        <v>4712.5533999999989</v>
      </c>
      <c r="I189">
        <v>641220</v>
      </c>
      <c r="J189" t="s">
        <v>88</v>
      </c>
      <c r="K189" t="s">
        <v>94</v>
      </c>
      <c r="L189" s="16" t="s">
        <v>10</v>
      </c>
    </row>
    <row r="190" spans="1:12" x14ac:dyDescent="0.35">
      <c r="A190" t="s">
        <v>8</v>
      </c>
      <c r="B190" t="s">
        <v>99</v>
      </c>
      <c r="C190" t="s">
        <v>95</v>
      </c>
      <c r="D190" t="s">
        <v>10</v>
      </c>
      <c r="E190" t="s">
        <v>10</v>
      </c>
      <c r="F190" s="7">
        <v>45192</v>
      </c>
      <c r="G190" s="1">
        <v>44927</v>
      </c>
      <c r="H190" s="14">
        <v>8455.8700000000026</v>
      </c>
      <c r="I190">
        <v>1116221</v>
      </c>
      <c r="J190" t="s">
        <v>88</v>
      </c>
      <c r="K190" t="s">
        <v>96</v>
      </c>
      <c r="L190" s="16" t="s">
        <v>10</v>
      </c>
    </row>
    <row r="191" spans="1:12" x14ac:dyDescent="0.35">
      <c r="A191" t="s">
        <v>8</v>
      </c>
      <c r="B191" t="s">
        <v>100</v>
      </c>
      <c r="C191" t="s">
        <v>93</v>
      </c>
      <c r="D191" t="s">
        <v>10</v>
      </c>
      <c r="E191" t="s">
        <v>10</v>
      </c>
      <c r="F191" s="7">
        <v>45192</v>
      </c>
      <c r="G191" s="1">
        <v>44927</v>
      </c>
      <c r="H191" s="14">
        <v>4453.5141000000012</v>
      </c>
      <c r="I191">
        <v>601611</v>
      </c>
      <c r="J191" t="s">
        <v>88</v>
      </c>
      <c r="K191" t="s">
        <v>94</v>
      </c>
      <c r="L191" s="16" t="s">
        <v>10</v>
      </c>
    </row>
    <row r="192" spans="1:12" x14ac:dyDescent="0.35">
      <c r="A192" t="s">
        <v>8</v>
      </c>
      <c r="B192" t="s">
        <v>100</v>
      </c>
      <c r="C192" t="s">
        <v>95</v>
      </c>
      <c r="D192" t="s">
        <v>10</v>
      </c>
      <c r="E192" t="s">
        <v>10</v>
      </c>
      <c r="F192" s="7">
        <v>45192</v>
      </c>
      <c r="G192" s="1">
        <v>44927</v>
      </c>
      <c r="H192" s="14">
        <v>5088.2300000000005</v>
      </c>
      <c r="I192">
        <v>1614233</v>
      </c>
      <c r="J192" t="s">
        <v>88</v>
      </c>
      <c r="K192" t="s">
        <v>96</v>
      </c>
      <c r="L192" s="16" t="s">
        <v>10</v>
      </c>
    </row>
    <row r="193" spans="1:12" x14ac:dyDescent="0.35">
      <c r="A193" t="s">
        <v>8</v>
      </c>
      <c r="B193" t="s">
        <v>102</v>
      </c>
      <c r="C193" t="s">
        <v>95</v>
      </c>
      <c r="D193" t="s">
        <v>10</v>
      </c>
      <c r="E193" t="s">
        <v>10</v>
      </c>
      <c r="F193" s="7">
        <v>45192</v>
      </c>
      <c r="G193" s="1">
        <v>44927</v>
      </c>
      <c r="H193" s="14">
        <v>0.65</v>
      </c>
      <c r="I193">
        <v>232</v>
      </c>
      <c r="J193" t="s">
        <v>88</v>
      </c>
      <c r="K193" t="s">
        <v>96</v>
      </c>
      <c r="L193" s="16" t="s">
        <v>10</v>
      </c>
    </row>
    <row r="194" spans="1:12" x14ac:dyDescent="0.35">
      <c r="A194" t="s">
        <v>8</v>
      </c>
      <c r="B194" t="s">
        <v>84</v>
      </c>
      <c r="C194" t="s">
        <v>95</v>
      </c>
      <c r="D194" t="s">
        <v>104</v>
      </c>
      <c r="E194" t="s">
        <v>8</v>
      </c>
      <c r="F194" s="7">
        <v>45192</v>
      </c>
      <c r="G194" s="1">
        <v>44927</v>
      </c>
      <c r="H194" s="14">
        <v>12584.519999999997</v>
      </c>
      <c r="I194">
        <v>47040</v>
      </c>
      <c r="J194" t="s">
        <v>88</v>
      </c>
      <c r="K194" t="s">
        <v>105</v>
      </c>
      <c r="L194" s="16" t="s">
        <v>95</v>
      </c>
    </row>
    <row r="195" spans="1:12" x14ac:dyDescent="0.35">
      <c r="A195" t="s">
        <v>8</v>
      </c>
      <c r="B195" t="s">
        <v>15</v>
      </c>
      <c r="C195" t="s">
        <v>85</v>
      </c>
      <c r="D195" t="s">
        <v>9</v>
      </c>
      <c r="E195" t="s">
        <v>11</v>
      </c>
      <c r="F195" s="7">
        <v>45199</v>
      </c>
      <c r="G195" s="1">
        <v>44927</v>
      </c>
      <c r="H195" s="14">
        <v>6168.8799960000015</v>
      </c>
      <c r="I195">
        <v>329275</v>
      </c>
      <c r="J195" t="s">
        <v>88</v>
      </c>
      <c r="K195" t="s">
        <v>87</v>
      </c>
      <c r="L195" s="16" t="s">
        <v>9</v>
      </c>
    </row>
    <row r="196" spans="1:12" x14ac:dyDescent="0.35">
      <c r="A196" t="s">
        <v>8</v>
      </c>
      <c r="B196" t="s">
        <v>92</v>
      </c>
      <c r="C196" t="s">
        <v>93</v>
      </c>
      <c r="D196" t="s">
        <v>10</v>
      </c>
      <c r="E196" t="s">
        <v>10</v>
      </c>
      <c r="F196" s="7">
        <v>45199</v>
      </c>
      <c r="G196" s="1">
        <v>44927</v>
      </c>
      <c r="H196" s="14">
        <v>5364.8403000000008</v>
      </c>
      <c r="I196">
        <v>906634</v>
      </c>
      <c r="J196" t="s">
        <v>88</v>
      </c>
      <c r="K196" t="s">
        <v>94</v>
      </c>
      <c r="L196" s="16" t="s">
        <v>10</v>
      </c>
    </row>
    <row r="197" spans="1:12" x14ac:dyDescent="0.35">
      <c r="A197" t="s">
        <v>8</v>
      </c>
      <c r="B197" t="s">
        <v>92</v>
      </c>
      <c r="C197" t="s">
        <v>95</v>
      </c>
      <c r="D197" t="s">
        <v>10</v>
      </c>
      <c r="E197" t="s">
        <v>10</v>
      </c>
      <c r="F197" s="7">
        <v>45199</v>
      </c>
      <c r="G197" s="1">
        <v>44927</v>
      </c>
      <c r="H197" s="14">
        <v>11149.360000000002</v>
      </c>
      <c r="I197">
        <v>2173293</v>
      </c>
      <c r="J197" t="s">
        <v>88</v>
      </c>
      <c r="K197" t="s">
        <v>96</v>
      </c>
      <c r="L197" s="16" t="s">
        <v>10</v>
      </c>
    </row>
    <row r="198" spans="1:12" x14ac:dyDescent="0.35">
      <c r="A198" t="s">
        <v>8</v>
      </c>
      <c r="B198" t="s">
        <v>84</v>
      </c>
      <c r="C198" t="s">
        <v>93</v>
      </c>
      <c r="D198" t="s">
        <v>10</v>
      </c>
      <c r="E198" t="s">
        <v>10</v>
      </c>
      <c r="F198" s="7">
        <v>45199</v>
      </c>
      <c r="G198" s="1">
        <v>44927</v>
      </c>
      <c r="H198" s="14">
        <v>4495.1247000000003</v>
      </c>
      <c r="I198">
        <v>1526553</v>
      </c>
      <c r="J198" t="s">
        <v>88</v>
      </c>
      <c r="K198" t="s">
        <v>94</v>
      </c>
      <c r="L198" s="16" t="s">
        <v>10</v>
      </c>
    </row>
    <row r="199" spans="1:12" x14ac:dyDescent="0.35">
      <c r="A199" t="s">
        <v>8</v>
      </c>
      <c r="B199" t="s">
        <v>84</v>
      </c>
      <c r="C199" t="s">
        <v>95</v>
      </c>
      <c r="D199" t="s">
        <v>10</v>
      </c>
      <c r="E199" t="s">
        <v>10</v>
      </c>
      <c r="F199" s="7">
        <v>45199</v>
      </c>
      <c r="G199" s="1">
        <v>44927</v>
      </c>
      <c r="H199" s="14">
        <v>2960.0099999999993</v>
      </c>
      <c r="I199">
        <v>767431</v>
      </c>
      <c r="J199" t="s">
        <v>88</v>
      </c>
      <c r="K199" t="s">
        <v>96</v>
      </c>
      <c r="L199" s="16" t="s">
        <v>10</v>
      </c>
    </row>
    <row r="200" spans="1:12" x14ac:dyDescent="0.35">
      <c r="A200" t="s">
        <v>8</v>
      </c>
      <c r="B200" t="s">
        <v>17</v>
      </c>
      <c r="C200" t="s">
        <v>93</v>
      </c>
      <c r="D200" t="s">
        <v>10</v>
      </c>
      <c r="E200" t="s">
        <v>10</v>
      </c>
      <c r="F200" s="7">
        <v>45199</v>
      </c>
      <c r="G200" s="1">
        <v>44927</v>
      </c>
      <c r="H200" s="14">
        <v>2774.3762999999994</v>
      </c>
      <c r="I200">
        <v>266672</v>
      </c>
      <c r="J200" t="s">
        <v>88</v>
      </c>
      <c r="K200" t="s">
        <v>94</v>
      </c>
      <c r="L200" s="16" t="s">
        <v>10</v>
      </c>
    </row>
    <row r="201" spans="1:12" x14ac:dyDescent="0.35">
      <c r="A201" t="s">
        <v>8</v>
      </c>
      <c r="B201" t="s">
        <v>17</v>
      </c>
      <c r="C201" t="s">
        <v>95</v>
      </c>
      <c r="D201" t="s">
        <v>10</v>
      </c>
      <c r="E201" t="s">
        <v>10</v>
      </c>
      <c r="F201" s="7">
        <v>45199</v>
      </c>
      <c r="G201" s="1">
        <v>44927</v>
      </c>
      <c r="H201" s="14">
        <v>7474.56</v>
      </c>
      <c r="I201">
        <v>1446597</v>
      </c>
      <c r="J201" t="s">
        <v>88</v>
      </c>
      <c r="K201" t="s">
        <v>96</v>
      </c>
      <c r="L201" s="16" t="s">
        <v>10</v>
      </c>
    </row>
    <row r="202" spans="1:12" x14ac:dyDescent="0.35">
      <c r="A202" t="s">
        <v>8</v>
      </c>
      <c r="B202" t="s">
        <v>99</v>
      </c>
      <c r="C202" t="s">
        <v>93</v>
      </c>
      <c r="D202" t="s">
        <v>10</v>
      </c>
      <c r="E202" t="s">
        <v>10</v>
      </c>
      <c r="F202" s="7">
        <v>45199</v>
      </c>
      <c r="G202" s="1">
        <v>44927</v>
      </c>
      <c r="H202" s="14">
        <v>5622.0327999999981</v>
      </c>
      <c r="I202">
        <v>801519</v>
      </c>
      <c r="J202" t="s">
        <v>88</v>
      </c>
      <c r="K202" t="s">
        <v>94</v>
      </c>
      <c r="L202" s="16" t="s">
        <v>10</v>
      </c>
    </row>
    <row r="203" spans="1:12" x14ac:dyDescent="0.35">
      <c r="A203" t="s">
        <v>8</v>
      </c>
      <c r="B203" t="s">
        <v>99</v>
      </c>
      <c r="C203" t="s">
        <v>95</v>
      </c>
      <c r="D203" t="s">
        <v>10</v>
      </c>
      <c r="E203" t="s">
        <v>10</v>
      </c>
      <c r="F203" s="7">
        <v>45199</v>
      </c>
      <c r="G203" s="1">
        <v>44927</v>
      </c>
      <c r="H203" s="14">
        <v>9952.9200000000037</v>
      </c>
      <c r="I203">
        <v>1649973</v>
      </c>
      <c r="J203" t="s">
        <v>88</v>
      </c>
      <c r="K203" t="s">
        <v>96</v>
      </c>
      <c r="L203" s="16" t="s">
        <v>10</v>
      </c>
    </row>
    <row r="204" spans="1:12" x14ac:dyDescent="0.35">
      <c r="A204" t="s">
        <v>8</v>
      </c>
      <c r="B204" t="s">
        <v>100</v>
      </c>
      <c r="C204" t="s">
        <v>93</v>
      </c>
      <c r="D204" t="s">
        <v>10</v>
      </c>
      <c r="E204" t="s">
        <v>10</v>
      </c>
      <c r="F204" s="7">
        <v>45199</v>
      </c>
      <c r="G204" s="1">
        <v>44927</v>
      </c>
      <c r="H204" s="14">
        <v>6152.8482999999978</v>
      </c>
      <c r="I204">
        <v>753805</v>
      </c>
      <c r="J204" t="s">
        <v>88</v>
      </c>
      <c r="K204" t="s">
        <v>94</v>
      </c>
      <c r="L204" s="16" t="s">
        <v>10</v>
      </c>
    </row>
    <row r="205" spans="1:12" x14ac:dyDescent="0.35">
      <c r="A205" t="s">
        <v>8</v>
      </c>
      <c r="B205" t="s">
        <v>100</v>
      </c>
      <c r="C205" t="s">
        <v>95</v>
      </c>
      <c r="D205" t="s">
        <v>10</v>
      </c>
      <c r="E205" t="s">
        <v>10</v>
      </c>
      <c r="F205" s="7">
        <v>45199</v>
      </c>
      <c r="G205" s="1">
        <v>44927</v>
      </c>
      <c r="H205" s="14">
        <v>6291.2899999999991</v>
      </c>
      <c r="I205">
        <v>2292534</v>
      </c>
      <c r="J205" t="s">
        <v>88</v>
      </c>
      <c r="K205" t="s">
        <v>96</v>
      </c>
      <c r="L205" s="16" t="s">
        <v>10</v>
      </c>
    </row>
    <row r="206" spans="1:12" x14ac:dyDescent="0.35">
      <c r="A206" t="s">
        <v>8</v>
      </c>
      <c r="B206" t="s">
        <v>21</v>
      </c>
      <c r="C206" t="s">
        <v>95</v>
      </c>
      <c r="D206" t="s">
        <v>10</v>
      </c>
      <c r="E206" t="s">
        <v>10</v>
      </c>
      <c r="F206" s="7">
        <v>45199</v>
      </c>
      <c r="G206" s="1">
        <v>44927</v>
      </c>
      <c r="H206" s="14">
        <v>829.62</v>
      </c>
      <c r="I206">
        <v>129636</v>
      </c>
      <c r="J206" t="s">
        <v>88</v>
      </c>
      <c r="K206" t="s">
        <v>96</v>
      </c>
      <c r="L206" s="16" t="s">
        <v>10</v>
      </c>
    </row>
    <row r="207" spans="1:12" x14ac:dyDescent="0.35">
      <c r="A207" t="s">
        <v>8</v>
      </c>
      <c r="B207" t="s">
        <v>101</v>
      </c>
      <c r="C207" t="s">
        <v>95</v>
      </c>
      <c r="D207" t="s">
        <v>10</v>
      </c>
      <c r="E207" t="s">
        <v>10</v>
      </c>
      <c r="F207" s="7">
        <v>45199</v>
      </c>
      <c r="G207" s="1">
        <v>44927</v>
      </c>
      <c r="H207" s="14">
        <v>871.51</v>
      </c>
      <c r="I207">
        <v>264343</v>
      </c>
      <c r="J207" t="s">
        <v>88</v>
      </c>
      <c r="K207" t="s">
        <v>96</v>
      </c>
      <c r="L207" s="16" t="s">
        <v>10</v>
      </c>
    </row>
    <row r="208" spans="1:12" x14ac:dyDescent="0.35">
      <c r="A208" t="s">
        <v>8</v>
      </c>
      <c r="B208" t="s">
        <v>16</v>
      </c>
      <c r="C208" t="s">
        <v>95</v>
      </c>
      <c r="D208" t="s">
        <v>10</v>
      </c>
      <c r="E208" t="s">
        <v>10</v>
      </c>
      <c r="F208" s="7">
        <v>45199</v>
      </c>
      <c r="G208" s="1">
        <v>44927</v>
      </c>
      <c r="H208" s="14">
        <v>385.07</v>
      </c>
      <c r="I208">
        <v>44814</v>
      </c>
      <c r="J208" t="s">
        <v>88</v>
      </c>
      <c r="K208" t="s">
        <v>96</v>
      </c>
      <c r="L208" s="16" t="s">
        <v>10</v>
      </c>
    </row>
    <row r="209" spans="1:12" x14ac:dyDescent="0.35">
      <c r="A209" t="s">
        <v>8</v>
      </c>
      <c r="B209" t="s">
        <v>102</v>
      </c>
      <c r="C209" t="s">
        <v>95</v>
      </c>
      <c r="D209" t="s">
        <v>10</v>
      </c>
      <c r="E209" t="s">
        <v>10</v>
      </c>
      <c r="F209" s="7">
        <v>45199</v>
      </c>
      <c r="G209" s="1">
        <v>44927</v>
      </c>
      <c r="H209" s="14">
        <v>0.26</v>
      </c>
      <c r="I209">
        <v>65</v>
      </c>
      <c r="J209" t="s">
        <v>88</v>
      </c>
      <c r="K209" t="s">
        <v>96</v>
      </c>
      <c r="L209" s="16" t="s">
        <v>10</v>
      </c>
    </row>
    <row r="210" spans="1:12" x14ac:dyDescent="0.35">
      <c r="A210" t="s">
        <v>8</v>
      </c>
      <c r="B210" t="s">
        <v>103</v>
      </c>
      <c r="C210" t="s">
        <v>95</v>
      </c>
      <c r="D210" t="s">
        <v>104</v>
      </c>
      <c r="E210" t="s">
        <v>8</v>
      </c>
      <c r="F210" s="7">
        <v>45199</v>
      </c>
      <c r="G210" s="1">
        <v>44927</v>
      </c>
      <c r="H210" s="14">
        <v>120.74000000000001</v>
      </c>
      <c r="I210">
        <v>392</v>
      </c>
      <c r="J210" t="s">
        <v>88</v>
      </c>
      <c r="K210" t="s">
        <v>105</v>
      </c>
      <c r="L210" s="16" t="s">
        <v>95</v>
      </c>
    </row>
    <row r="211" spans="1:12" x14ac:dyDescent="0.35">
      <c r="A211" t="s">
        <v>8</v>
      </c>
      <c r="B211" t="s">
        <v>16</v>
      </c>
      <c r="C211" t="s">
        <v>95</v>
      </c>
      <c r="D211" t="s">
        <v>104</v>
      </c>
      <c r="E211" t="s">
        <v>8</v>
      </c>
      <c r="F211" s="7">
        <v>45199</v>
      </c>
      <c r="G211" s="1">
        <v>44927</v>
      </c>
      <c r="H211" s="14">
        <v>10.97</v>
      </c>
      <c r="I211">
        <v>138</v>
      </c>
      <c r="J211" t="s">
        <v>88</v>
      </c>
      <c r="K211" t="s">
        <v>105</v>
      </c>
      <c r="L211" s="16" t="s">
        <v>95</v>
      </c>
    </row>
    <row r="212" spans="1:12" x14ac:dyDescent="0.35">
      <c r="A212" t="s">
        <v>8</v>
      </c>
      <c r="B212" t="s">
        <v>84</v>
      </c>
      <c r="C212" t="s">
        <v>95</v>
      </c>
      <c r="D212" t="s">
        <v>104</v>
      </c>
      <c r="E212" t="s">
        <v>8</v>
      </c>
      <c r="F212" s="7">
        <v>45199</v>
      </c>
      <c r="G212" s="1">
        <v>44927</v>
      </c>
      <c r="H212" s="14">
        <v>13169.369999999995</v>
      </c>
      <c r="I212">
        <v>43559</v>
      </c>
      <c r="J212" t="s">
        <v>88</v>
      </c>
      <c r="K212" t="s">
        <v>105</v>
      </c>
      <c r="L212" s="16" t="s">
        <v>95</v>
      </c>
    </row>
    <row r="213" spans="1:12" x14ac:dyDescent="0.35">
      <c r="A213" t="s">
        <v>8</v>
      </c>
      <c r="B213" t="s">
        <v>17</v>
      </c>
      <c r="C213" t="s">
        <v>95</v>
      </c>
      <c r="D213" t="s">
        <v>104</v>
      </c>
      <c r="E213" t="s">
        <v>8</v>
      </c>
      <c r="F213" s="7">
        <v>45199</v>
      </c>
      <c r="G213" s="1">
        <v>44927</v>
      </c>
      <c r="H213" s="14">
        <v>118.06</v>
      </c>
      <c r="I213">
        <v>837</v>
      </c>
      <c r="J213" t="s">
        <v>88</v>
      </c>
      <c r="K213" t="s">
        <v>105</v>
      </c>
      <c r="L213" s="16" t="s">
        <v>95</v>
      </c>
    </row>
    <row r="214" spans="1:12" x14ac:dyDescent="0.35">
      <c r="A214" t="s">
        <v>8</v>
      </c>
      <c r="B214" t="s">
        <v>106</v>
      </c>
      <c r="C214" t="s">
        <v>95</v>
      </c>
      <c r="D214" t="s">
        <v>104</v>
      </c>
      <c r="E214" t="s">
        <v>8</v>
      </c>
      <c r="F214" s="7">
        <v>45199</v>
      </c>
      <c r="G214" s="1">
        <v>44927</v>
      </c>
      <c r="H214" s="14">
        <v>9.6300000000000008</v>
      </c>
      <c r="I214">
        <v>13</v>
      </c>
      <c r="J214" t="s">
        <v>88</v>
      </c>
      <c r="K214" t="s">
        <v>105</v>
      </c>
      <c r="L214" s="16" t="s">
        <v>95</v>
      </c>
    </row>
    <row r="215" spans="1:12" x14ac:dyDescent="0.35">
      <c r="A215" t="s">
        <v>8</v>
      </c>
      <c r="B215" t="s">
        <v>92</v>
      </c>
      <c r="C215" t="s">
        <v>95</v>
      </c>
      <c r="D215" t="s">
        <v>104</v>
      </c>
      <c r="E215" t="s">
        <v>8</v>
      </c>
      <c r="F215" s="7">
        <v>45199</v>
      </c>
      <c r="G215" s="1">
        <v>44927</v>
      </c>
      <c r="H215" s="14">
        <v>232.94000000000003</v>
      </c>
      <c r="I215">
        <v>1152</v>
      </c>
      <c r="J215" t="s">
        <v>88</v>
      </c>
      <c r="K215" t="s">
        <v>105</v>
      </c>
      <c r="L215" s="16" t="s">
        <v>95</v>
      </c>
    </row>
    <row r="216" spans="1:12" x14ac:dyDescent="0.35">
      <c r="A216" t="s">
        <v>8</v>
      </c>
      <c r="B216" t="s">
        <v>21</v>
      </c>
      <c r="C216" t="s">
        <v>95</v>
      </c>
      <c r="D216" t="s">
        <v>104</v>
      </c>
      <c r="E216" t="s">
        <v>8</v>
      </c>
      <c r="F216" s="7">
        <v>45199</v>
      </c>
      <c r="G216" s="1">
        <v>44927</v>
      </c>
      <c r="H216" s="14">
        <v>116.12</v>
      </c>
      <c r="I216">
        <v>547</v>
      </c>
      <c r="J216" t="s">
        <v>88</v>
      </c>
      <c r="K216" t="s">
        <v>105</v>
      </c>
      <c r="L216" s="16" t="s">
        <v>95</v>
      </c>
    </row>
    <row r="217" spans="1:12" x14ac:dyDescent="0.35">
      <c r="A217" t="s">
        <v>8</v>
      </c>
      <c r="B217" t="s">
        <v>101</v>
      </c>
      <c r="C217" t="s">
        <v>95</v>
      </c>
      <c r="D217" t="s">
        <v>104</v>
      </c>
      <c r="E217" t="s">
        <v>8</v>
      </c>
      <c r="F217" s="7">
        <v>45199</v>
      </c>
      <c r="G217" s="1">
        <v>44927</v>
      </c>
      <c r="H217" s="14">
        <v>152.44</v>
      </c>
      <c r="I217">
        <v>446</v>
      </c>
      <c r="J217" t="s">
        <v>88</v>
      </c>
      <c r="K217" t="s">
        <v>105</v>
      </c>
      <c r="L217" s="16" t="s">
        <v>95</v>
      </c>
    </row>
    <row r="218" spans="1:12" x14ac:dyDescent="0.35">
      <c r="A218" t="s">
        <v>8</v>
      </c>
      <c r="B218" t="s">
        <v>99</v>
      </c>
      <c r="C218" t="s">
        <v>95</v>
      </c>
      <c r="D218" t="s">
        <v>104</v>
      </c>
      <c r="E218" t="s">
        <v>8</v>
      </c>
      <c r="F218" s="7">
        <v>45199</v>
      </c>
      <c r="G218" s="1">
        <v>44927</v>
      </c>
      <c r="H218" s="14">
        <v>302.26</v>
      </c>
      <c r="I218">
        <v>916</v>
      </c>
      <c r="J218" t="s">
        <v>88</v>
      </c>
      <c r="K218" t="s">
        <v>105</v>
      </c>
      <c r="L218" s="16" t="s">
        <v>95</v>
      </c>
    </row>
    <row r="219" spans="1:12" x14ac:dyDescent="0.35">
      <c r="A219" t="s">
        <v>8</v>
      </c>
      <c r="B219" t="s">
        <v>100</v>
      </c>
      <c r="C219" t="s">
        <v>95</v>
      </c>
      <c r="D219" t="s">
        <v>104</v>
      </c>
      <c r="E219" t="s">
        <v>8</v>
      </c>
      <c r="F219" s="7">
        <v>45199</v>
      </c>
      <c r="G219" s="1">
        <v>44927</v>
      </c>
      <c r="H219" s="14">
        <v>184.83</v>
      </c>
      <c r="I219">
        <v>742</v>
      </c>
      <c r="J219" t="s">
        <v>88</v>
      </c>
      <c r="K219" t="s">
        <v>105</v>
      </c>
      <c r="L219" s="16" t="s">
        <v>95</v>
      </c>
    </row>
    <row r="220" spans="1:12" x14ac:dyDescent="0.35">
      <c r="A220" t="s">
        <v>8</v>
      </c>
      <c r="B220" t="s">
        <v>92</v>
      </c>
      <c r="C220" t="s">
        <v>93</v>
      </c>
      <c r="D220" t="s">
        <v>10</v>
      </c>
      <c r="E220" t="s">
        <v>10</v>
      </c>
      <c r="F220" s="7">
        <v>45206</v>
      </c>
      <c r="G220" s="1">
        <v>44927</v>
      </c>
      <c r="H220" s="14">
        <v>6597.4694999999965</v>
      </c>
      <c r="I220">
        <v>1134857</v>
      </c>
      <c r="J220" t="s">
        <v>88</v>
      </c>
      <c r="K220" t="s">
        <v>94</v>
      </c>
      <c r="L220" s="16" t="s">
        <v>10</v>
      </c>
    </row>
    <row r="221" spans="1:12" x14ac:dyDescent="0.35">
      <c r="A221" t="s">
        <v>8</v>
      </c>
      <c r="B221" t="s">
        <v>92</v>
      </c>
      <c r="C221" t="s">
        <v>95</v>
      </c>
      <c r="D221" t="s">
        <v>10</v>
      </c>
      <c r="E221" t="s">
        <v>10</v>
      </c>
      <c r="F221" s="7">
        <v>45206</v>
      </c>
      <c r="G221" s="1">
        <v>44927</v>
      </c>
      <c r="H221" s="14">
        <v>11636.359999999993</v>
      </c>
      <c r="I221">
        <v>2013862</v>
      </c>
      <c r="J221" t="s">
        <v>88</v>
      </c>
      <c r="K221" t="s">
        <v>96</v>
      </c>
      <c r="L221" s="16" t="s">
        <v>10</v>
      </c>
    </row>
    <row r="222" spans="1:12" x14ac:dyDescent="0.35">
      <c r="A222" t="s">
        <v>8</v>
      </c>
      <c r="B222" t="s">
        <v>84</v>
      </c>
      <c r="C222" t="s">
        <v>93</v>
      </c>
      <c r="D222" t="s">
        <v>10</v>
      </c>
      <c r="E222" t="s">
        <v>10</v>
      </c>
      <c r="F222" s="7">
        <v>45206</v>
      </c>
      <c r="G222" s="1">
        <v>44927</v>
      </c>
      <c r="H222" s="14">
        <v>12509.161800000007</v>
      </c>
      <c r="I222">
        <v>2666402</v>
      </c>
      <c r="J222" t="s">
        <v>88</v>
      </c>
      <c r="K222" t="s">
        <v>94</v>
      </c>
      <c r="L222" s="16" t="s">
        <v>10</v>
      </c>
    </row>
    <row r="223" spans="1:12" x14ac:dyDescent="0.35">
      <c r="A223" t="s">
        <v>8</v>
      </c>
      <c r="B223" t="s">
        <v>84</v>
      </c>
      <c r="C223" t="s">
        <v>95</v>
      </c>
      <c r="D223" t="s">
        <v>10</v>
      </c>
      <c r="E223" t="s">
        <v>10</v>
      </c>
      <c r="F223" s="7">
        <v>45206</v>
      </c>
      <c r="G223" s="1">
        <v>44927</v>
      </c>
      <c r="H223" s="14">
        <v>3689.5800000000004</v>
      </c>
      <c r="I223">
        <v>996228</v>
      </c>
      <c r="J223" t="s">
        <v>88</v>
      </c>
      <c r="K223" t="s">
        <v>96</v>
      </c>
      <c r="L223" s="16" t="s">
        <v>10</v>
      </c>
    </row>
    <row r="224" spans="1:12" x14ac:dyDescent="0.35">
      <c r="A224" t="s">
        <v>8</v>
      </c>
      <c r="B224" t="s">
        <v>17</v>
      </c>
      <c r="C224" t="s">
        <v>93</v>
      </c>
      <c r="D224" t="s">
        <v>10</v>
      </c>
      <c r="E224" t="s">
        <v>10</v>
      </c>
      <c r="F224" s="7">
        <v>45206</v>
      </c>
      <c r="G224" s="1">
        <v>44927</v>
      </c>
      <c r="H224" s="14">
        <v>6464.8902000000007</v>
      </c>
      <c r="I224">
        <v>872306</v>
      </c>
      <c r="J224" t="s">
        <v>88</v>
      </c>
      <c r="K224" t="s">
        <v>94</v>
      </c>
      <c r="L224" s="16" t="s">
        <v>10</v>
      </c>
    </row>
    <row r="225" spans="1:12" x14ac:dyDescent="0.35">
      <c r="A225" t="s">
        <v>8</v>
      </c>
      <c r="B225" t="s">
        <v>17</v>
      </c>
      <c r="C225" t="s">
        <v>95</v>
      </c>
      <c r="D225" t="s">
        <v>10</v>
      </c>
      <c r="E225" t="s">
        <v>10</v>
      </c>
      <c r="F225" s="7">
        <v>45206</v>
      </c>
      <c r="G225" s="1">
        <v>44927</v>
      </c>
      <c r="H225" s="14">
        <v>10517.14</v>
      </c>
      <c r="I225">
        <v>2393271</v>
      </c>
      <c r="J225" t="s">
        <v>88</v>
      </c>
      <c r="K225" t="s">
        <v>96</v>
      </c>
      <c r="L225" s="16" t="s">
        <v>10</v>
      </c>
    </row>
    <row r="226" spans="1:12" x14ac:dyDescent="0.35">
      <c r="A226" t="s">
        <v>8</v>
      </c>
      <c r="B226" t="s">
        <v>99</v>
      </c>
      <c r="C226" t="s">
        <v>93</v>
      </c>
      <c r="D226" t="s">
        <v>10</v>
      </c>
      <c r="E226" t="s">
        <v>10</v>
      </c>
      <c r="F226" s="7">
        <v>45206</v>
      </c>
      <c r="G226" s="1">
        <v>44927</v>
      </c>
      <c r="H226" s="14">
        <v>6333.9197999999997</v>
      </c>
      <c r="I226">
        <v>950677</v>
      </c>
      <c r="J226" t="s">
        <v>88</v>
      </c>
      <c r="K226" t="s">
        <v>94</v>
      </c>
      <c r="L226" s="16" t="s">
        <v>10</v>
      </c>
    </row>
    <row r="227" spans="1:12" x14ac:dyDescent="0.35">
      <c r="A227" t="s">
        <v>8</v>
      </c>
      <c r="B227" t="s">
        <v>99</v>
      </c>
      <c r="C227" t="s">
        <v>95</v>
      </c>
      <c r="D227" t="s">
        <v>10</v>
      </c>
      <c r="E227" t="s">
        <v>10</v>
      </c>
      <c r="F227" s="7">
        <v>45206</v>
      </c>
      <c r="G227" s="1">
        <v>44927</v>
      </c>
      <c r="H227" s="14">
        <v>14860.779999999997</v>
      </c>
      <c r="I227">
        <v>2247214</v>
      </c>
      <c r="J227" t="s">
        <v>88</v>
      </c>
      <c r="K227" t="s">
        <v>96</v>
      </c>
      <c r="L227" s="16" t="s">
        <v>10</v>
      </c>
    </row>
    <row r="228" spans="1:12" x14ac:dyDescent="0.35">
      <c r="A228" t="s">
        <v>8</v>
      </c>
      <c r="B228" t="s">
        <v>100</v>
      </c>
      <c r="C228" t="s">
        <v>93</v>
      </c>
      <c r="D228" t="s">
        <v>10</v>
      </c>
      <c r="E228" t="s">
        <v>10</v>
      </c>
      <c r="F228" s="7">
        <v>45206</v>
      </c>
      <c r="G228" s="1">
        <v>44927</v>
      </c>
      <c r="H228" s="14">
        <v>6076.0272000000004</v>
      </c>
      <c r="I228">
        <v>828135</v>
      </c>
      <c r="J228" t="s">
        <v>88</v>
      </c>
      <c r="K228" t="s">
        <v>94</v>
      </c>
      <c r="L228" s="16" t="s">
        <v>10</v>
      </c>
    </row>
    <row r="229" spans="1:12" x14ac:dyDescent="0.35">
      <c r="A229" t="s">
        <v>8</v>
      </c>
      <c r="B229" t="s">
        <v>100</v>
      </c>
      <c r="C229" t="s">
        <v>95</v>
      </c>
      <c r="D229" t="s">
        <v>10</v>
      </c>
      <c r="E229" t="s">
        <v>10</v>
      </c>
      <c r="F229" s="7">
        <v>45206</v>
      </c>
      <c r="G229" s="1">
        <v>44927</v>
      </c>
      <c r="H229" s="14">
        <v>7981.7900000000009</v>
      </c>
      <c r="I229">
        <v>2662704</v>
      </c>
      <c r="J229" t="s">
        <v>88</v>
      </c>
      <c r="K229" t="s">
        <v>96</v>
      </c>
      <c r="L229" s="16" t="s">
        <v>10</v>
      </c>
    </row>
    <row r="230" spans="1:12" x14ac:dyDescent="0.35">
      <c r="A230" t="s">
        <v>8</v>
      </c>
      <c r="B230" t="s">
        <v>21</v>
      </c>
      <c r="C230" t="s">
        <v>95</v>
      </c>
      <c r="D230" t="s">
        <v>10</v>
      </c>
      <c r="E230" t="s">
        <v>10</v>
      </c>
      <c r="F230" s="7">
        <v>45206</v>
      </c>
      <c r="G230" s="1">
        <v>44927</v>
      </c>
      <c r="H230" s="14">
        <v>1675.3</v>
      </c>
      <c r="I230">
        <v>292335</v>
      </c>
      <c r="J230" t="s">
        <v>88</v>
      </c>
      <c r="K230" t="s">
        <v>96</v>
      </c>
      <c r="L230" s="16" t="s">
        <v>10</v>
      </c>
    </row>
    <row r="231" spans="1:12" x14ac:dyDescent="0.35">
      <c r="A231" t="s">
        <v>8</v>
      </c>
      <c r="B231" t="s">
        <v>101</v>
      </c>
      <c r="C231" t="s">
        <v>95</v>
      </c>
      <c r="D231" t="s">
        <v>10</v>
      </c>
      <c r="E231" t="s">
        <v>10</v>
      </c>
      <c r="F231" s="7">
        <v>45206</v>
      </c>
      <c r="G231" s="1">
        <v>44927</v>
      </c>
      <c r="H231" s="14">
        <v>2987.19</v>
      </c>
      <c r="I231">
        <v>891471</v>
      </c>
      <c r="J231" t="s">
        <v>88</v>
      </c>
      <c r="K231" t="s">
        <v>96</v>
      </c>
      <c r="L231" s="16" t="s">
        <v>10</v>
      </c>
    </row>
    <row r="232" spans="1:12" x14ac:dyDescent="0.35">
      <c r="A232" t="s">
        <v>8</v>
      </c>
      <c r="B232" t="s">
        <v>16</v>
      </c>
      <c r="C232" t="s">
        <v>95</v>
      </c>
      <c r="D232" t="s">
        <v>10</v>
      </c>
      <c r="E232" t="s">
        <v>10</v>
      </c>
      <c r="F232" s="7">
        <v>45206</v>
      </c>
      <c r="G232" s="1">
        <v>44927</v>
      </c>
      <c r="H232" s="14">
        <v>510.67999999999995</v>
      </c>
      <c r="I232">
        <v>89232</v>
      </c>
      <c r="J232" t="s">
        <v>88</v>
      </c>
      <c r="K232" t="s">
        <v>96</v>
      </c>
      <c r="L232" s="16" t="s">
        <v>10</v>
      </c>
    </row>
    <row r="233" spans="1:12" x14ac:dyDescent="0.35">
      <c r="A233" t="s">
        <v>8</v>
      </c>
      <c r="B233" t="s">
        <v>103</v>
      </c>
      <c r="C233" t="s">
        <v>95</v>
      </c>
      <c r="D233" t="s">
        <v>104</v>
      </c>
      <c r="E233" t="s">
        <v>8</v>
      </c>
      <c r="F233" s="7">
        <v>45206</v>
      </c>
      <c r="G233" s="1">
        <v>44927</v>
      </c>
      <c r="H233" s="14">
        <v>131.97</v>
      </c>
      <c r="I233">
        <v>441</v>
      </c>
      <c r="J233" t="s">
        <v>88</v>
      </c>
      <c r="K233" t="s">
        <v>105</v>
      </c>
      <c r="L233" s="16" t="s">
        <v>95</v>
      </c>
    </row>
    <row r="234" spans="1:12" x14ac:dyDescent="0.35">
      <c r="A234" t="s">
        <v>8</v>
      </c>
      <c r="B234" t="s">
        <v>16</v>
      </c>
      <c r="C234" t="s">
        <v>95</v>
      </c>
      <c r="D234" t="s">
        <v>104</v>
      </c>
      <c r="E234" t="s">
        <v>8</v>
      </c>
      <c r="F234" s="7">
        <v>45206</v>
      </c>
      <c r="G234" s="1">
        <v>44927</v>
      </c>
      <c r="H234" s="14">
        <v>23.72</v>
      </c>
      <c r="I234">
        <v>309</v>
      </c>
      <c r="J234" t="s">
        <v>88</v>
      </c>
      <c r="K234" t="s">
        <v>105</v>
      </c>
      <c r="L234" s="16" t="s">
        <v>95</v>
      </c>
    </row>
    <row r="235" spans="1:12" x14ac:dyDescent="0.35">
      <c r="A235" t="s">
        <v>8</v>
      </c>
      <c r="B235" t="s">
        <v>84</v>
      </c>
      <c r="C235" t="s">
        <v>95</v>
      </c>
      <c r="D235" t="s">
        <v>104</v>
      </c>
      <c r="E235" t="s">
        <v>8</v>
      </c>
      <c r="F235" s="7">
        <v>45206</v>
      </c>
      <c r="G235" s="1">
        <v>44927</v>
      </c>
      <c r="H235" s="14">
        <v>11897.369999999997</v>
      </c>
      <c r="I235">
        <v>35878</v>
      </c>
      <c r="J235" t="s">
        <v>88</v>
      </c>
      <c r="K235" t="s">
        <v>105</v>
      </c>
      <c r="L235" s="16" t="s">
        <v>95</v>
      </c>
    </row>
    <row r="236" spans="1:12" x14ac:dyDescent="0.35">
      <c r="A236" t="s">
        <v>8</v>
      </c>
      <c r="B236" t="s">
        <v>17</v>
      </c>
      <c r="C236" t="s">
        <v>95</v>
      </c>
      <c r="D236" t="s">
        <v>104</v>
      </c>
      <c r="E236" t="s">
        <v>8</v>
      </c>
      <c r="F236" s="7">
        <v>45206</v>
      </c>
      <c r="G236" s="1">
        <v>44927</v>
      </c>
      <c r="H236" s="14">
        <v>161.30000000000001</v>
      </c>
      <c r="I236">
        <v>1024</v>
      </c>
      <c r="J236" t="s">
        <v>88</v>
      </c>
      <c r="K236" t="s">
        <v>105</v>
      </c>
      <c r="L236" s="16" t="s">
        <v>95</v>
      </c>
    </row>
    <row r="237" spans="1:12" x14ac:dyDescent="0.35">
      <c r="A237" t="s">
        <v>8</v>
      </c>
      <c r="B237" t="s">
        <v>106</v>
      </c>
      <c r="C237" t="s">
        <v>95</v>
      </c>
      <c r="D237" t="s">
        <v>104</v>
      </c>
      <c r="E237" t="s">
        <v>8</v>
      </c>
      <c r="F237" s="7">
        <v>45206</v>
      </c>
      <c r="G237" s="1">
        <v>44927</v>
      </c>
      <c r="H237" s="14">
        <v>70</v>
      </c>
      <c r="I237">
        <v>306</v>
      </c>
      <c r="J237" t="s">
        <v>88</v>
      </c>
      <c r="K237" t="s">
        <v>105</v>
      </c>
      <c r="L237" s="16" t="s">
        <v>95</v>
      </c>
    </row>
    <row r="238" spans="1:12" x14ac:dyDescent="0.35">
      <c r="A238" t="s">
        <v>8</v>
      </c>
      <c r="B238" t="s">
        <v>92</v>
      </c>
      <c r="C238" t="s">
        <v>95</v>
      </c>
      <c r="D238" t="s">
        <v>104</v>
      </c>
      <c r="E238" t="s">
        <v>8</v>
      </c>
      <c r="F238" s="7">
        <v>45206</v>
      </c>
      <c r="G238" s="1">
        <v>44927</v>
      </c>
      <c r="H238" s="14">
        <v>278.21999999999997</v>
      </c>
      <c r="I238">
        <v>1317</v>
      </c>
      <c r="J238" t="s">
        <v>88</v>
      </c>
      <c r="K238" t="s">
        <v>105</v>
      </c>
      <c r="L238" s="16" t="s">
        <v>95</v>
      </c>
    </row>
    <row r="239" spans="1:12" x14ac:dyDescent="0.35">
      <c r="A239" t="s">
        <v>8</v>
      </c>
      <c r="B239" t="s">
        <v>21</v>
      </c>
      <c r="C239" t="s">
        <v>95</v>
      </c>
      <c r="D239" t="s">
        <v>104</v>
      </c>
      <c r="E239" t="s">
        <v>8</v>
      </c>
      <c r="F239" s="7">
        <v>45206</v>
      </c>
      <c r="G239" s="1">
        <v>44927</v>
      </c>
      <c r="H239" s="14">
        <v>155.5</v>
      </c>
      <c r="I239">
        <v>707</v>
      </c>
      <c r="J239" t="s">
        <v>88</v>
      </c>
      <c r="K239" t="s">
        <v>105</v>
      </c>
      <c r="L239" s="16" t="s">
        <v>95</v>
      </c>
    </row>
    <row r="240" spans="1:12" x14ac:dyDescent="0.35">
      <c r="A240" t="s">
        <v>8</v>
      </c>
      <c r="B240" t="s">
        <v>101</v>
      </c>
      <c r="C240" t="s">
        <v>95</v>
      </c>
      <c r="D240" t="s">
        <v>104</v>
      </c>
      <c r="E240" t="s">
        <v>8</v>
      </c>
      <c r="F240" s="7">
        <v>45206</v>
      </c>
      <c r="G240" s="1">
        <v>44927</v>
      </c>
      <c r="H240" s="14">
        <v>122.99000000000001</v>
      </c>
      <c r="I240">
        <v>547</v>
      </c>
      <c r="J240" t="s">
        <v>88</v>
      </c>
      <c r="K240" t="s">
        <v>105</v>
      </c>
      <c r="L240" s="16" t="s">
        <v>95</v>
      </c>
    </row>
    <row r="241" spans="1:12" x14ac:dyDescent="0.35">
      <c r="A241" t="s">
        <v>8</v>
      </c>
      <c r="B241" t="s">
        <v>99</v>
      </c>
      <c r="C241" t="s">
        <v>95</v>
      </c>
      <c r="D241" t="s">
        <v>104</v>
      </c>
      <c r="E241" t="s">
        <v>8</v>
      </c>
      <c r="F241" s="7">
        <v>45206</v>
      </c>
      <c r="G241" s="1">
        <v>44927</v>
      </c>
      <c r="H241" s="14">
        <v>229.57999999999998</v>
      </c>
      <c r="I241">
        <v>726</v>
      </c>
      <c r="J241" t="s">
        <v>88</v>
      </c>
      <c r="K241" t="s">
        <v>105</v>
      </c>
      <c r="L241" s="16" t="s">
        <v>95</v>
      </c>
    </row>
    <row r="242" spans="1:12" x14ac:dyDescent="0.35">
      <c r="A242" t="s">
        <v>8</v>
      </c>
      <c r="B242" t="s">
        <v>100</v>
      </c>
      <c r="C242" t="s">
        <v>95</v>
      </c>
      <c r="D242" t="s">
        <v>104</v>
      </c>
      <c r="E242" t="s">
        <v>8</v>
      </c>
      <c r="F242" s="7">
        <v>45206</v>
      </c>
      <c r="G242" s="1">
        <v>44927</v>
      </c>
      <c r="H242" s="14">
        <v>213.68</v>
      </c>
      <c r="I242">
        <v>922</v>
      </c>
      <c r="J242" t="s">
        <v>88</v>
      </c>
      <c r="K242" t="s">
        <v>105</v>
      </c>
      <c r="L242" s="16" t="s">
        <v>95</v>
      </c>
    </row>
    <row r="243" spans="1:12" x14ac:dyDescent="0.35">
      <c r="A243" t="s">
        <v>8</v>
      </c>
      <c r="B243" t="s">
        <v>92</v>
      </c>
      <c r="C243" t="s">
        <v>93</v>
      </c>
      <c r="D243" t="s">
        <v>10</v>
      </c>
      <c r="E243" t="s">
        <v>10</v>
      </c>
      <c r="F243" s="7">
        <v>45213</v>
      </c>
      <c r="G243" s="1">
        <v>44927</v>
      </c>
      <c r="H243" s="14">
        <v>7568.5074000000022</v>
      </c>
      <c r="I243">
        <v>1350757</v>
      </c>
      <c r="J243" t="s">
        <v>88</v>
      </c>
      <c r="K243" t="s">
        <v>94</v>
      </c>
      <c r="L243" s="16" t="s">
        <v>10</v>
      </c>
    </row>
    <row r="244" spans="1:12" x14ac:dyDescent="0.35">
      <c r="A244" t="s">
        <v>8</v>
      </c>
      <c r="B244" t="s">
        <v>92</v>
      </c>
      <c r="C244" t="s">
        <v>95</v>
      </c>
      <c r="D244" t="s">
        <v>10</v>
      </c>
      <c r="E244" t="s">
        <v>10</v>
      </c>
      <c r="F244" s="7">
        <v>45213</v>
      </c>
      <c r="G244" s="1">
        <v>44927</v>
      </c>
      <c r="H244" s="14">
        <v>10466.210000000003</v>
      </c>
      <c r="I244">
        <v>2058765</v>
      </c>
      <c r="J244" t="s">
        <v>88</v>
      </c>
      <c r="K244" t="s">
        <v>96</v>
      </c>
      <c r="L244" s="16" t="s">
        <v>10</v>
      </c>
    </row>
    <row r="245" spans="1:12" x14ac:dyDescent="0.35">
      <c r="A245" t="s">
        <v>8</v>
      </c>
      <c r="B245" t="s">
        <v>84</v>
      </c>
      <c r="C245" t="s">
        <v>93</v>
      </c>
      <c r="D245" t="s">
        <v>10</v>
      </c>
      <c r="E245" t="s">
        <v>10</v>
      </c>
      <c r="F245" s="7">
        <v>45213</v>
      </c>
      <c r="G245" s="1">
        <v>44927</v>
      </c>
      <c r="H245" s="14">
        <v>10359.204599999997</v>
      </c>
      <c r="I245">
        <v>2687228</v>
      </c>
      <c r="J245" t="s">
        <v>88</v>
      </c>
      <c r="K245" t="s">
        <v>94</v>
      </c>
      <c r="L245" s="16" t="s">
        <v>10</v>
      </c>
    </row>
    <row r="246" spans="1:12" x14ac:dyDescent="0.35">
      <c r="A246" t="s">
        <v>8</v>
      </c>
      <c r="B246" t="s">
        <v>84</v>
      </c>
      <c r="C246" t="s">
        <v>95</v>
      </c>
      <c r="D246" t="s">
        <v>10</v>
      </c>
      <c r="E246" t="s">
        <v>10</v>
      </c>
      <c r="F246" s="7">
        <v>45213</v>
      </c>
      <c r="G246" s="1">
        <v>44927</v>
      </c>
      <c r="H246" s="14">
        <v>3223.619999999999</v>
      </c>
      <c r="I246">
        <v>878800</v>
      </c>
      <c r="J246" t="s">
        <v>88</v>
      </c>
      <c r="K246" t="s">
        <v>96</v>
      </c>
      <c r="L246" s="16" t="s">
        <v>10</v>
      </c>
    </row>
    <row r="247" spans="1:12" x14ac:dyDescent="0.35">
      <c r="A247" t="s">
        <v>8</v>
      </c>
      <c r="B247" t="s">
        <v>17</v>
      </c>
      <c r="C247" t="s">
        <v>93</v>
      </c>
      <c r="D247" t="s">
        <v>10</v>
      </c>
      <c r="E247" t="s">
        <v>10</v>
      </c>
      <c r="F247" s="7">
        <v>45213</v>
      </c>
      <c r="G247" s="1">
        <v>44927</v>
      </c>
      <c r="H247" s="14">
        <v>7350.6913000000031</v>
      </c>
      <c r="I247">
        <v>958900</v>
      </c>
      <c r="J247" t="s">
        <v>88</v>
      </c>
      <c r="K247" t="s">
        <v>94</v>
      </c>
      <c r="L247" s="16" t="s">
        <v>10</v>
      </c>
    </row>
    <row r="248" spans="1:12" x14ac:dyDescent="0.35">
      <c r="A248" t="s">
        <v>8</v>
      </c>
      <c r="B248" t="s">
        <v>17</v>
      </c>
      <c r="C248" t="s">
        <v>95</v>
      </c>
      <c r="D248" t="s">
        <v>10</v>
      </c>
      <c r="E248" t="s">
        <v>10</v>
      </c>
      <c r="F248" s="7">
        <v>45213</v>
      </c>
      <c r="G248" s="1">
        <v>44927</v>
      </c>
      <c r="H248" s="14">
        <v>11177.240000000003</v>
      </c>
      <c r="I248">
        <v>2155957</v>
      </c>
      <c r="J248" t="s">
        <v>88</v>
      </c>
      <c r="K248" t="s">
        <v>96</v>
      </c>
      <c r="L248" s="16" t="s">
        <v>10</v>
      </c>
    </row>
    <row r="249" spans="1:12" x14ac:dyDescent="0.35">
      <c r="A249" t="s">
        <v>8</v>
      </c>
      <c r="B249" t="s">
        <v>99</v>
      </c>
      <c r="C249" t="s">
        <v>93</v>
      </c>
      <c r="D249" t="s">
        <v>10</v>
      </c>
      <c r="E249" t="s">
        <v>10</v>
      </c>
      <c r="F249" s="7">
        <v>45213</v>
      </c>
      <c r="G249" s="1">
        <v>44927</v>
      </c>
      <c r="H249" s="14">
        <v>7147.4304999999986</v>
      </c>
      <c r="I249">
        <v>956615</v>
      </c>
      <c r="J249" t="s">
        <v>88</v>
      </c>
      <c r="K249" t="s">
        <v>94</v>
      </c>
      <c r="L249" s="16" t="s">
        <v>10</v>
      </c>
    </row>
    <row r="250" spans="1:12" x14ac:dyDescent="0.35">
      <c r="A250" t="s">
        <v>8</v>
      </c>
      <c r="B250" t="s">
        <v>99</v>
      </c>
      <c r="C250" t="s">
        <v>95</v>
      </c>
      <c r="D250" t="s">
        <v>10</v>
      </c>
      <c r="E250" t="s">
        <v>10</v>
      </c>
      <c r="F250" s="7">
        <v>45213</v>
      </c>
      <c r="G250" s="1">
        <v>44927</v>
      </c>
      <c r="H250" s="14">
        <v>10218.710000000003</v>
      </c>
      <c r="I250">
        <v>1598013</v>
      </c>
      <c r="J250" t="s">
        <v>88</v>
      </c>
      <c r="K250" t="s">
        <v>96</v>
      </c>
      <c r="L250" s="16" t="s">
        <v>10</v>
      </c>
    </row>
    <row r="251" spans="1:12" x14ac:dyDescent="0.35">
      <c r="A251" t="s">
        <v>8</v>
      </c>
      <c r="B251" t="s">
        <v>100</v>
      </c>
      <c r="C251" t="s">
        <v>93</v>
      </c>
      <c r="D251" t="s">
        <v>10</v>
      </c>
      <c r="E251" t="s">
        <v>10</v>
      </c>
      <c r="F251" s="7">
        <v>45213</v>
      </c>
      <c r="G251" s="1">
        <v>44927</v>
      </c>
      <c r="H251" s="14">
        <v>6950.9208999999973</v>
      </c>
      <c r="I251">
        <v>844111</v>
      </c>
      <c r="J251" t="s">
        <v>88</v>
      </c>
      <c r="K251" t="s">
        <v>94</v>
      </c>
      <c r="L251" s="16" t="s">
        <v>10</v>
      </c>
    </row>
    <row r="252" spans="1:12" x14ac:dyDescent="0.35">
      <c r="A252" t="s">
        <v>8</v>
      </c>
      <c r="B252" t="s">
        <v>100</v>
      </c>
      <c r="C252" t="s">
        <v>95</v>
      </c>
      <c r="D252" t="s">
        <v>10</v>
      </c>
      <c r="E252" t="s">
        <v>10</v>
      </c>
      <c r="F252" s="7">
        <v>45213</v>
      </c>
      <c r="G252" s="1">
        <v>44927</v>
      </c>
      <c r="H252" s="14">
        <v>6973.41</v>
      </c>
      <c r="I252">
        <v>2068444</v>
      </c>
      <c r="J252" t="s">
        <v>88</v>
      </c>
      <c r="K252" t="s">
        <v>96</v>
      </c>
      <c r="L252" s="16" t="s">
        <v>10</v>
      </c>
    </row>
    <row r="253" spans="1:12" x14ac:dyDescent="0.35">
      <c r="A253" t="s">
        <v>8</v>
      </c>
      <c r="B253" t="s">
        <v>21</v>
      </c>
      <c r="C253" t="s">
        <v>95</v>
      </c>
      <c r="D253" t="s">
        <v>10</v>
      </c>
      <c r="E253" t="s">
        <v>10</v>
      </c>
      <c r="F253" s="7">
        <v>45213</v>
      </c>
      <c r="G253" s="1">
        <v>44927</v>
      </c>
      <c r="H253" s="14">
        <v>1787.6399999999996</v>
      </c>
      <c r="I253">
        <v>347874</v>
      </c>
      <c r="J253" t="s">
        <v>88</v>
      </c>
      <c r="K253" t="s">
        <v>96</v>
      </c>
      <c r="L253" s="16" t="s">
        <v>10</v>
      </c>
    </row>
    <row r="254" spans="1:12" x14ac:dyDescent="0.35">
      <c r="A254" t="s">
        <v>8</v>
      </c>
      <c r="B254" t="s">
        <v>101</v>
      </c>
      <c r="C254" t="s">
        <v>93</v>
      </c>
      <c r="D254" t="s">
        <v>10</v>
      </c>
      <c r="E254" t="s">
        <v>10</v>
      </c>
      <c r="F254" s="7">
        <v>45213</v>
      </c>
      <c r="G254" s="1">
        <v>44927</v>
      </c>
      <c r="H254" s="14">
        <v>7503.6812000000009</v>
      </c>
      <c r="I254">
        <v>1225004</v>
      </c>
      <c r="J254" t="s">
        <v>88</v>
      </c>
      <c r="K254" t="s">
        <v>94</v>
      </c>
      <c r="L254" s="16" t="s">
        <v>10</v>
      </c>
    </row>
    <row r="255" spans="1:12" x14ac:dyDescent="0.35">
      <c r="A255" t="s">
        <v>8</v>
      </c>
      <c r="B255" t="s">
        <v>101</v>
      </c>
      <c r="C255" t="s">
        <v>95</v>
      </c>
      <c r="D255" t="s">
        <v>10</v>
      </c>
      <c r="E255" t="s">
        <v>10</v>
      </c>
      <c r="F255" s="7">
        <v>45213</v>
      </c>
      <c r="G255" s="1">
        <v>44927</v>
      </c>
      <c r="H255" s="14">
        <v>4198.76</v>
      </c>
      <c r="I255">
        <v>1077295</v>
      </c>
      <c r="J255" t="s">
        <v>88</v>
      </c>
      <c r="K255" t="s">
        <v>96</v>
      </c>
      <c r="L255" s="16" t="s">
        <v>10</v>
      </c>
    </row>
    <row r="256" spans="1:12" x14ac:dyDescent="0.35">
      <c r="A256" t="s">
        <v>8</v>
      </c>
      <c r="B256" t="s">
        <v>16</v>
      </c>
      <c r="C256" t="s">
        <v>95</v>
      </c>
      <c r="D256" t="s">
        <v>10</v>
      </c>
      <c r="E256" t="s">
        <v>10</v>
      </c>
      <c r="F256" s="7">
        <v>45213</v>
      </c>
      <c r="G256" s="1">
        <v>44927</v>
      </c>
      <c r="H256" s="14">
        <v>247.92000000000002</v>
      </c>
      <c r="I256">
        <v>55210</v>
      </c>
      <c r="J256" t="s">
        <v>88</v>
      </c>
      <c r="K256" t="s">
        <v>96</v>
      </c>
      <c r="L256" s="16" t="s">
        <v>10</v>
      </c>
    </row>
    <row r="257" spans="1:12" x14ac:dyDescent="0.35">
      <c r="A257" t="s">
        <v>8</v>
      </c>
      <c r="B257" t="s">
        <v>103</v>
      </c>
      <c r="C257" t="s">
        <v>95</v>
      </c>
      <c r="D257" t="s">
        <v>104</v>
      </c>
      <c r="E257" t="s">
        <v>8</v>
      </c>
      <c r="F257" s="7">
        <v>45213</v>
      </c>
      <c r="G257" s="1">
        <v>44927</v>
      </c>
      <c r="H257" s="14">
        <v>106.57</v>
      </c>
      <c r="I257">
        <v>394</v>
      </c>
      <c r="J257" t="s">
        <v>88</v>
      </c>
      <c r="K257" t="s">
        <v>105</v>
      </c>
      <c r="L257" s="16" t="s">
        <v>95</v>
      </c>
    </row>
    <row r="258" spans="1:12" x14ac:dyDescent="0.35">
      <c r="A258" t="s">
        <v>8</v>
      </c>
      <c r="B258" t="s">
        <v>16</v>
      </c>
      <c r="C258" t="s">
        <v>95</v>
      </c>
      <c r="D258" t="s">
        <v>104</v>
      </c>
      <c r="E258" t="s">
        <v>8</v>
      </c>
      <c r="F258" s="7">
        <v>45213</v>
      </c>
      <c r="G258" s="1">
        <v>44927</v>
      </c>
      <c r="H258" s="14">
        <v>102.97</v>
      </c>
      <c r="I258">
        <v>520</v>
      </c>
      <c r="J258" t="s">
        <v>88</v>
      </c>
      <c r="K258" t="s">
        <v>105</v>
      </c>
      <c r="L258" s="16" t="s">
        <v>95</v>
      </c>
    </row>
    <row r="259" spans="1:12" x14ac:dyDescent="0.35">
      <c r="A259" t="s">
        <v>8</v>
      </c>
      <c r="B259" t="s">
        <v>84</v>
      </c>
      <c r="C259" t="s">
        <v>95</v>
      </c>
      <c r="D259" t="s">
        <v>104</v>
      </c>
      <c r="E259" t="s">
        <v>8</v>
      </c>
      <c r="F259" s="7">
        <v>45213</v>
      </c>
      <c r="G259" s="1">
        <v>44927</v>
      </c>
      <c r="H259" s="14">
        <v>11142.99</v>
      </c>
      <c r="I259">
        <v>35327</v>
      </c>
      <c r="J259" t="s">
        <v>88</v>
      </c>
      <c r="K259" t="s">
        <v>105</v>
      </c>
      <c r="L259" s="16" t="s">
        <v>95</v>
      </c>
    </row>
    <row r="260" spans="1:12" x14ac:dyDescent="0.35">
      <c r="A260" t="s">
        <v>8</v>
      </c>
      <c r="B260" t="s">
        <v>17</v>
      </c>
      <c r="C260" t="s">
        <v>95</v>
      </c>
      <c r="D260" t="s">
        <v>104</v>
      </c>
      <c r="E260" t="s">
        <v>8</v>
      </c>
      <c r="F260" s="7">
        <v>45213</v>
      </c>
      <c r="G260" s="1">
        <v>44927</v>
      </c>
      <c r="H260" s="14">
        <v>172.49</v>
      </c>
      <c r="I260">
        <v>988</v>
      </c>
      <c r="J260" t="s">
        <v>88</v>
      </c>
      <c r="K260" t="s">
        <v>105</v>
      </c>
      <c r="L260" s="16" t="s">
        <v>95</v>
      </c>
    </row>
    <row r="261" spans="1:12" x14ac:dyDescent="0.35">
      <c r="A261" t="s">
        <v>8</v>
      </c>
      <c r="B261" t="s">
        <v>106</v>
      </c>
      <c r="C261" t="s">
        <v>95</v>
      </c>
      <c r="D261" t="s">
        <v>104</v>
      </c>
      <c r="E261" t="s">
        <v>8</v>
      </c>
      <c r="F261" s="7">
        <v>45213</v>
      </c>
      <c r="G261" s="1">
        <v>44927</v>
      </c>
      <c r="H261" s="14">
        <v>11.56</v>
      </c>
      <c r="I261">
        <v>31</v>
      </c>
      <c r="J261" t="s">
        <v>88</v>
      </c>
      <c r="K261" t="s">
        <v>105</v>
      </c>
      <c r="L261" s="16" t="s">
        <v>95</v>
      </c>
    </row>
    <row r="262" spans="1:12" x14ac:dyDescent="0.35">
      <c r="A262" t="s">
        <v>8</v>
      </c>
      <c r="B262" t="s">
        <v>92</v>
      </c>
      <c r="C262" t="s">
        <v>95</v>
      </c>
      <c r="D262" t="s">
        <v>104</v>
      </c>
      <c r="E262" t="s">
        <v>8</v>
      </c>
      <c r="F262" s="7">
        <v>45213</v>
      </c>
      <c r="G262" s="1">
        <v>44927</v>
      </c>
      <c r="H262" s="14">
        <v>343.06000000000006</v>
      </c>
      <c r="I262">
        <v>1346</v>
      </c>
      <c r="J262" t="s">
        <v>88</v>
      </c>
      <c r="K262" t="s">
        <v>105</v>
      </c>
      <c r="L262" s="16" t="s">
        <v>95</v>
      </c>
    </row>
    <row r="263" spans="1:12" x14ac:dyDescent="0.35">
      <c r="A263" t="s">
        <v>8</v>
      </c>
      <c r="B263" t="s">
        <v>21</v>
      </c>
      <c r="C263" t="s">
        <v>95</v>
      </c>
      <c r="D263" t="s">
        <v>104</v>
      </c>
      <c r="E263" t="s">
        <v>8</v>
      </c>
      <c r="F263" s="7">
        <v>45213</v>
      </c>
      <c r="G263" s="1">
        <v>44927</v>
      </c>
      <c r="H263" s="14">
        <v>163.03</v>
      </c>
      <c r="I263">
        <v>769</v>
      </c>
      <c r="J263" t="s">
        <v>88</v>
      </c>
      <c r="K263" t="s">
        <v>105</v>
      </c>
      <c r="L263" s="16" t="s">
        <v>95</v>
      </c>
    </row>
    <row r="264" spans="1:12" x14ac:dyDescent="0.35">
      <c r="A264" t="s">
        <v>8</v>
      </c>
      <c r="B264" t="s">
        <v>101</v>
      </c>
      <c r="C264" t="s">
        <v>95</v>
      </c>
      <c r="D264" t="s">
        <v>104</v>
      </c>
      <c r="E264" t="s">
        <v>8</v>
      </c>
      <c r="F264" s="7">
        <v>45213</v>
      </c>
      <c r="G264" s="1">
        <v>44927</v>
      </c>
      <c r="H264" s="14">
        <v>138.57</v>
      </c>
      <c r="I264">
        <v>552</v>
      </c>
      <c r="J264" t="s">
        <v>88</v>
      </c>
      <c r="K264" t="s">
        <v>105</v>
      </c>
      <c r="L264" s="16" t="s">
        <v>95</v>
      </c>
    </row>
    <row r="265" spans="1:12" x14ac:dyDescent="0.35">
      <c r="A265" t="s">
        <v>8</v>
      </c>
      <c r="B265" t="s">
        <v>99</v>
      </c>
      <c r="C265" t="s">
        <v>95</v>
      </c>
      <c r="D265" t="s">
        <v>104</v>
      </c>
      <c r="E265" t="s">
        <v>8</v>
      </c>
      <c r="F265" s="7">
        <v>45213</v>
      </c>
      <c r="G265" s="1">
        <v>44927</v>
      </c>
      <c r="H265" s="14">
        <v>202.83999999999997</v>
      </c>
      <c r="I265">
        <v>744</v>
      </c>
      <c r="J265" t="s">
        <v>88</v>
      </c>
      <c r="K265" t="s">
        <v>105</v>
      </c>
      <c r="L265" s="16" t="s">
        <v>95</v>
      </c>
    </row>
    <row r="266" spans="1:12" x14ac:dyDescent="0.35">
      <c r="A266" t="s">
        <v>8</v>
      </c>
      <c r="B266" t="s">
        <v>100</v>
      </c>
      <c r="C266" t="s">
        <v>95</v>
      </c>
      <c r="D266" t="s">
        <v>104</v>
      </c>
      <c r="E266" t="s">
        <v>8</v>
      </c>
      <c r="F266" s="7">
        <v>45213</v>
      </c>
      <c r="G266" s="1">
        <v>44927</v>
      </c>
      <c r="H266" s="14">
        <v>175.57999999999998</v>
      </c>
      <c r="I266">
        <v>930</v>
      </c>
      <c r="J266" t="s">
        <v>88</v>
      </c>
      <c r="K266" t="s">
        <v>105</v>
      </c>
      <c r="L266" s="16" t="s">
        <v>95</v>
      </c>
    </row>
    <row r="267" spans="1:12" x14ac:dyDescent="0.35">
      <c r="A267" t="s">
        <v>8</v>
      </c>
      <c r="B267" t="s">
        <v>92</v>
      </c>
      <c r="C267" t="s">
        <v>93</v>
      </c>
      <c r="D267" t="s">
        <v>10</v>
      </c>
      <c r="E267" t="s">
        <v>10</v>
      </c>
      <c r="F267" s="7">
        <v>45220</v>
      </c>
      <c r="G267" s="1">
        <v>44927</v>
      </c>
      <c r="H267" s="14">
        <v>7458.609999999996</v>
      </c>
      <c r="I267">
        <v>1401109</v>
      </c>
      <c r="J267" t="s">
        <v>88</v>
      </c>
      <c r="K267" t="s">
        <v>94</v>
      </c>
      <c r="L267" s="16" t="s">
        <v>10</v>
      </c>
    </row>
    <row r="268" spans="1:12" x14ac:dyDescent="0.35">
      <c r="A268" t="s">
        <v>8</v>
      </c>
      <c r="B268" t="s">
        <v>92</v>
      </c>
      <c r="C268" t="s">
        <v>95</v>
      </c>
      <c r="D268" t="s">
        <v>10</v>
      </c>
      <c r="E268" t="s">
        <v>10</v>
      </c>
      <c r="F268" s="7">
        <v>45220</v>
      </c>
      <c r="G268" s="1">
        <v>44927</v>
      </c>
      <c r="H268" s="14">
        <v>13807.340000000004</v>
      </c>
      <c r="I268">
        <v>1507356</v>
      </c>
      <c r="J268" t="s">
        <v>88</v>
      </c>
      <c r="K268" t="s">
        <v>96</v>
      </c>
      <c r="L268" s="16" t="s">
        <v>10</v>
      </c>
    </row>
    <row r="269" spans="1:12" x14ac:dyDescent="0.35">
      <c r="A269" t="s">
        <v>8</v>
      </c>
      <c r="B269" t="s">
        <v>84</v>
      </c>
      <c r="C269" t="s">
        <v>93</v>
      </c>
      <c r="D269" t="s">
        <v>10</v>
      </c>
      <c r="E269" t="s">
        <v>10</v>
      </c>
      <c r="F269" s="7">
        <v>45220</v>
      </c>
      <c r="G269" s="1">
        <v>44927</v>
      </c>
      <c r="H269" s="14">
        <v>11201.155500000003</v>
      </c>
      <c r="I269">
        <v>2188933</v>
      </c>
      <c r="J269" t="s">
        <v>88</v>
      </c>
      <c r="K269" t="s">
        <v>94</v>
      </c>
      <c r="L269" s="16" t="s">
        <v>10</v>
      </c>
    </row>
    <row r="270" spans="1:12" x14ac:dyDescent="0.35">
      <c r="A270" t="s">
        <v>8</v>
      </c>
      <c r="B270" t="s">
        <v>84</v>
      </c>
      <c r="C270" t="s">
        <v>95</v>
      </c>
      <c r="D270" t="s">
        <v>10</v>
      </c>
      <c r="E270" t="s">
        <v>10</v>
      </c>
      <c r="F270" s="7">
        <v>45220</v>
      </c>
      <c r="G270" s="1">
        <v>44927</v>
      </c>
      <c r="H270" s="14">
        <v>2736.4500000000003</v>
      </c>
      <c r="I270">
        <v>756233</v>
      </c>
      <c r="J270" t="s">
        <v>88</v>
      </c>
      <c r="K270" t="s">
        <v>96</v>
      </c>
      <c r="L270" s="16" t="s">
        <v>10</v>
      </c>
    </row>
    <row r="271" spans="1:12" x14ac:dyDescent="0.35">
      <c r="A271" t="s">
        <v>8</v>
      </c>
      <c r="B271" t="s">
        <v>17</v>
      </c>
      <c r="C271" t="s">
        <v>93</v>
      </c>
      <c r="D271" t="s">
        <v>10</v>
      </c>
      <c r="E271" t="s">
        <v>10</v>
      </c>
      <c r="F271" s="7">
        <v>45220</v>
      </c>
      <c r="G271" s="1">
        <v>44927</v>
      </c>
      <c r="H271" s="14">
        <v>7832.879100000001</v>
      </c>
      <c r="I271">
        <v>1066391</v>
      </c>
      <c r="J271" t="s">
        <v>88</v>
      </c>
      <c r="K271" t="s">
        <v>94</v>
      </c>
      <c r="L271" s="16" t="s">
        <v>10</v>
      </c>
    </row>
    <row r="272" spans="1:12" x14ac:dyDescent="0.35">
      <c r="A272" t="s">
        <v>8</v>
      </c>
      <c r="B272" t="s">
        <v>17</v>
      </c>
      <c r="C272" t="s">
        <v>95</v>
      </c>
      <c r="D272" t="s">
        <v>10</v>
      </c>
      <c r="E272" t="s">
        <v>10</v>
      </c>
      <c r="F272" s="7">
        <v>45220</v>
      </c>
      <c r="G272" s="1">
        <v>44927</v>
      </c>
      <c r="H272" s="14">
        <v>14642.900000000003</v>
      </c>
      <c r="I272">
        <v>3258032</v>
      </c>
      <c r="J272" t="s">
        <v>88</v>
      </c>
      <c r="K272" t="s">
        <v>96</v>
      </c>
      <c r="L272" s="16" t="s">
        <v>10</v>
      </c>
    </row>
    <row r="273" spans="1:12" x14ac:dyDescent="0.35">
      <c r="A273" t="s">
        <v>8</v>
      </c>
      <c r="B273" t="s">
        <v>99</v>
      </c>
      <c r="C273" t="s">
        <v>93</v>
      </c>
      <c r="D273" t="s">
        <v>10</v>
      </c>
      <c r="E273" t="s">
        <v>10</v>
      </c>
      <c r="F273" s="7">
        <v>45220</v>
      </c>
      <c r="G273" s="1">
        <v>44927</v>
      </c>
      <c r="H273" s="14">
        <v>7395.7773999999981</v>
      </c>
      <c r="I273">
        <v>1016879</v>
      </c>
      <c r="J273" t="s">
        <v>88</v>
      </c>
      <c r="K273" t="s">
        <v>94</v>
      </c>
      <c r="L273" s="16" t="s">
        <v>10</v>
      </c>
    </row>
    <row r="274" spans="1:12" x14ac:dyDescent="0.35">
      <c r="A274" t="s">
        <v>8</v>
      </c>
      <c r="B274" t="s">
        <v>99</v>
      </c>
      <c r="C274" t="s">
        <v>95</v>
      </c>
      <c r="D274" t="s">
        <v>10</v>
      </c>
      <c r="E274" t="s">
        <v>10</v>
      </c>
      <c r="F274" s="7">
        <v>45220</v>
      </c>
      <c r="G274" s="1">
        <v>44927</v>
      </c>
      <c r="H274" s="14">
        <v>9837.1699999999983</v>
      </c>
      <c r="I274">
        <v>1826835</v>
      </c>
      <c r="J274" t="s">
        <v>88</v>
      </c>
      <c r="K274" t="s">
        <v>96</v>
      </c>
      <c r="L274" s="16" t="s">
        <v>10</v>
      </c>
    </row>
    <row r="275" spans="1:12" x14ac:dyDescent="0.35">
      <c r="A275" t="s">
        <v>8</v>
      </c>
      <c r="B275" t="s">
        <v>100</v>
      </c>
      <c r="C275" t="s">
        <v>93</v>
      </c>
      <c r="D275" t="s">
        <v>10</v>
      </c>
      <c r="E275" t="s">
        <v>10</v>
      </c>
      <c r="F275" s="7">
        <v>45220</v>
      </c>
      <c r="G275" s="1">
        <v>44927</v>
      </c>
      <c r="H275" s="14">
        <v>7436.8347999999996</v>
      </c>
      <c r="I275">
        <v>957656</v>
      </c>
      <c r="J275" t="s">
        <v>88</v>
      </c>
      <c r="K275" t="s">
        <v>94</v>
      </c>
      <c r="L275" s="16" t="s">
        <v>10</v>
      </c>
    </row>
    <row r="276" spans="1:12" x14ac:dyDescent="0.35">
      <c r="A276" t="s">
        <v>8</v>
      </c>
      <c r="B276" t="s">
        <v>100</v>
      </c>
      <c r="C276" t="s">
        <v>95</v>
      </c>
      <c r="D276" t="s">
        <v>10</v>
      </c>
      <c r="E276" t="s">
        <v>10</v>
      </c>
      <c r="F276" s="7">
        <v>45220</v>
      </c>
      <c r="G276" s="1">
        <v>44927</v>
      </c>
      <c r="H276" s="14">
        <v>8162.79</v>
      </c>
      <c r="I276">
        <v>2326724</v>
      </c>
      <c r="J276" t="s">
        <v>88</v>
      </c>
      <c r="K276" t="s">
        <v>96</v>
      </c>
      <c r="L276" s="16" t="s">
        <v>10</v>
      </c>
    </row>
    <row r="277" spans="1:12" x14ac:dyDescent="0.35">
      <c r="A277" t="s">
        <v>8</v>
      </c>
      <c r="B277" t="s">
        <v>21</v>
      </c>
      <c r="C277" t="s">
        <v>95</v>
      </c>
      <c r="D277" t="s">
        <v>10</v>
      </c>
      <c r="E277" t="s">
        <v>10</v>
      </c>
      <c r="F277" s="7">
        <v>45220</v>
      </c>
      <c r="G277" s="1">
        <v>44927</v>
      </c>
      <c r="H277" s="14">
        <v>1174.5999999999997</v>
      </c>
      <c r="I277">
        <v>177033</v>
      </c>
      <c r="J277" t="s">
        <v>88</v>
      </c>
      <c r="K277" t="s">
        <v>96</v>
      </c>
      <c r="L277" s="16" t="s">
        <v>10</v>
      </c>
    </row>
    <row r="278" spans="1:12" x14ac:dyDescent="0.35">
      <c r="A278" t="s">
        <v>8</v>
      </c>
      <c r="B278" t="s">
        <v>101</v>
      </c>
      <c r="C278" t="s">
        <v>93</v>
      </c>
      <c r="D278" t="s">
        <v>10</v>
      </c>
      <c r="E278" t="s">
        <v>10</v>
      </c>
      <c r="F278" s="7">
        <v>45220</v>
      </c>
      <c r="G278" s="1">
        <v>44927</v>
      </c>
      <c r="H278" s="14">
        <v>8358.2550999999985</v>
      </c>
      <c r="I278">
        <v>1721403</v>
      </c>
      <c r="J278" t="s">
        <v>88</v>
      </c>
      <c r="K278" t="s">
        <v>94</v>
      </c>
      <c r="L278" s="16" t="s">
        <v>10</v>
      </c>
    </row>
    <row r="279" spans="1:12" x14ac:dyDescent="0.35">
      <c r="A279" t="s">
        <v>8</v>
      </c>
      <c r="B279" t="s">
        <v>101</v>
      </c>
      <c r="C279" t="s">
        <v>95</v>
      </c>
      <c r="D279" t="s">
        <v>10</v>
      </c>
      <c r="E279" t="s">
        <v>10</v>
      </c>
      <c r="F279" s="7">
        <v>45220</v>
      </c>
      <c r="G279" s="1">
        <v>44927</v>
      </c>
      <c r="H279" s="14">
        <v>3473.7000000000003</v>
      </c>
      <c r="I279">
        <v>742582</v>
      </c>
      <c r="J279" t="s">
        <v>88</v>
      </c>
      <c r="K279" t="s">
        <v>96</v>
      </c>
      <c r="L279" s="16" t="s">
        <v>10</v>
      </c>
    </row>
    <row r="280" spans="1:12" x14ac:dyDescent="0.35">
      <c r="A280" t="s">
        <v>8</v>
      </c>
      <c r="B280" t="s">
        <v>16</v>
      </c>
      <c r="C280" t="s">
        <v>95</v>
      </c>
      <c r="D280" t="s">
        <v>10</v>
      </c>
      <c r="E280" t="s">
        <v>10</v>
      </c>
      <c r="F280" s="7">
        <v>45220</v>
      </c>
      <c r="G280" s="1">
        <v>44927</v>
      </c>
      <c r="H280" s="14">
        <v>147.04000000000002</v>
      </c>
      <c r="I280">
        <v>24936</v>
      </c>
      <c r="J280" t="s">
        <v>88</v>
      </c>
      <c r="K280" t="s">
        <v>96</v>
      </c>
      <c r="L280" s="16" t="s">
        <v>10</v>
      </c>
    </row>
    <row r="281" spans="1:12" x14ac:dyDescent="0.35">
      <c r="A281" t="s">
        <v>8</v>
      </c>
      <c r="B281" t="s">
        <v>102</v>
      </c>
      <c r="C281" t="s">
        <v>95</v>
      </c>
      <c r="D281" t="s">
        <v>10</v>
      </c>
      <c r="E281" t="s">
        <v>10</v>
      </c>
      <c r="F281" s="7">
        <v>45220</v>
      </c>
      <c r="G281" s="1">
        <v>44927</v>
      </c>
      <c r="H281" s="14">
        <v>0.26</v>
      </c>
      <c r="I281">
        <v>36</v>
      </c>
      <c r="J281" t="s">
        <v>88</v>
      </c>
      <c r="K281" t="s">
        <v>96</v>
      </c>
      <c r="L281" s="16" t="s">
        <v>10</v>
      </c>
    </row>
    <row r="282" spans="1:12" x14ac:dyDescent="0.35">
      <c r="A282" t="s">
        <v>8</v>
      </c>
      <c r="B282" t="s">
        <v>103</v>
      </c>
      <c r="C282" t="s">
        <v>95</v>
      </c>
      <c r="D282" t="s">
        <v>104</v>
      </c>
      <c r="E282" t="s">
        <v>8</v>
      </c>
      <c r="F282" s="7">
        <v>45220</v>
      </c>
      <c r="G282" s="1">
        <v>44927</v>
      </c>
      <c r="H282" s="14">
        <v>129.69999999999999</v>
      </c>
      <c r="I282">
        <v>604</v>
      </c>
      <c r="J282" t="s">
        <v>88</v>
      </c>
      <c r="K282" t="s">
        <v>105</v>
      </c>
      <c r="L282" s="16" t="s">
        <v>95</v>
      </c>
    </row>
    <row r="283" spans="1:12" x14ac:dyDescent="0.35">
      <c r="A283" t="s">
        <v>8</v>
      </c>
      <c r="B283" t="s">
        <v>16</v>
      </c>
      <c r="C283" t="s">
        <v>95</v>
      </c>
      <c r="D283" t="s">
        <v>104</v>
      </c>
      <c r="E283" t="s">
        <v>8</v>
      </c>
      <c r="F283" s="7">
        <v>45220</v>
      </c>
      <c r="G283" s="1">
        <v>44927</v>
      </c>
      <c r="H283" s="14">
        <v>135.86000000000001</v>
      </c>
      <c r="I283">
        <v>612</v>
      </c>
      <c r="J283" t="s">
        <v>88</v>
      </c>
      <c r="K283" t="s">
        <v>105</v>
      </c>
      <c r="L283" s="16" t="s">
        <v>95</v>
      </c>
    </row>
    <row r="284" spans="1:12" x14ac:dyDescent="0.35">
      <c r="A284" t="s">
        <v>8</v>
      </c>
      <c r="B284" t="s">
        <v>84</v>
      </c>
      <c r="C284" t="s">
        <v>95</v>
      </c>
      <c r="D284" t="s">
        <v>104</v>
      </c>
      <c r="E284" t="s">
        <v>8</v>
      </c>
      <c r="F284" s="7">
        <v>45220</v>
      </c>
      <c r="G284" s="1">
        <v>44927</v>
      </c>
      <c r="H284" s="14">
        <v>10666.300000000001</v>
      </c>
      <c r="I284">
        <v>34035</v>
      </c>
      <c r="J284" t="s">
        <v>88</v>
      </c>
      <c r="K284" t="s">
        <v>105</v>
      </c>
      <c r="L284" s="16" t="s">
        <v>95</v>
      </c>
    </row>
    <row r="285" spans="1:12" x14ac:dyDescent="0.35">
      <c r="A285" t="s">
        <v>8</v>
      </c>
      <c r="B285" t="s">
        <v>17</v>
      </c>
      <c r="C285" t="s">
        <v>95</v>
      </c>
      <c r="D285" t="s">
        <v>104</v>
      </c>
      <c r="E285" t="s">
        <v>8</v>
      </c>
      <c r="F285" s="7">
        <v>45220</v>
      </c>
      <c r="G285" s="1">
        <v>44927</v>
      </c>
      <c r="H285" s="14">
        <v>195.31</v>
      </c>
      <c r="I285">
        <v>1105</v>
      </c>
      <c r="J285" t="s">
        <v>88</v>
      </c>
      <c r="K285" t="s">
        <v>105</v>
      </c>
      <c r="L285" s="16" t="s">
        <v>95</v>
      </c>
    </row>
    <row r="286" spans="1:12" x14ac:dyDescent="0.35">
      <c r="A286" t="s">
        <v>8</v>
      </c>
      <c r="B286" t="s">
        <v>106</v>
      </c>
      <c r="C286" t="s">
        <v>95</v>
      </c>
      <c r="D286" t="s">
        <v>104</v>
      </c>
      <c r="E286" t="s">
        <v>8</v>
      </c>
      <c r="F286" s="7">
        <v>45220</v>
      </c>
      <c r="G286" s="1">
        <v>44927</v>
      </c>
      <c r="H286" s="14">
        <v>23.09</v>
      </c>
      <c r="I286">
        <v>86</v>
      </c>
      <c r="J286" t="s">
        <v>88</v>
      </c>
      <c r="K286" t="s">
        <v>105</v>
      </c>
      <c r="L286" s="16" t="s">
        <v>95</v>
      </c>
    </row>
    <row r="287" spans="1:12" x14ac:dyDescent="0.35">
      <c r="A287" t="s">
        <v>8</v>
      </c>
      <c r="B287" t="s">
        <v>92</v>
      </c>
      <c r="C287" t="s">
        <v>95</v>
      </c>
      <c r="D287" t="s">
        <v>104</v>
      </c>
      <c r="E287" t="s">
        <v>8</v>
      </c>
      <c r="F287" s="7">
        <v>45220</v>
      </c>
      <c r="G287" s="1">
        <v>44927</v>
      </c>
      <c r="H287" s="14">
        <v>321.90000000000009</v>
      </c>
      <c r="I287">
        <v>1494</v>
      </c>
      <c r="J287" t="s">
        <v>88</v>
      </c>
      <c r="K287" t="s">
        <v>105</v>
      </c>
      <c r="L287" s="16" t="s">
        <v>95</v>
      </c>
    </row>
    <row r="288" spans="1:12" x14ac:dyDescent="0.35">
      <c r="A288" t="s">
        <v>8</v>
      </c>
      <c r="B288" t="s">
        <v>21</v>
      </c>
      <c r="C288" t="s">
        <v>95</v>
      </c>
      <c r="D288" t="s">
        <v>104</v>
      </c>
      <c r="E288" t="s">
        <v>8</v>
      </c>
      <c r="F288" s="7">
        <v>45220</v>
      </c>
      <c r="G288" s="1">
        <v>44927</v>
      </c>
      <c r="H288" s="14">
        <v>141.34</v>
      </c>
      <c r="I288">
        <v>794</v>
      </c>
      <c r="J288" t="s">
        <v>88</v>
      </c>
      <c r="K288" t="s">
        <v>105</v>
      </c>
      <c r="L288" s="16" t="s">
        <v>95</v>
      </c>
    </row>
    <row r="289" spans="1:12" x14ac:dyDescent="0.35">
      <c r="A289" t="s">
        <v>8</v>
      </c>
      <c r="B289" t="s">
        <v>101</v>
      </c>
      <c r="C289" t="s">
        <v>95</v>
      </c>
      <c r="D289" t="s">
        <v>104</v>
      </c>
      <c r="E289" t="s">
        <v>8</v>
      </c>
      <c r="F289" s="7">
        <v>45220</v>
      </c>
      <c r="G289" s="1">
        <v>44927</v>
      </c>
      <c r="H289" s="14">
        <v>158.88999999999999</v>
      </c>
      <c r="I289">
        <v>620</v>
      </c>
      <c r="J289" t="s">
        <v>88</v>
      </c>
      <c r="K289" t="s">
        <v>105</v>
      </c>
      <c r="L289" s="16" t="s">
        <v>95</v>
      </c>
    </row>
    <row r="290" spans="1:12" x14ac:dyDescent="0.35">
      <c r="A290" t="s">
        <v>8</v>
      </c>
      <c r="B290" t="s">
        <v>99</v>
      </c>
      <c r="C290" t="s">
        <v>95</v>
      </c>
      <c r="D290" t="s">
        <v>104</v>
      </c>
      <c r="E290" t="s">
        <v>8</v>
      </c>
      <c r="F290" s="7">
        <v>45220</v>
      </c>
      <c r="G290" s="1">
        <v>44927</v>
      </c>
      <c r="H290" s="14">
        <v>238.22</v>
      </c>
      <c r="I290">
        <v>882</v>
      </c>
      <c r="J290" t="s">
        <v>88</v>
      </c>
      <c r="K290" t="s">
        <v>105</v>
      </c>
      <c r="L290" s="16" t="s">
        <v>95</v>
      </c>
    </row>
    <row r="291" spans="1:12" x14ac:dyDescent="0.35">
      <c r="A291" t="s">
        <v>8</v>
      </c>
      <c r="B291" t="s">
        <v>100</v>
      </c>
      <c r="C291" t="s">
        <v>95</v>
      </c>
      <c r="D291" t="s">
        <v>104</v>
      </c>
      <c r="E291" t="s">
        <v>8</v>
      </c>
      <c r="F291" s="7">
        <v>45220</v>
      </c>
      <c r="G291" s="1">
        <v>44927</v>
      </c>
      <c r="H291" s="14">
        <v>187.1</v>
      </c>
      <c r="I291">
        <v>1022</v>
      </c>
      <c r="J291" t="s">
        <v>88</v>
      </c>
      <c r="K291" t="s">
        <v>105</v>
      </c>
      <c r="L291" s="16" t="s">
        <v>95</v>
      </c>
    </row>
    <row r="292" spans="1:12" x14ac:dyDescent="0.35">
      <c r="A292" t="s">
        <v>8</v>
      </c>
      <c r="B292" t="s">
        <v>84</v>
      </c>
      <c r="C292" t="s">
        <v>85</v>
      </c>
      <c r="D292" t="s">
        <v>9</v>
      </c>
      <c r="E292" t="s">
        <v>11</v>
      </c>
      <c r="F292" s="7">
        <v>45227</v>
      </c>
      <c r="G292" s="1">
        <v>44927</v>
      </c>
      <c r="H292" s="14">
        <v>596.14000099999998</v>
      </c>
      <c r="I292">
        <v>52281</v>
      </c>
      <c r="J292" t="s">
        <v>88</v>
      </c>
      <c r="K292" t="s">
        <v>87</v>
      </c>
      <c r="L292" s="16" t="s">
        <v>9</v>
      </c>
    </row>
    <row r="293" spans="1:12" x14ac:dyDescent="0.35">
      <c r="A293" t="s">
        <v>8</v>
      </c>
      <c r="B293" t="s">
        <v>92</v>
      </c>
      <c r="C293" t="s">
        <v>93</v>
      </c>
      <c r="D293" t="s">
        <v>10</v>
      </c>
      <c r="E293" t="s">
        <v>10</v>
      </c>
      <c r="F293" s="7">
        <v>45227</v>
      </c>
      <c r="G293" s="1">
        <v>44927</v>
      </c>
      <c r="H293" s="14">
        <v>6298.6135999999979</v>
      </c>
      <c r="I293">
        <v>1311908</v>
      </c>
      <c r="J293" t="s">
        <v>88</v>
      </c>
      <c r="K293" t="s">
        <v>94</v>
      </c>
      <c r="L293" s="16" t="s">
        <v>10</v>
      </c>
    </row>
    <row r="294" spans="1:12" x14ac:dyDescent="0.35">
      <c r="A294" t="s">
        <v>8</v>
      </c>
      <c r="B294" t="s">
        <v>92</v>
      </c>
      <c r="C294" t="s">
        <v>95</v>
      </c>
      <c r="D294" t="s">
        <v>10</v>
      </c>
      <c r="E294" t="s">
        <v>10</v>
      </c>
      <c r="F294" s="7">
        <v>45227</v>
      </c>
      <c r="G294" s="1">
        <v>44927</v>
      </c>
      <c r="H294" s="14">
        <v>17725.559999999998</v>
      </c>
      <c r="I294">
        <v>1426235</v>
      </c>
      <c r="J294" t="s">
        <v>88</v>
      </c>
      <c r="K294" t="s">
        <v>96</v>
      </c>
      <c r="L294" s="16" t="s">
        <v>10</v>
      </c>
    </row>
    <row r="295" spans="1:12" x14ac:dyDescent="0.35">
      <c r="A295" t="s">
        <v>8</v>
      </c>
      <c r="B295" t="s">
        <v>84</v>
      </c>
      <c r="C295" t="s">
        <v>93</v>
      </c>
      <c r="D295" t="s">
        <v>10</v>
      </c>
      <c r="E295" t="s">
        <v>10</v>
      </c>
      <c r="F295" s="7">
        <v>45227</v>
      </c>
      <c r="G295" s="1">
        <v>44927</v>
      </c>
      <c r="H295" s="14">
        <v>9104.0382000000045</v>
      </c>
      <c r="I295">
        <v>1583740</v>
      </c>
      <c r="J295" t="s">
        <v>88</v>
      </c>
      <c r="K295" t="s">
        <v>94</v>
      </c>
      <c r="L295" s="16" t="s">
        <v>10</v>
      </c>
    </row>
    <row r="296" spans="1:12" x14ac:dyDescent="0.35">
      <c r="A296" t="s">
        <v>8</v>
      </c>
      <c r="B296" t="s">
        <v>84</v>
      </c>
      <c r="C296" t="s">
        <v>95</v>
      </c>
      <c r="D296" t="s">
        <v>10</v>
      </c>
      <c r="E296" t="s">
        <v>10</v>
      </c>
      <c r="F296" s="7">
        <v>45227</v>
      </c>
      <c r="G296" s="1">
        <v>44927</v>
      </c>
      <c r="H296" s="14">
        <v>2533.7199999999993</v>
      </c>
      <c r="I296">
        <v>647063</v>
      </c>
      <c r="J296" t="s">
        <v>88</v>
      </c>
      <c r="K296" t="s">
        <v>96</v>
      </c>
      <c r="L296" s="16" t="s">
        <v>10</v>
      </c>
    </row>
    <row r="297" spans="1:12" x14ac:dyDescent="0.35">
      <c r="A297" t="s">
        <v>8</v>
      </c>
      <c r="B297" t="s">
        <v>17</v>
      </c>
      <c r="C297" t="s">
        <v>93</v>
      </c>
      <c r="D297" t="s">
        <v>10</v>
      </c>
      <c r="E297" t="s">
        <v>10</v>
      </c>
      <c r="F297" s="7">
        <v>45227</v>
      </c>
      <c r="G297" s="1">
        <v>44927</v>
      </c>
      <c r="H297" s="14">
        <v>6446.2257000000018</v>
      </c>
      <c r="I297">
        <v>887762</v>
      </c>
      <c r="J297" t="s">
        <v>88</v>
      </c>
      <c r="K297" t="s">
        <v>94</v>
      </c>
      <c r="L297" s="16" t="s">
        <v>10</v>
      </c>
    </row>
    <row r="298" spans="1:12" x14ac:dyDescent="0.35">
      <c r="A298" t="s">
        <v>8</v>
      </c>
      <c r="B298" t="s">
        <v>17</v>
      </c>
      <c r="C298" t="s">
        <v>95</v>
      </c>
      <c r="D298" t="s">
        <v>10</v>
      </c>
      <c r="E298" t="s">
        <v>10</v>
      </c>
      <c r="F298" s="7">
        <v>45227</v>
      </c>
      <c r="G298" s="1">
        <v>44927</v>
      </c>
      <c r="H298" s="14">
        <v>13364.49</v>
      </c>
      <c r="I298">
        <v>2852428</v>
      </c>
      <c r="J298" t="s">
        <v>88</v>
      </c>
      <c r="K298" t="s">
        <v>96</v>
      </c>
      <c r="L298" s="16" t="s">
        <v>10</v>
      </c>
    </row>
    <row r="299" spans="1:12" x14ac:dyDescent="0.35">
      <c r="A299" t="s">
        <v>8</v>
      </c>
      <c r="B299" t="s">
        <v>99</v>
      </c>
      <c r="C299" t="s">
        <v>93</v>
      </c>
      <c r="D299" t="s">
        <v>10</v>
      </c>
      <c r="E299" t="s">
        <v>10</v>
      </c>
      <c r="F299" s="7">
        <v>45227</v>
      </c>
      <c r="G299" s="1">
        <v>44927</v>
      </c>
      <c r="H299" s="14">
        <v>6055.8194000000003</v>
      </c>
      <c r="I299">
        <v>834271</v>
      </c>
      <c r="J299" t="s">
        <v>88</v>
      </c>
      <c r="K299" t="s">
        <v>94</v>
      </c>
      <c r="L299" s="16" t="s">
        <v>10</v>
      </c>
    </row>
    <row r="300" spans="1:12" x14ac:dyDescent="0.35">
      <c r="A300" t="s">
        <v>8</v>
      </c>
      <c r="B300" t="s">
        <v>99</v>
      </c>
      <c r="C300" t="s">
        <v>95</v>
      </c>
      <c r="D300" t="s">
        <v>10</v>
      </c>
      <c r="E300" t="s">
        <v>10</v>
      </c>
      <c r="F300" s="7">
        <v>45227</v>
      </c>
      <c r="G300" s="1">
        <v>44927</v>
      </c>
      <c r="H300" s="14">
        <v>12847.099999999997</v>
      </c>
      <c r="I300">
        <v>2205993</v>
      </c>
      <c r="J300" t="s">
        <v>88</v>
      </c>
      <c r="K300" t="s">
        <v>96</v>
      </c>
      <c r="L300" s="16" t="s">
        <v>10</v>
      </c>
    </row>
    <row r="301" spans="1:12" x14ac:dyDescent="0.35">
      <c r="A301" t="s">
        <v>8</v>
      </c>
      <c r="B301" t="s">
        <v>100</v>
      </c>
      <c r="C301" t="s">
        <v>93</v>
      </c>
      <c r="D301" t="s">
        <v>10</v>
      </c>
      <c r="E301" t="s">
        <v>10</v>
      </c>
      <c r="F301" s="7">
        <v>45227</v>
      </c>
      <c r="G301" s="1">
        <v>44927</v>
      </c>
      <c r="H301" s="14">
        <v>6404.5790999999999</v>
      </c>
      <c r="I301">
        <v>874961</v>
      </c>
      <c r="J301" t="s">
        <v>88</v>
      </c>
      <c r="K301" t="s">
        <v>94</v>
      </c>
      <c r="L301" s="16" t="s">
        <v>10</v>
      </c>
    </row>
    <row r="302" spans="1:12" x14ac:dyDescent="0.35">
      <c r="A302" t="s">
        <v>8</v>
      </c>
      <c r="B302" t="s">
        <v>100</v>
      </c>
      <c r="C302" t="s">
        <v>95</v>
      </c>
      <c r="D302" t="s">
        <v>10</v>
      </c>
      <c r="E302" t="s">
        <v>10</v>
      </c>
      <c r="F302" s="7">
        <v>45227</v>
      </c>
      <c r="G302" s="1">
        <v>44927</v>
      </c>
      <c r="H302" s="14">
        <v>9470.5499999999993</v>
      </c>
      <c r="I302">
        <v>2601230</v>
      </c>
      <c r="J302" t="s">
        <v>88</v>
      </c>
      <c r="K302" t="s">
        <v>96</v>
      </c>
      <c r="L302" s="16" t="s">
        <v>10</v>
      </c>
    </row>
    <row r="303" spans="1:12" x14ac:dyDescent="0.35">
      <c r="A303" t="s">
        <v>8</v>
      </c>
      <c r="B303" t="s">
        <v>21</v>
      </c>
      <c r="C303" t="s">
        <v>95</v>
      </c>
      <c r="D303" t="s">
        <v>10</v>
      </c>
      <c r="E303" t="s">
        <v>10</v>
      </c>
      <c r="F303" s="7">
        <v>45227</v>
      </c>
      <c r="G303" s="1">
        <v>44927</v>
      </c>
      <c r="H303" s="14">
        <v>1057.8399999999999</v>
      </c>
      <c r="I303">
        <v>189556</v>
      </c>
      <c r="J303" t="s">
        <v>88</v>
      </c>
      <c r="K303" t="s">
        <v>96</v>
      </c>
      <c r="L303" s="16" t="s">
        <v>10</v>
      </c>
    </row>
    <row r="304" spans="1:12" x14ac:dyDescent="0.35">
      <c r="A304" t="s">
        <v>8</v>
      </c>
      <c r="B304" t="s">
        <v>101</v>
      </c>
      <c r="C304" t="s">
        <v>93</v>
      </c>
      <c r="D304" t="s">
        <v>10</v>
      </c>
      <c r="E304" t="s">
        <v>10</v>
      </c>
      <c r="F304" s="7">
        <v>45227</v>
      </c>
      <c r="G304" s="1">
        <v>44927</v>
      </c>
      <c r="H304" s="14">
        <v>6579.054199999995</v>
      </c>
      <c r="I304">
        <v>1316700</v>
      </c>
      <c r="J304" t="s">
        <v>88</v>
      </c>
      <c r="K304" t="s">
        <v>94</v>
      </c>
      <c r="L304" s="16" t="s">
        <v>10</v>
      </c>
    </row>
    <row r="305" spans="1:12" x14ac:dyDescent="0.35">
      <c r="A305" t="s">
        <v>8</v>
      </c>
      <c r="B305" t="s">
        <v>101</v>
      </c>
      <c r="C305" t="s">
        <v>95</v>
      </c>
      <c r="D305" t="s">
        <v>10</v>
      </c>
      <c r="E305" t="s">
        <v>10</v>
      </c>
      <c r="F305" s="7">
        <v>45227</v>
      </c>
      <c r="G305" s="1">
        <v>44927</v>
      </c>
      <c r="H305" s="14">
        <v>2817.05</v>
      </c>
      <c r="I305">
        <v>733337</v>
      </c>
      <c r="J305" t="s">
        <v>88</v>
      </c>
      <c r="K305" t="s">
        <v>96</v>
      </c>
      <c r="L305" s="16" t="s">
        <v>10</v>
      </c>
    </row>
    <row r="306" spans="1:12" x14ac:dyDescent="0.35">
      <c r="A306" t="s">
        <v>8</v>
      </c>
      <c r="B306" t="s">
        <v>16</v>
      </c>
      <c r="C306" t="s">
        <v>95</v>
      </c>
      <c r="D306" t="s">
        <v>10</v>
      </c>
      <c r="E306" t="s">
        <v>10</v>
      </c>
      <c r="F306" s="7">
        <v>45227</v>
      </c>
      <c r="G306" s="1">
        <v>44927</v>
      </c>
      <c r="H306" s="14">
        <v>190.35999999999993</v>
      </c>
      <c r="I306">
        <v>21779</v>
      </c>
      <c r="J306" t="s">
        <v>88</v>
      </c>
      <c r="K306" t="s">
        <v>96</v>
      </c>
      <c r="L306" s="16" t="s">
        <v>10</v>
      </c>
    </row>
    <row r="307" spans="1:12" x14ac:dyDescent="0.35">
      <c r="A307" t="s">
        <v>8</v>
      </c>
      <c r="B307" t="s">
        <v>103</v>
      </c>
      <c r="C307" t="s">
        <v>95</v>
      </c>
      <c r="D307" t="s">
        <v>104</v>
      </c>
      <c r="E307" t="s">
        <v>8</v>
      </c>
      <c r="F307" s="7">
        <v>45227</v>
      </c>
      <c r="G307" s="1">
        <v>44927</v>
      </c>
      <c r="H307" s="14">
        <v>104.4</v>
      </c>
      <c r="I307">
        <v>463</v>
      </c>
      <c r="J307" t="s">
        <v>88</v>
      </c>
      <c r="K307" t="s">
        <v>105</v>
      </c>
      <c r="L307" s="16" t="s">
        <v>95</v>
      </c>
    </row>
    <row r="308" spans="1:12" x14ac:dyDescent="0.35">
      <c r="A308" t="s">
        <v>8</v>
      </c>
      <c r="B308" t="s">
        <v>16</v>
      </c>
      <c r="C308" t="s">
        <v>95</v>
      </c>
      <c r="D308" t="s">
        <v>104</v>
      </c>
      <c r="E308" t="s">
        <v>8</v>
      </c>
      <c r="F308" s="7">
        <v>45227</v>
      </c>
      <c r="G308" s="1">
        <v>44927</v>
      </c>
      <c r="H308" s="14">
        <v>116.83</v>
      </c>
      <c r="I308">
        <v>471</v>
      </c>
      <c r="J308" t="s">
        <v>88</v>
      </c>
      <c r="K308" t="s">
        <v>105</v>
      </c>
      <c r="L308" s="16" t="s">
        <v>95</v>
      </c>
    </row>
    <row r="309" spans="1:12" x14ac:dyDescent="0.35">
      <c r="A309" t="s">
        <v>8</v>
      </c>
      <c r="B309" t="s">
        <v>84</v>
      </c>
      <c r="C309" t="s">
        <v>95</v>
      </c>
      <c r="D309" t="s">
        <v>104</v>
      </c>
      <c r="E309" t="s">
        <v>8</v>
      </c>
      <c r="F309" s="7">
        <v>45227</v>
      </c>
      <c r="G309" s="1">
        <v>44927</v>
      </c>
      <c r="H309" s="14">
        <v>10283.220000000003</v>
      </c>
      <c r="I309">
        <v>30983</v>
      </c>
      <c r="J309" t="s">
        <v>88</v>
      </c>
      <c r="K309" t="s">
        <v>105</v>
      </c>
      <c r="L309" s="16" t="s">
        <v>95</v>
      </c>
    </row>
    <row r="310" spans="1:12" x14ac:dyDescent="0.35">
      <c r="A310" t="s">
        <v>8</v>
      </c>
      <c r="B310" t="s">
        <v>17</v>
      </c>
      <c r="C310" t="s">
        <v>95</v>
      </c>
      <c r="D310" t="s">
        <v>104</v>
      </c>
      <c r="E310" t="s">
        <v>8</v>
      </c>
      <c r="F310" s="7">
        <v>45227</v>
      </c>
      <c r="G310" s="1">
        <v>44927</v>
      </c>
      <c r="H310" s="14">
        <v>274.41000000000003</v>
      </c>
      <c r="I310">
        <v>1157</v>
      </c>
      <c r="J310" t="s">
        <v>88</v>
      </c>
      <c r="K310" t="s">
        <v>105</v>
      </c>
      <c r="L310" s="16" t="s">
        <v>95</v>
      </c>
    </row>
    <row r="311" spans="1:12" x14ac:dyDescent="0.35">
      <c r="A311" t="s">
        <v>8</v>
      </c>
      <c r="B311" t="s">
        <v>106</v>
      </c>
      <c r="C311" t="s">
        <v>95</v>
      </c>
      <c r="D311" t="s">
        <v>104</v>
      </c>
      <c r="E311" t="s">
        <v>8</v>
      </c>
      <c r="F311" s="7">
        <v>45227</v>
      </c>
      <c r="G311" s="1">
        <v>44927</v>
      </c>
      <c r="H311" s="14">
        <v>20.2</v>
      </c>
      <c r="I311">
        <v>87</v>
      </c>
      <c r="J311" t="s">
        <v>88</v>
      </c>
      <c r="K311" t="s">
        <v>105</v>
      </c>
      <c r="L311" s="16" t="s">
        <v>95</v>
      </c>
    </row>
    <row r="312" spans="1:12" x14ac:dyDescent="0.35">
      <c r="A312" t="s">
        <v>8</v>
      </c>
      <c r="B312" t="s">
        <v>92</v>
      </c>
      <c r="C312" t="s">
        <v>95</v>
      </c>
      <c r="D312" t="s">
        <v>104</v>
      </c>
      <c r="E312" t="s">
        <v>8</v>
      </c>
      <c r="F312" s="7">
        <v>45227</v>
      </c>
      <c r="G312" s="1">
        <v>44927</v>
      </c>
      <c r="H312" s="14">
        <v>334.8</v>
      </c>
      <c r="I312">
        <v>1448</v>
      </c>
      <c r="J312" t="s">
        <v>88</v>
      </c>
      <c r="K312" t="s">
        <v>105</v>
      </c>
      <c r="L312" s="16" t="s">
        <v>95</v>
      </c>
    </row>
    <row r="313" spans="1:12" x14ac:dyDescent="0.35">
      <c r="A313" t="s">
        <v>8</v>
      </c>
      <c r="B313" t="s">
        <v>21</v>
      </c>
      <c r="C313" t="s">
        <v>95</v>
      </c>
      <c r="D313" t="s">
        <v>104</v>
      </c>
      <c r="E313" t="s">
        <v>8</v>
      </c>
      <c r="F313" s="7">
        <v>45227</v>
      </c>
      <c r="G313" s="1">
        <v>44927</v>
      </c>
      <c r="H313" s="14">
        <v>180.89</v>
      </c>
      <c r="I313">
        <v>812</v>
      </c>
      <c r="J313" t="s">
        <v>88</v>
      </c>
      <c r="K313" t="s">
        <v>105</v>
      </c>
      <c r="L313" s="16" t="s">
        <v>95</v>
      </c>
    </row>
    <row r="314" spans="1:12" x14ac:dyDescent="0.35">
      <c r="A314" t="s">
        <v>8</v>
      </c>
      <c r="B314" t="s">
        <v>101</v>
      </c>
      <c r="C314" t="s">
        <v>95</v>
      </c>
      <c r="D314" t="s">
        <v>104</v>
      </c>
      <c r="E314" t="s">
        <v>8</v>
      </c>
      <c r="F314" s="7">
        <v>45227</v>
      </c>
      <c r="G314" s="1">
        <v>44927</v>
      </c>
      <c r="H314" s="14">
        <v>168.89</v>
      </c>
      <c r="I314">
        <v>577</v>
      </c>
      <c r="J314" t="s">
        <v>88</v>
      </c>
      <c r="K314" t="s">
        <v>105</v>
      </c>
      <c r="L314" s="16" t="s">
        <v>95</v>
      </c>
    </row>
    <row r="315" spans="1:12" x14ac:dyDescent="0.35">
      <c r="A315" t="s">
        <v>8</v>
      </c>
      <c r="B315" t="s">
        <v>99</v>
      </c>
      <c r="C315" t="s">
        <v>95</v>
      </c>
      <c r="D315" t="s">
        <v>104</v>
      </c>
      <c r="E315" t="s">
        <v>8</v>
      </c>
      <c r="F315" s="7">
        <v>45227</v>
      </c>
      <c r="G315" s="1">
        <v>44927</v>
      </c>
      <c r="H315" s="14">
        <v>195.51</v>
      </c>
      <c r="I315">
        <v>860</v>
      </c>
      <c r="J315" t="s">
        <v>88</v>
      </c>
      <c r="K315" t="s">
        <v>105</v>
      </c>
      <c r="L315" s="16" t="s">
        <v>95</v>
      </c>
    </row>
    <row r="316" spans="1:12" x14ac:dyDescent="0.35">
      <c r="A316" t="s">
        <v>8</v>
      </c>
      <c r="B316" t="s">
        <v>100</v>
      </c>
      <c r="C316" t="s">
        <v>95</v>
      </c>
      <c r="D316" t="s">
        <v>104</v>
      </c>
      <c r="E316" t="s">
        <v>8</v>
      </c>
      <c r="F316" s="7">
        <v>45227</v>
      </c>
      <c r="G316" s="1">
        <v>44927</v>
      </c>
      <c r="H316" s="14">
        <v>218.75</v>
      </c>
      <c r="I316">
        <v>877</v>
      </c>
      <c r="J316" t="s">
        <v>88</v>
      </c>
      <c r="K316" t="s">
        <v>105</v>
      </c>
      <c r="L316" s="16" t="s">
        <v>95</v>
      </c>
    </row>
    <row r="317" spans="1:12" x14ac:dyDescent="0.35">
      <c r="A317" t="s">
        <v>8</v>
      </c>
      <c r="B317" t="s">
        <v>84</v>
      </c>
      <c r="C317" t="s">
        <v>85</v>
      </c>
      <c r="D317" t="s">
        <v>9</v>
      </c>
      <c r="E317" t="s">
        <v>11</v>
      </c>
      <c r="F317" s="7">
        <v>45234</v>
      </c>
      <c r="G317" s="1">
        <v>44927</v>
      </c>
      <c r="H317" s="14">
        <v>2426.3100099999992</v>
      </c>
      <c r="I317">
        <v>283976</v>
      </c>
      <c r="J317" t="s">
        <v>88</v>
      </c>
      <c r="K317" t="s">
        <v>87</v>
      </c>
      <c r="L317" s="16" t="s">
        <v>9</v>
      </c>
    </row>
    <row r="318" spans="1:12" x14ac:dyDescent="0.35">
      <c r="A318" t="s">
        <v>8</v>
      </c>
      <c r="B318" t="s">
        <v>92</v>
      </c>
      <c r="C318" t="s">
        <v>93</v>
      </c>
      <c r="D318" t="s">
        <v>10</v>
      </c>
      <c r="E318" t="s">
        <v>10</v>
      </c>
      <c r="F318" s="7">
        <v>45234</v>
      </c>
      <c r="G318" s="1">
        <v>44927</v>
      </c>
      <c r="H318" s="14">
        <v>6734.0708999999997</v>
      </c>
      <c r="I318">
        <v>1656267</v>
      </c>
      <c r="J318" t="s">
        <v>88</v>
      </c>
      <c r="K318" t="s">
        <v>94</v>
      </c>
      <c r="L318" s="16" t="s">
        <v>10</v>
      </c>
    </row>
    <row r="319" spans="1:12" x14ac:dyDescent="0.35">
      <c r="A319" t="s">
        <v>8</v>
      </c>
      <c r="B319" t="s">
        <v>92</v>
      </c>
      <c r="C319" t="s">
        <v>95</v>
      </c>
      <c r="D319" t="s">
        <v>10</v>
      </c>
      <c r="E319" t="s">
        <v>10</v>
      </c>
      <c r="F319" s="7">
        <v>45234</v>
      </c>
      <c r="G319" s="1">
        <v>44927</v>
      </c>
      <c r="H319" s="14">
        <v>13304.749999999998</v>
      </c>
      <c r="I319">
        <v>1950897</v>
      </c>
      <c r="J319" t="s">
        <v>88</v>
      </c>
      <c r="K319" t="s">
        <v>96</v>
      </c>
      <c r="L319" s="16" t="s">
        <v>10</v>
      </c>
    </row>
    <row r="320" spans="1:12" x14ac:dyDescent="0.35">
      <c r="A320" t="s">
        <v>8</v>
      </c>
      <c r="B320" t="s">
        <v>84</v>
      </c>
      <c r="C320" t="s">
        <v>93</v>
      </c>
      <c r="D320" t="s">
        <v>10</v>
      </c>
      <c r="E320" t="s">
        <v>10</v>
      </c>
      <c r="F320" s="7">
        <v>45234</v>
      </c>
      <c r="G320" s="1">
        <v>44927</v>
      </c>
      <c r="H320" s="14">
        <v>17611.450000000012</v>
      </c>
      <c r="I320">
        <v>9700481</v>
      </c>
      <c r="J320" t="s">
        <v>88</v>
      </c>
      <c r="K320" t="s">
        <v>94</v>
      </c>
      <c r="L320" s="16" t="s">
        <v>10</v>
      </c>
    </row>
    <row r="321" spans="1:12" x14ac:dyDescent="0.35">
      <c r="A321" t="s">
        <v>8</v>
      </c>
      <c r="B321" t="s">
        <v>84</v>
      </c>
      <c r="C321" t="s">
        <v>95</v>
      </c>
      <c r="D321" t="s">
        <v>10</v>
      </c>
      <c r="E321" t="s">
        <v>10</v>
      </c>
      <c r="F321" s="7">
        <v>45234</v>
      </c>
      <c r="G321" s="1">
        <v>44927</v>
      </c>
      <c r="H321" s="14">
        <v>2880.27</v>
      </c>
      <c r="I321">
        <v>748646</v>
      </c>
      <c r="J321" t="s">
        <v>88</v>
      </c>
      <c r="K321" t="s">
        <v>96</v>
      </c>
      <c r="L321" s="16" t="s">
        <v>10</v>
      </c>
    </row>
    <row r="322" spans="1:12" x14ac:dyDescent="0.35">
      <c r="A322" t="s">
        <v>8</v>
      </c>
      <c r="B322" t="s">
        <v>17</v>
      </c>
      <c r="C322" t="s">
        <v>93</v>
      </c>
      <c r="D322" t="s">
        <v>10</v>
      </c>
      <c r="E322" t="s">
        <v>10</v>
      </c>
      <c r="F322" s="7">
        <v>45234</v>
      </c>
      <c r="G322" s="1">
        <v>44927</v>
      </c>
      <c r="H322" s="14">
        <v>6111.8703000000014</v>
      </c>
      <c r="I322">
        <v>902840</v>
      </c>
      <c r="J322" t="s">
        <v>88</v>
      </c>
      <c r="K322" t="s">
        <v>94</v>
      </c>
      <c r="L322" s="16" t="s">
        <v>10</v>
      </c>
    </row>
    <row r="323" spans="1:12" x14ac:dyDescent="0.35">
      <c r="A323" t="s">
        <v>8</v>
      </c>
      <c r="B323" t="s">
        <v>17</v>
      </c>
      <c r="C323" t="s">
        <v>95</v>
      </c>
      <c r="D323" t="s">
        <v>10</v>
      </c>
      <c r="E323" t="s">
        <v>10</v>
      </c>
      <c r="F323" s="7">
        <v>45234</v>
      </c>
      <c r="G323" s="1">
        <v>44927</v>
      </c>
      <c r="H323" s="14">
        <v>12211.740000000003</v>
      </c>
      <c r="I323">
        <v>2638022</v>
      </c>
      <c r="J323" t="s">
        <v>88</v>
      </c>
      <c r="K323" t="s">
        <v>96</v>
      </c>
      <c r="L323" s="16" t="s">
        <v>10</v>
      </c>
    </row>
    <row r="324" spans="1:12" x14ac:dyDescent="0.35">
      <c r="A324" t="s">
        <v>8</v>
      </c>
      <c r="B324" t="s">
        <v>99</v>
      </c>
      <c r="C324" t="s">
        <v>93</v>
      </c>
      <c r="D324" t="s">
        <v>10</v>
      </c>
      <c r="E324" t="s">
        <v>10</v>
      </c>
      <c r="F324" s="7">
        <v>45234</v>
      </c>
      <c r="G324" s="1">
        <v>44927</v>
      </c>
      <c r="H324" s="14">
        <v>6126.4387999999999</v>
      </c>
      <c r="I324">
        <v>967771</v>
      </c>
      <c r="J324" t="s">
        <v>88</v>
      </c>
      <c r="K324" t="s">
        <v>94</v>
      </c>
      <c r="L324" s="16" t="s">
        <v>10</v>
      </c>
    </row>
    <row r="325" spans="1:12" x14ac:dyDescent="0.35">
      <c r="A325" t="s">
        <v>8</v>
      </c>
      <c r="B325" t="s">
        <v>99</v>
      </c>
      <c r="C325" t="s">
        <v>95</v>
      </c>
      <c r="D325" t="s">
        <v>10</v>
      </c>
      <c r="E325" t="s">
        <v>10</v>
      </c>
      <c r="F325" s="7">
        <v>45234</v>
      </c>
      <c r="G325" s="1">
        <v>44927</v>
      </c>
      <c r="H325" s="14">
        <v>16932.13</v>
      </c>
      <c r="I325">
        <v>3120262</v>
      </c>
      <c r="J325" t="s">
        <v>88</v>
      </c>
      <c r="K325" t="s">
        <v>96</v>
      </c>
      <c r="L325" s="16" t="s">
        <v>10</v>
      </c>
    </row>
    <row r="326" spans="1:12" x14ac:dyDescent="0.35">
      <c r="A326" t="s">
        <v>8</v>
      </c>
      <c r="B326" t="s">
        <v>100</v>
      </c>
      <c r="C326" t="s">
        <v>93</v>
      </c>
      <c r="D326" t="s">
        <v>10</v>
      </c>
      <c r="E326" t="s">
        <v>10</v>
      </c>
      <c r="F326" s="7">
        <v>45234</v>
      </c>
      <c r="G326" s="1">
        <v>44927</v>
      </c>
      <c r="H326" s="14">
        <v>6509.9135999999999</v>
      </c>
      <c r="I326">
        <v>969424</v>
      </c>
      <c r="J326" t="s">
        <v>88</v>
      </c>
      <c r="K326" t="s">
        <v>94</v>
      </c>
      <c r="L326" s="16" t="s">
        <v>10</v>
      </c>
    </row>
    <row r="327" spans="1:12" x14ac:dyDescent="0.35">
      <c r="A327" t="s">
        <v>8</v>
      </c>
      <c r="B327" t="s">
        <v>100</v>
      </c>
      <c r="C327" t="s">
        <v>95</v>
      </c>
      <c r="D327" t="s">
        <v>10</v>
      </c>
      <c r="E327" t="s">
        <v>10</v>
      </c>
      <c r="F327" s="7">
        <v>45234</v>
      </c>
      <c r="G327" s="1">
        <v>44927</v>
      </c>
      <c r="H327" s="14">
        <v>8418.17</v>
      </c>
      <c r="I327">
        <v>2714220</v>
      </c>
      <c r="J327" t="s">
        <v>88</v>
      </c>
      <c r="K327" t="s">
        <v>96</v>
      </c>
      <c r="L327" s="16" t="s">
        <v>10</v>
      </c>
    </row>
    <row r="328" spans="1:12" x14ac:dyDescent="0.35">
      <c r="A328" t="s">
        <v>8</v>
      </c>
      <c r="B328" t="s">
        <v>21</v>
      </c>
      <c r="C328" t="s">
        <v>95</v>
      </c>
      <c r="D328" t="s">
        <v>10</v>
      </c>
      <c r="E328" t="s">
        <v>10</v>
      </c>
      <c r="F328" s="7">
        <v>45234</v>
      </c>
      <c r="G328" s="1">
        <v>44927</v>
      </c>
      <c r="H328" s="14">
        <v>1358.0600000000004</v>
      </c>
      <c r="I328">
        <v>252797</v>
      </c>
      <c r="J328" t="s">
        <v>88</v>
      </c>
      <c r="K328" t="s">
        <v>96</v>
      </c>
      <c r="L328" s="16" t="s">
        <v>10</v>
      </c>
    </row>
    <row r="329" spans="1:12" x14ac:dyDescent="0.35">
      <c r="A329" t="s">
        <v>8</v>
      </c>
      <c r="B329" t="s">
        <v>101</v>
      </c>
      <c r="C329" t="s">
        <v>93</v>
      </c>
      <c r="D329" t="s">
        <v>10</v>
      </c>
      <c r="E329" t="s">
        <v>10</v>
      </c>
      <c r="F329" s="7">
        <v>45234</v>
      </c>
      <c r="G329" s="1">
        <v>44927</v>
      </c>
      <c r="H329" s="14">
        <v>5564.260000000002</v>
      </c>
      <c r="I329">
        <v>1342118</v>
      </c>
      <c r="J329" t="s">
        <v>88</v>
      </c>
      <c r="K329" t="s">
        <v>94</v>
      </c>
      <c r="L329" s="16" t="s">
        <v>10</v>
      </c>
    </row>
    <row r="330" spans="1:12" x14ac:dyDescent="0.35">
      <c r="A330" t="s">
        <v>8</v>
      </c>
      <c r="B330" t="s">
        <v>101</v>
      </c>
      <c r="C330" t="s">
        <v>95</v>
      </c>
      <c r="D330" t="s">
        <v>10</v>
      </c>
      <c r="E330" t="s">
        <v>10</v>
      </c>
      <c r="F330" s="7">
        <v>45234</v>
      </c>
      <c r="G330" s="1">
        <v>44927</v>
      </c>
      <c r="H330" s="14">
        <v>2040.8999999999999</v>
      </c>
      <c r="I330">
        <v>694448</v>
      </c>
      <c r="J330" t="s">
        <v>88</v>
      </c>
      <c r="K330" t="s">
        <v>96</v>
      </c>
      <c r="L330" s="16" t="s">
        <v>10</v>
      </c>
    </row>
    <row r="331" spans="1:12" x14ac:dyDescent="0.35">
      <c r="A331" t="s">
        <v>8</v>
      </c>
      <c r="B331" t="s">
        <v>16</v>
      </c>
      <c r="C331" t="s">
        <v>95</v>
      </c>
      <c r="D331" t="s">
        <v>10</v>
      </c>
      <c r="E331" t="s">
        <v>10</v>
      </c>
      <c r="F331" s="7">
        <v>45234</v>
      </c>
      <c r="G331" s="1">
        <v>44927</v>
      </c>
      <c r="H331" s="14">
        <v>235.16000000000005</v>
      </c>
      <c r="I331">
        <v>35481</v>
      </c>
      <c r="J331" t="s">
        <v>88</v>
      </c>
      <c r="K331" t="s">
        <v>96</v>
      </c>
      <c r="L331" s="16" t="s">
        <v>10</v>
      </c>
    </row>
    <row r="332" spans="1:12" x14ac:dyDescent="0.35">
      <c r="A332" t="s">
        <v>8</v>
      </c>
      <c r="B332" t="s">
        <v>103</v>
      </c>
      <c r="C332" t="s">
        <v>95</v>
      </c>
      <c r="D332" t="s">
        <v>104</v>
      </c>
      <c r="E332" t="s">
        <v>8</v>
      </c>
      <c r="F332" s="7">
        <v>45234</v>
      </c>
      <c r="G332" s="1">
        <v>44927</v>
      </c>
      <c r="H332" s="14">
        <v>122.03999999999999</v>
      </c>
      <c r="I332">
        <v>439</v>
      </c>
      <c r="J332" t="s">
        <v>88</v>
      </c>
      <c r="K332" t="s">
        <v>105</v>
      </c>
      <c r="L332" s="16" t="s">
        <v>95</v>
      </c>
    </row>
    <row r="333" spans="1:12" x14ac:dyDescent="0.35">
      <c r="A333" t="s">
        <v>8</v>
      </c>
      <c r="B333" t="s">
        <v>16</v>
      </c>
      <c r="C333" t="s">
        <v>95</v>
      </c>
      <c r="D333" t="s">
        <v>104</v>
      </c>
      <c r="E333" t="s">
        <v>8</v>
      </c>
      <c r="F333" s="7">
        <v>45234</v>
      </c>
      <c r="G333" s="1">
        <v>44927</v>
      </c>
      <c r="H333" s="14">
        <v>198.61</v>
      </c>
      <c r="I333">
        <v>609</v>
      </c>
      <c r="J333" t="s">
        <v>88</v>
      </c>
      <c r="K333" t="s">
        <v>105</v>
      </c>
      <c r="L333" s="16" t="s">
        <v>95</v>
      </c>
    </row>
    <row r="334" spans="1:12" x14ac:dyDescent="0.35">
      <c r="A334" t="s">
        <v>8</v>
      </c>
      <c r="B334" t="s">
        <v>84</v>
      </c>
      <c r="C334" t="s">
        <v>95</v>
      </c>
      <c r="D334" t="s">
        <v>104</v>
      </c>
      <c r="E334" t="s">
        <v>8</v>
      </c>
      <c r="F334" s="7">
        <v>45234</v>
      </c>
      <c r="G334" s="1">
        <v>44927</v>
      </c>
      <c r="H334" s="14">
        <v>10427.290000000001</v>
      </c>
      <c r="I334">
        <v>31655</v>
      </c>
      <c r="J334" t="s">
        <v>88</v>
      </c>
      <c r="K334" t="s">
        <v>105</v>
      </c>
      <c r="L334" s="16" t="s">
        <v>95</v>
      </c>
    </row>
    <row r="335" spans="1:12" x14ac:dyDescent="0.35">
      <c r="A335" t="s">
        <v>8</v>
      </c>
      <c r="B335" t="s">
        <v>17</v>
      </c>
      <c r="C335" t="s">
        <v>95</v>
      </c>
      <c r="D335" t="s">
        <v>104</v>
      </c>
      <c r="E335" t="s">
        <v>8</v>
      </c>
      <c r="F335" s="7">
        <v>45234</v>
      </c>
      <c r="G335" s="1">
        <v>44927</v>
      </c>
      <c r="H335" s="14">
        <v>276.95</v>
      </c>
      <c r="I335">
        <v>1181</v>
      </c>
      <c r="J335" t="s">
        <v>88</v>
      </c>
      <c r="K335" t="s">
        <v>105</v>
      </c>
      <c r="L335" s="16" t="s">
        <v>95</v>
      </c>
    </row>
    <row r="336" spans="1:12" x14ac:dyDescent="0.35">
      <c r="A336" t="s">
        <v>8</v>
      </c>
      <c r="B336" t="s">
        <v>106</v>
      </c>
      <c r="C336" t="s">
        <v>95</v>
      </c>
      <c r="D336" t="s">
        <v>104</v>
      </c>
      <c r="E336" t="s">
        <v>8</v>
      </c>
      <c r="F336" s="7">
        <v>45234</v>
      </c>
      <c r="G336" s="1">
        <v>44927</v>
      </c>
      <c r="H336" s="14">
        <v>20.97</v>
      </c>
      <c r="I336">
        <v>51</v>
      </c>
      <c r="J336" t="s">
        <v>88</v>
      </c>
      <c r="K336" t="s">
        <v>105</v>
      </c>
      <c r="L336" s="16" t="s">
        <v>95</v>
      </c>
    </row>
    <row r="337" spans="1:12" x14ac:dyDescent="0.35">
      <c r="A337" t="s">
        <v>8</v>
      </c>
      <c r="B337" t="s">
        <v>92</v>
      </c>
      <c r="C337" t="s">
        <v>95</v>
      </c>
      <c r="D337" t="s">
        <v>104</v>
      </c>
      <c r="E337" t="s">
        <v>8</v>
      </c>
      <c r="F337" s="7">
        <v>45234</v>
      </c>
      <c r="G337" s="1">
        <v>44927</v>
      </c>
      <c r="H337" s="14">
        <v>390.37999999999994</v>
      </c>
      <c r="I337">
        <v>1670</v>
      </c>
      <c r="J337" t="s">
        <v>88</v>
      </c>
      <c r="K337" t="s">
        <v>105</v>
      </c>
      <c r="L337" s="16" t="s">
        <v>95</v>
      </c>
    </row>
    <row r="338" spans="1:12" x14ac:dyDescent="0.35">
      <c r="A338" t="s">
        <v>8</v>
      </c>
      <c r="B338" t="s">
        <v>21</v>
      </c>
      <c r="C338" t="s">
        <v>95</v>
      </c>
      <c r="D338" t="s">
        <v>104</v>
      </c>
      <c r="E338" t="s">
        <v>8</v>
      </c>
      <c r="F338" s="7">
        <v>45234</v>
      </c>
      <c r="G338" s="1">
        <v>44927</v>
      </c>
      <c r="H338" s="14">
        <v>256.22000000000003</v>
      </c>
      <c r="I338">
        <v>907</v>
      </c>
      <c r="J338" t="s">
        <v>88</v>
      </c>
      <c r="K338" t="s">
        <v>105</v>
      </c>
      <c r="L338" s="16" t="s">
        <v>95</v>
      </c>
    </row>
    <row r="339" spans="1:12" x14ac:dyDescent="0.35">
      <c r="A339" t="s">
        <v>8</v>
      </c>
      <c r="B339" t="s">
        <v>101</v>
      </c>
      <c r="C339" t="s">
        <v>95</v>
      </c>
      <c r="D339" t="s">
        <v>104</v>
      </c>
      <c r="E339" t="s">
        <v>8</v>
      </c>
      <c r="F339" s="7">
        <v>45234</v>
      </c>
      <c r="G339" s="1">
        <v>44927</v>
      </c>
      <c r="H339" s="14">
        <v>196.5</v>
      </c>
      <c r="I339">
        <v>592</v>
      </c>
      <c r="J339" t="s">
        <v>88</v>
      </c>
      <c r="K339" t="s">
        <v>105</v>
      </c>
      <c r="L339" s="16" t="s">
        <v>95</v>
      </c>
    </row>
    <row r="340" spans="1:12" x14ac:dyDescent="0.35">
      <c r="A340" t="s">
        <v>8</v>
      </c>
      <c r="B340" t="s">
        <v>99</v>
      </c>
      <c r="C340" t="s">
        <v>95</v>
      </c>
      <c r="D340" t="s">
        <v>104</v>
      </c>
      <c r="E340" t="s">
        <v>8</v>
      </c>
      <c r="F340" s="7">
        <v>45234</v>
      </c>
      <c r="G340" s="1">
        <v>44927</v>
      </c>
      <c r="H340" s="14">
        <v>280.91000000000003</v>
      </c>
      <c r="I340">
        <v>716</v>
      </c>
      <c r="J340" t="s">
        <v>88</v>
      </c>
      <c r="K340" t="s">
        <v>105</v>
      </c>
      <c r="L340" s="16" t="s">
        <v>95</v>
      </c>
    </row>
    <row r="341" spans="1:12" x14ac:dyDescent="0.35">
      <c r="A341" t="s">
        <v>8</v>
      </c>
      <c r="B341" t="s">
        <v>100</v>
      </c>
      <c r="C341" t="s">
        <v>95</v>
      </c>
      <c r="D341" t="s">
        <v>104</v>
      </c>
      <c r="E341" t="s">
        <v>8</v>
      </c>
      <c r="F341" s="7">
        <v>45234</v>
      </c>
      <c r="G341" s="1">
        <v>44927</v>
      </c>
      <c r="H341" s="14">
        <v>288.44</v>
      </c>
      <c r="I341">
        <v>956</v>
      </c>
      <c r="J341" t="s">
        <v>88</v>
      </c>
      <c r="K341" t="s">
        <v>105</v>
      </c>
      <c r="L341" s="16" t="s">
        <v>95</v>
      </c>
    </row>
    <row r="342" spans="1:12" x14ac:dyDescent="0.35">
      <c r="A342" t="s">
        <v>8</v>
      </c>
      <c r="B342" t="s">
        <v>84</v>
      </c>
      <c r="C342" t="s">
        <v>85</v>
      </c>
      <c r="D342" t="s">
        <v>9</v>
      </c>
      <c r="E342" t="s">
        <v>11</v>
      </c>
      <c r="F342" s="7">
        <v>45241</v>
      </c>
      <c r="G342" s="1">
        <v>44927</v>
      </c>
      <c r="H342" s="14">
        <v>1977.1199929999998</v>
      </c>
      <c r="I342">
        <v>222673</v>
      </c>
      <c r="J342" t="s">
        <v>88</v>
      </c>
      <c r="K342" t="s">
        <v>87</v>
      </c>
      <c r="L342" s="16" t="s">
        <v>9</v>
      </c>
    </row>
    <row r="343" spans="1:12" x14ac:dyDescent="0.35">
      <c r="A343" t="s">
        <v>8</v>
      </c>
      <c r="B343" t="s">
        <v>92</v>
      </c>
      <c r="C343" t="s">
        <v>93</v>
      </c>
      <c r="D343" t="s">
        <v>10</v>
      </c>
      <c r="E343" t="s">
        <v>10</v>
      </c>
      <c r="F343" s="7">
        <v>45241</v>
      </c>
      <c r="G343" s="1">
        <v>44927</v>
      </c>
      <c r="H343" s="14">
        <v>7048.5091999999986</v>
      </c>
      <c r="I343">
        <v>2293317</v>
      </c>
      <c r="J343" t="s">
        <v>88</v>
      </c>
      <c r="K343" t="s">
        <v>94</v>
      </c>
      <c r="L343" s="16" t="s">
        <v>10</v>
      </c>
    </row>
    <row r="344" spans="1:12" x14ac:dyDescent="0.35">
      <c r="A344" t="s">
        <v>8</v>
      </c>
      <c r="B344" t="s">
        <v>92</v>
      </c>
      <c r="C344" t="s">
        <v>95</v>
      </c>
      <c r="D344" t="s">
        <v>10</v>
      </c>
      <c r="E344" t="s">
        <v>10</v>
      </c>
      <c r="F344" s="7">
        <v>45241</v>
      </c>
      <c r="G344" s="1">
        <v>44927</v>
      </c>
      <c r="H344" s="14">
        <v>15654.190000000004</v>
      </c>
      <c r="I344">
        <v>1805980</v>
      </c>
      <c r="J344" t="s">
        <v>88</v>
      </c>
      <c r="K344" t="s">
        <v>96</v>
      </c>
      <c r="L344" s="16" t="s">
        <v>10</v>
      </c>
    </row>
    <row r="345" spans="1:12" x14ac:dyDescent="0.35">
      <c r="A345" t="s">
        <v>8</v>
      </c>
      <c r="B345" t="s">
        <v>84</v>
      </c>
      <c r="C345" t="s">
        <v>93</v>
      </c>
      <c r="D345" t="s">
        <v>10</v>
      </c>
      <c r="E345" t="s">
        <v>10</v>
      </c>
      <c r="F345" s="7">
        <v>45241</v>
      </c>
      <c r="G345" s="1">
        <v>44927</v>
      </c>
      <c r="H345" s="14">
        <v>28071.213699999989</v>
      </c>
      <c r="I345">
        <v>18016432</v>
      </c>
      <c r="J345" t="s">
        <v>88</v>
      </c>
      <c r="K345" t="s">
        <v>94</v>
      </c>
      <c r="L345" s="16" t="s">
        <v>10</v>
      </c>
    </row>
    <row r="346" spans="1:12" x14ac:dyDescent="0.35">
      <c r="A346" t="s">
        <v>8</v>
      </c>
      <c r="B346" t="s">
        <v>84</v>
      </c>
      <c r="C346" t="s">
        <v>95</v>
      </c>
      <c r="D346" t="s">
        <v>10</v>
      </c>
      <c r="E346" t="s">
        <v>10</v>
      </c>
      <c r="F346" s="7">
        <v>45241</v>
      </c>
      <c r="G346" s="1">
        <v>44927</v>
      </c>
      <c r="H346" s="14">
        <v>2691.41</v>
      </c>
      <c r="I346">
        <v>834724</v>
      </c>
      <c r="J346" t="s">
        <v>88</v>
      </c>
      <c r="K346" t="s">
        <v>96</v>
      </c>
      <c r="L346" s="16" t="s">
        <v>10</v>
      </c>
    </row>
    <row r="347" spans="1:12" x14ac:dyDescent="0.35">
      <c r="A347" t="s">
        <v>8</v>
      </c>
      <c r="B347" t="s">
        <v>17</v>
      </c>
      <c r="C347" t="s">
        <v>93</v>
      </c>
      <c r="D347" t="s">
        <v>10</v>
      </c>
      <c r="E347" t="s">
        <v>10</v>
      </c>
      <c r="F347" s="7">
        <v>45241</v>
      </c>
      <c r="G347" s="1">
        <v>44927</v>
      </c>
      <c r="H347" s="14">
        <v>7335.3335000000006</v>
      </c>
      <c r="I347">
        <v>1052203</v>
      </c>
      <c r="J347" t="s">
        <v>88</v>
      </c>
      <c r="K347" t="s">
        <v>94</v>
      </c>
      <c r="L347" s="16" t="s">
        <v>10</v>
      </c>
    </row>
    <row r="348" spans="1:12" x14ac:dyDescent="0.35">
      <c r="A348" t="s">
        <v>8</v>
      </c>
      <c r="B348" t="s">
        <v>17</v>
      </c>
      <c r="C348" t="s">
        <v>95</v>
      </c>
      <c r="D348" t="s">
        <v>10</v>
      </c>
      <c r="E348" t="s">
        <v>10</v>
      </c>
      <c r="F348" s="7">
        <v>45241</v>
      </c>
      <c r="G348" s="1">
        <v>44927</v>
      </c>
      <c r="H348" s="14">
        <v>10620.699999999999</v>
      </c>
      <c r="I348">
        <v>2029166</v>
      </c>
      <c r="J348" t="s">
        <v>88</v>
      </c>
      <c r="K348" t="s">
        <v>96</v>
      </c>
      <c r="L348" s="16" t="s">
        <v>10</v>
      </c>
    </row>
    <row r="349" spans="1:12" x14ac:dyDescent="0.35">
      <c r="A349" t="s">
        <v>8</v>
      </c>
      <c r="B349" t="s">
        <v>99</v>
      </c>
      <c r="C349" t="s">
        <v>93</v>
      </c>
      <c r="D349" t="s">
        <v>10</v>
      </c>
      <c r="E349" t="s">
        <v>10</v>
      </c>
      <c r="F349" s="7">
        <v>45241</v>
      </c>
      <c r="G349" s="1">
        <v>44927</v>
      </c>
      <c r="H349" s="14">
        <v>6427.3482999999997</v>
      </c>
      <c r="I349">
        <v>1018394</v>
      </c>
      <c r="J349" t="s">
        <v>88</v>
      </c>
      <c r="K349" t="s">
        <v>94</v>
      </c>
      <c r="L349" s="16" t="s">
        <v>10</v>
      </c>
    </row>
    <row r="350" spans="1:12" x14ac:dyDescent="0.35">
      <c r="A350" t="s">
        <v>8</v>
      </c>
      <c r="B350" t="s">
        <v>99</v>
      </c>
      <c r="C350" t="s">
        <v>95</v>
      </c>
      <c r="D350" t="s">
        <v>10</v>
      </c>
      <c r="E350" t="s">
        <v>10</v>
      </c>
      <c r="F350" s="7">
        <v>45241</v>
      </c>
      <c r="G350" s="1">
        <v>44927</v>
      </c>
      <c r="H350" s="14">
        <v>17857.470000000005</v>
      </c>
      <c r="I350">
        <v>3072266</v>
      </c>
      <c r="J350" t="s">
        <v>88</v>
      </c>
      <c r="K350" t="s">
        <v>96</v>
      </c>
      <c r="L350" s="16" t="s">
        <v>10</v>
      </c>
    </row>
    <row r="351" spans="1:12" x14ac:dyDescent="0.35">
      <c r="A351" t="s">
        <v>8</v>
      </c>
      <c r="B351" t="s">
        <v>100</v>
      </c>
      <c r="C351" t="s">
        <v>93</v>
      </c>
      <c r="D351" t="s">
        <v>10</v>
      </c>
      <c r="E351" t="s">
        <v>10</v>
      </c>
      <c r="F351" s="7">
        <v>45241</v>
      </c>
      <c r="G351" s="1">
        <v>44927</v>
      </c>
      <c r="H351" s="14">
        <v>6396.5228000000043</v>
      </c>
      <c r="I351">
        <v>872453</v>
      </c>
      <c r="J351" t="s">
        <v>88</v>
      </c>
      <c r="K351" t="s">
        <v>94</v>
      </c>
      <c r="L351" s="16" t="s">
        <v>10</v>
      </c>
    </row>
    <row r="352" spans="1:12" x14ac:dyDescent="0.35">
      <c r="A352" t="s">
        <v>8</v>
      </c>
      <c r="B352" t="s">
        <v>100</v>
      </c>
      <c r="C352" t="s">
        <v>95</v>
      </c>
      <c r="D352" t="s">
        <v>10</v>
      </c>
      <c r="E352" t="s">
        <v>10</v>
      </c>
      <c r="F352" s="7">
        <v>45241</v>
      </c>
      <c r="G352" s="1">
        <v>44927</v>
      </c>
      <c r="H352" s="14">
        <v>8786.69</v>
      </c>
      <c r="I352">
        <v>2401367</v>
      </c>
      <c r="J352" t="s">
        <v>88</v>
      </c>
      <c r="K352" t="s">
        <v>96</v>
      </c>
      <c r="L352" s="16" t="s">
        <v>10</v>
      </c>
    </row>
    <row r="353" spans="1:12" x14ac:dyDescent="0.35">
      <c r="A353" t="s">
        <v>8</v>
      </c>
      <c r="B353" t="s">
        <v>21</v>
      </c>
      <c r="C353" t="s">
        <v>95</v>
      </c>
      <c r="D353" t="s">
        <v>10</v>
      </c>
      <c r="E353" t="s">
        <v>10</v>
      </c>
      <c r="F353" s="7">
        <v>45241</v>
      </c>
      <c r="G353" s="1">
        <v>44927</v>
      </c>
      <c r="H353" s="14">
        <v>2021.11</v>
      </c>
      <c r="I353">
        <v>423271</v>
      </c>
      <c r="J353" t="s">
        <v>88</v>
      </c>
      <c r="K353" t="s">
        <v>96</v>
      </c>
      <c r="L353" s="16" t="s">
        <v>10</v>
      </c>
    </row>
    <row r="354" spans="1:12" x14ac:dyDescent="0.35">
      <c r="A354" t="s">
        <v>8</v>
      </c>
      <c r="B354" t="s">
        <v>101</v>
      </c>
      <c r="C354" t="s">
        <v>93</v>
      </c>
      <c r="D354" t="s">
        <v>10</v>
      </c>
      <c r="E354" t="s">
        <v>10</v>
      </c>
      <c r="F354" s="7">
        <v>45241</v>
      </c>
      <c r="G354" s="1">
        <v>44927</v>
      </c>
      <c r="H354" s="14">
        <v>6428.2969999999987</v>
      </c>
      <c r="I354">
        <v>1338314</v>
      </c>
      <c r="J354" t="s">
        <v>88</v>
      </c>
      <c r="K354" t="s">
        <v>94</v>
      </c>
      <c r="L354" s="16" t="s">
        <v>10</v>
      </c>
    </row>
    <row r="355" spans="1:12" x14ac:dyDescent="0.35">
      <c r="A355" t="s">
        <v>8</v>
      </c>
      <c r="B355" t="s">
        <v>101</v>
      </c>
      <c r="C355" t="s">
        <v>95</v>
      </c>
      <c r="D355" t="s">
        <v>10</v>
      </c>
      <c r="E355" t="s">
        <v>10</v>
      </c>
      <c r="F355" s="7">
        <v>45241</v>
      </c>
      <c r="G355" s="1">
        <v>44927</v>
      </c>
      <c r="H355" s="14">
        <v>1945.96</v>
      </c>
      <c r="I355">
        <v>563525</v>
      </c>
      <c r="J355" t="s">
        <v>88</v>
      </c>
      <c r="K355" t="s">
        <v>96</v>
      </c>
      <c r="L355" s="16" t="s">
        <v>10</v>
      </c>
    </row>
    <row r="356" spans="1:12" x14ac:dyDescent="0.35">
      <c r="A356" t="s">
        <v>8</v>
      </c>
      <c r="B356" t="s">
        <v>16</v>
      </c>
      <c r="C356" t="s">
        <v>95</v>
      </c>
      <c r="D356" t="s">
        <v>10</v>
      </c>
      <c r="E356" t="s">
        <v>10</v>
      </c>
      <c r="F356" s="7">
        <v>45241</v>
      </c>
      <c r="G356" s="1">
        <v>44927</v>
      </c>
      <c r="H356" s="14">
        <v>306.25999999999988</v>
      </c>
      <c r="I356">
        <v>29358</v>
      </c>
      <c r="J356" t="s">
        <v>88</v>
      </c>
      <c r="K356" t="s">
        <v>96</v>
      </c>
      <c r="L356" s="16" t="s">
        <v>10</v>
      </c>
    </row>
    <row r="357" spans="1:12" x14ac:dyDescent="0.35">
      <c r="A357" t="s">
        <v>8</v>
      </c>
      <c r="B357" t="s">
        <v>103</v>
      </c>
      <c r="C357" t="s">
        <v>95</v>
      </c>
      <c r="D357" t="s">
        <v>104</v>
      </c>
      <c r="E357" t="s">
        <v>8</v>
      </c>
      <c r="F357" s="7">
        <v>45241</v>
      </c>
      <c r="G357" s="1">
        <v>44927</v>
      </c>
      <c r="H357" s="14">
        <v>145.9</v>
      </c>
      <c r="I357">
        <v>492</v>
      </c>
      <c r="J357" t="s">
        <v>88</v>
      </c>
      <c r="K357" t="s">
        <v>105</v>
      </c>
      <c r="L357" s="16" t="s">
        <v>95</v>
      </c>
    </row>
    <row r="358" spans="1:12" x14ac:dyDescent="0.35">
      <c r="A358" t="s">
        <v>8</v>
      </c>
      <c r="B358" t="s">
        <v>16</v>
      </c>
      <c r="C358" t="s">
        <v>95</v>
      </c>
      <c r="D358" t="s">
        <v>104</v>
      </c>
      <c r="E358" t="s">
        <v>8</v>
      </c>
      <c r="F358" s="7">
        <v>45241</v>
      </c>
      <c r="G358" s="1">
        <v>44927</v>
      </c>
      <c r="H358" s="14">
        <v>238.77</v>
      </c>
      <c r="I358">
        <v>708</v>
      </c>
      <c r="J358" t="s">
        <v>88</v>
      </c>
      <c r="K358" t="s">
        <v>105</v>
      </c>
      <c r="L358" s="16" t="s">
        <v>95</v>
      </c>
    </row>
    <row r="359" spans="1:12" x14ac:dyDescent="0.35">
      <c r="A359" t="s">
        <v>8</v>
      </c>
      <c r="B359" t="s">
        <v>84</v>
      </c>
      <c r="C359" t="s">
        <v>95</v>
      </c>
      <c r="D359" t="s">
        <v>104</v>
      </c>
      <c r="E359" t="s">
        <v>8</v>
      </c>
      <c r="F359" s="7">
        <v>45241</v>
      </c>
      <c r="G359" s="1">
        <v>44927</v>
      </c>
      <c r="H359" s="14">
        <v>10886.180000000004</v>
      </c>
      <c r="I359">
        <v>33892</v>
      </c>
      <c r="J359" t="s">
        <v>88</v>
      </c>
      <c r="K359" t="s">
        <v>105</v>
      </c>
      <c r="L359" s="16" t="s">
        <v>95</v>
      </c>
    </row>
    <row r="360" spans="1:12" x14ac:dyDescent="0.35">
      <c r="A360" t="s">
        <v>8</v>
      </c>
      <c r="B360" t="s">
        <v>17</v>
      </c>
      <c r="C360" t="s">
        <v>95</v>
      </c>
      <c r="D360" t="s">
        <v>104</v>
      </c>
      <c r="E360" t="s">
        <v>8</v>
      </c>
      <c r="F360" s="7">
        <v>45241</v>
      </c>
      <c r="G360" s="1">
        <v>44927</v>
      </c>
      <c r="H360" s="14">
        <v>197.03000000000003</v>
      </c>
      <c r="I360">
        <v>1267</v>
      </c>
      <c r="J360" t="s">
        <v>88</v>
      </c>
      <c r="K360" t="s">
        <v>105</v>
      </c>
      <c r="L360" s="16" t="s">
        <v>95</v>
      </c>
    </row>
    <row r="361" spans="1:12" x14ac:dyDescent="0.35">
      <c r="A361" t="s">
        <v>8</v>
      </c>
      <c r="B361" t="s">
        <v>106</v>
      </c>
      <c r="C361" t="s">
        <v>95</v>
      </c>
      <c r="D361" t="s">
        <v>104</v>
      </c>
      <c r="E361" t="s">
        <v>8</v>
      </c>
      <c r="F361" s="7">
        <v>45241</v>
      </c>
      <c r="G361" s="1">
        <v>44927</v>
      </c>
      <c r="H361" s="14">
        <v>21.03</v>
      </c>
      <c r="I361">
        <v>135</v>
      </c>
      <c r="J361" t="s">
        <v>88</v>
      </c>
      <c r="K361" t="s">
        <v>105</v>
      </c>
      <c r="L361" s="16" t="s">
        <v>95</v>
      </c>
    </row>
    <row r="362" spans="1:12" x14ac:dyDescent="0.35">
      <c r="A362" t="s">
        <v>8</v>
      </c>
      <c r="B362" t="s">
        <v>92</v>
      </c>
      <c r="C362" t="s">
        <v>95</v>
      </c>
      <c r="D362" t="s">
        <v>104</v>
      </c>
      <c r="E362" t="s">
        <v>8</v>
      </c>
      <c r="F362" s="7">
        <v>45241</v>
      </c>
      <c r="G362" s="1">
        <v>44927</v>
      </c>
      <c r="H362" s="14">
        <v>407.21999999999997</v>
      </c>
      <c r="I362">
        <v>1706</v>
      </c>
      <c r="J362" t="s">
        <v>88</v>
      </c>
      <c r="K362" t="s">
        <v>105</v>
      </c>
      <c r="L362" s="16" t="s">
        <v>95</v>
      </c>
    </row>
    <row r="363" spans="1:12" x14ac:dyDescent="0.35">
      <c r="A363" t="s">
        <v>8</v>
      </c>
      <c r="B363" t="s">
        <v>21</v>
      </c>
      <c r="C363" t="s">
        <v>95</v>
      </c>
      <c r="D363" t="s">
        <v>104</v>
      </c>
      <c r="E363" t="s">
        <v>8</v>
      </c>
      <c r="F363" s="7">
        <v>45241</v>
      </c>
      <c r="G363" s="1">
        <v>44927</v>
      </c>
      <c r="H363" s="14">
        <v>279.95000000000005</v>
      </c>
      <c r="I363">
        <v>927</v>
      </c>
      <c r="J363" t="s">
        <v>88</v>
      </c>
      <c r="K363" t="s">
        <v>105</v>
      </c>
      <c r="L363" s="16" t="s">
        <v>95</v>
      </c>
    </row>
    <row r="364" spans="1:12" x14ac:dyDescent="0.35">
      <c r="A364" t="s">
        <v>8</v>
      </c>
      <c r="B364" t="s">
        <v>101</v>
      </c>
      <c r="C364" t="s">
        <v>95</v>
      </c>
      <c r="D364" t="s">
        <v>104</v>
      </c>
      <c r="E364" t="s">
        <v>8</v>
      </c>
      <c r="F364" s="7">
        <v>45241</v>
      </c>
      <c r="G364" s="1">
        <v>44927</v>
      </c>
      <c r="H364" s="14">
        <v>183.75999999999996</v>
      </c>
      <c r="I364">
        <v>643</v>
      </c>
      <c r="J364" t="s">
        <v>88</v>
      </c>
      <c r="K364" t="s">
        <v>105</v>
      </c>
      <c r="L364" s="16" t="s">
        <v>95</v>
      </c>
    </row>
    <row r="365" spans="1:12" x14ac:dyDescent="0.35">
      <c r="A365" t="s">
        <v>8</v>
      </c>
      <c r="B365" t="s">
        <v>99</v>
      </c>
      <c r="C365" t="s">
        <v>95</v>
      </c>
      <c r="D365" t="s">
        <v>104</v>
      </c>
      <c r="E365" t="s">
        <v>8</v>
      </c>
      <c r="F365" s="7">
        <v>45241</v>
      </c>
      <c r="G365" s="1">
        <v>44927</v>
      </c>
      <c r="H365" s="14">
        <v>304.08999999999997</v>
      </c>
      <c r="I365">
        <v>810</v>
      </c>
      <c r="J365" t="s">
        <v>88</v>
      </c>
      <c r="K365" t="s">
        <v>105</v>
      </c>
      <c r="L365" s="16" t="s">
        <v>95</v>
      </c>
    </row>
    <row r="366" spans="1:12" x14ac:dyDescent="0.35">
      <c r="A366" t="s">
        <v>8</v>
      </c>
      <c r="B366" t="s">
        <v>100</v>
      </c>
      <c r="C366" t="s">
        <v>95</v>
      </c>
      <c r="D366" t="s">
        <v>104</v>
      </c>
      <c r="E366" t="s">
        <v>8</v>
      </c>
      <c r="F366" s="7">
        <v>45241</v>
      </c>
      <c r="G366" s="1">
        <v>44927</v>
      </c>
      <c r="H366" s="14">
        <v>299.95</v>
      </c>
      <c r="I366">
        <v>1104</v>
      </c>
      <c r="J366" t="s">
        <v>88</v>
      </c>
      <c r="K366" t="s">
        <v>105</v>
      </c>
      <c r="L366" s="16" t="s">
        <v>95</v>
      </c>
    </row>
    <row r="367" spans="1:12" x14ac:dyDescent="0.35">
      <c r="A367" t="s">
        <v>8</v>
      </c>
      <c r="B367" t="s">
        <v>16</v>
      </c>
      <c r="C367" t="s">
        <v>85</v>
      </c>
      <c r="D367" t="s">
        <v>9</v>
      </c>
      <c r="E367" t="s">
        <v>11</v>
      </c>
      <c r="F367" s="7">
        <v>45248</v>
      </c>
      <c r="G367" s="1">
        <v>44927</v>
      </c>
      <c r="H367" s="14">
        <v>13939.809993000001</v>
      </c>
      <c r="I367">
        <v>2233752</v>
      </c>
      <c r="J367" t="s">
        <v>88</v>
      </c>
      <c r="K367" t="s">
        <v>87</v>
      </c>
      <c r="L367" s="16" t="s">
        <v>9</v>
      </c>
    </row>
    <row r="368" spans="1:12" x14ac:dyDescent="0.35">
      <c r="A368" t="s">
        <v>8</v>
      </c>
      <c r="B368" t="s">
        <v>16</v>
      </c>
      <c r="C368" t="s">
        <v>85</v>
      </c>
      <c r="D368" t="s">
        <v>9</v>
      </c>
      <c r="E368" t="s">
        <v>12</v>
      </c>
      <c r="F368" s="7">
        <v>45248</v>
      </c>
      <c r="G368" s="1">
        <v>44927</v>
      </c>
      <c r="H368" s="14">
        <v>10922.359995000001</v>
      </c>
      <c r="I368">
        <v>887014</v>
      </c>
      <c r="J368" t="s">
        <v>88</v>
      </c>
      <c r="K368" t="s">
        <v>87</v>
      </c>
      <c r="L368" s="16" t="s">
        <v>12</v>
      </c>
    </row>
    <row r="369" spans="1:12" x14ac:dyDescent="0.35">
      <c r="A369" t="s">
        <v>8</v>
      </c>
      <c r="B369" t="s">
        <v>92</v>
      </c>
      <c r="C369" t="s">
        <v>93</v>
      </c>
      <c r="D369" t="s">
        <v>10</v>
      </c>
      <c r="E369" t="s">
        <v>10</v>
      </c>
      <c r="F369" s="7">
        <v>45248</v>
      </c>
      <c r="G369" s="1">
        <v>44927</v>
      </c>
      <c r="H369" s="14">
        <v>6876.1881000000039</v>
      </c>
      <c r="I369">
        <v>2340511</v>
      </c>
      <c r="J369" t="s">
        <v>88</v>
      </c>
      <c r="K369" t="s">
        <v>94</v>
      </c>
      <c r="L369" s="16" t="s">
        <v>10</v>
      </c>
    </row>
    <row r="370" spans="1:12" x14ac:dyDescent="0.35">
      <c r="A370" t="s">
        <v>8</v>
      </c>
      <c r="B370" t="s">
        <v>92</v>
      </c>
      <c r="C370" t="s">
        <v>95</v>
      </c>
      <c r="D370" t="s">
        <v>10</v>
      </c>
      <c r="E370" t="s">
        <v>10</v>
      </c>
      <c r="F370" s="7">
        <v>45248</v>
      </c>
      <c r="G370" s="1">
        <v>44927</v>
      </c>
      <c r="H370" s="14">
        <v>13053.41</v>
      </c>
      <c r="I370">
        <v>1536531</v>
      </c>
      <c r="J370" t="s">
        <v>88</v>
      </c>
      <c r="K370" t="s">
        <v>96</v>
      </c>
      <c r="L370" s="16" t="s">
        <v>10</v>
      </c>
    </row>
    <row r="371" spans="1:12" x14ac:dyDescent="0.35">
      <c r="A371" t="s">
        <v>8</v>
      </c>
      <c r="B371" t="s">
        <v>84</v>
      </c>
      <c r="C371" t="s">
        <v>93</v>
      </c>
      <c r="D371" t="s">
        <v>10</v>
      </c>
      <c r="E371" t="s">
        <v>10</v>
      </c>
      <c r="F371" s="7">
        <v>45248</v>
      </c>
      <c r="G371" s="1">
        <v>44927</v>
      </c>
      <c r="H371" s="14">
        <v>27319.195</v>
      </c>
      <c r="I371">
        <v>7845991</v>
      </c>
      <c r="J371" t="s">
        <v>88</v>
      </c>
      <c r="K371" t="s">
        <v>94</v>
      </c>
      <c r="L371" s="16" t="s">
        <v>10</v>
      </c>
    </row>
    <row r="372" spans="1:12" x14ac:dyDescent="0.35">
      <c r="A372" t="s">
        <v>8</v>
      </c>
      <c r="B372" t="s">
        <v>84</v>
      </c>
      <c r="C372" t="s">
        <v>95</v>
      </c>
      <c r="D372" t="s">
        <v>10</v>
      </c>
      <c r="E372" t="s">
        <v>10</v>
      </c>
      <c r="F372" s="7">
        <v>45248</v>
      </c>
      <c r="G372" s="1">
        <v>44927</v>
      </c>
      <c r="H372" s="14">
        <v>3632.3299999999995</v>
      </c>
      <c r="I372">
        <v>944984</v>
      </c>
      <c r="J372" t="s">
        <v>88</v>
      </c>
      <c r="K372" t="s">
        <v>96</v>
      </c>
      <c r="L372" s="16" t="s">
        <v>10</v>
      </c>
    </row>
    <row r="373" spans="1:12" x14ac:dyDescent="0.35">
      <c r="A373" t="s">
        <v>8</v>
      </c>
      <c r="B373" t="s">
        <v>17</v>
      </c>
      <c r="C373" t="s">
        <v>93</v>
      </c>
      <c r="D373" t="s">
        <v>10</v>
      </c>
      <c r="E373" t="s">
        <v>10</v>
      </c>
      <c r="F373" s="7">
        <v>45248</v>
      </c>
      <c r="G373" s="1">
        <v>44927</v>
      </c>
      <c r="H373" s="14">
        <v>6245.5969000000023</v>
      </c>
      <c r="I373">
        <v>812067</v>
      </c>
      <c r="J373" t="s">
        <v>88</v>
      </c>
      <c r="K373" t="s">
        <v>94</v>
      </c>
      <c r="L373" s="16" t="s">
        <v>10</v>
      </c>
    </row>
    <row r="374" spans="1:12" x14ac:dyDescent="0.35">
      <c r="A374" t="s">
        <v>8</v>
      </c>
      <c r="B374" t="s">
        <v>17</v>
      </c>
      <c r="C374" t="s">
        <v>95</v>
      </c>
      <c r="D374" t="s">
        <v>10</v>
      </c>
      <c r="E374" t="s">
        <v>10</v>
      </c>
      <c r="F374" s="7">
        <v>45248</v>
      </c>
      <c r="G374" s="1">
        <v>44927</v>
      </c>
      <c r="H374" s="14">
        <v>11421.140000000001</v>
      </c>
      <c r="I374">
        <v>2070626</v>
      </c>
      <c r="J374" t="s">
        <v>88</v>
      </c>
      <c r="K374" t="s">
        <v>96</v>
      </c>
      <c r="L374" s="16" t="s">
        <v>10</v>
      </c>
    </row>
    <row r="375" spans="1:12" x14ac:dyDescent="0.35">
      <c r="A375" t="s">
        <v>8</v>
      </c>
      <c r="B375" t="s">
        <v>99</v>
      </c>
      <c r="C375" t="s">
        <v>93</v>
      </c>
      <c r="D375" t="s">
        <v>10</v>
      </c>
      <c r="E375" t="s">
        <v>10</v>
      </c>
      <c r="F375" s="7">
        <v>45248</v>
      </c>
      <c r="G375" s="1">
        <v>44927</v>
      </c>
      <c r="H375" s="14">
        <v>5854.1636000000008</v>
      </c>
      <c r="I375">
        <v>749629</v>
      </c>
      <c r="J375" t="s">
        <v>88</v>
      </c>
      <c r="K375" t="s">
        <v>94</v>
      </c>
      <c r="L375" s="16" t="s">
        <v>10</v>
      </c>
    </row>
    <row r="376" spans="1:12" x14ac:dyDescent="0.35">
      <c r="A376" t="s">
        <v>8</v>
      </c>
      <c r="B376" t="s">
        <v>99</v>
      </c>
      <c r="C376" t="s">
        <v>95</v>
      </c>
      <c r="D376" t="s">
        <v>10</v>
      </c>
      <c r="E376" t="s">
        <v>10</v>
      </c>
      <c r="F376" s="7">
        <v>45248</v>
      </c>
      <c r="G376" s="1">
        <v>44927</v>
      </c>
      <c r="H376" s="14">
        <v>17767.500000000007</v>
      </c>
      <c r="I376">
        <v>3147404</v>
      </c>
      <c r="J376" t="s">
        <v>88</v>
      </c>
      <c r="K376" t="s">
        <v>96</v>
      </c>
      <c r="L376" s="16" t="s">
        <v>10</v>
      </c>
    </row>
    <row r="377" spans="1:12" x14ac:dyDescent="0.35">
      <c r="A377" t="s">
        <v>8</v>
      </c>
      <c r="B377" t="s">
        <v>100</v>
      </c>
      <c r="C377" t="s">
        <v>93</v>
      </c>
      <c r="D377" t="s">
        <v>10</v>
      </c>
      <c r="E377" t="s">
        <v>10</v>
      </c>
      <c r="F377" s="7">
        <v>45248</v>
      </c>
      <c r="G377" s="1">
        <v>44927</v>
      </c>
      <c r="H377" s="14">
        <v>6545.3453000000027</v>
      </c>
      <c r="I377">
        <v>1416239</v>
      </c>
      <c r="J377" t="s">
        <v>88</v>
      </c>
      <c r="K377" t="s">
        <v>94</v>
      </c>
      <c r="L377" s="16" t="s">
        <v>10</v>
      </c>
    </row>
    <row r="378" spans="1:12" x14ac:dyDescent="0.35">
      <c r="A378" t="s">
        <v>8</v>
      </c>
      <c r="B378" t="s">
        <v>100</v>
      </c>
      <c r="C378" t="s">
        <v>95</v>
      </c>
      <c r="D378" t="s">
        <v>10</v>
      </c>
      <c r="E378" t="s">
        <v>10</v>
      </c>
      <c r="F378" s="7">
        <v>45248</v>
      </c>
      <c r="G378" s="1">
        <v>44927</v>
      </c>
      <c r="H378" s="14">
        <v>9637.909999999998</v>
      </c>
      <c r="I378">
        <v>2662615</v>
      </c>
      <c r="J378" t="s">
        <v>88</v>
      </c>
      <c r="K378" t="s">
        <v>96</v>
      </c>
      <c r="L378" s="16" t="s">
        <v>10</v>
      </c>
    </row>
    <row r="379" spans="1:12" x14ac:dyDescent="0.35">
      <c r="A379" t="s">
        <v>8</v>
      </c>
      <c r="B379" t="s">
        <v>21</v>
      </c>
      <c r="C379" t="s">
        <v>95</v>
      </c>
      <c r="D379" t="s">
        <v>10</v>
      </c>
      <c r="E379" t="s">
        <v>10</v>
      </c>
      <c r="F379" s="7">
        <v>45248</v>
      </c>
      <c r="G379" s="1">
        <v>44927</v>
      </c>
      <c r="H379" s="14">
        <v>1929.7500000000005</v>
      </c>
      <c r="I379">
        <v>333865</v>
      </c>
      <c r="J379" t="s">
        <v>88</v>
      </c>
      <c r="K379" t="s">
        <v>96</v>
      </c>
      <c r="L379" s="16" t="s">
        <v>10</v>
      </c>
    </row>
    <row r="380" spans="1:12" x14ac:dyDescent="0.35">
      <c r="A380" t="s">
        <v>8</v>
      </c>
      <c r="B380" t="s">
        <v>101</v>
      </c>
      <c r="C380" t="s">
        <v>93</v>
      </c>
      <c r="D380" t="s">
        <v>10</v>
      </c>
      <c r="E380" t="s">
        <v>10</v>
      </c>
      <c r="F380" s="7">
        <v>45248</v>
      </c>
      <c r="G380" s="1">
        <v>44927</v>
      </c>
      <c r="H380" s="14">
        <v>5451.5549999999976</v>
      </c>
      <c r="I380">
        <v>1484085</v>
      </c>
      <c r="J380" t="s">
        <v>88</v>
      </c>
      <c r="K380" t="s">
        <v>94</v>
      </c>
      <c r="L380" s="16" t="s">
        <v>10</v>
      </c>
    </row>
    <row r="381" spans="1:12" x14ac:dyDescent="0.35">
      <c r="A381" t="s">
        <v>8</v>
      </c>
      <c r="B381" t="s">
        <v>101</v>
      </c>
      <c r="C381" t="s">
        <v>95</v>
      </c>
      <c r="D381" t="s">
        <v>10</v>
      </c>
      <c r="E381" t="s">
        <v>10</v>
      </c>
      <c r="F381" s="7">
        <v>45248</v>
      </c>
      <c r="G381" s="1">
        <v>44927</v>
      </c>
      <c r="H381" s="14">
        <v>1857.8100000000002</v>
      </c>
      <c r="I381">
        <v>598579</v>
      </c>
      <c r="J381" t="s">
        <v>88</v>
      </c>
      <c r="K381" t="s">
        <v>96</v>
      </c>
      <c r="L381" s="16" t="s">
        <v>10</v>
      </c>
    </row>
    <row r="382" spans="1:12" x14ac:dyDescent="0.35">
      <c r="A382" t="s">
        <v>8</v>
      </c>
      <c r="B382" t="s">
        <v>16</v>
      </c>
      <c r="C382" t="s">
        <v>95</v>
      </c>
      <c r="D382" t="s">
        <v>10</v>
      </c>
      <c r="E382" t="s">
        <v>10</v>
      </c>
      <c r="F382" s="7">
        <v>45248</v>
      </c>
      <c r="G382" s="1">
        <v>44927</v>
      </c>
      <c r="H382" s="14">
        <v>320.93</v>
      </c>
      <c r="I382">
        <v>19443</v>
      </c>
      <c r="J382" t="s">
        <v>88</v>
      </c>
      <c r="K382" t="s">
        <v>96</v>
      </c>
      <c r="L382" s="16" t="s">
        <v>10</v>
      </c>
    </row>
    <row r="383" spans="1:12" x14ac:dyDescent="0.35">
      <c r="A383" t="s">
        <v>8</v>
      </c>
      <c r="B383" t="s">
        <v>103</v>
      </c>
      <c r="C383" t="s">
        <v>95</v>
      </c>
      <c r="D383" t="s">
        <v>104</v>
      </c>
      <c r="E383" t="s">
        <v>8</v>
      </c>
      <c r="F383" s="7">
        <v>45248</v>
      </c>
      <c r="G383" s="1">
        <v>44927</v>
      </c>
      <c r="H383" s="14">
        <v>123.50999999999999</v>
      </c>
      <c r="I383">
        <v>431</v>
      </c>
      <c r="J383" t="s">
        <v>88</v>
      </c>
      <c r="K383" t="s">
        <v>105</v>
      </c>
      <c r="L383" s="16" t="s">
        <v>95</v>
      </c>
    </row>
    <row r="384" spans="1:12" x14ac:dyDescent="0.35">
      <c r="A384" t="s">
        <v>8</v>
      </c>
      <c r="B384" t="s">
        <v>16</v>
      </c>
      <c r="C384" t="s">
        <v>95</v>
      </c>
      <c r="D384" t="s">
        <v>104</v>
      </c>
      <c r="E384" t="s">
        <v>8</v>
      </c>
      <c r="F384" s="7">
        <v>45248</v>
      </c>
      <c r="G384" s="1">
        <v>44927</v>
      </c>
      <c r="H384" s="14">
        <v>310.64</v>
      </c>
      <c r="I384">
        <v>742</v>
      </c>
      <c r="J384" t="s">
        <v>88</v>
      </c>
      <c r="K384" t="s">
        <v>105</v>
      </c>
      <c r="L384" s="16" t="s">
        <v>95</v>
      </c>
    </row>
    <row r="385" spans="1:12" x14ac:dyDescent="0.35">
      <c r="A385" t="s">
        <v>8</v>
      </c>
      <c r="B385" t="s">
        <v>84</v>
      </c>
      <c r="C385" t="s">
        <v>95</v>
      </c>
      <c r="D385" t="s">
        <v>104</v>
      </c>
      <c r="E385" t="s">
        <v>8</v>
      </c>
      <c r="F385" s="7">
        <v>45248</v>
      </c>
      <c r="G385" s="1">
        <v>44927</v>
      </c>
      <c r="H385" s="14">
        <v>10939.359999999999</v>
      </c>
      <c r="I385">
        <v>35079</v>
      </c>
      <c r="J385" t="s">
        <v>88</v>
      </c>
      <c r="K385" t="s">
        <v>105</v>
      </c>
      <c r="L385" s="16" t="s">
        <v>95</v>
      </c>
    </row>
    <row r="386" spans="1:12" x14ac:dyDescent="0.35">
      <c r="A386" t="s">
        <v>8</v>
      </c>
      <c r="B386" t="s">
        <v>17</v>
      </c>
      <c r="C386" t="s">
        <v>95</v>
      </c>
      <c r="D386" t="s">
        <v>104</v>
      </c>
      <c r="E386" t="s">
        <v>8</v>
      </c>
      <c r="F386" s="7">
        <v>45248</v>
      </c>
      <c r="G386" s="1">
        <v>44927</v>
      </c>
      <c r="H386" s="14">
        <v>229.60999999999996</v>
      </c>
      <c r="I386">
        <v>1342</v>
      </c>
      <c r="J386" t="s">
        <v>88</v>
      </c>
      <c r="K386" t="s">
        <v>105</v>
      </c>
      <c r="L386" s="16" t="s">
        <v>95</v>
      </c>
    </row>
    <row r="387" spans="1:12" x14ac:dyDescent="0.35">
      <c r="A387" t="s">
        <v>8</v>
      </c>
      <c r="B387" t="s">
        <v>106</v>
      </c>
      <c r="C387" t="s">
        <v>95</v>
      </c>
      <c r="D387" t="s">
        <v>104</v>
      </c>
      <c r="E387" t="s">
        <v>8</v>
      </c>
      <c r="F387" s="7">
        <v>45248</v>
      </c>
      <c r="G387" s="1">
        <v>44927</v>
      </c>
      <c r="H387" s="14">
        <v>25.89</v>
      </c>
      <c r="I387">
        <v>76</v>
      </c>
      <c r="J387" t="s">
        <v>88</v>
      </c>
      <c r="K387" t="s">
        <v>105</v>
      </c>
      <c r="L387" s="16" t="s">
        <v>95</v>
      </c>
    </row>
    <row r="388" spans="1:12" x14ac:dyDescent="0.35">
      <c r="A388" t="s">
        <v>8</v>
      </c>
      <c r="B388" t="s">
        <v>92</v>
      </c>
      <c r="C388" t="s">
        <v>95</v>
      </c>
      <c r="D388" t="s">
        <v>104</v>
      </c>
      <c r="E388" t="s">
        <v>8</v>
      </c>
      <c r="F388" s="7">
        <v>45248</v>
      </c>
      <c r="G388" s="1">
        <v>44927</v>
      </c>
      <c r="H388" s="14">
        <v>316.80000000000007</v>
      </c>
      <c r="I388">
        <v>1621</v>
      </c>
      <c r="J388" t="s">
        <v>88</v>
      </c>
      <c r="K388" t="s">
        <v>105</v>
      </c>
      <c r="L388" s="16" t="s">
        <v>95</v>
      </c>
    </row>
    <row r="389" spans="1:12" x14ac:dyDescent="0.35">
      <c r="A389" t="s">
        <v>8</v>
      </c>
      <c r="B389" t="s">
        <v>21</v>
      </c>
      <c r="C389" t="s">
        <v>95</v>
      </c>
      <c r="D389" t="s">
        <v>104</v>
      </c>
      <c r="E389" t="s">
        <v>8</v>
      </c>
      <c r="F389" s="7">
        <v>45248</v>
      </c>
      <c r="G389" s="1">
        <v>44927</v>
      </c>
      <c r="H389" s="14">
        <v>253.53</v>
      </c>
      <c r="I389">
        <v>997</v>
      </c>
      <c r="J389" t="s">
        <v>88</v>
      </c>
      <c r="K389" t="s">
        <v>105</v>
      </c>
      <c r="L389" s="16" t="s">
        <v>95</v>
      </c>
    </row>
    <row r="390" spans="1:12" x14ac:dyDescent="0.35">
      <c r="A390" t="s">
        <v>8</v>
      </c>
      <c r="B390" t="s">
        <v>101</v>
      </c>
      <c r="C390" t="s">
        <v>95</v>
      </c>
      <c r="D390" t="s">
        <v>104</v>
      </c>
      <c r="E390" t="s">
        <v>8</v>
      </c>
      <c r="F390" s="7">
        <v>45248</v>
      </c>
      <c r="G390" s="1">
        <v>44927</v>
      </c>
      <c r="H390" s="14">
        <v>187.76</v>
      </c>
      <c r="I390">
        <v>666</v>
      </c>
      <c r="J390" t="s">
        <v>88</v>
      </c>
      <c r="K390" t="s">
        <v>105</v>
      </c>
      <c r="L390" s="16" t="s">
        <v>95</v>
      </c>
    </row>
    <row r="391" spans="1:12" x14ac:dyDescent="0.35">
      <c r="A391" t="s">
        <v>8</v>
      </c>
      <c r="B391" t="s">
        <v>99</v>
      </c>
      <c r="C391" t="s">
        <v>95</v>
      </c>
      <c r="D391" t="s">
        <v>104</v>
      </c>
      <c r="E391" t="s">
        <v>8</v>
      </c>
      <c r="F391" s="7">
        <v>45248</v>
      </c>
      <c r="G391" s="1">
        <v>44927</v>
      </c>
      <c r="H391" s="14">
        <v>194.46000000000004</v>
      </c>
      <c r="I391">
        <v>720</v>
      </c>
      <c r="J391" t="s">
        <v>88</v>
      </c>
      <c r="K391" t="s">
        <v>105</v>
      </c>
      <c r="L391" s="16" t="s">
        <v>95</v>
      </c>
    </row>
    <row r="392" spans="1:12" x14ac:dyDescent="0.35">
      <c r="A392" t="s">
        <v>8</v>
      </c>
      <c r="B392" t="s">
        <v>100</v>
      </c>
      <c r="C392" t="s">
        <v>95</v>
      </c>
      <c r="D392" t="s">
        <v>104</v>
      </c>
      <c r="E392" t="s">
        <v>8</v>
      </c>
      <c r="F392" s="7">
        <v>45248</v>
      </c>
      <c r="G392" s="1">
        <v>44927</v>
      </c>
      <c r="H392" s="14">
        <v>287.12</v>
      </c>
      <c r="I392">
        <v>1048</v>
      </c>
      <c r="J392" t="s">
        <v>88</v>
      </c>
      <c r="K392" t="s">
        <v>105</v>
      </c>
      <c r="L392" s="16" t="s">
        <v>95</v>
      </c>
    </row>
    <row r="393" spans="1:12" x14ac:dyDescent="0.35">
      <c r="A393" t="s">
        <v>8</v>
      </c>
      <c r="B393" t="s">
        <v>16</v>
      </c>
      <c r="C393" t="s">
        <v>85</v>
      </c>
      <c r="D393" t="s">
        <v>9</v>
      </c>
      <c r="E393" t="s">
        <v>11</v>
      </c>
      <c r="F393" s="7">
        <v>45255</v>
      </c>
      <c r="G393" s="1">
        <v>44927</v>
      </c>
      <c r="H393" s="14">
        <v>28949.560006</v>
      </c>
      <c r="I393">
        <v>4666059</v>
      </c>
      <c r="J393" t="s">
        <v>88</v>
      </c>
      <c r="K393" t="s">
        <v>87</v>
      </c>
      <c r="L393" s="16" t="s">
        <v>9</v>
      </c>
    </row>
    <row r="394" spans="1:12" x14ac:dyDescent="0.35">
      <c r="A394" t="s">
        <v>8</v>
      </c>
      <c r="B394" t="s">
        <v>16</v>
      </c>
      <c r="C394" t="s">
        <v>85</v>
      </c>
      <c r="D394" t="s">
        <v>9</v>
      </c>
      <c r="E394" t="s">
        <v>12</v>
      </c>
      <c r="F394" s="7">
        <v>45255</v>
      </c>
      <c r="G394" s="1">
        <v>44927</v>
      </c>
      <c r="H394" s="14">
        <v>22008.550004000004</v>
      </c>
      <c r="I394">
        <v>2108359</v>
      </c>
      <c r="J394" t="s">
        <v>88</v>
      </c>
      <c r="K394" t="s">
        <v>87</v>
      </c>
      <c r="L394" s="16" t="s">
        <v>12</v>
      </c>
    </row>
    <row r="395" spans="1:12" x14ac:dyDescent="0.35">
      <c r="A395" t="s">
        <v>8</v>
      </c>
      <c r="B395" t="s">
        <v>92</v>
      </c>
      <c r="C395" t="s">
        <v>93</v>
      </c>
      <c r="D395" t="s">
        <v>10</v>
      </c>
      <c r="E395" t="s">
        <v>10</v>
      </c>
      <c r="F395" s="7">
        <v>45255</v>
      </c>
      <c r="G395" s="1">
        <v>44927</v>
      </c>
      <c r="H395" s="14">
        <v>6291.6486000000004</v>
      </c>
      <c r="I395">
        <v>2075051</v>
      </c>
      <c r="J395" t="s">
        <v>88</v>
      </c>
      <c r="K395" t="s">
        <v>94</v>
      </c>
      <c r="L395" s="16" t="s">
        <v>10</v>
      </c>
    </row>
    <row r="396" spans="1:12" x14ac:dyDescent="0.35">
      <c r="A396" t="s">
        <v>8</v>
      </c>
      <c r="B396" t="s">
        <v>92</v>
      </c>
      <c r="C396" t="s">
        <v>95</v>
      </c>
      <c r="D396" t="s">
        <v>10</v>
      </c>
      <c r="E396" t="s">
        <v>10</v>
      </c>
      <c r="F396" s="7">
        <v>45255</v>
      </c>
      <c r="G396" s="1">
        <v>44927</v>
      </c>
      <c r="H396" s="14">
        <v>16776.990000000002</v>
      </c>
      <c r="I396">
        <v>2916655</v>
      </c>
      <c r="J396" t="s">
        <v>88</v>
      </c>
      <c r="K396" t="s">
        <v>96</v>
      </c>
      <c r="L396" s="16" t="s">
        <v>10</v>
      </c>
    </row>
    <row r="397" spans="1:12" x14ac:dyDescent="0.35">
      <c r="A397" t="s">
        <v>8</v>
      </c>
      <c r="B397" t="s">
        <v>84</v>
      </c>
      <c r="C397" t="s">
        <v>93</v>
      </c>
      <c r="D397" t="s">
        <v>10</v>
      </c>
      <c r="E397" t="s">
        <v>10</v>
      </c>
      <c r="F397" s="7">
        <v>45255</v>
      </c>
      <c r="G397" s="1">
        <v>44927</v>
      </c>
      <c r="H397" s="14">
        <v>29288.523599999997</v>
      </c>
      <c r="I397">
        <v>6971585</v>
      </c>
      <c r="J397" t="s">
        <v>88</v>
      </c>
      <c r="K397" t="s">
        <v>94</v>
      </c>
      <c r="L397" s="16" t="s">
        <v>10</v>
      </c>
    </row>
    <row r="398" spans="1:12" x14ac:dyDescent="0.35">
      <c r="A398" t="s">
        <v>8</v>
      </c>
      <c r="B398" t="s">
        <v>84</v>
      </c>
      <c r="C398" t="s">
        <v>95</v>
      </c>
      <c r="D398" t="s">
        <v>10</v>
      </c>
      <c r="E398" t="s">
        <v>10</v>
      </c>
      <c r="F398" s="7">
        <v>45255</v>
      </c>
      <c r="G398" s="1">
        <v>44927</v>
      </c>
      <c r="H398" s="14">
        <v>33483.25999999998</v>
      </c>
      <c r="I398">
        <v>3741647</v>
      </c>
      <c r="J398" t="s">
        <v>88</v>
      </c>
      <c r="K398" t="s">
        <v>96</v>
      </c>
      <c r="L398" s="16" t="s">
        <v>10</v>
      </c>
    </row>
    <row r="399" spans="1:12" x14ac:dyDescent="0.35">
      <c r="A399" t="s">
        <v>8</v>
      </c>
      <c r="B399" t="s">
        <v>17</v>
      </c>
      <c r="C399" t="s">
        <v>93</v>
      </c>
      <c r="D399" t="s">
        <v>10</v>
      </c>
      <c r="E399" t="s">
        <v>10</v>
      </c>
      <c r="F399" s="7">
        <v>45255</v>
      </c>
      <c r="G399" s="1">
        <v>44927</v>
      </c>
      <c r="H399" s="14">
        <v>5834.1454000000022</v>
      </c>
      <c r="I399">
        <v>746990</v>
      </c>
      <c r="J399" t="s">
        <v>88</v>
      </c>
      <c r="K399" t="s">
        <v>94</v>
      </c>
      <c r="L399" s="16" t="s">
        <v>10</v>
      </c>
    </row>
    <row r="400" spans="1:12" x14ac:dyDescent="0.35">
      <c r="A400" t="s">
        <v>8</v>
      </c>
      <c r="B400" t="s">
        <v>17</v>
      </c>
      <c r="C400" t="s">
        <v>95</v>
      </c>
      <c r="D400" t="s">
        <v>10</v>
      </c>
      <c r="E400" t="s">
        <v>10</v>
      </c>
      <c r="F400" s="7">
        <v>45255</v>
      </c>
      <c r="G400" s="1">
        <v>44927</v>
      </c>
      <c r="H400" s="14">
        <v>27711.41</v>
      </c>
      <c r="I400">
        <v>4818433</v>
      </c>
      <c r="J400" t="s">
        <v>88</v>
      </c>
      <c r="K400" t="s">
        <v>96</v>
      </c>
      <c r="L400" s="16" t="s">
        <v>10</v>
      </c>
    </row>
    <row r="401" spans="1:12" x14ac:dyDescent="0.35">
      <c r="A401" t="s">
        <v>8</v>
      </c>
      <c r="B401" t="s">
        <v>99</v>
      </c>
      <c r="C401" t="s">
        <v>93</v>
      </c>
      <c r="D401" t="s">
        <v>10</v>
      </c>
      <c r="E401" t="s">
        <v>10</v>
      </c>
      <c r="F401" s="7">
        <v>45255</v>
      </c>
      <c r="G401" s="1">
        <v>44927</v>
      </c>
      <c r="H401" s="14">
        <v>6900.4465000000009</v>
      </c>
      <c r="I401">
        <v>756932</v>
      </c>
      <c r="J401" t="s">
        <v>88</v>
      </c>
      <c r="K401" t="s">
        <v>94</v>
      </c>
      <c r="L401" s="16" t="s">
        <v>10</v>
      </c>
    </row>
    <row r="402" spans="1:12" x14ac:dyDescent="0.35">
      <c r="A402" t="s">
        <v>8</v>
      </c>
      <c r="B402" t="s">
        <v>99</v>
      </c>
      <c r="C402" t="s">
        <v>95</v>
      </c>
      <c r="D402" t="s">
        <v>10</v>
      </c>
      <c r="E402" t="s">
        <v>10</v>
      </c>
      <c r="F402" s="7">
        <v>45255</v>
      </c>
      <c r="G402" s="1">
        <v>44927</v>
      </c>
      <c r="H402" s="14">
        <v>36047.94000000001</v>
      </c>
      <c r="I402">
        <v>5751637</v>
      </c>
      <c r="J402" t="s">
        <v>88</v>
      </c>
      <c r="K402" t="s">
        <v>96</v>
      </c>
      <c r="L402" s="16" t="s">
        <v>10</v>
      </c>
    </row>
    <row r="403" spans="1:12" x14ac:dyDescent="0.35">
      <c r="A403" t="s">
        <v>8</v>
      </c>
      <c r="B403" t="s">
        <v>100</v>
      </c>
      <c r="C403" t="s">
        <v>93</v>
      </c>
      <c r="D403" t="s">
        <v>10</v>
      </c>
      <c r="E403" t="s">
        <v>10</v>
      </c>
      <c r="F403" s="7">
        <v>45255</v>
      </c>
      <c r="G403" s="1">
        <v>44927</v>
      </c>
      <c r="H403" s="14">
        <v>6232.3820999999989</v>
      </c>
      <c r="I403">
        <v>1647049</v>
      </c>
      <c r="J403" t="s">
        <v>88</v>
      </c>
      <c r="K403" t="s">
        <v>94</v>
      </c>
      <c r="L403" s="16" t="s">
        <v>10</v>
      </c>
    </row>
    <row r="404" spans="1:12" x14ac:dyDescent="0.35">
      <c r="A404" t="s">
        <v>8</v>
      </c>
      <c r="B404" t="s">
        <v>100</v>
      </c>
      <c r="C404" t="s">
        <v>95</v>
      </c>
      <c r="D404" t="s">
        <v>10</v>
      </c>
      <c r="E404" t="s">
        <v>10</v>
      </c>
      <c r="F404" s="7">
        <v>45255</v>
      </c>
      <c r="G404" s="1">
        <v>44927</v>
      </c>
      <c r="H404" s="14">
        <v>17396.099999999995</v>
      </c>
      <c r="I404">
        <v>3611993</v>
      </c>
      <c r="J404" t="s">
        <v>88</v>
      </c>
      <c r="K404" t="s">
        <v>96</v>
      </c>
      <c r="L404" s="16" t="s">
        <v>10</v>
      </c>
    </row>
    <row r="405" spans="1:12" x14ac:dyDescent="0.35">
      <c r="A405" t="s">
        <v>8</v>
      </c>
      <c r="B405" t="s">
        <v>21</v>
      </c>
      <c r="C405" t="s">
        <v>95</v>
      </c>
      <c r="D405" t="s">
        <v>10</v>
      </c>
      <c r="E405" t="s">
        <v>10</v>
      </c>
      <c r="F405" s="7">
        <v>45255</v>
      </c>
      <c r="G405" s="1">
        <v>44927</v>
      </c>
      <c r="H405" s="14">
        <v>2718.3199999999993</v>
      </c>
      <c r="I405">
        <v>393806</v>
      </c>
      <c r="J405" t="s">
        <v>88</v>
      </c>
      <c r="K405" t="s">
        <v>96</v>
      </c>
      <c r="L405" s="16" t="s">
        <v>10</v>
      </c>
    </row>
    <row r="406" spans="1:12" x14ac:dyDescent="0.35">
      <c r="A406" t="s">
        <v>8</v>
      </c>
      <c r="B406" t="s">
        <v>101</v>
      </c>
      <c r="C406" t="s">
        <v>93</v>
      </c>
      <c r="D406" t="s">
        <v>10</v>
      </c>
      <c r="E406" t="s">
        <v>10</v>
      </c>
      <c r="F406" s="7">
        <v>45255</v>
      </c>
      <c r="G406" s="1">
        <v>44927</v>
      </c>
      <c r="H406" s="14">
        <v>5480.5802999999987</v>
      </c>
      <c r="I406">
        <v>1624262</v>
      </c>
      <c r="J406" t="s">
        <v>88</v>
      </c>
      <c r="K406" t="s">
        <v>94</v>
      </c>
      <c r="L406" s="16" t="s">
        <v>10</v>
      </c>
    </row>
    <row r="407" spans="1:12" x14ac:dyDescent="0.35">
      <c r="A407" t="s">
        <v>8</v>
      </c>
      <c r="B407" t="s">
        <v>101</v>
      </c>
      <c r="C407" t="s">
        <v>95</v>
      </c>
      <c r="D407" t="s">
        <v>10</v>
      </c>
      <c r="E407" t="s">
        <v>10</v>
      </c>
      <c r="F407" s="7">
        <v>45255</v>
      </c>
      <c r="G407" s="1">
        <v>44927</v>
      </c>
      <c r="H407" s="14">
        <v>3679.1300000000024</v>
      </c>
      <c r="I407">
        <v>1018566</v>
      </c>
      <c r="J407" t="s">
        <v>88</v>
      </c>
      <c r="K407" t="s">
        <v>96</v>
      </c>
      <c r="L407" s="16" t="s">
        <v>10</v>
      </c>
    </row>
    <row r="408" spans="1:12" x14ac:dyDescent="0.35">
      <c r="A408" t="s">
        <v>8</v>
      </c>
      <c r="B408" t="s">
        <v>16</v>
      </c>
      <c r="C408" t="s">
        <v>95</v>
      </c>
      <c r="D408" t="s">
        <v>10</v>
      </c>
      <c r="E408" t="s">
        <v>10</v>
      </c>
      <c r="F408" s="7">
        <v>45255</v>
      </c>
      <c r="G408" s="1">
        <v>44927</v>
      </c>
      <c r="H408" s="14">
        <v>5082.62</v>
      </c>
      <c r="I408">
        <v>407408</v>
      </c>
      <c r="J408" t="s">
        <v>88</v>
      </c>
      <c r="K408" t="s">
        <v>96</v>
      </c>
      <c r="L408" s="16" t="s">
        <v>10</v>
      </c>
    </row>
    <row r="409" spans="1:12" x14ac:dyDescent="0.35">
      <c r="A409" t="s">
        <v>8</v>
      </c>
      <c r="B409" t="s">
        <v>103</v>
      </c>
      <c r="C409" t="s">
        <v>95</v>
      </c>
      <c r="D409" t="s">
        <v>104</v>
      </c>
      <c r="E409" t="s">
        <v>8</v>
      </c>
      <c r="F409" s="7">
        <v>45255</v>
      </c>
      <c r="G409" s="1">
        <v>44927</v>
      </c>
      <c r="H409" s="14">
        <v>141.13999999999999</v>
      </c>
      <c r="I409">
        <v>412</v>
      </c>
      <c r="J409" t="s">
        <v>88</v>
      </c>
      <c r="K409" t="s">
        <v>105</v>
      </c>
      <c r="L409" s="16" t="s">
        <v>95</v>
      </c>
    </row>
    <row r="410" spans="1:12" x14ac:dyDescent="0.35">
      <c r="A410" t="s">
        <v>8</v>
      </c>
      <c r="B410" t="s">
        <v>16</v>
      </c>
      <c r="C410" t="s">
        <v>95</v>
      </c>
      <c r="D410" t="s">
        <v>104</v>
      </c>
      <c r="E410" t="s">
        <v>8</v>
      </c>
      <c r="F410" s="7">
        <v>45255</v>
      </c>
      <c r="G410" s="1">
        <v>44927</v>
      </c>
      <c r="H410" s="14">
        <v>223.60999999999999</v>
      </c>
      <c r="I410">
        <v>867</v>
      </c>
      <c r="J410" t="s">
        <v>88</v>
      </c>
      <c r="K410" t="s">
        <v>105</v>
      </c>
      <c r="L410" s="16" t="s">
        <v>95</v>
      </c>
    </row>
    <row r="411" spans="1:12" x14ac:dyDescent="0.35">
      <c r="A411" t="s">
        <v>8</v>
      </c>
      <c r="B411" t="s">
        <v>84</v>
      </c>
      <c r="C411" t="s">
        <v>95</v>
      </c>
      <c r="D411" t="s">
        <v>104</v>
      </c>
      <c r="E411" t="s">
        <v>8</v>
      </c>
      <c r="F411" s="7">
        <v>45255</v>
      </c>
      <c r="G411" s="1">
        <v>44927</v>
      </c>
      <c r="H411" s="14">
        <v>13519.650000000001</v>
      </c>
      <c r="I411">
        <v>40639</v>
      </c>
      <c r="J411" t="s">
        <v>88</v>
      </c>
      <c r="K411" t="s">
        <v>105</v>
      </c>
      <c r="L411" s="16" t="s">
        <v>95</v>
      </c>
    </row>
    <row r="412" spans="1:12" x14ac:dyDescent="0.35">
      <c r="A412" t="s">
        <v>8</v>
      </c>
      <c r="B412" t="s">
        <v>17</v>
      </c>
      <c r="C412" t="s">
        <v>95</v>
      </c>
      <c r="D412" t="s">
        <v>104</v>
      </c>
      <c r="E412" t="s">
        <v>8</v>
      </c>
      <c r="F412" s="7">
        <v>45255</v>
      </c>
      <c r="G412" s="1">
        <v>44927</v>
      </c>
      <c r="H412" s="14">
        <v>182.08</v>
      </c>
      <c r="I412">
        <v>1061</v>
      </c>
      <c r="J412" t="s">
        <v>88</v>
      </c>
      <c r="K412" t="s">
        <v>105</v>
      </c>
      <c r="L412" s="16" t="s">
        <v>95</v>
      </c>
    </row>
    <row r="413" spans="1:12" x14ac:dyDescent="0.35">
      <c r="A413" t="s">
        <v>8</v>
      </c>
      <c r="B413" t="s">
        <v>106</v>
      </c>
      <c r="C413" t="s">
        <v>95</v>
      </c>
      <c r="D413" t="s">
        <v>104</v>
      </c>
      <c r="E413" t="s">
        <v>8</v>
      </c>
      <c r="F413" s="7">
        <v>45255</v>
      </c>
      <c r="G413" s="1">
        <v>44927</v>
      </c>
      <c r="H413" s="14">
        <v>22.259999999999998</v>
      </c>
      <c r="I413">
        <v>89</v>
      </c>
      <c r="J413" t="s">
        <v>88</v>
      </c>
      <c r="K413" t="s">
        <v>105</v>
      </c>
      <c r="L413" s="16" t="s">
        <v>95</v>
      </c>
    </row>
    <row r="414" spans="1:12" x14ac:dyDescent="0.35">
      <c r="A414" t="s">
        <v>8</v>
      </c>
      <c r="B414" t="s">
        <v>92</v>
      </c>
      <c r="C414" t="s">
        <v>95</v>
      </c>
      <c r="D414" t="s">
        <v>104</v>
      </c>
      <c r="E414" t="s">
        <v>8</v>
      </c>
      <c r="F414" s="7">
        <v>45255</v>
      </c>
      <c r="G414" s="1">
        <v>44927</v>
      </c>
      <c r="H414" s="14">
        <v>316.3</v>
      </c>
      <c r="I414">
        <v>1649</v>
      </c>
      <c r="J414" t="s">
        <v>88</v>
      </c>
      <c r="K414" t="s">
        <v>105</v>
      </c>
      <c r="L414" s="16" t="s">
        <v>95</v>
      </c>
    </row>
    <row r="415" spans="1:12" x14ac:dyDescent="0.35">
      <c r="A415" t="s">
        <v>8</v>
      </c>
      <c r="B415" t="s">
        <v>21</v>
      </c>
      <c r="C415" t="s">
        <v>95</v>
      </c>
      <c r="D415" t="s">
        <v>104</v>
      </c>
      <c r="E415" t="s">
        <v>8</v>
      </c>
      <c r="F415" s="7">
        <v>45255</v>
      </c>
      <c r="G415" s="1">
        <v>44927</v>
      </c>
      <c r="H415" s="14">
        <v>262.56</v>
      </c>
      <c r="I415">
        <v>963</v>
      </c>
      <c r="J415" t="s">
        <v>88</v>
      </c>
      <c r="K415" t="s">
        <v>105</v>
      </c>
      <c r="L415" s="16" t="s">
        <v>95</v>
      </c>
    </row>
    <row r="416" spans="1:12" x14ac:dyDescent="0.35">
      <c r="A416" t="s">
        <v>8</v>
      </c>
      <c r="B416" t="s">
        <v>101</v>
      </c>
      <c r="C416" t="s">
        <v>95</v>
      </c>
      <c r="D416" t="s">
        <v>104</v>
      </c>
      <c r="E416" t="s">
        <v>8</v>
      </c>
      <c r="F416" s="7">
        <v>45255</v>
      </c>
      <c r="G416" s="1">
        <v>44927</v>
      </c>
      <c r="H416" s="14">
        <v>155.10000000000002</v>
      </c>
      <c r="I416">
        <v>697</v>
      </c>
      <c r="J416" t="s">
        <v>88</v>
      </c>
      <c r="K416" t="s">
        <v>105</v>
      </c>
      <c r="L416" s="16" t="s">
        <v>95</v>
      </c>
    </row>
    <row r="417" spans="1:12" x14ac:dyDescent="0.35">
      <c r="A417" t="s">
        <v>8</v>
      </c>
      <c r="B417" t="s">
        <v>99</v>
      </c>
      <c r="C417" t="s">
        <v>95</v>
      </c>
      <c r="D417" t="s">
        <v>104</v>
      </c>
      <c r="E417" t="s">
        <v>8</v>
      </c>
      <c r="F417" s="7">
        <v>45255</v>
      </c>
      <c r="G417" s="1">
        <v>44927</v>
      </c>
      <c r="H417" s="14">
        <v>159.43</v>
      </c>
      <c r="I417">
        <v>776</v>
      </c>
      <c r="J417" t="s">
        <v>88</v>
      </c>
      <c r="K417" t="s">
        <v>105</v>
      </c>
      <c r="L417" s="16" t="s">
        <v>95</v>
      </c>
    </row>
    <row r="418" spans="1:12" x14ac:dyDescent="0.35">
      <c r="A418" t="s">
        <v>8</v>
      </c>
      <c r="B418" t="s">
        <v>100</v>
      </c>
      <c r="C418" t="s">
        <v>95</v>
      </c>
      <c r="D418" t="s">
        <v>104</v>
      </c>
      <c r="E418" t="s">
        <v>8</v>
      </c>
      <c r="F418" s="7">
        <v>45255</v>
      </c>
      <c r="G418" s="1">
        <v>44927</v>
      </c>
      <c r="H418" s="14">
        <v>260.73</v>
      </c>
      <c r="I418">
        <v>1341</v>
      </c>
      <c r="J418" t="s">
        <v>88</v>
      </c>
      <c r="K418" t="s">
        <v>105</v>
      </c>
      <c r="L418" s="16" t="s">
        <v>95</v>
      </c>
    </row>
    <row r="419" spans="1:12" x14ac:dyDescent="0.35">
      <c r="A419" t="s">
        <v>8</v>
      </c>
      <c r="B419" t="s">
        <v>16</v>
      </c>
      <c r="C419" t="s">
        <v>85</v>
      </c>
      <c r="D419" t="s">
        <v>9</v>
      </c>
      <c r="E419" t="s">
        <v>11</v>
      </c>
      <c r="F419" s="7">
        <v>45262</v>
      </c>
      <c r="G419" s="1">
        <v>44927</v>
      </c>
      <c r="H419" s="14">
        <v>29383.910003000001</v>
      </c>
      <c r="I419">
        <v>4657170</v>
      </c>
      <c r="J419" t="s">
        <v>88</v>
      </c>
      <c r="K419" t="s">
        <v>87</v>
      </c>
      <c r="L419" s="16" t="s">
        <v>9</v>
      </c>
    </row>
    <row r="420" spans="1:12" x14ac:dyDescent="0.35">
      <c r="A420" t="s">
        <v>8</v>
      </c>
      <c r="B420" t="s">
        <v>16</v>
      </c>
      <c r="C420" t="s">
        <v>85</v>
      </c>
      <c r="D420" t="s">
        <v>9</v>
      </c>
      <c r="E420" t="s">
        <v>12</v>
      </c>
      <c r="F420" s="7">
        <v>45262</v>
      </c>
      <c r="G420" s="1">
        <v>44927</v>
      </c>
      <c r="H420" s="14">
        <v>22200.819997000002</v>
      </c>
      <c r="I420">
        <v>1976115</v>
      </c>
      <c r="J420" t="s">
        <v>88</v>
      </c>
      <c r="K420" t="s">
        <v>87</v>
      </c>
      <c r="L420" s="16" t="s">
        <v>12</v>
      </c>
    </row>
    <row r="421" spans="1:12" x14ac:dyDescent="0.35">
      <c r="A421" t="s">
        <v>8</v>
      </c>
      <c r="B421" t="s">
        <v>92</v>
      </c>
      <c r="C421" t="s">
        <v>93</v>
      </c>
      <c r="D421" t="s">
        <v>10</v>
      </c>
      <c r="E421" t="s">
        <v>10</v>
      </c>
      <c r="F421" s="7">
        <v>45262</v>
      </c>
      <c r="G421" s="1">
        <v>44927</v>
      </c>
      <c r="H421" s="14">
        <v>2846.0829000000003</v>
      </c>
      <c r="I421">
        <v>1031458</v>
      </c>
      <c r="J421" t="s">
        <v>88</v>
      </c>
      <c r="K421" t="s">
        <v>94</v>
      </c>
      <c r="L421" s="16" t="s">
        <v>10</v>
      </c>
    </row>
    <row r="422" spans="1:12" x14ac:dyDescent="0.35">
      <c r="A422" t="s">
        <v>8</v>
      </c>
      <c r="B422" t="s">
        <v>92</v>
      </c>
      <c r="C422" t="s">
        <v>95</v>
      </c>
      <c r="D422" t="s">
        <v>10</v>
      </c>
      <c r="E422" t="s">
        <v>10</v>
      </c>
      <c r="F422" s="7">
        <v>45262</v>
      </c>
      <c r="G422" s="1">
        <v>44927</v>
      </c>
      <c r="H422" s="14">
        <v>24608.710000000003</v>
      </c>
      <c r="I422">
        <v>2479037</v>
      </c>
      <c r="J422" t="s">
        <v>88</v>
      </c>
      <c r="K422" t="s">
        <v>96</v>
      </c>
      <c r="L422" s="16" t="s">
        <v>10</v>
      </c>
    </row>
    <row r="423" spans="1:12" x14ac:dyDescent="0.35">
      <c r="A423" t="s">
        <v>8</v>
      </c>
      <c r="B423" t="s">
        <v>84</v>
      </c>
      <c r="C423" t="s">
        <v>93</v>
      </c>
      <c r="D423" t="s">
        <v>10</v>
      </c>
      <c r="E423" t="s">
        <v>10</v>
      </c>
      <c r="F423" s="7">
        <v>45262</v>
      </c>
      <c r="G423" s="1">
        <v>44927</v>
      </c>
      <c r="H423" s="14">
        <v>41230.403100000032</v>
      </c>
      <c r="I423">
        <v>11489214</v>
      </c>
      <c r="J423" t="s">
        <v>88</v>
      </c>
      <c r="K423" t="s">
        <v>94</v>
      </c>
      <c r="L423" s="16" t="s">
        <v>10</v>
      </c>
    </row>
    <row r="424" spans="1:12" x14ac:dyDescent="0.35">
      <c r="A424" t="s">
        <v>8</v>
      </c>
      <c r="B424" t="s">
        <v>84</v>
      </c>
      <c r="C424" t="s">
        <v>95</v>
      </c>
      <c r="D424" t="s">
        <v>10</v>
      </c>
      <c r="E424" t="s">
        <v>10</v>
      </c>
      <c r="F424" s="7">
        <v>45262</v>
      </c>
      <c r="G424" s="1">
        <v>44927</v>
      </c>
      <c r="H424" s="14">
        <v>11963.440000000002</v>
      </c>
      <c r="I424">
        <v>2234271</v>
      </c>
      <c r="J424" t="s">
        <v>88</v>
      </c>
      <c r="K424" t="s">
        <v>96</v>
      </c>
      <c r="L424" s="16" t="s">
        <v>10</v>
      </c>
    </row>
    <row r="425" spans="1:12" x14ac:dyDescent="0.35">
      <c r="A425" t="s">
        <v>8</v>
      </c>
      <c r="B425" t="s">
        <v>17</v>
      </c>
      <c r="C425" t="s">
        <v>93</v>
      </c>
      <c r="D425" t="s">
        <v>10</v>
      </c>
      <c r="E425" t="s">
        <v>10</v>
      </c>
      <c r="F425" s="7">
        <v>45262</v>
      </c>
      <c r="G425" s="1">
        <v>44927</v>
      </c>
      <c r="H425" s="14">
        <v>4090.4277999999999</v>
      </c>
      <c r="I425">
        <v>501122</v>
      </c>
      <c r="J425" t="s">
        <v>88</v>
      </c>
      <c r="K425" t="s">
        <v>94</v>
      </c>
      <c r="L425" s="16" t="s">
        <v>10</v>
      </c>
    </row>
    <row r="426" spans="1:12" x14ac:dyDescent="0.35">
      <c r="A426" t="s">
        <v>8</v>
      </c>
      <c r="B426" t="s">
        <v>17</v>
      </c>
      <c r="C426" t="s">
        <v>95</v>
      </c>
      <c r="D426" t="s">
        <v>10</v>
      </c>
      <c r="E426" t="s">
        <v>10</v>
      </c>
      <c r="F426" s="7">
        <v>45262</v>
      </c>
      <c r="G426" s="1">
        <v>44927</v>
      </c>
      <c r="H426" s="14">
        <v>20340.710000000017</v>
      </c>
      <c r="I426">
        <v>2791079</v>
      </c>
      <c r="J426" t="s">
        <v>88</v>
      </c>
      <c r="K426" t="s">
        <v>96</v>
      </c>
      <c r="L426" s="16" t="s">
        <v>10</v>
      </c>
    </row>
    <row r="427" spans="1:12" x14ac:dyDescent="0.35">
      <c r="A427" t="s">
        <v>8</v>
      </c>
      <c r="B427" t="s">
        <v>99</v>
      </c>
      <c r="C427" t="s">
        <v>93</v>
      </c>
      <c r="D427" t="s">
        <v>10</v>
      </c>
      <c r="E427" t="s">
        <v>10</v>
      </c>
      <c r="F427" s="7">
        <v>45262</v>
      </c>
      <c r="G427" s="1">
        <v>44927</v>
      </c>
      <c r="H427" s="14">
        <v>4389.4712999999983</v>
      </c>
      <c r="I427">
        <v>492355</v>
      </c>
      <c r="J427" t="s">
        <v>88</v>
      </c>
      <c r="K427" t="s">
        <v>94</v>
      </c>
      <c r="L427" s="16" t="s">
        <v>10</v>
      </c>
    </row>
    <row r="428" spans="1:12" x14ac:dyDescent="0.35">
      <c r="A428" t="s">
        <v>8</v>
      </c>
      <c r="B428" t="s">
        <v>99</v>
      </c>
      <c r="C428" t="s">
        <v>95</v>
      </c>
      <c r="D428" t="s">
        <v>10</v>
      </c>
      <c r="E428" t="s">
        <v>10</v>
      </c>
      <c r="F428" s="7">
        <v>45262</v>
      </c>
      <c r="G428" s="1">
        <v>44927</v>
      </c>
      <c r="H428" s="14">
        <v>20122.900000000012</v>
      </c>
      <c r="I428">
        <v>2925258</v>
      </c>
      <c r="J428" t="s">
        <v>88</v>
      </c>
      <c r="K428" t="s">
        <v>96</v>
      </c>
      <c r="L428" s="16" t="s">
        <v>10</v>
      </c>
    </row>
    <row r="429" spans="1:12" x14ac:dyDescent="0.35">
      <c r="A429" t="s">
        <v>8</v>
      </c>
      <c r="B429" t="s">
        <v>100</v>
      </c>
      <c r="C429" t="s">
        <v>93</v>
      </c>
      <c r="D429" t="s">
        <v>10</v>
      </c>
      <c r="E429" t="s">
        <v>10</v>
      </c>
      <c r="F429" s="7">
        <v>45262</v>
      </c>
      <c r="G429" s="1">
        <v>44927</v>
      </c>
      <c r="H429" s="14">
        <v>2789.8084999999992</v>
      </c>
      <c r="I429">
        <v>703551</v>
      </c>
      <c r="J429" t="s">
        <v>88</v>
      </c>
      <c r="K429" t="s">
        <v>94</v>
      </c>
      <c r="L429" s="16" t="s">
        <v>10</v>
      </c>
    </row>
    <row r="430" spans="1:12" x14ac:dyDescent="0.35">
      <c r="A430" t="s">
        <v>8</v>
      </c>
      <c r="B430" t="s">
        <v>100</v>
      </c>
      <c r="C430" t="s">
        <v>95</v>
      </c>
      <c r="D430" t="s">
        <v>10</v>
      </c>
      <c r="E430" t="s">
        <v>10</v>
      </c>
      <c r="F430" s="7">
        <v>45262</v>
      </c>
      <c r="G430" s="1">
        <v>44927</v>
      </c>
      <c r="H430" s="14">
        <v>7475.5600000000022</v>
      </c>
      <c r="I430">
        <v>1553001</v>
      </c>
      <c r="J430" t="s">
        <v>88</v>
      </c>
      <c r="K430" t="s">
        <v>96</v>
      </c>
      <c r="L430" s="16" t="s">
        <v>10</v>
      </c>
    </row>
    <row r="431" spans="1:12" x14ac:dyDescent="0.35">
      <c r="A431" t="s">
        <v>8</v>
      </c>
      <c r="B431" t="s">
        <v>21</v>
      </c>
      <c r="C431" t="s">
        <v>95</v>
      </c>
      <c r="D431" t="s">
        <v>10</v>
      </c>
      <c r="E431" t="s">
        <v>10</v>
      </c>
      <c r="F431" s="7">
        <v>45262</v>
      </c>
      <c r="G431" s="1">
        <v>44927</v>
      </c>
      <c r="H431" s="14">
        <v>6997.6299999999992</v>
      </c>
      <c r="I431">
        <v>525114</v>
      </c>
      <c r="J431" t="s">
        <v>88</v>
      </c>
      <c r="K431" t="s">
        <v>96</v>
      </c>
      <c r="L431" s="16" t="s">
        <v>10</v>
      </c>
    </row>
    <row r="432" spans="1:12" x14ac:dyDescent="0.35">
      <c r="A432" t="s">
        <v>8</v>
      </c>
      <c r="B432" t="s">
        <v>101</v>
      </c>
      <c r="C432" t="s">
        <v>93</v>
      </c>
      <c r="D432" t="s">
        <v>10</v>
      </c>
      <c r="E432" t="s">
        <v>10</v>
      </c>
      <c r="F432" s="7">
        <v>45262</v>
      </c>
      <c r="G432" s="1">
        <v>44927</v>
      </c>
      <c r="H432" s="14">
        <v>2460.2745999999997</v>
      </c>
      <c r="I432">
        <v>733828</v>
      </c>
      <c r="J432" t="s">
        <v>88</v>
      </c>
      <c r="K432" t="s">
        <v>94</v>
      </c>
      <c r="L432" s="16" t="s">
        <v>10</v>
      </c>
    </row>
    <row r="433" spans="1:12" x14ac:dyDescent="0.35">
      <c r="A433" t="s">
        <v>8</v>
      </c>
      <c r="B433" t="s">
        <v>101</v>
      </c>
      <c r="C433" t="s">
        <v>95</v>
      </c>
      <c r="D433" t="s">
        <v>10</v>
      </c>
      <c r="E433" t="s">
        <v>10</v>
      </c>
      <c r="F433" s="7">
        <v>45262</v>
      </c>
      <c r="G433" s="1">
        <v>44927</v>
      </c>
      <c r="H433" s="14">
        <v>4054.1899999999996</v>
      </c>
      <c r="I433">
        <v>1223371</v>
      </c>
      <c r="J433" t="s">
        <v>88</v>
      </c>
      <c r="K433" t="s">
        <v>96</v>
      </c>
      <c r="L433" s="16" t="s">
        <v>10</v>
      </c>
    </row>
    <row r="434" spans="1:12" x14ac:dyDescent="0.35">
      <c r="A434" t="s">
        <v>8</v>
      </c>
      <c r="B434" t="s">
        <v>16</v>
      </c>
      <c r="C434" t="s">
        <v>95</v>
      </c>
      <c r="D434" t="s">
        <v>10</v>
      </c>
      <c r="E434" t="s">
        <v>10</v>
      </c>
      <c r="F434" s="7">
        <v>45262</v>
      </c>
      <c r="G434" s="1">
        <v>44927</v>
      </c>
      <c r="H434" s="14">
        <v>3591.6400000000008</v>
      </c>
      <c r="I434">
        <v>678119</v>
      </c>
      <c r="J434" t="s">
        <v>88</v>
      </c>
      <c r="K434" t="s">
        <v>96</v>
      </c>
      <c r="L434" s="16" t="s">
        <v>10</v>
      </c>
    </row>
    <row r="435" spans="1:12" x14ac:dyDescent="0.35">
      <c r="A435" t="s">
        <v>8</v>
      </c>
      <c r="B435" t="s">
        <v>103</v>
      </c>
      <c r="C435" t="s">
        <v>95</v>
      </c>
      <c r="D435" t="s">
        <v>104</v>
      </c>
      <c r="E435" t="s">
        <v>8</v>
      </c>
      <c r="F435" s="7">
        <v>45262</v>
      </c>
      <c r="G435" s="1">
        <v>44927</v>
      </c>
      <c r="H435" s="14">
        <v>60.36</v>
      </c>
      <c r="I435">
        <v>375</v>
      </c>
      <c r="J435" t="s">
        <v>88</v>
      </c>
      <c r="K435" t="s">
        <v>105</v>
      </c>
      <c r="L435" s="16" t="s">
        <v>95</v>
      </c>
    </row>
    <row r="436" spans="1:12" x14ac:dyDescent="0.35">
      <c r="A436" t="s">
        <v>8</v>
      </c>
      <c r="B436" t="s">
        <v>16</v>
      </c>
      <c r="C436" t="s">
        <v>95</v>
      </c>
      <c r="D436" t="s">
        <v>104</v>
      </c>
      <c r="E436" t="s">
        <v>8</v>
      </c>
      <c r="F436" s="7">
        <v>45262</v>
      </c>
      <c r="G436" s="1">
        <v>44927</v>
      </c>
      <c r="H436" s="14">
        <v>216.18</v>
      </c>
      <c r="I436">
        <v>696</v>
      </c>
      <c r="J436" t="s">
        <v>88</v>
      </c>
      <c r="K436" t="s">
        <v>105</v>
      </c>
      <c r="L436" s="16" t="s">
        <v>95</v>
      </c>
    </row>
    <row r="437" spans="1:12" x14ac:dyDescent="0.35">
      <c r="A437" t="s">
        <v>8</v>
      </c>
      <c r="B437" t="s">
        <v>84</v>
      </c>
      <c r="C437" t="s">
        <v>95</v>
      </c>
      <c r="D437" t="s">
        <v>104</v>
      </c>
      <c r="E437" t="s">
        <v>8</v>
      </c>
      <c r="F437" s="7">
        <v>45262</v>
      </c>
      <c r="G437" s="1">
        <v>44927</v>
      </c>
      <c r="H437" s="14">
        <v>11610.16</v>
      </c>
      <c r="I437">
        <v>37004</v>
      </c>
      <c r="J437" t="s">
        <v>88</v>
      </c>
      <c r="K437" t="s">
        <v>105</v>
      </c>
      <c r="L437" s="16" t="s">
        <v>95</v>
      </c>
    </row>
    <row r="438" spans="1:12" x14ac:dyDescent="0.35">
      <c r="A438" t="s">
        <v>8</v>
      </c>
      <c r="B438" t="s">
        <v>17</v>
      </c>
      <c r="C438" t="s">
        <v>95</v>
      </c>
      <c r="D438" t="s">
        <v>104</v>
      </c>
      <c r="E438" t="s">
        <v>8</v>
      </c>
      <c r="F438" s="7">
        <v>45262</v>
      </c>
      <c r="G438" s="1">
        <v>44927</v>
      </c>
      <c r="H438" s="14">
        <v>180.03</v>
      </c>
      <c r="I438">
        <v>1068</v>
      </c>
      <c r="J438" t="s">
        <v>88</v>
      </c>
      <c r="K438" t="s">
        <v>105</v>
      </c>
      <c r="L438" s="16" t="s">
        <v>95</v>
      </c>
    </row>
    <row r="439" spans="1:12" x14ac:dyDescent="0.35">
      <c r="A439" t="s">
        <v>8</v>
      </c>
      <c r="B439" t="s">
        <v>106</v>
      </c>
      <c r="C439" t="s">
        <v>95</v>
      </c>
      <c r="D439" t="s">
        <v>104</v>
      </c>
      <c r="E439" t="s">
        <v>8</v>
      </c>
      <c r="F439" s="7">
        <v>45262</v>
      </c>
      <c r="G439" s="1">
        <v>44927</v>
      </c>
      <c r="H439" s="14">
        <v>38.57</v>
      </c>
      <c r="I439">
        <v>134</v>
      </c>
      <c r="J439" t="s">
        <v>88</v>
      </c>
      <c r="K439" t="s">
        <v>105</v>
      </c>
      <c r="L439" s="16" t="s">
        <v>95</v>
      </c>
    </row>
    <row r="440" spans="1:12" x14ac:dyDescent="0.35">
      <c r="A440" t="s">
        <v>8</v>
      </c>
      <c r="B440" t="s">
        <v>92</v>
      </c>
      <c r="C440" t="s">
        <v>95</v>
      </c>
      <c r="D440" t="s">
        <v>104</v>
      </c>
      <c r="E440" t="s">
        <v>8</v>
      </c>
      <c r="F440" s="7">
        <v>45262</v>
      </c>
      <c r="G440" s="1">
        <v>44927</v>
      </c>
      <c r="H440" s="14">
        <v>433.03</v>
      </c>
      <c r="I440">
        <v>1811</v>
      </c>
      <c r="J440" t="s">
        <v>88</v>
      </c>
      <c r="K440" t="s">
        <v>105</v>
      </c>
      <c r="L440" s="16" t="s">
        <v>95</v>
      </c>
    </row>
    <row r="441" spans="1:12" x14ac:dyDescent="0.35">
      <c r="A441" t="s">
        <v>8</v>
      </c>
      <c r="B441" t="s">
        <v>21</v>
      </c>
      <c r="C441" t="s">
        <v>95</v>
      </c>
      <c r="D441" t="s">
        <v>104</v>
      </c>
      <c r="E441" t="s">
        <v>8</v>
      </c>
      <c r="F441" s="7">
        <v>45262</v>
      </c>
      <c r="G441" s="1">
        <v>44927</v>
      </c>
      <c r="H441" s="14">
        <v>231.67999999999995</v>
      </c>
      <c r="I441">
        <v>919</v>
      </c>
      <c r="J441" t="s">
        <v>88</v>
      </c>
      <c r="K441" t="s">
        <v>105</v>
      </c>
      <c r="L441" s="16" t="s">
        <v>95</v>
      </c>
    </row>
    <row r="442" spans="1:12" x14ac:dyDescent="0.35">
      <c r="A442" t="s">
        <v>8</v>
      </c>
      <c r="B442" t="s">
        <v>101</v>
      </c>
      <c r="C442" t="s">
        <v>95</v>
      </c>
      <c r="D442" t="s">
        <v>104</v>
      </c>
      <c r="E442" t="s">
        <v>8</v>
      </c>
      <c r="F442" s="7">
        <v>45262</v>
      </c>
      <c r="G442" s="1">
        <v>44927</v>
      </c>
      <c r="H442" s="14">
        <v>124.75999999999999</v>
      </c>
      <c r="I442">
        <v>621</v>
      </c>
      <c r="J442" t="s">
        <v>88</v>
      </c>
      <c r="K442" t="s">
        <v>105</v>
      </c>
      <c r="L442" s="16" t="s">
        <v>95</v>
      </c>
    </row>
    <row r="443" spans="1:12" x14ac:dyDescent="0.35">
      <c r="A443" t="s">
        <v>8</v>
      </c>
      <c r="B443" t="s">
        <v>99</v>
      </c>
      <c r="C443" t="s">
        <v>95</v>
      </c>
      <c r="D443" t="s">
        <v>104</v>
      </c>
      <c r="E443" t="s">
        <v>8</v>
      </c>
      <c r="F443" s="7">
        <v>45262</v>
      </c>
      <c r="G443" s="1">
        <v>44927</v>
      </c>
      <c r="H443" s="14">
        <v>177.22</v>
      </c>
      <c r="I443">
        <v>773</v>
      </c>
      <c r="J443" t="s">
        <v>88</v>
      </c>
      <c r="K443" t="s">
        <v>105</v>
      </c>
      <c r="L443" s="16" t="s">
        <v>95</v>
      </c>
    </row>
    <row r="444" spans="1:12" x14ac:dyDescent="0.35">
      <c r="A444" t="s">
        <v>8</v>
      </c>
      <c r="B444" t="s">
        <v>100</v>
      </c>
      <c r="C444" t="s">
        <v>95</v>
      </c>
      <c r="D444" t="s">
        <v>104</v>
      </c>
      <c r="E444" t="s">
        <v>8</v>
      </c>
      <c r="F444" s="7">
        <v>45262</v>
      </c>
      <c r="G444" s="1">
        <v>44927</v>
      </c>
      <c r="H444" s="14">
        <v>366.21</v>
      </c>
      <c r="I444">
        <v>1375</v>
      </c>
      <c r="J444" t="s">
        <v>88</v>
      </c>
      <c r="K444" t="s">
        <v>105</v>
      </c>
      <c r="L444" s="16" t="s">
        <v>95</v>
      </c>
    </row>
    <row r="445" spans="1:12" x14ac:dyDescent="0.35">
      <c r="A445" t="s">
        <v>8</v>
      </c>
      <c r="B445" t="s">
        <v>16</v>
      </c>
      <c r="C445" t="s">
        <v>85</v>
      </c>
      <c r="D445" t="s">
        <v>9</v>
      </c>
      <c r="E445" t="s">
        <v>11</v>
      </c>
      <c r="F445" s="7">
        <v>45269</v>
      </c>
      <c r="G445" s="1">
        <v>44927</v>
      </c>
      <c r="H445" s="14">
        <v>28620.652752000005</v>
      </c>
      <c r="I445">
        <v>5005073</v>
      </c>
      <c r="J445" t="s">
        <v>88</v>
      </c>
      <c r="K445" t="s">
        <v>87</v>
      </c>
      <c r="L445" s="16" t="s">
        <v>9</v>
      </c>
    </row>
    <row r="446" spans="1:12" x14ac:dyDescent="0.35">
      <c r="A446" t="s">
        <v>8</v>
      </c>
      <c r="B446" t="s">
        <v>16</v>
      </c>
      <c r="C446" t="s">
        <v>85</v>
      </c>
      <c r="D446" t="s">
        <v>9</v>
      </c>
      <c r="E446" t="s">
        <v>12</v>
      </c>
      <c r="F446" s="7">
        <v>45269</v>
      </c>
      <c r="G446" s="1">
        <v>44927</v>
      </c>
      <c r="H446" s="14">
        <v>21655.697800000002</v>
      </c>
      <c r="I446">
        <v>2271169</v>
      </c>
      <c r="J446" t="s">
        <v>88</v>
      </c>
      <c r="K446" t="s">
        <v>87</v>
      </c>
      <c r="L446" s="16" t="s">
        <v>12</v>
      </c>
    </row>
    <row r="447" spans="1:12" x14ac:dyDescent="0.35">
      <c r="A447" t="s">
        <v>8</v>
      </c>
      <c r="B447" t="s">
        <v>92</v>
      </c>
      <c r="C447" t="s">
        <v>93</v>
      </c>
      <c r="D447" t="s">
        <v>10</v>
      </c>
      <c r="E447" t="s">
        <v>10</v>
      </c>
      <c r="F447" s="7">
        <v>45269</v>
      </c>
      <c r="G447" s="1">
        <v>44927</v>
      </c>
      <c r="H447" s="14">
        <v>4441.3024999999989</v>
      </c>
      <c r="I447">
        <v>1460966</v>
      </c>
      <c r="J447" t="s">
        <v>88</v>
      </c>
      <c r="K447" t="s">
        <v>94</v>
      </c>
      <c r="L447" s="16" t="s">
        <v>10</v>
      </c>
    </row>
    <row r="448" spans="1:12" x14ac:dyDescent="0.35">
      <c r="A448" t="s">
        <v>8</v>
      </c>
      <c r="B448" t="s">
        <v>92</v>
      </c>
      <c r="C448" t="s">
        <v>95</v>
      </c>
      <c r="D448" t="s">
        <v>10</v>
      </c>
      <c r="E448" t="s">
        <v>10</v>
      </c>
      <c r="F448" s="7">
        <v>45269</v>
      </c>
      <c r="G448" s="1">
        <v>44927</v>
      </c>
      <c r="H448" s="14">
        <v>10388.56</v>
      </c>
      <c r="I448">
        <v>1257236</v>
      </c>
      <c r="J448" t="s">
        <v>88</v>
      </c>
      <c r="K448" t="s">
        <v>96</v>
      </c>
      <c r="L448" s="16" t="s">
        <v>10</v>
      </c>
    </row>
    <row r="449" spans="1:12" x14ac:dyDescent="0.35">
      <c r="A449" t="s">
        <v>8</v>
      </c>
      <c r="B449" t="s">
        <v>84</v>
      </c>
      <c r="C449" t="s">
        <v>93</v>
      </c>
      <c r="D449" t="s">
        <v>10</v>
      </c>
      <c r="E449" t="s">
        <v>10</v>
      </c>
      <c r="F449" s="7">
        <v>45269</v>
      </c>
      <c r="G449" s="1">
        <v>44927</v>
      </c>
      <c r="H449" s="14">
        <v>10680.274599999997</v>
      </c>
      <c r="I449">
        <v>4448525</v>
      </c>
      <c r="J449" t="s">
        <v>88</v>
      </c>
      <c r="K449" t="s">
        <v>94</v>
      </c>
      <c r="L449" s="16" t="s">
        <v>10</v>
      </c>
    </row>
    <row r="450" spans="1:12" x14ac:dyDescent="0.35">
      <c r="A450" t="s">
        <v>8</v>
      </c>
      <c r="B450" t="s">
        <v>84</v>
      </c>
      <c r="C450" t="s">
        <v>95</v>
      </c>
      <c r="D450" t="s">
        <v>10</v>
      </c>
      <c r="E450" t="s">
        <v>10</v>
      </c>
      <c r="F450" s="7">
        <v>45269</v>
      </c>
      <c r="G450" s="1">
        <v>44927</v>
      </c>
      <c r="H450" s="14">
        <v>3882.2400000000007</v>
      </c>
      <c r="I450">
        <v>1053125</v>
      </c>
      <c r="J450" t="s">
        <v>88</v>
      </c>
      <c r="K450" t="s">
        <v>96</v>
      </c>
      <c r="L450" s="16" t="s">
        <v>10</v>
      </c>
    </row>
    <row r="451" spans="1:12" x14ac:dyDescent="0.35">
      <c r="A451" t="s">
        <v>8</v>
      </c>
      <c r="B451" t="s">
        <v>17</v>
      </c>
      <c r="C451" t="s">
        <v>93</v>
      </c>
      <c r="D451" t="s">
        <v>10</v>
      </c>
      <c r="E451" t="s">
        <v>10</v>
      </c>
      <c r="F451" s="7">
        <v>45269</v>
      </c>
      <c r="G451" s="1">
        <v>44927</v>
      </c>
      <c r="H451" s="14">
        <v>4386.2370999999976</v>
      </c>
      <c r="I451">
        <v>651753</v>
      </c>
      <c r="J451" t="s">
        <v>88</v>
      </c>
      <c r="K451" t="s">
        <v>94</v>
      </c>
      <c r="L451" s="16" t="s">
        <v>10</v>
      </c>
    </row>
    <row r="452" spans="1:12" x14ac:dyDescent="0.35">
      <c r="A452" t="s">
        <v>8</v>
      </c>
      <c r="B452" t="s">
        <v>17</v>
      </c>
      <c r="C452" t="s">
        <v>95</v>
      </c>
      <c r="D452" t="s">
        <v>10</v>
      </c>
      <c r="E452" t="s">
        <v>10</v>
      </c>
      <c r="F452" s="7">
        <v>45269</v>
      </c>
      <c r="G452" s="1">
        <v>44927</v>
      </c>
      <c r="H452" s="14">
        <v>8657.4700000000012</v>
      </c>
      <c r="I452">
        <v>953837</v>
      </c>
      <c r="J452" t="s">
        <v>88</v>
      </c>
      <c r="K452" t="s">
        <v>96</v>
      </c>
      <c r="L452" s="16" t="s">
        <v>10</v>
      </c>
    </row>
    <row r="453" spans="1:12" x14ac:dyDescent="0.35">
      <c r="A453" t="s">
        <v>8</v>
      </c>
      <c r="B453" t="s">
        <v>99</v>
      </c>
      <c r="C453" t="s">
        <v>93</v>
      </c>
      <c r="D453" t="s">
        <v>10</v>
      </c>
      <c r="E453" t="s">
        <v>10</v>
      </c>
      <c r="F453" s="7">
        <v>45269</v>
      </c>
      <c r="G453" s="1">
        <v>44927</v>
      </c>
      <c r="H453" s="14">
        <v>3894.8914999999979</v>
      </c>
      <c r="I453">
        <v>552124</v>
      </c>
      <c r="J453" t="s">
        <v>88</v>
      </c>
      <c r="K453" t="s">
        <v>94</v>
      </c>
      <c r="L453" s="16" t="s">
        <v>10</v>
      </c>
    </row>
    <row r="454" spans="1:12" x14ac:dyDescent="0.35">
      <c r="A454" t="s">
        <v>8</v>
      </c>
      <c r="B454" t="s">
        <v>99</v>
      </c>
      <c r="C454" t="s">
        <v>95</v>
      </c>
      <c r="D454" t="s">
        <v>10</v>
      </c>
      <c r="E454" t="s">
        <v>10</v>
      </c>
      <c r="F454" s="7">
        <v>45269</v>
      </c>
      <c r="G454" s="1">
        <v>44927</v>
      </c>
      <c r="H454" s="14">
        <v>5738.7099999999991</v>
      </c>
      <c r="I454">
        <v>1198458</v>
      </c>
      <c r="J454" t="s">
        <v>88</v>
      </c>
      <c r="K454" t="s">
        <v>96</v>
      </c>
      <c r="L454" s="16" t="s">
        <v>10</v>
      </c>
    </row>
    <row r="455" spans="1:12" x14ac:dyDescent="0.35">
      <c r="A455" t="s">
        <v>8</v>
      </c>
      <c r="B455" t="s">
        <v>100</v>
      </c>
      <c r="C455" t="s">
        <v>93</v>
      </c>
      <c r="D455" t="s">
        <v>10</v>
      </c>
      <c r="E455" t="s">
        <v>10</v>
      </c>
      <c r="F455" s="7">
        <v>45269</v>
      </c>
      <c r="G455" s="1">
        <v>44927</v>
      </c>
      <c r="H455" s="14">
        <v>3896.7898000000005</v>
      </c>
      <c r="I455">
        <v>1010465</v>
      </c>
      <c r="J455" t="s">
        <v>88</v>
      </c>
      <c r="K455" t="s">
        <v>94</v>
      </c>
      <c r="L455" s="16" t="s">
        <v>10</v>
      </c>
    </row>
    <row r="456" spans="1:12" x14ac:dyDescent="0.35">
      <c r="A456" t="s">
        <v>8</v>
      </c>
      <c r="B456" t="s">
        <v>100</v>
      </c>
      <c r="C456" t="s">
        <v>95</v>
      </c>
      <c r="D456" t="s">
        <v>10</v>
      </c>
      <c r="E456" t="s">
        <v>10</v>
      </c>
      <c r="F456" s="7">
        <v>45269</v>
      </c>
      <c r="G456" s="1">
        <v>44927</v>
      </c>
      <c r="H456" s="14">
        <v>2958.3299999999986</v>
      </c>
      <c r="I456">
        <v>868175</v>
      </c>
      <c r="J456" t="s">
        <v>88</v>
      </c>
      <c r="K456" t="s">
        <v>96</v>
      </c>
      <c r="L456" s="16" t="s">
        <v>10</v>
      </c>
    </row>
    <row r="457" spans="1:12" x14ac:dyDescent="0.35">
      <c r="A457" t="s">
        <v>8</v>
      </c>
      <c r="B457" t="s">
        <v>21</v>
      </c>
      <c r="C457" t="s">
        <v>95</v>
      </c>
      <c r="D457" t="s">
        <v>10</v>
      </c>
      <c r="E457" t="s">
        <v>10</v>
      </c>
      <c r="F457" s="7">
        <v>45269</v>
      </c>
      <c r="G457" s="1">
        <v>44927</v>
      </c>
      <c r="H457" s="14">
        <v>4816.2599999999984</v>
      </c>
      <c r="I457">
        <v>537528</v>
      </c>
      <c r="J457" t="s">
        <v>88</v>
      </c>
      <c r="K457" t="s">
        <v>96</v>
      </c>
      <c r="L457" s="16" t="s">
        <v>10</v>
      </c>
    </row>
    <row r="458" spans="1:12" x14ac:dyDescent="0.35">
      <c r="A458" t="s">
        <v>8</v>
      </c>
      <c r="B458" t="s">
        <v>101</v>
      </c>
      <c r="C458" t="s">
        <v>93</v>
      </c>
      <c r="D458" t="s">
        <v>10</v>
      </c>
      <c r="E458" t="s">
        <v>10</v>
      </c>
      <c r="F458" s="7">
        <v>45269</v>
      </c>
      <c r="G458" s="1">
        <v>44927</v>
      </c>
      <c r="H458" s="14">
        <v>3633.7894999999994</v>
      </c>
      <c r="I458">
        <v>956175</v>
      </c>
      <c r="J458" t="s">
        <v>88</v>
      </c>
      <c r="K458" t="s">
        <v>94</v>
      </c>
      <c r="L458" s="16" t="s">
        <v>10</v>
      </c>
    </row>
    <row r="459" spans="1:12" x14ac:dyDescent="0.35">
      <c r="A459" t="s">
        <v>8</v>
      </c>
      <c r="B459" t="s">
        <v>101</v>
      </c>
      <c r="C459" t="s">
        <v>95</v>
      </c>
      <c r="D459" t="s">
        <v>10</v>
      </c>
      <c r="E459" t="s">
        <v>10</v>
      </c>
      <c r="F459" s="7">
        <v>45269</v>
      </c>
      <c r="G459" s="1">
        <v>44927</v>
      </c>
      <c r="H459" s="14">
        <v>2573.6300000000006</v>
      </c>
      <c r="I459">
        <v>562133</v>
      </c>
      <c r="J459" t="s">
        <v>88</v>
      </c>
      <c r="K459" t="s">
        <v>96</v>
      </c>
      <c r="L459" s="16" t="s">
        <v>10</v>
      </c>
    </row>
    <row r="460" spans="1:12" x14ac:dyDescent="0.35">
      <c r="A460" t="s">
        <v>8</v>
      </c>
      <c r="B460" t="s">
        <v>16</v>
      </c>
      <c r="C460" t="s">
        <v>95</v>
      </c>
      <c r="D460" t="s">
        <v>10</v>
      </c>
      <c r="E460" t="s">
        <v>10</v>
      </c>
      <c r="F460" s="7">
        <v>45269</v>
      </c>
      <c r="G460" s="1">
        <v>44927</v>
      </c>
      <c r="H460" s="14">
        <v>1163.2000000000003</v>
      </c>
      <c r="I460">
        <v>129196</v>
      </c>
      <c r="J460" t="s">
        <v>88</v>
      </c>
      <c r="K460" t="s">
        <v>96</v>
      </c>
      <c r="L460" s="16" t="s">
        <v>10</v>
      </c>
    </row>
    <row r="461" spans="1:12" x14ac:dyDescent="0.35">
      <c r="A461" t="s">
        <v>8</v>
      </c>
      <c r="B461" t="s">
        <v>103</v>
      </c>
      <c r="C461" t="s">
        <v>95</v>
      </c>
      <c r="D461" t="s">
        <v>104</v>
      </c>
      <c r="E461" t="s">
        <v>8</v>
      </c>
      <c r="F461" s="7">
        <v>45269</v>
      </c>
      <c r="G461" s="1">
        <v>44927</v>
      </c>
      <c r="H461" s="14">
        <v>103.17999999999999</v>
      </c>
      <c r="I461">
        <v>390</v>
      </c>
      <c r="J461" t="s">
        <v>88</v>
      </c>
      <c r="K461" t="s">
        <v>105</v>
      </c>
      <c r="L461" s="16" t="s">
        <v>95</v>
      </c>
    </row>
    <row r="462" spans="1:12" x14ac:dyDescent="0.35">
      <c r="A462" t="s">
        <v>8</v>
      </c>
      <c r="B462" t="s">
        <v>16</v>
      </c>
      <c r="C462" t="s">
        <v>95</v>
      </c>
      <c r="D462" t="s">
        <v>104</v>
      </c>
      <c r="E462" t="s">
        <v>8</v>
      </c>
      <c r="F462" s="7">
        <v>45269</v>
      </c>
      <c r="G462" s="1">
        <v>44927</v>
      </c>
      <c r="H462" s="14">
        <v>239.89999999999998</v>
      </c>
      <c r="I462">
        <v>664</v>
      </c>
      <c r="J462" t="s">
        <v>88</v>
      </c>
      <c r="K462" t="s">
        <v>105</v>
      </c>
      <c r="L462" s="16" t="s">
        <v>95</v>
      </c>
    </row>
    <row r="463" spans="1:12" x14ac:dyDescent="0.35">
      <c r="A463" t="s">
        <v>8</v>
      </c>
      <c r="B463" t="s">
        <v>84</v>
      </c>
      <c r="C463" t="s">
        <v>95</v>
      </c>
      <c r="D463" t="s">
        <v>104</v>
      </c>
      <c r="E463" t="s">
        <v>8</v>
      </c>
      <c r="F463" s="7">
        <v>45269</v>
      </c>
      <c r="G463" s="1">
        <v>44927</v>
      </c>
      <c r="H463" s="14">
        <v>11144.380000000003</v>
      </c>
      <c r="I463">
        <v>34334</v>
      </c>
      <c r="J463" t="s">
        <v>88</v>
      </c>
      <c r="K463" t="s">
        <v>105</v>
      </c>
      <c r="L463" s="16" t="s">
        <v>95</v>
      </c>
    </row>
    <row r="464" spans="1:12" x14ac:dyDescent="0.35">
      <c r="A464" t="s">
        <v>8</v>
      </c>
      <c r="B464" t="s">
        <v>17</v>
      </c>
      <c r="C464" t="s">
        <v>95</v>
      </c>
      <c r="D464" t="s">
        <v>104</v>
      </c>
      <c r="E464" t="s">
        <v>8</v>
      </c>
      <c r="F464" s="7">
        <v>45269</v>
      </c>
      <c r="G464" s="1">
        <v>44927</v>
      </c>
      <c r="H464" s="14">
        <v>199.23999999999998</v>
      </c>
      <c r="I464">
        <v>1196</v>
      </c>
      <c r="J464" t="s">
        <v>88</v>
      </c>
      <c r="K464" t="s">
        <v>105</v>
      </c>
      <c r="L464" s="16" t="s">
        <v>95</v>
      </c>
    </row>
    <row r="465" spans="1:12" x14ac:dyDescent="0.35">
      <c r="A465" t="s">
        <v>8</v>
      </c>
      <c r="B465" t="s">
        <v>106</v>
      </c>
      <c r="C465" t="s">
        <v>95</v>
      </c>
      <c r="D465" t="s">
        <v>104</v>
      </c>
      <c r="E465" t="s">
        <v>8</v>
      </c>
      <c r="F465" s="7">
        <v>45269</v>
      </c>
      <c r="G465" s="1">
        <v>44927</v>
      </c>
      <c r="H465" s="14">
        <v>27.549999999999997</v>
      </c>
      <c r="I465">
        <v>94</v>
      </c>
      <c r="J465" t="s">
        <v>88</v>
      </c>
      <c r="K465" t="s">
        <v>105</v>
      </c>
      <c r="L465" s="16" t="s">
        <v>95</v>
      </c>
    </row>
    <row r="466" spans="1:12" x14ac:dyDescent="0.35">
      <c r="A466" t="s">
        <v>8</v>
      </c>
      <c r="B466" t="s">
        <v>92</v>
      </c>
      <c r="C466" t="s">
        <v>95</v>
      </c>
      <c r="D466" t="s">
        <v>104</v>
      </c>
      <c r="E466" t="s">
        <v>8</v>
      </c>
      <c r="F466" s="7">
        <v>45269</v>
      </c>
      <c r="G466" s="1">
        <v>44927</v>
      </c>
      <c r="H466" s="14">
        <v>384.03</v>
      </c>
      <c r="I466">
        <v>1853</v>
      </c>
      <c r="J466" t="s">
        <v>88</v>
      </c>
      <c r="K466" t="s">
        <v>105</v>
      </c>
      <c r="L466" s="16" t="s">
        <v>95</v>
      </c>
    </row>
    <row r="467" spans="1:12" x14ac:dyDescent="0.35">
      <c r="A467" t="s">
        <v>8</v>
      </c>
      <c r="B467" t="s">
        <v>21</v>
      </c>
      <c r="C467" t="s">
        <v>95</v>
      </c>
      <c r="D467" t="s">
        <v>104</v>
      </c>
      <c r="E467" t="s">
        <v>8</v>
      </c>
      <c r="F467" s="7">
        <v>45269</v>
      </c>
      <c r="G467" s="1">
        <v>44927</v>
      </c>
      <c r="H467" s="14">
        <v>246.56</v>
      </c>
      <c r="I467">
        <v>924</v>
      </c>
      <c r="J467" t="s">
        <v>88</v>
      </c>
      <c r="K467" t="s">
        <v>105</v>
      </c>
      <c r="L467" s="16" t="s">
        <v>95</v>
      </c>
    </row>
    <row r="468" spans="1:12" x14ac:dyDescent="0.35">
      <c r="A468" t="s">
        <v>8</v>
      </c>
      <c r="B468" t="s">
        <v>101</v>
      </c>
      <c r="C468" t="s">
        <v>95</v>
      </c>
      <c r="D468" t="s">
        <v>104</v>
      </c>
      <c r="E468" t="s">
        <v>8</v>
      </c>
      <c r="F468" s="7">
        <v>45269</v>
      </c>
      <c r="G468" s="1">
        <v>44927</v>
      </c>
      <c r="H468" s="14">
        <v>139.31</v>
      </c>
      <c r="I468">
        <v>655</v>
      </c>
      <c r="J468" t="s">
        <v>88</v>
      </c>
      <c r="K468" t="s">
        <v>105</v>
      </c>
      <c r="L468" s="16" t="s">
        <v>95</v>
      </c>
    </row>
    <row r="469" spans="1:12" x14ac:dyDescent="0.35">
      <c r="A469" t="s">
        <v>8</v>
      </c>
      <c r="B469" t="s">
        <v>99</v>
      </c>
      <c r="C469" t="s">
        <v>95</v>
      </c>
      <c r="D469" t="s">
        <v>104</v>
      </c>
      <c r="E469" t="s">
        <v>8</v>
      </c>
      <c r="F469" s="7">
        <v>45269</v>
      </c>
      <c r="G469" s="1">
        <v>44927</v>
      </c>
      <c r="H469" s="14">
        <v>166.19</v>
      </c>
      <c r="I469">
        <v>618</v>
      </c>
      <c r="J469" t="s">
        <v>88</v>
      </c>
      <c r="K469" t="s">
        <v>105</v>
      </c>
      <c r="L469" s="16" t="s">
        <v>95</v>
      </c>
    </row>
    <row r="470" spans="1:12" x14ac:dyDescent="0.35">
      <c r="A470" t="s">
        <v>8</v>
      </c>
      <c r="B470" t="s">
        <v>100</v>
      </c>
      <c r="C470" t="s">
        <v>95</v>
      </c>
      <c r="D470" t="s">
        <v>104</v>
      </c>
      <c r="E470" t="s">
        <v>8</v>
      </c>
      <c r="F470" s="7">
        <v>45269</v>
      </c>
      <c r="G470" s="1">
        <v>44927</v>
      </c>
      <c r="H470" s="14">
        <v>338.59000000000003</v>
      </c>
      <c r="I470">
        <v>1304</v>
      </c>
      <c r="J470" t="s">
        <v>88</v>
      </c>
      <c r="K470" t="s">
        <v>105</v>
      </c>
      <c r="L470" s="16" t="s">
        <v>95</v>
      </c>
    </row>
    <row r="471" spans="1:12" x14ac:dyDescent="0.35">
      <c r="A471" t="s">
        <v>8</v>
      </c>
      <c r="B471" t="s">
        <v>16</v>
      </c>
      <c r="C471" t="s">
        <v>85</v>
      </c>
      <c r="D471" t="s">
        <v>9</v>
      </c>
      <c r="E471" t="s">
        <v>11</v>
      </c>
      <c r="F471" s="7">
        <v>45276</v>
      </c>
      <c r="G471" s="1">
        <v>44927</v>
      </c>
      <c r="H471" s="14">
        <v>38450.740008999994</v>
      </c>
      <c r="I471">
        <v>5500117</v>
      </c>
      <c r="J471" t="s">
        <v>88</v>
      </c>
      <c r="K471" t="s">
        <v>87</v>
      </c>
      <c r="L471" s="16" t="s">
        <v>9</v>
      </c>
    </row>
    <row r="472" spans="1:12" x14ac:dyDescent="0.35">
      <c r="A472" t="s">
        <v>8</v>
      </c>
      <c r="B472" t="s">
        <v>16</v>
      </c>
      <c r="C472" t="s">
        <v>85</v>
      </c>
      <c r="D472" t="s">
        <v>9</v>
      </c>
      <c r="E472" t="s">
        <v>12</v>
      </c>
      <c r="F472" s="7">
        <v>45276</v>
      </c>
      <c r="G472" s="1">
        <v>44927</v>
      </c>
      <c r="H472" s="14">
        <v>21466.060018</v>
      </c>
      <c r="I472">
        <v>1958670</v>
      </c>
      <c r="J472" t="s">
        <v>88</v>
      </c>
      <c r="K472" t="s">
        <v>87</v>
      </c>
      <c r="L472" s="16" t="s">
        <v>12</v>
      </c>
    </row>
    <row r="473" spans="1:12" x14ac:dyDescent="0.35">
      <c r="A473" t="s">
        <v>8</v>
      </c>
      <c r="B473" t="s">
        <v>92</v>
      </c>
      <c r="C473" t="s">
        <v>93</v>
      </c>
      <c r="D473" t="s">
        <v>10</v>
      </c>
      <c r="E473" t="s">
        <v>10</v>
      </c>
      <c r="F473" s="7">
        <v>45276</v>
      </c>
      <c r="G473" s="1">
        <v>44927</v>
      </c>
      <c r="H473" s="14">
        <v>4157.9792999999991</v>
      </c>
      <c r="I473">
        <v>1579803</v>
      </c>
      <c r="J473" t="s">
        <v>88</v>
      </c>
      <c r="K473" t="s">
        <v>94</v>
      </c>
      <c r="L473" s="16" t="s">
        <v>10</v>
      </c>
    </row>
    <row r="474" spans="1:12" x14ac:dyDescent="0.35">
      <c r="A474" t="s">
        <v>8</v>
      </c>
      <c r="B474" t="s">
        <v>92</v>
      </c>
      <c r="C474" t="s">
        <v>95</v>
      </c>
      <c r="D474" t="s">
        <v>10</v>
      </c>
      <c r="E474" t="s">
        <v>10</v>
      </c>
      <c r="F474" s="7">
        <v>45276</v>
      </c>
      <c r="G474" s="1">
        <v>44927</v>
      </c>
      <c r="H474" s="14">
        <v>6111.7599999999993</v>
      </c>
      <c r="I474">
        <v>700465</v>
      </c>
      <c r="J474" t="s">
        <v>88</v>
      </c>
      <c r="K474" t="s">
        <v>96</v>
      </c>
      <c r="L474" s="16" t="s">
        <v>10</v>
      </c>
    </row>
    <row r="475" spans="1:12" x14ac:dyDescent="0.35">
      <c r="A475" t="s">
        <v>8</v>
      </c>
      <c r="B475" t="s">
        <v>84</v>
      </c>
      <c r="C475" t="s">
        <v>93</v>
      </c>
      <c r="D475" t="s">
        <v>10</v>
      </c>
      <c r="E475" t="s">
        <v>10</v>
      </c>
      <c r="F475" s="7">
        <v>45276</v>
      </c>
      <c r="G475" s="1">
        <v>44927</v>
      </c>
      <c r="H475" s="14">
        <v>10862.2312</v>
      </c>
      <c r="I475">
        <v>5058276</v>
      </c>
      <c r="J475" t="s">
        <v>88</v>
      </c>
      <c r="K475" t="s">
        <v>94</v>
      </c>
      <c r="L475" s="16" t="s">
        <v>10</v>
      </c>
    </row>
    <row r="476" spans="1:12" x14ac:dyDescent="0.35">
      <c r="A476" t="s">
        <v>8</v>
      </c>
      <c r="B476" t="s">
        <v>84</v>
      </c>
      <c r="C476" t="s">
        <v>95</v>
      </c>
      <c r="D476" t="s">
        <v>10</v>
      </c>
      <c r="E476" t="s">
        <v>10</v>
      </c>
      <c r="F476" s="7">
        <v>45276</v>
      </c>
      <c r="G476" s="1">
        <v>44927</v>
      </c>
      <c r="H476" s="14">
        <v>2533.8599999999988</v>
      </c>
      <c r="I476">
        <v>936669</v>
      </c>
      <c r="J476" t="s">
        <v>88</v>
      </c>
      <c r="K476" t="s">
        <v>96</v>
      </c>
      <c r="L476" s="16" t="s">
        <v>10</v>
      </c>
    </row>
    <row r="477" spans="1:12" x14ac:dyDescent="0.35">
      <c r="A477" t="s">
        <v>8</v>
      </c>
      <c r="B477" t="s">
        <v>17</v>
      </c>
      <c r="C477" t="s">
        <v>93</v>
      </c>
      <c r="D477" t="s">
        <v>10</v>
      </c>
      <c r="E477" t="s">
        <v>10</v>
      </c>
      <c r="F477" s="7">
        <v>45276</v>
      </c>
      <c r="G477" s="1">
        <v>44927</v>
      </c>
      <c r="H477" s="14">
        <v>4300.1457</v>
      </c>
      <c r="I477">
        <v>725610</v>
      </c>
      <c r="J477" t="s">
        <v>88</v>
      </c>
      <c r="K477" t="s">
        <v>94</v>
      </c>
      <c r="L477" s="16" t="s">
        <v>10</v>
      </c>
    </row>
    <row r="478" spans="1:12" x14ac:dyDescent="0.35">
      <c r="A478" t="s">
        <v>8</v>
      </c>
      <c r="B478" t="s">
        <v>17</v>
      </c>
      <c r="C478" t="s">
        <v>95</v>
      </c>
      <c r="D478" t="s">
        <v>10</v>
      </c>
      <c r="E478" t="s">
        <v>10</v>
      </c>
      <c r="F478" s="7">
        <v>45276</v>
      </c>
      <c r="G478" s="1">
        <v>44927</v>
      </c>
      <c r="H478" s="14">
        <v>5653.81</v>
      </c>
      <c r="I478">
        <v>762749</v>
      </c>
      <c r="J478" t="s">
        <v>88</v>
      </c>
      <c r="K478" t="s">
        <v>96</v>
      </c>
      <c r="L478" s="16" t="s">
        <v>10</v>
      </c>
    </row>
    <row r="479" spans="1:12" x14ac:dyDescent="0.35">
      <c r="A479" t="s">
        <v>8</v>
      </c>
      <c r="B479" t="s">
        <v>99</v>
      </c>
      <c r="C479" t="s">
        <v>93</v>
      </c>
      <c r="D479" t="s">
        <v>10</v>
      </c>
      <c r="E479" t="s">
        <v>10</v>
      </c>
      <c r="F479" s="7">
        <v>45276</v>
      </c>
      <c r="G479" s="1">
        <v>44927</v>
      </c>
      <c r="H479" s="14">
        <v>3982.0275999999999</v>
      </c>
      <c r="I479">
        <v>609108</v>
      </c>
      <c r="J479" t="s">
        <v>88</v>
      </c>
      <c r="K479" t="s">
        <v>94</v>
      </c>
      <c r="L479" s="16" t="s">
        <v>10</v>
      </c>
    </row>
    <row r="480" spans="1:12" x14ac:dyDescent="0.35">
      <c r="A480" t="s">
        <v>8</v>
      </c>
      <c r="B480" t="s">
        <v>99</v>
      </c>
      <c r="C480" t="s">
        <v>95</v>
      </c>
      <c r="D480" t="s">
        <v>10</v>
      </c>
      <c r="E480" t="s">
        <v>10</v>
      </c>
      <c r="F480" s="7">
        <v>45276</v>
      </c>
      <c r="G480" s="1">
        <v>44927</v>
      </c>
      <c r="H480" s="14">
        <v>3770.6200000000022</v>
      </c>
      <c r="I480">
        <v>1017212</v>
      </c>
      <c r="J480" t="s">
        <v>88</v>
      </c>
      <c r="K480" t="s">
        <v>96</v>
      </c>
      <c r="L480" s="16" t="s">
        <v>10</v>
      </c>
    </row>
    <row r="481" spans="1:12" x14ac:dyDescent="0.35">
      <c r="A481" t="s">
        <v>8</v>
      </c>
      <c r="B481" t="s">
        <v>100</v>
      </c>
      <c r="C481" t="s">
        <v>93</v>
      </c>
      <c r="D481" t="s">
        <v>10</v>
      </c>
      <c r="E481" t="s">
        <v>10</v>
      </c>
      <c r="F481" s="7">
        <v>45276</v>
      </c>
      <c r="G481" s="1">
        <v>44927</v>
      </c>
      <c r="H481" s="14">
        <v>3952.2930000000001</v>
      </c>
      <c r="I481">
        <v>1094318</v>
      </c>
      <c r="J481" t="s">
        <v>88</v>
      </c>
      <c r="K481" t="s">
        <v>94</v>
      </c>
      <c r="L481" s="16" t="s">
        <v>10</v>
      </c>
    </row>
    <row r="482" spans="1:12" x14ac:dyDescent="0.35">
      <c r="A482" t="s">
        <v>8</v>
      </c>
      <c r="B482" t="s">
        <v>100</v>
      </c>
      <c r="C482" t="s">
        <v>95</v>
      </c>
      <c r="D482" t="s">
        <v>10</v>
      </c>
      <c r="E482" t="s">
        <v>10</v>
      </c>
      <c r="F482" s="7">
        <v>45276</v>
      </c>
      <c r="G482" s="1">
        <v>44927</v>
      </c>
      <c r="H482" s="14">
        <v>1611.1199999999994</v>
      </c>
      <c r="I482">
        <v>319036</v>
      </c>
      <c r="J482" t="s">
        <v>88</v>
      </c>
      <c r="K482" t="s">
        <v>96</v>
      </c>
      <c r="L482" s="16" t="s">
        <v>10</v>
      </c>
    </row>
    <row r="483" spans="1:12" x14ac:dyDescent="0.35">
      <c r="A483" t="s">
        <v>8</v>
      </c>
      <c r="B483" t="s">
        <v>21</v>
      </c>
      <c r="C483" t="s">
        <v>95</v>
      </c>
      <c r="D483" t="s">
        <v>10</v>
      </c>
      <c r="E483" t="s">
        <v>10</v>
      </c>
      <c r="F483" s="7">
        <v>45276</v>
      </c>
      <c r="G483" s="1">
        <v>44927</v>
      </c>
      <c r="H483" s="14">
        <v>2556.5</v>
      </c>
      <c r="I483">
        <v>255153</v>
      </c>
      <c r="J483" t="s">
        <v>88</v>
      </c>
      <c r="K483" t="s">
        <v>96</v>
      </c>
      <c r="L483" s="16" t="s">
        <v>10</v>
      </c>
    </row>
    <row r="484" spans="1:12" x14ac:dyDescent="0.35">
      <c r="A484" t="s">
        <v>8</v>
      </c>
      <c r="B484" t="s">
        <v>101</v>
      </c>
      <c r="C484" t="s">
        <v>93</v>
      </c>
      <c r="D484" t="s">
        <v>10</v>
      </c>
      <c r="E484" t="s">
        <v>10</v>
      </c>
      <c r="F484" s="7">
        <v>45276</v>
      </c>
      <c r="G484" s="1">
        <v>44927</v>
      </c>
      <c r="H484" s="14">
        <v>3208.7271999999998</v>
      </c>
      <c r="I484">
        <v>968443</v>
      </c>
      <c r="J484" t="s">
        <v>88</v>
      </c>
      <c r="K484" t="s">
        <v>94</v>
      </c>
      <c r="L484" s="16" t="s">
        <v>10</v>
      </c>
    </row>
    <row r="485" spans="1:12" x14ac:dyDescent="0.35">
      <c r="A485" t="s">
        <v>8</v>
      </c>
      <c r="B485" t="s">
        <v>101</v>
      </c>
      <c r="C485" t="s">
        <v>95</v>
      </c>
      <c r="D485" t="s">
        <v>10</v>
      </c>
      <c r="E485" t="s">
        <v>10</v>
      </c>
      <c r="F485" s="7">
        <v>45276</v>
      </c>
      <c r="G485" s="1">
        <v>44927</v>
      </c>
      <c r="H485" s="14">
        <v>1848.9099999999999</v>
      </c>
      <c r="I485">
        <v>331332</v>
      </c>
      <c r="J485" t="s">
        <v>88</v>
      </c>
      <c r="K485" t="s">
        <v>96</v>
      </c>
      <c r="L485" s="16" t="s">
        <v>10</v>
      </c>
    </row>
    <row r="486" spans="1:12" x14ac:dyDescent="0.35">
      <c r="A486" t="s">
        <v>8</v>
      </c>
      <c r="B486" t="s">
        <v>16</v>
      </c>
      <c r="C486" t="s">
        <v>95</v>
      </c>
      <c r="D486" t="s">
        <v>10</v>
      </c>
      <c r="E486" t="s">
        <v>10</v>
      </c>
      <c r="F486" s="7">
        <v>45276</v>
      </c>
      <c r="G486" s="1">
        <v>44927</v>
      </c>
      <c r="H486" s="14">
        <v>783.71999999999991</v>
      </c>
      <c r="I486">
        <v>66236</v>
      </c>
      <c r="J486" t="s">
        <v>88</v>
      </c>
      <c r="K486" t="s">
        <v>96</v>
      </c>
      <c r="L486" s="16" t="s">
        <v>10</v>
      </c>
    </row>
    <row r="487" spans="1:12" x14ac:dyDescent="0.35">
      <c r="A487" t="s">
        <v>8</v>
      </c>
      <c r="B487" t="s">
        <v>103</v>
      </c>
      <c r="C487" t="s">
        <v>95</v>
      </c>
      <c r="D487" t="s">
        <v>104</v>
      </c>
      <c r="E487" t="s">
        <v>8</v>
      </c>
      <c r="F487" s="7">
        <v>45276</v>
      </c>
      <c r="G487" s="1">
        <v>44927</v>
      </c>
      <c r="H487" s="14">
        <v>142.57999999999998</v>
      </c>
      <c r="I487">
        <v>452</v>
      </c>
      <c r="J487" t="s">
        <v>88</v>
      </c>
      <c r="K487" t="s">
        <v>105</v>
      </c>
      <c r="L487" s="16" t="s">
        <v>95</v>
      </c>
    </row>
    <row r="488" spans="1:12" x14ac:dyDescent="0.35">
      <c r="A488" t="s">
        <v>8</v>
      </c>
      <c r="B488" t="s">
        <v>16</v>
      </c>
      <c r="C488" t="s">
        <v>95</v>
      </c>
      <c r="D488" t="s">
        <v>104</v>
      </c>
      <c r="E488" t="s">
        <v>8</v>
      </c>
      <c r="F488" s="7">
        <v>45276</v>
      </c>
      <c r="G488" s="1">
        <v>44927</v>
      </c>
      <c r="H488" s="14">
        <v>327.62</v>
      </c>
      <c r="I488">
        <v>820</v>
      </c>
      <c r="J488" t="s">
        <v>88</v>
      </c>
      <c r="K488" t="s">
        <v>105</v>
      </c>
      <c r="L488" s="16" t="s">
        <v>95</v>
      </c>
    </row>
    <row r="489" spans="1:12" x14ac:dyDescent="0.35">
      <c r="A489" t="s">
        <v>8</v>
      </c>
      <c r="B489" t="s">
        <v>84</v>
      </c>
      <c r="C489" t="s">
        <v>95</v>
      </c>
      <c r="D489" t="s">
        <v>104</v>
      </c>
      <c r="E489" t="s">
        <v>8</v>
      </c>
      <c r="F489" s="7">
        <v>45276</v>
      </c>
      <c r="G489" s="1">
        <v>44927</v>
      </c>
      <c r="H489" s="14">
        <v>10440.119999999999</v>
      </c>
      <c r="I489">
        <v>34174</v>
      </c>
      <c r="J489" t="s">
        <v>88</v>
      </c>
      <c r="K489" t="s">
        <v>105</v>
      </c>
      <c r="L489" s="16" t="s">
        <v>95</v>
      </c>
    </row>
    <row r="490" spans="1:12" x14ac:dyDescent="0.35">
      <c r="A490" t="s">
        <v>8</v>
      </c>
      <c r="B490" t="s">
        <v>17</v>
      </c>
      <c r="C490" t="s">
        <v>95</v>
      </c>
      <c r="D490" t="s">
        <v>104</v>
      </c>
      <c r="E490" t="s">
        <v>8</v>
      </c>
      <c r="F490" s="7">
        <v>45276</v>
      </c>
      <c r="G490" s="1">
        <v>44927</v>
      </c>
      <c r="H490" s="14">
        <v>241.23000000000002</v>
      </c>
      <c r="I490">
        <v>1288</v>
      </c>
      <c r="J490" t="s">
        <v>88</v>
      </c>
      <c r="K490" t="s">
        <v>105</v>
      </c>
      <c r="L490" s="16" t="s">
        <v>95</v>
      </c>
    </row>
    <row r="491" spans="1:12" x14ac:dyDescent="0.35">
      <c r="A491" t="s">
        <v>8</v>
      </c>
      <c r="B491" t="s">
        <v>106</v>
      </c>
      <c r="C491" t="s">
        <v>95</v>
      </c>
      <c r="D491" t="s">
        <v>104</v>
      </c>
      <c r="E491" t="s">
        <v>8</v>
      </c>
      <c r="F491" s="7">
        <v>45276</v>
      </c>
      <c r="G491" s="1">
        <v>44927</v>
      </c>
      <c r="H491" s="14">
        <v>12.08</v>
      </c>
      <c r="I491">
        <v>59</v>
      </c>
      <c r="J491" t="s">
        <v>88</v>
      </c>
      <c r="K491" t="s">
        <v>105</v>
      </c>
      <c r="L491" s="16" t="s">
        <v>95</v>
      </c>
    </row>
    <row r="492" spans="1:12" x14ac:dyDescent="0.35">
      <c r="A492" t="s">
        <v>8</v>
      </c>
      <c r="B492" t="s">
        <v>92</v>
      </c>
      <c r="C492" t="s">
        <v>95</v>
      </c>
      <c r="D492" t="s">
        <v>104</v>
      </c>
      <c r="E492" t="s">
        <v>8</v>
      </c>
      <c r="F492" s="7">
        <v>45276</v>
      </c>
      <c r="G492" s="1">
        <v>44927</v>
      </c>
      <c r="H492" s="14">
        <v>375.72</v>
      </c>
      <c r="I492">
        <v>1849</v>
      </c>
      <c r="J492" t="s">
        <v>88</v>
      </c>
      <c r="K492" t="s">
        <v>105</v>
      </c>
      <c r="L492" s="16" t="s">
        <v>95</v>
      </c>
    </row>
    <row r="493" spans="1:12" x14ac:dyDescent="0.35">
      <c r="A493" t="s">
        <v>8</v>
      </c>
      <c r="B493" t="s">
        <v>21</v>
      </c>
      <c r="C493" t="s">
        <v>95</v>
      </c>
      <c r="D493" t="s">
        <v>104</v>
      </c>
      <c r="E493" t="s">
        <v>8</v>
      </c>
      <c r="F493" s="7">
        <v>45276</v>
      </c>
      <c r="G493" s="1">
        <v>44927</v>
      </c>
      <c r="H493" s="14">
        <v>297.20000000000005</v>
      </c>
      <c r="I493">
        <v>1066</v>
      </c>
      <c r="J493" t="s">
        <v>88</v>
      </c>
      <c r="K493" t="s">
        <v>105</v>
      </c>
      <c r="L493" s="16" t="s">
        <v>95</v>
      </c>
    </row>
    <row r="494" spans="1:12" x14ac:dyDescent="0.35">
      <c r="A494" t="s">
        <v>8</v>
      </c>
      <c r="B494" t="s">
        <v>101</v>
      </c>
      <c r="C494" t="s">
        <v>95</v>
      </c>
      <c r="D494" t="s">
        <v>104</v>
      </c>
      <c r="E494" t="s">
        <v>8</v>
      </c>
      <c r="F494" s="7">
        <v>45276</v>
      </c>
      <c r="G494" s="1">
        <v>44927</v>
      </c>
      <c r="H494" s="14">
        <v>154.13999999999999</v>
      </c>
      <c r="I494">
        <v>613</v>
      </c>
      <c r="J494" t="s">
        <v>88</v>
      </c>
      <c r="K494" t="s">
        <v>105</v>
      </c>
      <c r="L494" s="16" t="s">
        <v>95</v>
      </c>
    </row>
    <row r="495" spans="1:12" x14ac:dyDescent="0.35">
      <c r="A495" t="s">
        <v>8</v>
      </c>
      <c r="B495" t="s">
        <v>99</v>
      </c>
      <c r="C495" t="s">
        <v>95</v>
      </c>
      <c r="D495" t="s">
        <v>104</v>
      </c>
      <c r="E495" t="s">
        <v>8</v>
      </c>
      <c r="F495" s="7">
        <v>45276</v>
      </c>
      <c r="G495" s="1">
        <v>44927</v>
      </c>
      <c r="H495" s="14">
        <v>162.08999999999997</v>
      </c>
      <c r="I495">
        <v>658</v>
      </c>
      <c r="J495" t="s">
        <v>88</v>
      </c>
      <c r="K495" t="s">
        <v>105</v>
      </c>
      <c r="L495" s="16" t="s">
        <v>95</v>
      </c>
    </row>
    <row r="496" spans="1:12" x14ac:dyDescent="0.35">
      <c r="A496" t="s">
        <v>8</v>
      </c>
      <c r="B496" t="s">
        <v>100</v>
      </c>
      <c r="C496" t="s">
        <v>95</v>
      </c>
      <c r="D496" t="s">
        <v>104</v>
      </c>
      <c r="E496" t="s">
        <v>8</v>
      </c>
      <c r="F496" s="7">
        <v>45276</v>
      </c>
      <c r="G496" s="1">
        <v>44927</v>
      </c>
      <c r="H496" s="14">
        <v>331.94</v>
      </c>
      <c r="I496">
        <v>1257</v>
      </c>
      <c r="J496" t="s">
        <v>88</v>
      </c>
      <c r="K496" t="s">
        <v>105</v>
      </c>
      <c r="L496" s="16" t="s">
        <v>95</v>
      </c>
    </row>
    <row r="497" spans="1:12" x14ac:dyDescent="0.35">
      <c r="A497" t="s">
        <v>8</v>
      </c>
      <c r="B497" t="s">
        <v>16</v>
      </c>
      <c r="C497" t="s">
        <v>85</v>
      </c>
      <c r="D497" t="s">
        <v>9</v>
      </c>
      <c r="E497" t="s">
        <v>11</v>
      </c>
      <c r="F497" s="7">
        <v>45283</v>
      </c>
      <c r="G497" s="1">
        <v>44927</v>
      </c>
      <c r="H497" s="14">
        <v>37767.739996000004</v>
      </c>
      <c r="I497">
        <v>5158282</v>
      </c>
      <c r="J497" t="s">
        <v>88</v>
      </c>
      <c r="K497" t="s">
        <v>87</v>
      </c>
      <c r="L497" s="16" t="s">
        <v>9</v>
      </c>
    </row>
    <row r="498" spans="1:12" x14ac:dyDescent="0.35">
      <c r="A498" t="s">
        <v>8</v>
      </c>
      <c r="B498" t="s">
        <v>16</v>
      </c>
      <c r="C498" t="s">
        <v>85</v>
      </c>
      <c r="D498" t="s">
        <v>9</v>
      </c>
      <c r="E498" t="s">
        <v>12</v>
      </c>
      <c r="F498" s="7">
        <v>45283</v>
      </c>
      <c r="G498" s="1">
        <v>44927</v>
      </c>
      <c r="H498" s="14">
        <v>21063.300009000002</v>
      </c>
      <c r="I498">
        <v>1863207</v>
      </c>
      <c r="J498" t="s">
        <v>88</v>
      </c>
      <c r="K498" t="s">
        <v>87</v>
      </c>
      <c r="L498" s="16" t="s">
        <v>12</v>
      </c>
    </row>
    <row r="499" spans="1:12" x14ac:dyDescent="0.35">
      <c r="A499" t="s">
        <v>8</v>
      </c>
      <c r="B499" t="s">
        <v>92</v>
      </c>
      <c r="C499" t="s">
        <v>93</v>
      </c>
      <c r="D499" t="s">
        <v>10</v>
      </c>
      <c r="E499" t="s">
        <v>10</v>
      </c>
      <c r="F499" s="7">
        <v>45283</v>
      </c>
      <c r="G499" s="1">
        <v>44927</v>
      </c>
      <c r="H499" s="14">
        <v>4139.6553000000004</v>
      </c>
      <c r="I499">
        <v>1589626</v>
      </c>
      <c r="J499" t="s">
        <v>88</v>
      </c>
      <c r="K499" t="s">
        <v>94</v>
      </c>
      <c r="L499" s="16" t="s">
        <v>10</v>
      </c>
    </row>
    <row r="500" spans="1:12" x14ac:dyDescent="0.35">
      <c r="A500" t="s">
        <v>8</v>
      </c>
      <c r="B500" t="s">
        <v>92</v>
      </c>
      <c r="C500" t="s">
        <v>95</v>
      </c>
      <c r="D500" t="s">
        <v>10</v>
      </c>
      <c r="E500" t="s">
        <v>10</v>
      </c>
      <c r="F500" s="7">
        <v>45283</v>
      </c>
      <c r="G500" s="1">
        <v>44927</v>
      </c>
      <c r="H500" s="14">
        <v>4540.3599999999969</v>
      </c>
      <c r="I500">
        <v>476527</v>
      </c>
      <c r="J500" t="s">
        <v>88</v>
      </c>
      <c r="K500" t="s">
        <v>96</v>
      </c>
      <c r="L500" s="16" t="s">
        <v>10</v>
      </c>
    </row>
    <row r="501" spans="1:12" x14ac:dyDescent="0.35">
      <c r="A501" t="s">
        <v>8</v>
      </c>
      <c r="B501" t="s">
        <v>84</v>
      </c>
      <c r="C501" t="s">
        <v>93</v>
      </c>
      <c r="D501" t="s">
        <v>10</v>
      </c>
      <c r="E501" t="s">
        <v>10</v>
      </c>
      <c r="F501" s="7">
        <v>45283</v>
      </c>
      <c r="G501" s="1">
        <v>44927</v>
      </c>
      <c r="H501" s="14">
        <v>10798.572400000001</v>
      </c>
      <c r="I501">
        <v>4917615</v>
      </c>
      <c r="J501" t="s">
        <v>88</v>
      </c>
      <c r="K501" t="s">
        <v>94</v>
      </c>
      <c r="L501" s="16" t="s">
        <v>10</v>
      </c>
    </row>
    <row r="502" spans="1:12" x14ac:dyDescent="0.35">
      <c r="A502" t="s">
        <v>8</v>
      </c>
      <c r="B502" t="s">
        <v>84</v>
      </c>
      <c r="C502" t="s">
        <v>95</v>
      </c>
      <c r="D502" t="s">
        <v>10</v>
      </c>
      <c r="E502" t="s">
        <v>10</v>
      </c>
      <c r="F502" s="7">
        <v>45283</v>
      </c>
      <c r="G502" s="1">
        <v>44927</v>
      </c>
      <c r="H502" s="14">
        <v>1970.0999999999995</v>
      </c>
      <c r="I502">
        <v>729325</v>
      </c>
      <c r="J502" t="s">
        <v>88</v>
      </c>
      <c r="K502" t="s">
        <v>96</v>
      </c>
      <c r="L502" s="16" t="s">
        <v>10</v>
      </c>
    </row>
    <row r="503" spans="1:12" x14ac:dyDescent="0.35">
      <c r="A503" t="s">
        <v>8</v>
      </c>
      <c r="B503" t="s">
        <v>17</v>
      </c>
      <c r="C503" t="s">
        <v>93</v>
      </c>
      <c r="D503" t="s">
        <v>10</v>
      </c>
      <c r="E503" t="s">
        <v>10</v>
      </c>
      <c r="F503" s="7">
        <v>45283</v>
      </c>
      <c r="G503" s="1">
        <v>44927</v>
      </c>
      <c r="H503" s="14">
        <v>4172.0446999999995</v>
      </c>
      <c r="I503">
        <v>779202</v>
      </c>
      <c r="J503" t="s">
        <v>88</v>
      </c>
      <c r="K503" t="s">
        <v>94</v>
      </c>
      <c r="L503" s="16" t="s">
        <v>10</v>
      </c>
    </row>
    <row r="504" spans="1:12" x14ac:dyDescent="0.35">
      <c r="A504" t="s">
        <v>8</v>
      </c>
      <c r="B504" t="s">
        <v>17</v>
      </c>
      <c r="C504" t="s">
        <v>95</v>
      </c>
      <c r="D504" t="s">
        <v>10</v>
      </c>
      <c r="E504" t="s">
        <v>10</v>
      </c>
      <c r="F504" s="7">
        <v>45283</v>
      </c>
      <c r="G504" s="1">
        <v>44927</v>
      </c>
      <c r="H504" s="14">
        <v>4265.3600000000015</v>
      </c>
      <c r="I504">
        <v>573301</v>
      </c>
      <c r="J504" t="s">
        <v>88</v>
      </c>
      <c r="K504" t="s">
        <v>96</v>
      </c>
      <c r="L504" s="16" t="s">
        <v>10</v>
      </c>
    </row>
    <row r="505" spans="1:12" x14ac:dyDescent="0.35">
      <c r="A505" t="s">
        <v>8</v>
      </c>
      <c r="B505" t="s">
        <v>99</v>
      </c>
      <c r="C505" t="s">
        <v>93</v>
      </c>
      <c r="D505" t="s">
        <v>10</v>
      </c>
      <c r="E505" t="s">
        <v>10</v>
      </c>
      <c r="F505" s="7">
        <v>45283</v>
      </c>
      <c r="G505" s="1">
        <v>44927</v>
      </c>
      <c r="H505" s="14">
        <v>3936.3377000000005</v>
      </c>
      <c r="I505">
        <v>592829</v>
      </c>
      <c r="J505" t="s">
        <v>88</v>
      </c>
      <c r="K505" t="s">
        <v>94</v>
      </c>
      <c r="L505" s="16" t="s">
        <v>10</v>
      </c>
    </row>
    <row r="506" spans="1:12" x14ac:dyDescent="0.35">
      <c r="A506" t="s">
        <v>8</v>
      </c>
      <c r="B506" t="s">
        <v>99</v>
      </c>
      <c r="C506" t="s">
        <v>95</v>
      </c>
      <c r="D506" t="s">
        <v>10</v>
      </c>
      <c r="E506" t="s">
        <v>10</v>
      </c>
      <c r="F506" s="7">
        <v>45283</v>
      </c>
      <c r="G506" s="1">
        <v>44927</v>
      </c>
      <c r="H506" s="14">
        <v>3155.8799999999987</v>
      </c>
      <c r="I506">
        <v>582934</v>
      </c>
      <c r="J506" t="s">
        <v>88</v>
      </c>
      <c r="K506" t="s">
        <v>96</v>
      </c>
      <c r="L506" s="16" t="s">
        <v>10</v>
      </c>
    </row>
    <row r="507" spans="1:12" x14ac:dyDescent="0.35">
      <c r="A507" t="s">
        <v>8</v>
      </c>
      <c r="B507" t="s">
        <v>100</v>
      </c>
      <c r="C507" t="s">
        <v>93</v>
      </c>
      <c r="D507" t="s">
        <v>10</v>
      </c>
      <c r="E507" t="s">
        <v>10</v>
      </c>
      <c r="F507" s="7">
        <v>45283</v>
      </c>
      <c r="G507" s="1">
        <v>44927</v>
      </c>
      <c r="H507" s="14">
        <v>3927.8930999999993</v>
      </c>
      <c r="I507">
        <v>1014469</v>
      </c>
      <c r="J507" t="s">
        <v>88</v>
      </c>
      <c r="K507" t="s">
        <v>94</v>
      </c>
      <c r="L507" s="16" t="s">
        <v>10</v>
      </c>
    </row>
    <row r="508" spans="1:12" x14ac:dyDescent="0.35">
      <c r="A508" t="s">
        <v>8</v>
      </c>
      <c r="B508" t="s">
        <v>100</v>
      </c>
      <c r="C508" t="s">
        <v>95</v>
      </c>
      <c r="D508" t="s">
        <v>10</v>
      </c>
      <c r="E508" t="s">
        <v>10</v>
      </c>
      <c r="F508" s="7">
        <v>45283</v>
      </c>
      <c r="G508" s="1">
        <v>44927</v>
      </c>
      <c r="H508" s="14">
        <v>1110.8199999999995</v>
      </c>
      <c r="I508">
        <v>254163</v>
      </c>
      <c r="J508" t="s">
        <v>88</v>
      </c>
      <c r="K508" t="s">
        <v>96</v>
      </c>
      <c r="L508" s="16" t="s">
        <v>10</v>
      </c>
    </row>
    <row r="509" spans="1:12" x14ac:dyDescent="0.35">
      <c r="A509" t="s">
        <v>8</v>
      </c>
      <c r="B509" t="s">
        <v>21</v>
      </c>
      <c r="C509" t="s">
        <v>95</v>
      </c>
      <c r="D509" t="s">
        <v>10</v>
      </c>
      <c r="E509" t="s">
        <v>10</v>
      </c>
      <c r="F509" s="7">
        <v>45283</v>
      </c>
      <c r="G509" s="1">
        <v>44927</v>
      </c>
      <c r="H509" s="14">
        <v>1922.0600000000006</v>
      </c>
      <c r="I509">
        <v>256165</v>
      </c>
      <c r="J509" t="s">
        <v>88</v>
      </c>
      <c r="K509" t="s">
        <v>96</v>
      </c>
      <c r="L509" s="16" t="s">
        <v>10</v>
      </c>
    </row>
    <row r="510" spans="1:12" x14ac:dyDescent="0.35">
      <c r="A510" t="s">
        <v>8</v>
      </c>
      <c r="B510" t="s">
        <v>101</v>
      </c>
      <c r="C510" t="s">
        <v>93</v>
      </c>
      <c r="D510" t="s">
        <v>10</v>
      </c>
      <c r="E510" t="s">
        <v>10</v>
      </c>
      <c r="F510" s="7">
        <v>45283</v>
      </c>
      <c r="G510" s="1">
        <v>44927</v>
      </c>
      <c r="H510" s="14">
        <v>3229.1633000000015</v>
      </c>
      <c r="I510">
        <v>806510</v>
      </c>
      <c r="J510" t="s">
        <v>88</v>
      </c>
      <c r="K510" t="s">
        <v>94</v>
      </c>
      <c r="L510" s="16" t="s">
        <v>10</v>
      </c>
    </row>
    <row r="511" spans="1:12" x14ac:dyDescent="0.35">
      <c r="A511" t="s">
        <v>8</v>
      </c>
      <c r="B511" t="s">
        <v>101</v>
      </c>
      <c r="C511" t="s">
        <v>95</v>
      </c>
      <c r="D511" t="s">
        <v>10</v>
      </c>
      <c r="E511" t="s">
        <v>10</v>
      </c>
      <c r="F511" s="7">
        <v>45283</v>
      </c>
      <c r="G511" s="1">
        <v>44927</v>
      </c>
      <c r="H511" s="14">
        <v>1676.5199999999993</v>
      </c>
      <c r="I511">
        <v>346105</v>
      </c>
      <c r="J511" t="s">
        <v>88</v>
      </c>
      <c r="K511" t="s">
        <v>96</v>
      </c>
      <c r="L511" s="16" t="s">
        <v>10</v>
      </c>
    </row>
    <row r="512" spans="1:12" x14ac:dyDescent="0.35">
      <c r="A512" t="s">
        <v>8</v>
      </c>
      <c r="B512" t="s">
        <v>16</v>
      </c>
      <c r="C512" t="s">
        <v>95</v>
      </c>
      <c r="D512" t="s">
        <v>10</v>
      </c>
      <c r="E512" t="s">
        <v>10</v>
      </c>
      <c r="F512" s="7">
        <v>45283</v>
      </c>
      <c r="G512" s="1">
        <v>44927</v>
      </c>
      <c r="H512" s="14">
        <v>656.9799999999999</v>
      </c>
      <c r="I512">
        <v>74942</v>
      </c>
      <c r="J512" t="s">
        <v>88</v>
      </c>
      <c r="K512" t="s">
        <v>96</v>
      </c>
      <c r="L512" s="16" t="s">
        <v>10</v>
      </c>
    </row>
    <row r="513" spans="1:12" x14ac:dyDescent="0.35">
      <c r="A513" t="s">
        <v>8</v>
      </c>
      <c r="B513" t="s">
        <v>103</v>
      </c>
      <c r="C513" t="s">
        <v>95</v>
      </c>
      <c r="D513" t="s">
        <v>104</v>
      </c>
      <c r="E513" t="s">
        <v>8</v>
      </c>
      <c r="F513" s="7">
        <v>45283</v>
      </c>
      <c r="G513" s="1">
        <v>44927</v>
      </c>
      <c r="H513" s="14">
        <v>167.07</v>
      </c>
      <c r="I513">
        <v>533</v>
      </c>
      <c r="J513" t="s">
        <v>88</v>
      </c>
      <c r="K513" t="s">
        <v>105</v>
      </c>
      <c r="L513" s="16" t="s">
        <v>95</v>
      </c>
    </row>
    <row r="514" spans="1:12" x14ac:dyDescent="0.35">
      <c r="A514" t="s">
        <v>8</v>
      </c>
      <c r="B514" t="s">
        <v>16</v>
      </c>
      <c r="C514" t="s">
        <v>95</v>
      </c>
      <c r="D514" t="s">
        <v>104</v>
      </c>
      <c r="E514" t="s">
        <v>8</v>
      </c>
      <c r="F514" s="7">
        <v>45283</v>
      </c>
      <c r="G514" s="1">
        <v>44927</v>
      </c>
      <c r="H514" s="14">
        <v>464.76</v>
      </c>
      <c r="I514">
        <v>940</v>
      </c>
      <c r="J514" t="s">
        <v>88</v>
      </c>
      <c r="K514" t="s">
        <v>105</v>
      </c>
      <c r="L514" s="16" t="s">
        <v>95</v>
      </c>
    </row>
    <row r="515" spans="1:12" x14ac:dyDescent="0.35">
      <c r="A515" t="s">
        <v>8</v>
      </c>
      <c r="B515" t="s">
        <v>84</v>
      </c>
      <c r="C515" t="s">
        <v>95</v>
      </c>
      <c r="D515" t="s">
        <v>104</v>
      </c>
      <c r="E515" t="s">
        <v>8</v>
      </c>
      <c r="F515" s="7">
        <v>45283</v>
      </c>
      <c r="G515" s="1">
        <v>44927</v>
      </c>
      <c r="H515" s="14">
        <v>10128.700000000001</v>
      </c>
      <c r="I515">
        <v>34349</v>
      </c>
      <c r="J515" t="s">
        <v>88</v>
      </c>
      <c r="K515" t="s">
        <v>105</v>
      </c>
      <c r="L515" s="16" t="s">
        <v>95</v>
      </c>
    </row>
    <row r="516" spans="1:12" x14ac:dyDescent="0.35">
      <c r="A516" t="s">
        <v>8</v>
      </c>
      <c r="B516" t="s">
        <v>17</v>
      </c>
      <c r="C516" t="s">
        <v>95</v>
      </c>
      <c r="D516" t="s">
        <v>104</v>
      </c>
      <c r="E516" t="s">
        <v>8</v>
      </c>
      <c r="F516" s="7">
        <v>45283</v>
      </c>
      <c r="G516" s="1">
        <v>44927</v>
      </c>
      <c r="H516" s="14">
        <v>212.78999999999996</v>
      </c>
      <c r="I516">
        <v>1080</v>
      </c>
      <c r="J516" t="s">
        <v>88</v>
      </c>
      <c r="K516" t="s">
        <v>105</v>
      </c>
      <c r="L516" s="16" t="s">
        <v>95</v>
      </c>
    </row>
    <row r="517" spans="1:12" x14ac:dyDescent="0.35">
      <c r="A517" t="s">
        <v>8</v>
      </c>
      <c r="B517" t="s">
        <v>106</v>
      </c>
      <c r="C517" t="s">
        <v>95</v>
      </c>
      <c r="D517" t="s">
        <v>104</v>
      </c>
      <c r="E517" t="s">
        <v>8</v>
      </c>
      <c r="F517" s="7">
        <v>45283</v>
      </c>
      <c r="G517" s="1">
        <v>44927</v>
      </c>
      <c r="H517" s="14">
        <v>36.78</v>
      </c>
      <c r="I517">
        <v>72</v>
      </c>
      <c r="J517" t="s">
        <v>88</v>
      </c>
      <c r="K517" t="s">
        <v>105</v>
      </c>
      <c r="L517" s="16" t="s">
        <v>95</v>
      </c>
    </row>
    <row r="518" spans="1:12" x14ac:dyDescent="0.35">
      <c r="A518" t="s">
        <v>8</v>
      </c>
      <c r="B518" t="s">
        <v>92</v>
      </c>
      <c r="C518" t="s">
        <v>95</v>
      </c>
      <c r="D518" t="s">
        <v>104</v>
      </c>
      <c r="E518" t="s">
        <v>8</v>
      </c>
      <c r="F518" s="7">
        <v>45283</v>
      </c>
      <c r="G518" s="1">
        <v>44927</v>
      </c>
      <c r="H518" s="14">
        <v>389.46000000000004</v>
      </c>
      <c r="I518">
        <v>1741</v>
      </c>
      <c r="J518" t="s">
        <v>88</v>
      </c>
      <c r="K518" t="s">
        <v>105</v>
      </c>
      <c r="L518" s="16" t="s">
        <v>95</v>
      </c>
    </row>
    <row r="519" spans="1:12" x14ac:dyDescent="0.35">
      <c r="A519" t="s">
        <v>8</v>
      </c>
      <c r="B519" t="s">
        <v>21</v>
      </c>
      <c r="C519" t="s">
        <v>95</v>
      </c>
      <c r="D519" t="s">
        <v>104</v>
      </c>
      <c r="E519" t="s">
        <v>8</v>
      </c>
      <c r="F519" s="7">
        <v>45283</v>
      </c>
      <c r="G519" s="1">
        <v>44927</v>
      </c>
      <c r="H519" s="14">
        <v>331.7</v>
      </c>
      <c r="I519">
        <v>1030</v>
      </c>
      <c r="J519" t="s">
        <v>88</v>
      </c>
      <c r="K519" t="s">
        <v>105</v>
      </c>
      <c r="L519" s="16" t="s">
        <v>95</v>
      </c>
    </row>
    <row r="520" spans="1:12" x14ac:dyDescent="0.35">
      <c r="A520" t="s">
        <v>8</v>
      </c>
      <c r="B520" t="s">
        <v>101</v>
      </c>
      <c r="C520" t="s">
        <v>95</v>
      </c>
      <c r="D520" t="s">
        <v>104</v>
      </c>
      <c r="E520" t="s">
        <v>8</v>
      </c>
      <c r="F520" s="7">
        <v>45283</v>
      </c>
      <c r="G520" s="1">
        <v>44927</v>
      </c>
      <c r="H520" s="14">
        <v>107.92999999999999</v>
      </c>
      <c r="I520">
        <v>574</v>
      </c>
      <c r="J520" t="s">
        <v>88</v>
      </c>
      <c r="K520" t="s">
        <v>105</v>
      </c>
      <c r="L520" s="16" t="s">
        <v>95</v>
      </c>
    </row>
    <row r="521" spans="1:12" x14ac:dyDescent="0.35">
      <c r="A521" t="s">
        <v>8</v>
      </c>
      <c r="B521" t="s">
        <v>99</v>
      </c>
      <c r="C521" t="s">
        <v>95</v>
      </c>
      <c r="D521" t="s">
        <v>104</v>
      </c>
      <c r="E521" t="s">
        <v>8</v>
      </c>
      <c r="F521" s="7">
        <v>45283</v>
      </c>
      <c r="G521" s="1">
        <v>44927</v>
      </c>
      <c r="H521" s="14">
        <v>168.05</v>
      </c>
      <c r="I521">
        <v>606</v>
      </c>
      <c r="J521" t="s">
        <v>88</v>
      </c>
      <c r="K521" t="s">
        <v>105</v>
      </c>
      <c r="L521" s="16" t="s">
        <v>95</v>
      </c>
    </row>
    <row r="522" spans="1:12" x14ac:dyDescent="0.35">
      <c r="A522" t="s">
        <v>8</v>
      </c>
      <c r="B522" t="s">
        <v>100</v>
      </c>
      <c r="C522" t="s">
        <v>95</v>
      </c>
      <c r="D522" t="s">
        <v>104</v>
      </c>
      <c r="E522" t="s">
        <v>8</v>
      </c>
      <c r="F522" s="7">
        <v>45283</v>
      </c>
      <c r="G522" s="1">
        <v>44927</v>
      </c>
      <c r="H522" s="14">
        <v>347.36</v>
      </c>
      <c r="I522">
        <v>1248</v>
      </c>
      <c r="J522" t="s">
        <v>88</v>
      </c>
      <c r="K522" t="s">
        <v>105</v>
      </c>
      <c r="L522" s="16" t="s">
        <v>95</v>
      </c>
    </row>
    <row r="523" spans="1:12" x14ac:dyDescent="0.35">
      <c r="A523" t="s">
        <v>8</v>
      </c>
      <c r="B523" t="s">
        <v>16</v>
      </c>
      <c r="C523" t="s">
        <v>85</v>
      </c>
      <c r="D523" t="s">
        <v>9</v>
      </c>
      <c r="E523" t="s">
        <v>11</v>
      </c>
      <c r="F523" s="7">
        <v>45290</v>
      </c>
      <c r="G523" s="1">
        <v>44927</v>
      </c>
      <c r="H523" s="14">
        <v>15955.130007</v>
      </c>
      <c r="I523">
        <v>2704263</v>
      </c>
      <c r="J523" t="s">
        <v>88</v>
      </c>
      <c r="K523" t="s">
        <v>87</v>
      </c>
      <c r="L523" s="16" t="s">
        <v>9</v>
      </c>
    </row>
    <row r="524" spans="1:12" x14ac:dyDescent="0.35">
      <c r="A524" t="s">
        <v>8</v>
      </c>
      <c r="B524" t="s">
        <v>16</v>
      </c>
      <c r="C524" t="s">
        <v>85</v>
      </c>
      <c r="D524" t="s">
        <v>9</v>
      </c>
      <c r="E524" t="s">
        <v>12</v>
      </c>
      <c r="F524" s="7">
        <v>45290</v>
      </c>
      <c r="G524" s="1">
        <v>44927</v>
      </c>
      <c r="H524" s="14">
        <v>11239.950003</v>
      </c>
      <c r="I524">
        <v>1233138</v>
      </c>
      <c r="J524" t="s">
        <v>88</v>
      </c>
      <c r="K524" t="s">
        <v>87</v>
      </c>
      <c r="L524" s="16" t="s">
        <v>12</v>
      </c>
    </row>
    <row r="525" spans="1:12" x14ac:dyDescent="0.35">
      <c r="A525" t="s">
        <v>8</v>
      </c>
      <c r="B525" t="s">
        <v>92</v>
      </c>
      <c r="C525" t="s">
        <v>93</v>
      </c>
      <c r="D525" t="s">
        <v>10</v>
      </c>
      <c r="E525" t="s">
        <v>10</v>
      </c>
      <c r="F525" s="7">
        <v>45290</v>
      </c>
      <c r="G525" s="1">
        <v>44927</v>
      </c>
      <c r="H525" s="14">
        <v>3012.6868999999992</v>
      </c>
      <c r="I525">
        <v>1103486</v>
      </c>
      <c r="J525" t="s">
        <v>88</v>
      </c>
      <c r="K525" t="s">
        <v>94</v>
      </c>
      <c r="L525" s="16" t="s">
        <v>10</v>
      </c>
    </row>
    <row r="526" spans="1:12" x14ac:dyDescent="0.35">
      <c r="A526" t="s">
        <v>8</v>
      </c>
      <c r="B526" t="s">
        <v>92</v>
      </c>
      <c r="C526" t="s">
        <v>95</v>
      </c>
      <c r="D526" t="s">
        <v>10</v>
      </c>
      <c r="E526" t="s">
        <v>10</v>
      </c>
      <c r="F526" s="7">
        <v>45290</v>
      </c>
      <c r="G526" s="1">
        <v>44927</v>
      </c>
      <c r="H526" s="14">
        <v>5305.0199999999968</v>
      </c>
      <c r="I526">
        <v>595204</v>
      </c>
      <c r="J526" t="s">
        <v>88</v>
      </c>
      <c r="K526" t="s">
        <v>96</v>
      </c>
      <c r="L526" s="16" t="s">
        <v>10</v>
      </c>
    </row>
    <row r="527" spans="1:12" x14ac:dyDescent="0.35">
      <c r="A527" t="s">
        <v>8</v>
      </c>
      <c r="B527" t="s">
        <v>84</v>
      </c>
      <c r="C527" t="s">
        <v>93</v>
      </c>
      <c r="D527" t="s">
        <v>10</v>
      </c>
      <c r="E527" t="s">
        <v>10</v>
      </c>
      <c r="F527" s="7">
        <v>45290</v>
      </c>
      <c r="G527" s="1">
        <v>44927</v>
      </c>
      <c r="H527" s="14">
        <v>8072.6683999999996</v>
      </c>
      <c r="I527">
        <v>3132194</v>
      </c>
      <c r="J527" t="s">
        <v>88</v>
      </c>
      <c r="K527" t="s">
        <v>94</v>
      </c>
      <c r="L527" s="16" t="s">
        <v>10</v>
      </c>
    </row>
    <row r="528" spans="1:12" x14ac:dyDescent="0.35">
      <c r="A528" t="s">
        <v>8</v>
      </c>
      <c r="B528" t="s">
        <v>84</v>
      </c>
      <c r="C528" t="s">
        <v>95</v>
      </c>
      <c r="D528" t="s">
        <v>10</v>
      </c>
      <c r="E528" t="s">
        <v>10</v>
      </c>
      <c r="F528" s="7">
        <v>45290</v>
      </c>
      <c r="G528" s="1">
        <v>44927</v>
      </c>
      <c r="H528" s="14">
        <v>2159.1</v>
      </c>
      <c r="I528">
        <v>742031</v>
      </c>
      <c r="J528" t="s">
        <v>88</v>
      </c>
      <c r="K528" t="s">
        <v>96</v>
      </c>
      <c r="L528" s="16" t="s">
        <v>10</v>
      </c>
    </row>
    <row r="529" spans="1:12" x14ac:dyDescent="0.35">
      <c r="A529" t="s">
        <v>8</v>
      </c>
      <c r="B529" t="s">
        <v>17</v>
      </c>
      <c r="C529" t="s">
        <v>93</v>
      </c>
      <c r="D529" t="s">
        <v>10</v>
      </c>
      <c r="E529" t="s">
        <v>10</v>
      </c>
      <c r="F529" s="7">
        <v>45290</v>
      </c>
      <c r="G529" s="1">
        <v>44927</v>
      </c>
      <c r="H529" s="14">
        <v>2882.5598000000005</v>
      </c>
      <c r="I529">
        <v>592693</v>
      </c>
      <c r="J529" t="s">
        <v>88</v>
      </c>
      <c r="K529" t="s">
        <v>94</v>
      </c>
      <c r="L529" s="16" t="s">
        <v>10</v>
      </c>
    </row>
    <row r="530" spans="1:12" x14ac:dyDescent="0.35">
      <c r="A530" t="s">
        <v>8</v>
      </c>
      <c r="B530" t="s">
        <v>17</v>
      </c>
      <c r="C530" t="s">
        <v>95</v>
      </c>
      <c r="D530" t="s">
        <v>10</v>
      </c>
      <c r="E530" t="s">
        <v>10</v>
      </c>
      <c r="F530" s="7">
        <v>45290</v>
      </c>
      <c r="G530" s="1">
        <v>44927</v>
      </c>
      <c r="H530" s="14">
        <v>5065.0499999999993</v>
      </c>
      <c r="I530">
        <v>750908</v>
      </c>
      <c r="J530" t="s">
        <v>88</v>
      </c>
      <c r="K530" t="s">
        <v>96</v>
      </c>
      <c r="L530" s="16" t="s">
        <v>10</v>
      </c>
    </row>
    <row r="531" spans="1:12" x14ac:dyDescent="0.35">
      <c r="A531" t="s">
        <v>8</v>
      </c>
      <c r="B531" t="s">
        <v>99</v>
      </c>
      <c r="C531" t="s">
        <v>93</v>
      </c>
      <c r="D531" t="s">
        <v>10</v>
      </c>
      <c r="E531" t="s">
        <v>10</v>
      </c>
      <c r="F531" s="7">
        <v>45290</v>
      </c>
      <c r="G531" s="1">
        <v>44927</v>
      </c>
      <c r="H531" s="14">
        <v>2807.4654</v>
      </c>
      <c r="I531">
        <v>566892</v>
      </c>
      <c r="J531" t="s">
        <v>88</v>
      </c>
      <c r="K531" t="s">
        <v>94</v>
      </c>
      <c r="L531" s="16" t="s">
        <v>10</v>
      </c>
    </row>
    <row r="532" spans="1:12" x14ac:dyDescent="0.35">
      <c r="A532" t="s">
        <v>8</v>
      </c>
      <c r="B532" t="s">
        <v>99</v>
      </c>
      <c r="C532" t="s">
        <v>95</v>
      </c>
      <c r="D532" t="s">
        <v>10</v>
      </c>
      <c r="E532" t="s">
        <v>10</v>
      </c>
      <c r="F532" s="7">
        <v>45290</v>
      </c>
      <c r="G532" s="1">
        <v>44927</v>
      </c>
      <c r="H532" s="14">
        <v>3970.6599999999985</v>
      </c>
      <c r="I532">
        <v>979038</v>
      </c>
      <c r="J532" t="s">
        <v>88</v>
      </c>
      <c r="K532" t="s">
        <v>96</v>
      </c>
      <c r="L532" s="16" t="s">
        <v>10</v>
      </c>
    </row>
    <row r="533" spans="1:12" x14ac:dyDescent="0.35">
      <c r="A533" t="s">
        <v>8</v>
      </c>
      <c r="B533" t="s">
        <v>100</v>
      </c>
      <c r="C533" t="s">
        <v>93</v>
      </c>
      <c r="D533" t="s">
        <v>10</v>
      </c>
      <c r="E533" t="s">
        <v>10</v>
      </c>
      <c r="F533" s="7">
        <v>45290</v>
      </c>
      <c r="G533" s="1">
        <v>44927</v>
      </c>
      <c r="H533" s="14">
        <v>2842.0390999999991</v>
      </c>
      <c r="I533">
        <v>742659</v>
      </c>
      <c r="J533" t="s">
        <v>88</v>
      </c>
      <c r="K533" t="s">
        <v>94</v>
      </c>
      <c r="L533" s="16" t="s">
        <v>10</v>
      </c>
    </row>
    <row r="534" spans="1:12" x14ac:dyDescent="0.35">
      <c r="A534" t="s">
        <v>8</v>
      </c>
      <c r="B534" t="s">
        <v>100</v>
      </c>
      <c r="C534" t="s">
        <v>95</v>
      </c>
      <c r="D534" t="s">
        <v>10</v>
      </c>
      <c r="E534" t="s">
        <v>10</v>
      </c>
      <c r="F534" s="7">
        <v>45290</v>
      </c>
      <c r="G534" s="1">
        <v>44927</v>
      </c>
      <c r="H534" s="14">
        <v>1359.9299999999998</v>
      </c>
      <c r="I534">
        <v>284609</v>
      </c>
      <c r="J534" t="s">
        <v>88</v>
      </c>
      <c r="K534" t="s">
        <v>96</v>
      </c>
      <c r="L534" s="16" t="s">
        <v>10</v>
      </c>
    </row>
    <row r="535" spans="1:12" x14ac:dyDescent="0.35">
      <c r="A535" t="s">
        <v>8</v>
      </c>
      <c r="B535" t="s">
        <v>21</v>
      </c>
      <c r="C535" t="s">
        <v>95</v>
      </c>
      <c r="D535" t="s">
        <v>10</v>
      </c>
      <c r="E535" t="s">
        <v>10</v>
      </c>
      <c r="F535" s="7">
        <v>45290</v>
      </c>
      <c r="G535" s="1">
        <v>44927</v>
      </c>
      <c r="H535" s="14">
        <v>2220.9299999999994</v>
      </c>
      <c r="I535">
        <v>304091</v>
      </c>
      <c r="J535" t="s">
        <v>88</v>
      </c>
      <c r="K535" t="s">
        <v>96</v>
      </c>
      <c r="L535" s="16" t="s">
        <v>10</v>
      </c>
    </row>
    <row r="536" spans="1:12" x14ac:dyDescent="0.35">
      <c r="A536" t="s">
        <v>8</v>
      </c>
      <c r="B536" t="s">
        <v>101</v>
      </c>
      <c r="C536" t="s">
        <v>93</v>
      </c>
      <c r="D536" t="s">
        <v>10</v>
      </c>
      <c r="E536" t="s">
        <v>10</v>
      </c>
      <c r="F536" s="7">
        <v>45290</v>
      </c>
      <c r="G536" s="1">
        <v>44927</v>
      </c>
      <c r="H536" s="14">
        <v>2306.4244000000008</v>
      </c>
      <c r="I536">
        <v>706844</v>
      </c>
      <c r="J536" t="s">
        <v>88</v>
      </c>
      <c r="K536" t="s">
        <v>94</v>
      </c>
      <c r="L536" s="16" t="s">
        <v>10</v>
      </c>
    </row>
    <row r="537" spans="1:12" x14ac:dyDescent="0.35">
      <c r="A537" t="s">
        <v>8</v>
      </c>
      <c r="B537" t="s">
        <v>101</v>
      </c>
      <c r="C537" t="s">
        <v>95</v>
      </c>
      <c r="D537" t="s">
        <v>10</v>
      </c>
      <c r="E537" t="s">
        <v>10</v>
      </c>
      <c r="F537" s="7">
        <v>45290</v>
      </c>
      <c r="G537" s="1">
        <v>44927</v>
      </c>
      <c r="H537" s="14">
        <v>2054.0100000000002</v>
      </c>
      <c r="I537">
        <v>384176</v>
      </c>
      <c r="J537" t="s">
        <v>88</v>
      </c>
      <c r="K537" t="s">
        <v>96</v>
      </c>
      <c r="L537" s="16" t="s">
        <v>10</v>
      </c>
    </row>
    <row r="538" spans="1:12" x14ac:dyDescent="0.35">
      <c r="A538" t="s">
        <v>8</v>
      </c>
      <c r="B538" t="s">
        <v>16</v>
      </c>
      <c r="C538" t="s">
        <v>95</v>
      </c>
      <c r="D538" t="s">
        <v>10</v>
      </c>
      <c r="E538" t="s">
        <v>10</v>
      </c>
      <c r="F538" s="7">
        <v>45290</v>
      </c>
      <c r="G538" s="1">
        <v>44927</v>
      </c>
      <c r="H538" s="14">
        <v>834.4</v>
      </c>
      <c r="I538">
        <v>109160</v>
      </c>
      <c r="J538" t="s">
        <v>88</v>
      </c>
      <c r="K538" t="s">
        <v>96</v>
      </c>
      <c r="L538" s="16" t="s">
        <v>10</v>
      </c>
    </row>
    <row r="539" spans="1:12" x14ac:dyDescent="0.35">
      <c r="A539" t="s">
        <v>8</v>
      </c>
      <c r="B539" t="s">
        <v>103</v>
      </c>
      <c r="C539" t="s">
        <v>95</v>
      </c>
      <c r="D539" t="s">
        <v>104</v>
      </c>
      <c r="E539" t="s">
        <v>8</v>
      </c>
      <c r="F539" s="7">
        <v>45290</v>
      </c>
      <c r="G539" s="1">
        <v>44927</v>
      </c>
      <c r="H539" s="14">
        <v>137.16999999999999</v>
      </c>
      <c r="I539">
        <v>351</v>
      </c>
      <c r="J539" t="s">
        <v>88</v>
      </c>
      <c r="K539" t="s">
        <v>105</v>
      </c>
      <c r="L539" s="16" t="s">
        <v>95</v>
      </c>
    </row>
    <row r="540" spans="1:12" x14ac:dyDescent="0.35">
      <c r="A540" t="s">
        <v>8</v>
      </c>
      <c r="B540" t="s">
        <v>16</v>
      </c>
      <c r="C540" t="s">
        <v>95</v>
      </c>
      <c r="D540" t="s">
        <v>104</v>
      </c>
      <c r="E540" t="s">
        <v>8</v>
      </c>
      <c r="F540" s="7">
        <v>45290</v>
      </c>
      <c r="G540" s="1">
        <v>44927</v>
      </c>
      <c r="H540" s="14">
        <v>359.56000000000006</v>
      </c>
      <c r="I540">
        <v>870</v>
      </c>
      <c r="J540" t="s">
        <v>88</v>
      </c>
      <c r="K540" t="s">
        <v>105</v>
      </c>
      <c r="L540" s="16" t="s">
        <v>95</v>
      </c>
    </row>
    <row r="541" spans="1:12" x14ac:dyDescent="0.35">
      <c r="A541" t="s">
        <v>8</v>
      </c>
      <c r="B541" t="s">
        <v>84</v>
      </c>
      <c r="C541" t="s">
        <v>95</v>
      </c>
      <c r="D541" t="s">
        <v>104</v>
      </c>
      <c r="E541" t="s">
        <v>8</v>
      </c>
      <c r="F541" s="7">
        <v>45290</v>
      </c>
      <c r="G541" s="1">
        <v>44927</v>
      </c>
      <c r="H541" s="14">
        <v>9479.6699999999964</v>
      </c>
      <c r="I541">
        <v>32506</v>
      </c>
      <c r="J541" t="s">
        <v>88</v>
      </c>
      <c r="K541" t="s">
        <v>105</v>
      </c>
      <c r="L541" s="16" t="s">
        <v>95</v>
      </c>
    </row>
    <row r="542" spans="1:12" x14ac:dyDescent="0.35">
      <c r="A542" t="s">
        <v>8</v>
      </c>
      <c r="B542" t="s">
        <v>17</v>
      </c>
      <c r="C542" t="s">
        <v>95</v>
      </c>
      <c r="D542" t="s">
        <v>104</v>
      </c>
      <c r="E542" t="s">
        <v>8</v>
      </c>
      <c r="F542" s="7">
        <v>45290</v>
      </c>
      <c r="G542" s="1">
        <v>44927</v>
      </c>
      <c r="H542" s="14">
        <v>108.99999999999999</v>
      </c>
      <c r="I542">
        <v>762</v>
      </c>
      <c r="J542" t="s">
        <v>88</v>
      </c>
      <c r="K542" t="s">
        <v>105</v>
      </c>
      <c r="L542" s="16" t="s">
        <v>95</v>
      </c>
    </row>
    <row r="543" spans="1:12" x14ac:dyDescent="0.35">
      <c r="A543" t="s">
        <v>8</v>
      </c>
      <c r="B543" t="s">
        <v>106</v>
      </c>
      <c r="C543" t="s">
        <v>95</v>
      </c>
      <c r="D543" t="s">
        <v>104</v>
      </c>
      <c r="E543" t="s">
        <v>8</v>
      </c>
      <c r="F543" s="7">
        <v>45290</v>
      </c>
      <c r="G543" s="1">
        <v>44927</v>
      </c>
      <c r="H543" s="14">
        <v>8.85</v>
      </c>
      <c r="I543">
        <v>8</v>
      </c>
      <c r="J543" t="s">
        <v>88</v>
      </c>
      <c r="K543" t="s">
        <v>105</v>
      </c>
      <c r="L543" s="16" t="s">
        <v>95</v>
      </c>
    </row>
    <row r="544" spans="1:12" x14ac:dyDescent="0.35">
      <c r="A544" t="s">
        <v>8</v>
      </c>
      <c r="B544" t="s">
        <v>92</v>
      </c>
      <c r="C544" t="s">
        <v>95</v>
      </c>
      <c r="D544" t="s">
        <v>104</v>
      </c>
      <c r="E544" t="s">
        <v>8</v>
      </c>
      <c r="F544" s="7">
        <v>45290</v>
      </c>
      <c r="G544" s="1">
        <v>44927</v>
      </c>
      <c r="H544" s="14">
        <v>263.13</v>
      </c>
      <c r="I544">
        <v>1275</v>
      </c>
      <c r="J544" t="s">
        <v>88</v>
      </c>
      <c r="K544" t="s">
        <v>105</v>
      </c>
      <c r="L544" s="16" t="s">
        <v>95</v>
      </c>
    </row>
    <row r="545" spans="1:12" x14ac:dyDescent="0.35">
      <c r="A545" t="s">
        <v>8</v>
      </c>
      <c r="B545" t="s">
        <v>21</v>
      </c>
      <c r="C545" t="s">
        <v>95</v>
      </c>
      <c r="D545" t="s">
        <v>104</v>
      </c>
      <c r="E545" t="s">
        <v>8</v>
      </c>
      <c r="F545" s="7">
        <v>45290</v>
      </c>
      <c r="G545" s="1">
        <v>44927</v>
      </c>
      <c r="H545" s="14">
        <v>300.01</v>
      </c>
      <c r="I545">
        <v>1032</v>
      </c>
      <c r="J545" t="s">
        <v>88</v>
      </c>
      <c r="K545" t="s">
        <v>105</v>
      </c>
      <c r="L545" s="16" t="s">
        <v>95</v>
      </c>
    </row>
    <row r="546" spans="1:12" x14ac:dyDescent="0.35">
      <c r="A546" t="s">
        <v>8</v>
      </c>
      <c r="B546" t="s">
        <v>101</v>
      </c>
      <c r="C546" t="s">
        <v>95</v>
      </c>
      <c r="D546" t="s">
        <v>104</v>
      </c>
      <c r="E546" t="s">
        <v>8</v>
      </c>
      <c r="F546" s="7">
        <v>45290</v>
      </c>
      <c r="G546" s="1">
        <v>44927</v>
      </c>
      <c r="H546" s="14">
        <v>99.240000000000009</v>
      </c>
      <c r="I546">
        <v>458</v>
      </c>
      <c r="J546" t="s">
        <v>88</v>
      </c>
      <c r="K546" t="s">
        <v>105</v>
      </c>
      <c r="L546" s="16" t="s">
        <v>95</v>
      </c>
    </row>
    <row r="547" spans="1:12" x14ac:dyDescent="0.35">
      <c r="A547" t="s">
        <v>8</v>
      </c>
      <c r="B547" t="s">
        <v>99</v>
      </c>
      <c r="C547" t="s">
        <v>95</v>
      </c>
      <c r="D547" t="s">
        <v>104</v>
      </c>
      <c r="E547" t="s">
        <v>8</v>
      </c>
      <c r="F547" s="7">
        <v>45290</v>
      </c>
      <c r="G547" s="1">
        <v>44927</v>
      </c>
      <c r="H547" s="14">
        <v>132.09</v>
      </c>
      <c r="I547">
        <v>573</v>
      </c>
      <c r="J547" t="s">
        <v>88</v>
      </c>
      <c r="K547" t="s">
        <v>105</v>
      </c>
      <c r="L547" s="16" t="s">
        <v>95</v>
      </c>
    </row>
    <row r="548" spans="1:12" x14ac:dyDescent="0.35">
      <c r="A548" t="s">
        <v>8</v>
      </c>
      <c r="B548" t="s">
        <v>100</v>
      </c>
      <c r="C548" t="s">
        <v>95</v>
      </c>
      <c r="D548" t="s">
        <v>104</v>
      </c>
      <c r="E548" t="s">
        <v>8</v>
      </c>
      <c r="F548" s="7">
        <v>45290</v>
      </c>
      <c r="G548" s="1">
        <v>44927</v>
      </c>
      <c r="H548" s="14">
        <v>366.48999999999995</v>
      </c>
      <c r="I548">
        <v>1794</v>
      </c>
      <c r="J548" t="s">
        <v>88</v>
      </c>
      <c r="K548" t="s">
        <v>105</v>
      </c>
      <c r="L548" s="16" t="s">
        <v>95</v>
      </c>
    </row>
    <row r="549" spans="1:12" x14ac:dyDescent="0.35">
      <c r="A549" t="s">
        <v>8</v>
      </c>
      <c r="B549" t="s">
        <v>92</v>
      </c>
      <c r="C549" t="s">
        <v>93</v>
      </c>
      <c r="D549" t="s">
        <v>10</v>
      </c>
      <c r="E549" t="s">
        <v>10</v>
      </c>
      <c r="F549" s="7">
        <v>45297</v>
      </c>
      <c r="G549" s="1">
        <v>44927</v>
      </c>
      <c r="H549" s="14">
        <v>1.2483</v>
      </c>
      <c r="I549">
        <v>453</v>
      </c>
      <c r="J549" t="s">
        <v>88</v>
      </c>
      <c r="K549" t="s">
        <v>94</v>
      </c>
      <c r="L549" s="16" t="s">
        <v>10</v>
      </c>
    </row>
    <row r="550" spans="1:12" x14ac:dyDescent="0.35">
      <c r="A550" t="s">
        <v>8</v>
      </c>
      <c r="B550" t="s">
        <v>92</v>
      </c>
      <c r="C550" t="s">
        <v>93</v>
      </c>
      <c r="D550" t="s">
        <v>10</v>
      </c>
      <c r="E550" t="s">
        <v>10</v>
      </c>
      <c r="F550" s="7">
        <v>45297</v>
      </c>
      <c r="G550" s="1">
        <v>45292</v>
      </c>
      <c r="H550" s="14">
        <v>4664.4183999999996</v>
      </c>
      <c r="I550">
        <v>1516074</v>
      </c>
      <c r="J550" t="s">
        <v>88</v>
      </c>
      <c r="K550" t="s">
        <v>94</v>
      </c>
      <c r="L550" s="16" t="s">
        <v>10</v>
      </c>
    </row>
    <row r="551" spans="1:12" x14ac:dyDescent="0.35">
      <c r="A551" t="s">
        <v>8</v>
      </c>
      <c r="B551" t="s">
        <v>92</v>
      </c>
      <c r="C551" t="s">
        <v>95</v>
      </c>
      <c r="D551" t="s">
        <v>10</v>
      </c>
      <c r="E551" t="s">
        <v>10</v>
      </c>
      <c r="F551" s="7">
        <v>45297</v>
      </c>
      <c r="G551" s="1">
        <v>45292</v>
      </c>
      <c r="H551" s="14">
        <v>4020.3399999999979</v>
      </c>
      <c r="I551">
        <v>512733</v>
      </c>
      <c r="J551" t="s">
        <v>88</v>
      </c>
      <c r="K551" t="s">
        <v>96</v>
      </c>
      <c r="L551" s="16" t="s">
        <v>10</v>
      </c>
    </row>
    <row r="552" spans="1:12" x14ac:dyDescent="0.35">
      <c r="A552" t="s">
        <v>8</v>
      </c>
      <c r="B552" t="s">
        <v>84</v>
      </c>
      <c r="C552" t="s">
        <v>93</v>
      </c>
      <c r="D552" t="s">
        <v>10</v>
      </c>
      <c r="E552" t="s">
        <v>10</v>
      </c>
      <c r="F552" s="7">
        <v>45297</v>
      </c>
      <c r="G552" s="1">
        <v>44927</v>
      </c>
      <c r="H552" s="14">
        <v>124.20739999999999</v>
      </c>
      <c r="I552">
        <v>76277</v>
      </c>
      <c r="J552" t="s">
        <v>88</v>
      </c>
      <c r="K552" t="s">
        <v>94</v>
      </c>
      <c r="L552" s="16" t="s">
        <v>10</v>
      </c>
    </row>
    <row r="553" spans="1:12" x14ac:dyDescent="0.35">
      <c r="A553" t="s">
        <v>8</v>
      </c>
      <c r="B553" t="s">
        <v>84</v>
      </c>
      <c r="C553" t="s">
        <v>93</v>
      </c>
      <c r="D553" t="s">
        <v>10</v>
      </c>
      <c r="E553" t="s">
        <v>10</v>
      </c>
      <c r="F553" s="7">
        <v>45297</v>
      </c>
      <c r="G553" s="1">
        <v>45292</v>
      </c>
      <c r="H553" s="14">
        <v>3447.2480999999984</v>
      </c>
      <c r="I553">
        <v>1372143</v>
      </c>
      <c r="J553" t="s">
        <v>88</v>
      </c>
      <c r="K553" t="s">
        <v>94</v>
      </c>
      <c r="L553" s="16" t="s">
        <v>10</v>
      </c>
    </row>
    <row r="554" spans="1:12" x14ac:dyDescent="0.35">
      <c r="A554" t="s">
        <v>8</v>
      </c>
      <c r="B554" t="s">
        <v>84</v>
      </c>
      <c r="C554" t="s">
        <v>95</v>
      </c>
      <c r="D554" t="s">
        <v>10</v>
      </c>
      <c r="E554" t="s">
        <v>10</v>
      </c>
      <c r="F554" s="7">
        <v>45297</v>
      </c>
      <c r="G554" s="1">
        <v>45292</v>
      </c>
      <c r="H554" s="14">
        <v>1741.8099999999993</v>
      </c>
      <c r="I554">
        <v>587877</v>
      </c>
      <c r="J554" t="s">
        <v>88</v>
      </c>
      <c r="K554" t="s">
        <v>96</v>
      </c>
      <c r="L554" s="16" t="s">
        <v>10</v>
      </c>
    </row>
    <row r="555" spans="1:12" x14ac:dyDescent="0.35">
      <c r="A555" t="s">
        <v>8</v>
      </c>
      <c r="B555" t="s">
        <v>17</v>
      </c>
      <c r="C555" t="s">
        <v>93</v>
      </c>
      <c r="D555" t="s">
        <v>10</v>
      </c>
      <c r="E555" t="s">
        <v>10</v>
      </c>
      <c r="F555" s="7">
        <v>45297</v>
      </c>
      <c r="G555" s="1">
        <v>44927</v>
      </c>
      <c r="H555" s="14">
        <v>17.196099999999998</v>
      </c>
      <c r="I555">
        <v>5069</v>
      </c>
      <c r="J555" t="s">
        <v>88</v>
      </c>
      <c r="K555" t="s">
        <v>94</v>
      </c>
      <c r="L555" s="16" t="s">
        <v>10</v>
      </c>
    </row>
    <row r="556" spans="1:12" x14ac:dyDescent="0.35">
      <c r="A556" t="s">
        <v>8</v>
      </c>
      <c r="B556" t="s">
        <v>17</v>
      </c>
      <c r="C556" t="s">
        <v>93</v>
      </c>
      <c r="D556" t="s">
        <v>10</v>
      </c>
      <c r="E556" t="s">
        <v>10</v>
      </c>
      <c r="F556" s="7">
        <v>45297</v>
      </c>
      <c r="G556" s="1">
        <v>45292</v>
      </c>
      <c r="H556" s="14">
        <v>4102.947000000001</v>
      </c>
      <c r="I556">
        <v>691155</v>
      </c>
      <c r="J556" t="s">
        <v>88</v>
      </c>
      <c r="K556" t="s">
        <v>94</v>
      </c>
      <c r="L556" s="16" t="s">
        <v>10</v>
      </c>
    </row>
    <row r="557" spans="1:12" x14ac:dyDescent="0.35">
      <c r="A557" t="s">
        <v>8</v>
      </c>
      <c r="B557" t="s">
        <v>17</v>
      </c>
      <c r="C557" t="s">
        <v>95</v>
      </c>
      <c r="D557" t="s">
        <v>10</v>
      </c>
      <c r="E557" t="s">
        <v>10</v>
      </c>
      <c r="F557" s="7">
        <v>45297</v>
      </c>
      <c r="G557" s="1">
        <v>45292</v>
      </c>
      <c r="H557" s="14">
        <v>4042.0499999999993</v>
      </c>
      <c r="I557">
        <v>554106</v>
      </c>
      <c r="J557" t="s">
        <v>88</v>
      </c>
      <c r="K557" t="s">
        <v>96</v>
      </c>
      <c r="L557" s="16" t="s">
        <v>10</v>
      </c>
    </row>
    <row r="558" spans="1:12" x14ac:dyDescent="0.35">
      <c r="A558" t="s">
        <v>8</v>
      </c>
      <c r="B558" t="s">
        <v>99</v>
      </c>
      <c r="C558" t="s">
        <v>93</v>
      </c>
      <c r="D558" t="s">
        <v>10</v>
      </c>
      <c r="E558" t="s">
        <v>10</v>
      </c>
      <c r="F558" s="7">
        <v>45297</v>
      </c>
      <c r="G558" s="1">
        <v>44927</v>
      </c>
      <c r="H558" s="14">
        <v>12.6975</v>
      </c>
      <c r="I558">
        <v>2498</v>
      </c>
      <c r="J558" t="s">
        <v>88</v>
      </c>
      <c r="K558" t="s">
        <v>94</v>
      </c>
      <c r="L558" s="16" t="s">
        <v>10</v>
      </c>
    </row>
    <row r="559" spans="1:12" x14ac:dyDescent="0.35">
      <c r="A559" t="s">
        <v>8</v>
      </c>
      <c r="B559" t="s">
        <v>99</v>
      </c>
      <c r="C559" t="s">
        <v>93</v>
      </c>
      <c r="D559" t="s">
        <v>10</v>
      </c>
      <c r="E559" t="s">
        <v>10</v>
      </c>
      <c r="F559" s="7">
        <v>45297</v>
      </c>
      <c r="G559" s="1">
        <v>45292</v>
      </c>
      <c r="H559" s="14">
        <v>3965.7071999999989</v>
      </c>
      <c r="I559">
        <v>735327</v>
      </c>
      <c r="J559" t="s">
        <v>88</v>
      </c>
      <c r="K559" t="s">
        <v>94</v>
      </c>
      <c r="L559" s="16" t="s">
        <v>10</v>
      </c>
    </row>
    <row r="560" spans="1:12" x14ac:dyDescent="0.35">
      <c r="A560" t="s">
        <v>8</v>
      </c>
      <c r="B560" t="s">
        <v>99</v>
      </c>
      <c r="C560" t="s">
        <v>95</v>
      </c>
      <c r="D560" t="s">
        <v>10</v>
      </c>
      <c r="E560" t="s">
        <v>10</v>
      </c>
      <c r="F560" s="7">
        <v>45297</v>
      </c>
      <c r="G560" s="1">
        <v>45292</v>
      </c>
      <c r="H560" s="14">
        <v>3402.35</v>
      </c>
      <c r="I560">
        <v>913261</v>
      </c>
      <c r="J560" t="s">
        <v>88</v>
      </c>
      <c r="K560" t="s">
        <v>96</v>
      </c>
      <c r="L560" s="16" t="s">
        <v>10</v>
      </c>
    </row>
    <row r="561" spans="1:12" x14ac:dyDescent="0.35">
      <c r="A561" t="s">
        <v>8</v>
      </c>
      <c r="B561" t="s">
        <v>100</v>
      </c>
      <c r="C561" t="s">
        <v>93</v>
      </c>
      <c r="D561" t="s">
        <v>10</v>
      </c>
      <c r="E561" t="s">
        <v>10</v>
      </c>
      <c r="F561" s="7">
        <v>45297</v>
      </c>
      <c r="G561" s="1">
        <v>44927</v>
      </c>
      <c r="H561" s="14">
        <v>22.471200000000003</v>
      </c>
      <c r="I561">
        <v>4896</v>
      </c>
      <c r="J561" t="s">
        <v>88</v>
      </c>
      <c r="K561" t="s">
        <v>94</v>
      </c>
      <c r="L561" s="16" t="s">
        <v>10</v>
      </c>
    </row>
    <row r="562" spans="1:12" x14ac:dyDescent="0.35">
      <c r="A562" t="s">
        <v>8</v>
      </c>
      <c r="B562" t="s">
        <v>100</v>
      </c>
      <c r="C562" t="s">
        <v>93</v>
      </c>
      <c r="D562" t="s">
        <v>10</v>
      </c>
      <c r="E562" t="s">
        <v>10</v>
      </c>
      <c r="F562" s="7">
        <v>45297</v>
      </c>
      <c r="G562" s="1">
        <v>45292</v>
      </c>
      <c r="H562" s="14">
        <v>3768.9037000000003</v>
      </c>
      <c r="I562">
        <v>911414</v>
      </c>
      <c r="J562" t="s">
        <v>88</v>
      </c>
      <c r="K562" t="s">
        <v>94</v>
      </c>
      <c r="L562" s="16" t="s">
        <v>10</v>
      </c>
    </row>
    <row r="563" spans="1:12" x14ac:dyDescent="0.35">
      <c r="A563" t="s">
        <v>8</v>
      </c>
      <c r="B563" t="s">
        <v>100</v>
      </c>
      <c r="C563" t="s">
        <v>95</v>
      </c>
      <c r="D563" t="s">
        <v>10</v>
      </c>
      <c r="E563" t="s">
        <v>10</v>
      </c>
      <c r="F563" s="7">
        <v>45297</v>
      </c>
      <c r="G563" s="1">
        <v>45292</v>
      </c>
      <c r="H563" s="14">
        <v>1015.0899999999998</v>
      </c>
      <c r="I563">
        <v>205155</v>
      </c>
      <c r="J563" t="s">
        <v>88</v>
      </c>
      <c r="K563" t="s">
        <v>96</v>
      </c>
      <c r="L563" s="16" t="s">
        <v>10</v>
      </c>
    </row>
    <row r="564" spans="1:12" x14ac:dyDescent="0.35">
      <c r="A564" t="s">
        <v>8</v>
      </c>
      <c r="B564" t="s">
        <v>21</v>
      </c>
      <c r="C564" t="s">
        <v>95</v>
      </c>
      <c r="D564" t="s">
        <v>10</v>
      </c>
      <c r="E564" t="s">
        <v>10</v>
      </c>
      <c r="F564" s="7">
        <v>45297</v>
      </c>
      <c r="G564" s="1">
        <v>45292</v>
      </c>
      <c r="H564" s="14">
        <v>1665.0299999999988</v>
      </c>
      <c r="I564">
        <v>263630</v>
      </c>
      <c r="J564" t="s">
        <v>88</v>
      </c>
      <c r="K564" t="s">
        <v>96</v>
      </c>
      <c r="L564" s="16" t="s">
        <v>10</v>
      </c>
    </row>
    <row r="565" spans="1:12" x14ac:dyDescent="0.35">
      <c r="A565" t="s">
        <v>8</v>
      </c>
      <c r="B565" t="s">
        <v>101</v>
      </c>
      <c r="C565" t="s">
        <v>93</v>
      </c>
      <c r="D565" t="s">
        <v>10</v>
      </c>
      <c r="E565" t="s">
        <v>10</v>
      </c>
      <c r="F565" s="7">
        <v>45297</v>
      </c>
      <c r="G565" s="1">
        <v>44927</v>
      </c>
      <c r="H565" s="14">
        <v>11.425700000000001</v>
      </c>
      <c r="I565">
        <v>4996</v>
      </c>
      <c r="J565" t="s">
        <v>88</v>
      </c>
      <c r="K565" t="s">
        <v>94</v>
      </c>
      <c r="L565" s="16" t="s">
        <v>10</v>
      </c>
    </row>
    <row r="566" spans="1:12" x14ac:dyDescent="0.35">
      <c r="A566" t="s">
        <v>8</v>
      </c>
      <c r="B566" t="s">
        <v>101</v>
      </c>
      <c r="C566" t="s">
        <v>93</v>
      </c>
      <c r="D566" t="s">
        <v>10</v>
      </c>
      <c r="E566" t="s">
        <v>10</v>
      </c>
      <c r="F566" s="7">
        <v>45297</v>
      </c>
      <c r="G566" s="1">
        <v>45292</v>
      </c>
      <c r="H566" s="14">
        <v>3678.3125999999997</v>
      </c>
      <c r="I566">
        <v>1191826</v>
      </c>
      <c r="J566" t="s">
        <v>88</v>
      </c>
      <c r="K566" t="s">
        <v>94</v>
      </c>
      <c r="L566" s="16" t="s">
        <v>10</v>
      </c>
    </row>
    <row r="567" spans="1:12" x14ac:dyDescent="0.35">
      <c r="A567" t="s">
        <v>8</v>
      </c>
      <c r="B567" t="s">
        <v>101</v>
      </c>
      <c r="C567" t="s">
        <v>95</v>
      </c>
      <c r="D567" t="s">
        <v>10</v>
      </c>
      <c r="E567" t="s">
        <v>10</v>
      </c>
      <c r="F567" s="7">
        <v>45297</v>
      </c>
      <c r="G567" s="1">
        <v>45292</v>
      </c>
      <c r="H567" s="14">
        <v>1785.6299999999994</v>
      </c>
      <c r="I567">
        <v>351747</v>
      </c>
      <c r="J567" t="s">
        <v>88</v>
      </c>
      <c r="K567" t="s">
        <v>96</v>
      </c>
      <c r="L567" s="16" t="s">
        <v>10</v>
      </c>
    </row>
    <row r="568" spans="1:12" x14ac:dyDescent="0.35">
      <c r="A568" t="s">
        <v>8</v>
      </c>
      <c r="B568" t="s">
        <v>16</v>
      </c>
      <c r="C568" t="s">
        <v>95</v>
      </c>
      <c r="D568" t="s">
        <v>10</v>
      </c>
      <c r="E568" t="s">
        <v>10</v>
      </c>
      <c r="F568" s="7">
        <v>45297</v>
      </c>
      <c r="G568" s="1">
        <v>44927</v>
      </c>
      <c r="H568" s="14">
        <v>7.72</v>
      </c>
      <c r="I568">
        <v>76</v>
      </c>
      <c r="J568" t="s">
        <v>88</v>
      </c>
      <c r="K568" t="s">
        <v>96</v>
      </c>
      <c r="L568" s="16" t="s">
        <v>10</v>
      </c>
    </row>
    <row r="569" spans="1:12" x14ac:dyDescent="0.35">
      <c r="A569" t="s">
        <v>8</v>
      </c>
      <c r="B569" t="s">
        <v>16</v>
      </c>
      <c r="C569" t="s">
        <v>95</v>
      </c>
      <c r="D569" t="s">
        <v>10</v>
      </c>
      <c r="E569" t="s">
        <v>10</v>
      </c>
      <c r="F569" s="7">
        <v>45297</v>
      </c>
      <c r="G569" s="1">
        <v>45292</v>
      </c>
      <c r="H569" s="14">
        <v>858.87000000000012</v>
      </c>
      <c r="I569">
        <v>124078</v>
      </c>
      <c r="J569" t="s">
        <v>88</v>
      </c>
      <c r="K569" t="s">
        <v>96</v>
      </c>
      <c r="L569" s="16" t="s">
        <v>10</v>
      </c>
    </row>
    <row r="570" spans="1:12" x14ac:dyDescent="0.35">
      <c r="A570" t="s">
        <v>8</v>
      </c>
      <c r="B570" t="s">
        <v>102</v>
      </c>
      <c r="C570" t="s">
        <v>95</v>
      </c>
      <c r="D570" t="s">
        <v>10</v>
      </c>
      <c r="E570" t="s">
        <v>10</v>
      </c>
      <c r="F570" s="7">
        <v>45297</v>
      </c>
      <c r="G570" s="1">
        <v>45292</v>
      </c>
      <c r="H570" s="14">
        <v>0.76</v>
      </c>
      <c r="I570">
        <v>331</v>
      </c>
      <c r="J570" t="s">
        <v>88</v>
      </c>
      <c r="K570" t="s">
        <v>96</v>
      </c>
      <c r="L570" s="16" t="s">
        <v>10</v>
      </c>
    </row>
    <row r="571" spans="1:12" x14ac:dyDescent="0.35">
      <c r="A571" t="s">
        <v>8</v>
      </c>
      <c r="B571" t="s">
        <v>103</v>
      </c>
      <c r="C571" t="s">
        <v>95</v>
      </c>
      <c r="D571" t="s">
        <v>104</v>
      </c>
      <c r="E571" t="s">
        <v>8</v>
      </c>
      <c r="F571" s="7">
        <v>45297</v>
      </c>
      <c r="G571" s="1">
        <v>45292</v>
      </c>
      <c r="H571" s="14">
        <v>74.27</v>
      </c>
      <c r="I571">
        <v>301</v>
      </c>
      <c r="J571" t="s">
        <v>88</v>
      </c>
      <c r="K571" t="s">
        <v>105</v>
      </c>
      <c r="L571" s="16" t="s">
        <v>95</v>
      </c>
    </row>
    <row r="572" spans="1:12" x14ac:dyDescent="0.35">
      <c r="A572" t="s">
        <v>8</v>
      </c>
      <c r="B572" t="s">
        <v>16</v>
      </c>
      <c r="C572" t="s">
        <v>95</v>
      </c>
      <c r="D572" t="s">
        <v>104</v>
      </c>
      <c r="E572" t="s">
        <v>8</v>
      </c>
      <c r="F572" s="7">
        <v>45297</v>
      </c>
      <c r="G572" s="1">
        <v>45292</v>
      </c>
      <c r="H572" s="14">
        <v>136.52000000000001</v>
      </c>
      <c r="I572">
        <v>492</v>
      </c>
      <c r="J572" t="s">
        <v>88</v>
      </c>
      <c r="K572" t="s">
        <v>105</v>
      </c>
      <c r="L572" s="16" t="s">
        <v>95</v>
      </c>
    </row>
    <row r="573" spans="1:12" x14ac:dyDescent="0.35">
      <c r="A573" t="s">
        <v>8</v>
      </c>
      <c r="B573" t="s">
        <v>84</v>
      </c>
      <c r="C573" t="s">
        <v>95</v>
      </c>
      <c r="D573" t="s">
        <v>104</v>
      </c>
      <c r="E573" t="s">
        <v>8</v>
      </c>
      <c r="F573" s="7">
        <v>45297</v>
      </c>
      <c r="G573" s="1">
        <v>45292</v>
      </c>
      <c r="H573" s="14">
        <v>7709.69</v>
      </c>
      <c r="I573">
        <v>29967</v>
      </c>
      <c r="J573" t="s">
        <v>88</v>
      </c>
      <c r="K573" t="s">
        <v>105</v>
      </c>
      <c r="L573" s="16" t="s">
        <v>95</v>
      </c>
    </row>
    <row r="574" spans="1:12" x14ac:dyDescent="0.35">
      <c r="A574" t="s">
        <v>8</v>
      </c>
      <c r="B574" t="s">
        <v>17</v>
      </c>
      <c r="C574" t="s">
        <v>95</v>
      </c>
      <c r="D574" t="s">
        <v>104</v>
      </c>
      <c r="E574" t="s">
        <v>8</v>
      </c>
      <c r="F574" s="7">
        <v>45297</v>
      </c>
      <c r="G574" s="1">
        <v>45292</v>
      </c>
      <c r="H574" s="14">
        <v>94.61999999999999</v>
      </c>
      <c r="I574">
        <v>733</v>
      </c>
      <c r="J574" t="s">
        <v>88</v>
      </c>
      <c r="K574" t="s">
        <v>105</v>
      </c>
      <c r="L574" s="16" t="s">
        <v>95</v>
      </c>
    </row>
    <row r="575" spans="1:12" x14ac:dyDescent="0.35">
      <c r="A575" t="s">
        <v>8</v>
      </c>
      <c r="B575" t="s">
        <v>106</v>
      </c>
      <c r="C575" t="s">
        <v>95</v>
      </c>
      <c r="D575" t="s">
        <v>104</v>
      </c>
      <c r="E575" t="s">
        <v>8</v>
      </c>
      <c r="F575" s="7">
        <v>45297</v>
      </c>
      <c r="G575" s="1">
        <v>45292</v>
      </c>
      <c r="H575" s="14">
        <v>12.65</v>
      </c>
      <c r="I575">
        <v>42</v>
      </c>
      <c r="J575" t="s">
        <v>88</v>
      </c>
      <c r="K575" t="s">
        <v>105</v>
      </c>
      <c r="L575" s="16" t="s">
        <v>95</v>
      </c>
    </row>
    <row r="576" spans="1:12" x14ac:dyDescent="0.35">
      <c r="A576" t="s">
        <v>8</v>
      </c>
      <c r="B576" t="s">
        <v>92</v>
      </c>
      <c r="C576" t="s">
        <v>95</v>
      </c>
      <c r="D576" t="s">
        <v>104</v>
      </c>
      <c r="E576" t="s">
        <v>8</v>
      </c>
      <c r="F576" s="7">
        <v>45297</v>
      </c>
      <c r="G576" s="1">
        <v>45292</v>
      </c>
      <c r="H576" s="14">
        <v>198.4</v>
      </c>
      <c r="I576">
        <v>1172</v>
      </c>
      <c r="J576" t="s">
        <v>88</v>
      </c>
      <c r="K576" t="s">
        <v>105</v>
      </c>
      <c r="L576" s="16" t="s">
        <v>95</v>
      </c>
    </row>
    <row r="577" spans="1:12" x14ac:dyDescent="0.35">
      <c r="A577" t="s">
        <v>8</v>
      </c>
      <c r="B577" t="s">
        <v>21</v>
      </c>
      <c r="C577" t="s">
        <v>95</v>
      </c>
      <c r="D577" t="s">
        <v>104</v>
      </c>
      <c r="E577" t="s">
        <v>8</v>
      </c>
      <c r="F577" s="7">
        <v>45297</v>
      </c>
      <c r="G577" s="1">
        <v>45292</v>
      </c>
      <c r="H577" s="14">
        <v>262.31</v>
      </c>
      <c r="I577">
        <v>990</v>
      </c>
      <c r="J577" t="s">
        <v>88</v>
      </c>
      <c r="K577" t="s">
        <v>105</v>
      </c>
      <c r="L577" s="16" t="s">
        <v>95</v>
      </c>
    </row>
    <row r="578" spans="1:12" x14ac:dyDescent="0.35">
      <c r="A578" t="s">
        <v>8</v>
      </c>
      <c r="B578" t="s">
        <v>101</v>
      </c>
      <c r="C578" t="s">
        <v>95</v>
      </c>
      <c r="D578" t="s">
        <v>104</v>
      </c>
      <c r="E578" t="s">
        <v>8</v>
      </c>
      <c r="F578" s="7">
        <v>45297</v>
      </c>
      <c r="G578" s="1">
        <v>45292</v>
      </c>
      <c r="H578" s="14">
        <v>50.920000000000009</v>
      </c>
      <c r="I578">
        <v>372</v>
      </c>
      <c r="J578" t="s">
        <v>88</v>
      </c>
      <c r="K578" t="s">
        <v>105</v>
      </c>
      <c r="L578" s="16" t="s">
        <v>95</v>
      </c>
    </row>
    <row r="579" spans="1:12" x14ac:dyDescent="0.35">
      <c r="A579" t="s">
        <v>8</v>
      </c>
      <c r="B579" t="s">
        <v>99</v>
      </c>
      <c r="C579" t="s">
        <v>95</v>
      </c>
      <c r="D579" t="s">
        <v>104</v>
      </c>
      <c r="E579" t="s">
        <v>8</v>
      </c>
      <c r="F579" s="7">
        <v>45297</v>
      </c>
      <c r="G579" s="1">
        <v>45292</v>
      </c>
      <c r="H579" s="14">
        <v>117.94999999999999</v>
      </c>
      <c r="I579">
        <v>428</v>
      </c>
      <c r="J579" t="s">
        <v>88</v>
      </c>
      <c r="K579" t="s">
        <v>105</v>
      </c>
      <c r="L579" s="16" t="s">
        <v>95</v>
      </c>
    </row>
    <row r="580" spans="1:12" x14ac:dyDescent="0.35">
      <c r="A580" t="s">
        <v>8</v>
      </c>
      <c r="B580" t="s">
        <v>100</v>
      </c>
      <c r="C580" t="s">
        <v>95</v>
      </c>
      <c r="D580" t="s">
        <v>104</v>
      </c>
      <c r="E580" t="s">
        <v>8</v>
      </c>
      <c r="F580" s="7">
        <v>45297</v>
      </c>
      <c r="G580" s="1">
        <v>45292</v>
      </c>
      <c r="H580" s="14">
        <v>144.07</v>
      </c>
      <c r="I580">
        <v>855</v>
      </c>
      <c r="J580" t="s">
        <v>88</v>
      </c>
      <c r="K580" t="s">
        <v>105</v>
      </c>
      <c r="L580" s="16" t="s">
        <v>95</v>
      </c>
    </row>
    <row r="581" spans="1:12" x14ac:dyDescent="0.35">
      <c r="A581" t="s">
        <v>8</v>
      </c>
      <c r="B581" t="s">
        <v>92</v>
      </c>
      <c r="C581" t="s">
        <v>93</v>
      </c>
      <c r="D581" t="s">
        <v>10</v>
      </c>
      <c r="E581" t="s">
        <v>10</v>
      </c>
      <c r="F581" s="7">
        <v>45304</v>
      </c>
      <c r="G581" s="1">
        <v>45292</v>
      </c>
      <c r="H581" s="14">
        <v>6916.0529999999981</v>
      </c>
      <c r="I581">
        <v>2349049</v>
      </c>
      <c r="J581" t="s">
        <v>88</v>
      </c>
      <c r="K581" t="s">
        <v>94</v>
      </c>
      <c r="L581" s="16" t="s">
        <v>10</v>
      </c>
    </row>
    <row r="582" spans="1:12" x14ac:dyDescent="0.35">
      <c r="A582" t="s">
        <v>8</v>
      </c>
      <c r="B582" t="s">
        <v>92</v>
      </c>
      <c r="C582" t="s">
        <v>95</v>
      </c>
      <c r="D582" t="s">
        <v>10</v>
      </c>
      <c r="E582" t="s">
        <v>10</v>
      </c>
      <c r="F582" s="7">
        <v>45304</v>
      </c>
      <c r="G582" s="1">
        <v>45292</v>
      </c>
      <c r="H582" s="14">
        <v>7965.8500000000013</v>
      </c>
      <c r="I582">
        <v>1012035</v>
      </c>
      <c r="J582" t="s">
        <v>88</v>
      </c>
      <c r="K582" t="s">
        <v>96</v>
      </c>
      <c r="L582" s="16" t="s">
        <v>10</v>
      </c>
    </row>
    <row r="583" spans="1:12" x14ac:dyDescent="0.35">
      <c r="A583" t="s">
        <v>8</v>
      </c>
      <c r="B583" t="s">
        <v>84</v>
      </c>
      <c r="C583" t="s">
        <v>93</v>
      </c>
      <c r="D583" t="s">
        <v>10</v>
      </c>
      <c r="E583" t="s">
        <v>10</v>
      </c>
      <c r="F583" s="7">
        <v>45304</v>
      </c>
      <c r="G583" s="1">
        <v>45292</v>
      </c>
      <c r="H583" s="14">
        <v>5924.3712999999989</v>
      </c>
      <c r="I583">
        <v>2686922</v>
      </c>
      <c r="J583" t="s">
        <v>88</v>
      </c>
      <c r="K583" t="s">
        <v>94</v>
      </c>
      <c r="L583" s="16" t="s">
        <v>10</v>
      </c>
    </row>
    <row r="584" spans="1:12" x14ac:dyDescent="0.35">
      <c r="A584" t="s">
        <v>8</v>
      </c>
      <c r="B584" t="s">
        <v>84</v>
      </c>
      <c r="C584" t="s">
        <v>95</v>
      </c>
      <c r="D584" t="s">
        <v>10</v>
      </c>
      <c r="E584" t="s">
        <v>10</v>
      </c>
      <c r="F584" s="7">
        <v>45304</v>
      </c>
      <c r="G584" s="1">
        <v>45292</v>
      </c>
      <c r="H584" s="14">
        <v>3524.4099999999989</v>
      </c>
      <c r="I584">
        <v>823337</v>
      </c>
      <c r="J584" t="s">
        <v>88</v>
      </c>
      <c r="K584" t="s">
        <v>96</v>
      </c>
      <c r="L584" s="16" t="s">
        <v>10</v>
      </c>
    </row>
    <row r="585" spans="1:12" x14ac:dyDescent="0.35">
      <c r="A585" t="s">
        <v>8</v>
      </c>
      <c r="B585" t="s">
        <v>17</v>
      </c>
      <c r="C585" t="s">
        <v>93</v>
      </c>
      <c r="D585" t="s">
        <v>10</v>
      </c>
      <c r="E585" t="s">
        <v>10</v>
      </c>
      <c r="F585" s="7">
        <v>45304</v>
      </c>
      <c r="G585" s="1">
        <v>45292</v>
      </c>
      <c r="H585" s="14">
        <v>7017.3684999999969</v>
      </c>
      <c r="I585">
        <v>1338907</v>
      </c>
      <c r="J585" t="s">
        <v>88</v>
      </c>
      <c r="K585" t="s">
        <v>94</v>
      </c>
      <c r="L585" s="16" t="s">
        <v>10</v>
      </c>
    </row>
    <row r="586" spans="1:12" x14ac:dyDescent="0.35">
      <c r="A586" t="s">
        <v>8</v>
      </c>
      <c r="B586" t="s">
        <v>17</v>
      </c>
      <c r="C586" t="s">
        <v>95</v>
      </c>
      <c r="D586" t="s">
        <v>10</v>
      </c>
      <c r="E586" t="s">
        <v>10</v>
      </c>
      <c r="F586" s="7">
        <v>45304</v>
      </c>
      <c r="G586" s="1">
        <v>45292</v>
      </c>
      <c r="H586" s="14">
        <v>7692.01</v>
      </c>
      <c r="I586">
        <v>923568</v>
      </c>
      <c r="J586" t="s">
        <v>88</v>
      </c>
      <c r="K586" t="s">
        <v>96</v>
      </c>
      <c r="L586" s="16" t="s">
        <v>10</v>
      </c>
    </row>
    <row r="587" spans="1:12" x14ac:dyDescent="0.35">
      <c r="A587" t="s">
        <v>8</v>
      </c>
      <c r="B587" t="s">
        <v>99</v>
      </c>
      <c r="C587" t="s">
        <v>93</v>
      </c>
      <c r="D587" t="s">
        <v>10</v>
      </c>
      <c r="E587" t="s">
        <v>10</v>
      </c>
      <c r="F587" s="7">
        <v>45304</v>
      </c>
      <c r="G587" s="1">
        <v>45292</v>
      </c>
      <c r="H587" s="14">
        <v>6733.6956999999975</v>
      </c>
      <c r="I587">
        <v>1276008</v>
      </c>
      <c r="J587" t="s">
        <v>88</v>
      </c>
      <c r="K587" t="s">
        <v>94</v>
      </c>
      <c r="L587" s="16" t="s">
        <v>10</v>
      </c>
    </row>
    <row r="588" spans="1:12" x14ac:dyDescent="0.35">
      <c r="A588" t="s">
        <v>8</v>
      </c>
      <c r="B588" t="s">
        <v>99</v>
      </c>
      <c r="C588" t="s">
        <v>95</v>
      </c>
      <c r="D588" t="s">
        <v>10</v>
      </c>
      <c r="E588" t="s">
        <v>10</v>
      </c>
      <c r="F588" s="7">
        <v>45304</v>
      </c>
      <c r="G588" s="1">
        <v>45292</v>
      </c>
      <c r="H588" s="14">
        <v>6201.35</v>
      </c>
      <c r="I588">
        <v>1376831</v>
      </c>
      <c r="J588" t="s">
        <v>88</v>
      </c>
      <c r="K588" t="s">
        <v>96</v>
      </c>
      <c r="L588" s="16" t="s">
        <v>10</v>
      </c>
    </row>
    <row r="589" spans="1:12" x14ac:dyDescent="0.35">
      <c r="A589" t="s">
        <v>8</v>
      </c>
      <c r="B589" t="s">
        <v>100</v>
      </c>
      <c r="C589" t="s">
        <v>93</v>
      </c>
      <c r="D589" t="s">
        <v>10</v>
      </c>
      <c r="E589" t="s">
        <v>10</v>
      </c>
      <c r="F589" s="7">
        <v>45304</v>
      </c>
      <c r="G589" s="1">
        <v>45292</v>
      </c>
      <c r="H589" s="14">
        <v>6710.7088000000022</v>
      </c>
      <c r="I589">
        <v>1821449</v>
      </c>
      <c r="J589" t="s">
        <v>88</v>
      </c>
      <c r="K589" t="s">
        <v>94</v>
      </c>
      <c r="L589" s="16" t="s">
        <v>10</v>
      </c>
    </row>
    <row r="590" spans="1:12" x14ac:dyDescent="0.35">
      <c r="A590" t="s">
        <v>8</v>
      </c>
      <c r="B590" t="s">
        <v>100</v>
      </c>
      <c r="C590" t="s">
        <v>95</v>
      </c>
      <c r="D590" t="s">
        <v>10</v>
      </c>
      <c r="E590" t="s">
        <v>10</v>
      </c>
      <c r="F590" s="7">
        <v>45304</v>
      </c>
      <c r="G590" s="1">
        <v>45292</v>
      </c>
      <c r="H590" s="14">
        <v>3228.6599999999994</v>
      </c>
      <c r="I590">
        <v>408094</v>
      </c>
      <c r="J590" t="s">
        <v>88</v>
      </c>
      <c r="K590" t="s">
        <v>96</v>
      </c>
      <c r="L590" s="16" t="s">
        <v>10</v>
      </c>
    </row>
    <row r="591" spans="1:12" x14ac:dyDescent="0.35">
      <c r="A591" t="s">
        <v>8</v>
      </c>
      <c r="B591" t="s">
        <v>21</v>
      </c>
      <c r="C591" t="s">
        <v>95</v>
      </c>
      <c r="D591" t="s">
        <v>10</v>
      </c>
      <c r="E591" t="s">
        <v>10</v>
      </c>
      <c r="F591" s="7">
        <v>45304</v>
      </c>
      <c r="G591" s="1">
        <v>45292</v>
      </c>
      <c r="H591" s="14">
        <v>2360.3199999999997</v>
      </c>
      <c r="I591">
        <v>318039</v>
      </c>
      <c r="J591" t="s">
        <v>88</v>
      </c>
      <c r="K591" t="s">
        <v>96</v>
      </c>
      <c r="L591" s="16" t="s">
        <v>10</v>
      </c>
    </row>
    <row r="592" spans="1:12" x14ac:dyDescent="0.35">
      <c r="A592" t="s">
        <v>8</v>
      </c>
      <c r="B592" t="s">
        <v>101</v>
      </c>
      <c r="C592" t="s">
        <v>93</v>
      </c>
      <c r="D592" t="s">
        <v>10</v>
      </c>
      <c r="E592" t="s">
        <v>10</v>
      </c>
      <c r="F592" s="7">
        <v>45304</v>
      </c>
      <c r="G592" s="1">
        <v>45292</v>
      </c>
      <c r="H592" s="14">
        <v>5888.7072999999946</v>
      </c>
      <c r="I592">
        <v>2069240</v>
      </c>
      <c r="J592" t="s">
        <v>88</v>
      </c>
      <c r="K592" t="s">
        <v>94</v>
      </c>
      <c r="L592" s="16" t="s">
        <v>10</v>
      </c>
    </row>
    <row r="593" spans="1:12" x14ac:dyDescent="0.35">
      <c r="A593" t="s">
        <v>8</v>
      </c>
      <c r="B593" t="s">
        <v>101</v>
      </c>
      <c r="C593" t="s">
        <v>95</v>
      </c>
      <c r="D593" t="s">
        <v>10</v>
      </c>
      <c r="E593" t="s">
        <v>10</v>
      </c>
      <c r="F593" s="7">
        <v>45304</v>
      </c>
      <c r="G593" s="1">
        <v>45292</v>
      </c>
      <c r="H593" s="14">
        <v>2811.84</v>
      </c>
      <c r="I593">
        <v>482996</v>
      </c>
      <c r="J593" t="s">
        <v>88</v>
      </c>
      <c r="K593" t="s">
        <v>96</v>
      </c>
      <c r="L593" s="16" t="s">
        <v>10</v>
      </c>
    </row>
    <row r="594" spans="1:12" x14ac:dyDescent="0.35">
      <c r="A594" t="s">
        <v>8</v>
      </c>
      <c r="B594" t="s">
        <v>16</v>
      </c>
      <c r="C594" t="s">
        <v>95</v>
      </c>
      <c r="D594" t="s">
        <v>10</v>
      </c>
      <c r="E594" t="s">
        <v>10</v>
      </c>
      <c r="F594" s="7">
        <v>45304</v>
      </c>
      <c r="G594" s="1">
        <v>45292</v>
      </c>
      <c r="H594" s="14">
        <v>912.7199999999998</v>
      </c>
      <c r="I594">
        <v>139558</v>
      </c>
      <c r="J594" t="s">
        <v>88</v>
      </c>
      <c r="K594" t="s">
        <v>96</v>
      </c>
      <c r="L594" s="16" t="s">
        <v>10</v>
      </c>
    </row>
    <row r="595" spans="1:12" x14ac:dyDescent="0.35">
      <c r="A595" t="s">
        <v>8</v>
      </c>
      <c r="B595" t="s">
        <v>102</v>
      </c>
      <c r="C595" t="s">
        <v>95</v>
      </c>
      <c r="D595" t="s">
        <v>10</v>
      </c>
      <c r="E595" t="s">
        <v>10</v>
      </c>
      <c r="F595" s="7">
        <v>45304</v>
      </c>
      <c r="G595" s="1">
        <v>45292</v>
      </c>
      <c r="H595" s="14">
        <v>0.37</v>
      </c>
      <c r="I595">
        <v>274</v>
      </c>
      <c r="J595" t="s">
        <v>88</v>
      </c>
      <c r="K595" t="s">
        <v>96</v>
      </c>
      <c r="L595" s="16" t="s">
        <v>10</v>
      </c>
    </row>
    <row r="596" spans="1:12" x14ac:dyDescent="0.35">
      <c r="A596" t="s">
        <v>8</v>
      </c>
      <c r="B596" t="s">
        <v>103</v>
      </c>
      <c r="C596" t="s">
        <v>95</v>
      </c>
      <c r="D596" t="s">
        <v>104</v>
      </c>
      <c r="E596" t="s">
        <v>8</v>
      </c>
      <c r="F596" s="7">
        <v>45304</v>
      </c>
      <c r="G596" s="1">
        <v>45292</v>
      </c>
      <c r="H596" s="14">
        <v>55.88</v>
      </c>
      <c r="I596">
        <v>347</v>
      </c>
      <c r="J596" t="s">
        <v>88</v>
      </c>
      <c r="K596" t="s">
        <v>105</v>
      </c>
      <c r="L596" s="16" t="s">
        <v>95</v>
      </c>
    </row>
    <row r="597" spans="1:12" x14ac:dyDescent="0.35">
      <c r="A597" t="s">
        <v>8</v>
      </c>
      <c r="B597" t="s">
        <v>16</v>
      </c>
      <c r="C597" t="s">
        <v>95</v>
      </c>
      <c r="D597" t="s">
        <v>104</v>
      </c>
      <c r="E597" t="s">
        <v>8</v>
      </c>
      <c r="F597" s="7">
        <v>45304</v>
      </c>
      <c r="G597" s="1">
        <v>45292</v>
      </c>
      <c r="H597" s="14">
        <v>144.15</v>
      </c>
      <c r="I597">
        <v>536</v>
      </c>
      <c r="J597" t="s">
        <v>88</v>
      </c>
      <c r="K597" t="s">
        <v>105</v>
      </c>
      <c r="L597" s="16" t="s">
        <v>95</v>
      </c>
    </row>
    <row r="598" spans="1:12" x14ac:dyDescent="0.35">
      <c r="A598" t="s">
        <v>8</v>
      </c>
      <c r="B598" t="s">
        <v>84</v>
      </c>
      <c r="C598" t="s">
        <v>95</v>
      </c>
      <c r="D598" t="s">
        <v>104</v>
      </c>
      <c r="E598" t="s">
        <v>8</v>
      </c>
      <c r="F598" s="7">
        <v>45304</v>
      </c>
      <c r="G598" s="1">
        <v>45292</v>
      </c>
      <c r="H598" s="14">
        <v>7988.2700000000013</v>
      </c>
      <c r="I598">
        <v>32465</v>
      </c>
      <c r="J598" t="s">
        <v>88</v>
      </c>
      <c r="K598" t="s">
        <v>105</v>
      </c>
      <c r="L598" s="16" t="s">
        <v>95</v>
      </c>
    </row>
    <row r="599" spans="1:12" x14ac:dyDescent="0.35">
      <c r="A599" t="s">
        <v>8</v>
      </c>
      <c r="B599" t="s">
        <v>17</v>
      </c>
      <c r="C599" t="s">
        <v>95</v>
      </c>
      <c r="D599" t="s">
        <v>104</v>
      </c>
      <c r="E599" t="s">
        <v>8</v>
      </c>
      <c r="F599" s="7">
        <v>45304</v>
      </c>
      <c r="G599" s="1">
        <v>45292</v>
      </c>
      <c r="H599" s="14">
        <v>105.29</v>
      </c>
      <c r="I599">
        <v>718</v>
      </c>
      <c r="J599" t="s">
        <v>88</v>
      </c>
      <c r="K599" t="s">
        <v>105</v>
      </c>
      <c r="L599" s="16" t="s">
        <v>95</v>
      </c>
    </row>
    <row r="600" spans="1:12" x14ac:dyDescent="0.35">
      <c r="A600" t="s">
        <v>8</v>
      </c>
      <c r="B600" t="s">
        <v>106</v>
      </c>
      <c r="C600" t="s">
        <v>95</v>
      </c>
      <c r="D600" t="s">
        <v>104</v>
      </c>
      <c r="E600" t="s">
        <v>8</v>
      </c>
      <c r="F600" s="7">
        <v>45304</v>
      </c>
      <c r="G600" s="1">
        <v>45292</v>
      </c>
      <c r="H600" s="14">
        <v>1.55</v>
      </c>
      <c r="I600">
        <v>2</v>
      </c>
      <c r="J600" t="s">
        <v>88</v>
      </c>
      <c r="K600" t="s">
        <v>105</v>
      </c>
      <c r="L600" s="16" t="s">
        <v>95</v>
      </c>
    </row>
    <row r="601" spans="1:12" x14ac:dyDescent="0.35">
      <c r="A601" t="s">
        <v>8</v>
      </c>
      <c r="B601" t="s">
        <v>92</v>
      </c>
      <c r="C601" t="s">
        <v>95</v>
      </c>
      <c r="D601" t="s">
        <v>104</v>
      </c>
      <c r="E601" t="s">
        <v>8</v>
      </c>
      <c r="F601" s="7">
        <v>45304</v>
      </c>
      <c r="G601" s="1">
        <v>45292</v>
      </c>
      <c r="H601" s="14">
        <v>187.42000000000002</v>
      </c>
      <c r="I601">
        <v>1331</v>
      </c>
      <c r="J601" t="s">
        <v>88</v>
      </c>
      <c r="K601" t="s">
        <v>105</v>
      </c>
      <c r="L601" s="16" t="s">
        <v>95</v>
      </c>
    </row>
    <row r="602" spans="1:12" x14ac:dyDescent="0.35">
      <c r="A602" t="s">
        <v>8</v>
      </c>
      <c r="B602" t="s">
        <v>21</v>
      </c>
      <c r="C602" t="s">
        <v>95</v>
      </c>
      <c r="D602" t="s">
        <v>104</v>
      </c>
      <c r="E602" t="s">
        <v>8</v>
      </c>
      <c r="F602" s="7">
        <v>45304</v>
      </c>
      <c r="G602" s="1">
        <v>45292</v>
      </c>
      <c r="H602" s="14">
        <v>265.98</v>
      </c>
      <c r="I602">
        <v>1162</v>
      </c>
      <c r="J602" t="s">
        <v>88</v>
      </c>
      <c r="K602" t="s">
        <v>105</v>
      </c>
      <c r="L602" s="16" t="s">
        <v>95</v>
      </c>
    </row>
    <row r="603" spans="1:12" x14ac:dyDescent="0.35">
      <c r="A603" t="s">
        <v>8</v>
      </c>
      <c r="B603" t="s">
        <v>101</v>
      </c>
      <c r="C603" t="s">
        <v>95</v>
      </c>
      <c r="D603" t="s">
        <v>104</v>
      </c>
      <c r="E603" t="s">
        <v>8</v>
      </c>
      <c r="F603" s="7">
        <v>45304</v>
      </c>
      <c r="G603" s="1">
        <v>45292</v>
      </c>
      <c r="H603" s="14">
        <v>65.179999999999993</v>
      </c>
      <c r="I603">
        <v>408</v>
      </c>
      <c r="J603" t="s">
        <v>88</v>
      </c>
      <c r="K603" t="s">
        <v>105</v>
      </c>
      <c r="L603" s="16" t="s">
        <v>95</v>
      </c>
    </row>
    <row r="604" spans="1:12" x14ac:dyDescent="0.35">
      <c r="A604" t="s">
        <v>8</v>
      </c>
      <c r="B604" t="s">
        <v>99</v>
      </c>
      <c r="C604" t="s">
        <v>95</v>
      </c>
      <c r="D604" t="s">
        <v>104</v>
      </c>
      <c r="E604" t="s">
        <v>8</v>
      </c>
      <c r="F604" s="7">
        <v>45304</v>
      </c>
      <c r="G604" s="1">
        <v>45292</v>
      </c>
      <c r="H604" s="14">
        <v>89.12</v>
      </c>
      <c r="I604">
        <v>462</v>
      </c>
      <c r="J604" t="s">
        <v>88</v>
      </c>
      <c r="K604" t="s">
        <v>105</v>
      </c>
      <c r="L604" s="16" t="s">
        <v>95</v>
      </c>
    </row>
    <row r="605" spans="1:12" x14ac:dyDescent="0.35">
      <c r="A605" t="s">
        <v>8</v>
      </c>
      <c r="B605" t="s">
        <v>100</v>
      </c>
      <c r="C605" t="s">
        <v>95</v>
      </c>
      <c r="D605" t="s">
        <v>104</v>
      </c>
      <c r="E605" t="s">
        <v>8</v>
      </c>
      <c r="F605" s="7">
        <v>45304</v>
      </c>
      <c r="G605" s="1">
        <v>45292</v>
      </c>
      <c r="H605" s="14">
        <v>222.63</v>
      </c>
      <c r="I605">
        <v>1279</v>
      </c>
      <c r="J605" t="s">
        <v>88</v>
      </c>
      <c r="K605" t="s">
        <v>105</v>
      </c>
      <c r="L605" s="16" t="s">
        <v>95</v>
      </c>
    </row>
    <row r="606" spans="1:12" x14ac:dyDescent="0.35">
      <c r="A606" t="s">
        <v>8</v>
      </c>
      <c r="B606" t="s">
        <v>92</v>
      </c>
      <c r="C606" t="s">
        <v>85</v>
      </c>
      <c r="D606" t="s">
        <v>9</v>
      </c>
      <c r="E606" t="s">
        <v>11</v>
      </c>
      <c r="F606" s="7">
        <v>45311</v>
      </c>
      <c r="G606" s="1">
        <v>45292</v>
      </c>
      <c r="H606" s="14">
        <v>9067.4199919999992</v>
      </c>
      <c r="I606">
        <v>2851475</v>
      </c>
      <c r="J606" t="s">
        <v>88</v>
      </c>
      <c r="K606" t="s">
        <v>87</v>
      </c>
      <c r="L606" s="16" t="s">
        <v>9</v>
      </c>
    </row>
    <row r="607" spans="1:12" x14ac:dyDescent="0.35">
      <c r="A607" t="s">
        <v>8</v>
      </c>
      <c r="B607" t="s">
        <v>92</v>
      </c>
      <c r="C607" t="s">
        <v>85</v>
      </c>
      <c r="D607" t="s">
        <v>9</v>
      </c>
      <c r="E607" t="s">
        <v>12</v>
      </c>
      <c r="F607" s="7">
        <v>45311</v>
      </c>
      <c r="G607" s="1">
        <v>45292</v>
      </c>
      <c r="H607" s="14">
        <v>23099.299995000001</v>
      </c>
      <c r="I607">
        <v>4668596</v>
      </c>
      <c r="J607" t="s">
        <v>88</v>
      </c>
      <c r="K607" t="s">
        <v>87</v>
      </c>
      <c r="L607" s="16" t="s">
        <v>12</v>
      </c>
    </row>
    <row r="608" spans="1:12" x14ac:dyDescent="0.35">
      <c r="A608" t="s">
        <v>8</v>
      </c>
      <c r="B608" t="s">
        <v>92</v>
      </c>
      <c r="C608" t="s">
        <v>93</v>
      </c>
      <c r="D608" t="s">
        <v>10</v>
      </c>
      <c r="E608" t="s">
        <v>10</v>
      </c>
      <c r="F608" s="7">
        <v>45311</v>
      </c>
      <c r="G608" s="1">
        <v>45292</v>
      </c>
      <c r="H608" s="14">
        <v>7133.2257999999983</v>
      </c>
      <c r="I608">
        <v>2387928</v>
      </c>
      <c r="J608" t="s">
        <v>88</v>
      </c>
      <c r="K608" t="s">
        <v>94</v>
      </c>
      <c r="L608" s="16" t="s">
        <v>10</v>
      </c>
    </row>
    <row r="609" spans="1:12" x14ac:dyDescent="0.35">
      <c r="A609" t="s">
        <v>8</v>
      </c>
      <c r="B609" t="s">
        <v>92</v>
      </c>
      <c r="C609" t="s">
        <v>95</v>
      </c>
      <c r="D609" t="s">
        <v>10</v>
      </c>
      <c r="E609" t="s">
        <v>10</v>
      </c>
      <c r="F609" s="7">
        <v>45311</v>
      </c>
      <c r="G609" s="1">
        <v>45292</v>
      </c>
      <c r="H609" s="14">
        <v>8691.65</v>
      </c>
      <c r="I609">
        <v>966027</v>
      </c>
      <c r="J609" t="s">
        <v>88</v>
      </c>
      <c r="K609" t="s">
        <v>96</v>
      </c>
      <c r="L609" s="16" t="s">
        <v>10</v>
      </c>
    </row>
    <row r="610" spans="1:12" x14ac:dyDescent="0.35">
      <c r="A610" t="s">
        <v>8</v>
      </c>
      <c r="B610" t="s">
        <v>84</v>
      </c>
      <c r="C610" t="s">
        <v>93</v>
      </c>
      <c r="D610" t="s">
        <v>10</v>
      </c>
      <c r="E610" t="s">
        <v>10</v>
      </c>
      <c r="F610" s="7">
        <v>45311</v>
      </c>
      <c r="G610" s="1">
        <v>45292</v>
      </c>
      <c r="H610" s="14">
        <v>6083.7089000000005</v>
      </c>
      <c r="I610">
        <v>2870413</v>
      </c>
      <c r="J610" t="s">
        <v>88</v>
      </c>
      <c r="K610" t="s">
        <v>94</v>
      </c>
      <c r="L610" s="16" t="s">
        <v>10</v>
      </c>
    </row>
    <row r="611" spans="1:12" x14ac:dyDescent="0.35">
      <c r="A611" t="s">
        <v>8</v>
      </c>
      <c r="B611" t="s">
        <v>84</v>
      </c>
      <c r="C611" t="s">
        <v>95</v>
      </c>
      <c r="D611" t="s">
        <v>10</v>
      </c>
      <c r="E611" t="s">
        <v>10</v>
      </c>
      <c r="F611" s="7">
        <v>45311</v>
      </c>
      <c r="G611" s="1">
        <v>45292</v>
      </c>
      <c r="H611" s="14">
        <v>5343.2799999999988</v>
      </c>
      <c r="I611">
        <v>1192487</v>
      </c>
      <c r="J611" t="s">
        <v>88</v>
      </c>
      <c r="K611" t="s">
        <v>96</v>
      </c>
      <c r="L611" s="16" t="s">
        <v>10</v>
      </c>
    </row>
    <row r="612" spans="1:12" x14ac:dyDescent="0.35">
      <c r="A612" t="s">
        <v>8</v>
      </c>
      <c r="B612" t="s">
        <v>17</v>
      </c>
      <c r="C612" t="s">
        <v>93</v>
      </c>
      <c r="D612" t="s">
        <v>10</v>
      </c>
      <c r="E612" t="s">
        <v>10</v>
      </c>
      <c r="F612" s="7">
        <v>45311</v>
      </c>
      <c r="G612" s="1">
        <v>45292</v>
      </c>
      <c r="H612" s="14">
        <v>7183.6363000000001</v>
      </c>
      <c r="I612">
        <v>1469457</v>
      </c>
      <c r="J612" t="s">
        <v>88</v>
      </c>
      <c r="K612" t="s">
        <v>94</v>
      </c>
      <c r="L612" s="16" t="s">
        <v>10</v>
      </c>
    </row>
    <row r="613" spans="1:12" x14ac:dyDescent="0.35">
      <c r="A613" t="s">
        <v>8</v>
      </c>
      <c r="B613" t="s">
        <v>17</v>
      </c>
      <c r="C613" t="s">
        <v>95</v>
      </c>
      <c r="D613" t="s">
        <v>10</v>
      </c>
      <c r="E613" t="s">
        <v>10</v>
      </c>
      <c r="F613" s="7">
        <v>45311</v>
      </c>
      <c r="G613" s="1">
        <v>45292</v>
      </c>
      <c r="H613" s="14">
        <v>8751.6799999999948</v>
      </c>
      <c r="I613">
        <v>921726</v>
      </c>
      <c r="J613" t="s">
        <v>88</v>
      </c>
      <c r="K613" t="s">
        <v>96</v>
      </c>
      <c r="L613" s="16" t="s">
        <v>10</v>
      </c>
    </row>
    <row r="614" spans="1:12" x14ac:dyDescent="0.35">
      <c r="A614" t="s">
        <v>8</v>
      </c>
      <c r="B614" t="s">
        <v>99</v>
      </c>
      <c r="C614" t="s">
        <v>93</v>
      </c>
      <c r="D614" t="s">
        <v>10</v>
      </c>
      <c r="E614" t="s">
        <v>10</v>
      </c>
      <c r="F614" s="7">
        <v>45311</v>
      </c>
      <c r="G614" s="1">
        <v>45292</v>
      </c>
      <c r="H614" s="14">
        <v>6672.8546999999971</v>
      </c>
      <c r="I614">
        <v>1117978</v>
      </c>
      <c r="J614" t="s">
        <v>88</v>
      </c>
      <c r="K614" t="s">
        <v>94</v>
      </c>
      <c r="L614" s="16" t="s">
        <v>10</v>
      </c>
    </row>
    <row r="615" spans="1:12" x14ac:dyDescent="0.35">
      <c r="A615" t="s">
        <v>8</v>
      </c>
      <c r="B615" t="s">
        <v>99</v>
      </c>
      <c r="C615" t="s">
        <v>95</v>
      </c>
      <c r="D615" t="s">
        <v>10</v>
      </c>
      <c r="E615" t="s">
        <v>10</v>
      </c>
      <c r="F615" s="7">
        <v>45311</v>
      </c>
      <c r="G615" s="1">
        <v>45292</v>
      </c>
      <c r="H615" s="14">
        <v>8708.2700000000059</v>
      </c>
      <c r="I615">
        <v>1653547</v>
      </c>
      <c r="J615" t="s">
        <v>88</v>
      </c>
      <c r="K615" t="s">
        <v>96</v>
      </c>
      <c r="L615" s="16" t="s">
        <v>10</v>
      </c>
    </row>
    <row r="616" spans="1:12" x14ac:dyDescent="0.35">
      <c r="A616" t="s">
        <v>8</v>
      </c>
      <c r="B616" t="s">
        <v>100</v>
      </c>
      <c r="C616" t="s">
        <v>93</v>
      </c>
      <c r="D616" t="s">
        <v>10</v>
      </c>
      <c r="E616" t="s">
        <v>10</v>
      </c>
      <c r="F616" s="7">
        <v>45311</v>
      </c>
      <c r="G616" s="1">
        <v>45292</v>
      </c>
      <c r="H616" s="14">
        <v>6873.7996999999978</v>
      </c>
      <c r="I616">
        <v>1914580</v>
      </c>
      <c r="J616" t="s">
        <v>88</v>
      </c>
      <c r="K616" t="s">
        <v>94</v>
      </c>
      <c r="L616" s="16" t="s">
        <v>10</v>
      </c>
    </row>
    <row r="617" spans="1:12" x14ac:dyDescent="0.35">
      <c r="A617" t="s">
        <v>8</v>
      </c>
      <c r="B617" t="s">
        <v>100</v>
      </c>
      <c r="C617" t="s">
        <v>95</v>
      </c>
      <c r="D617" t="s">
        <v>10</v>
      </c>
      <c r="E617" t="s">
        <v>10</v>
      </c>
      <c r="F617" s="7">
        <v>45311</v>
      </c>
      <c r="G617" s="1">
        <v>45292</v>
      </c>
      <c r="H617" s="14">
        <v>7322.7899999999991</v>
      </c>
      <c r="I617">
        <v>1059238</v>
      </c>
      <c r="J617" t="s">
        <v>88</v>
      </c>
      <c r="K617" t="s">
        <v>96</v>
      </c>
      <c r="L617" s="16" t="s">
        <v>10</v>
      </c>
    </row>
    <row r="618" spans="1:12" x14ac:dyDescent="0.35">
      <c r="A618" t="s">
        <v>8</v>
      </c>
      <c r="B618" t="s">
        <v>21</v>
      </c>
      <c r="C618" t="s">
        <v>95</v>
      </c>
      <c r="D618" t="s">
        <v>10</v>
      </c>
      <c r="E618" t="s">
        <v>10</v>
      </c>
      <c r="F618" s="7">
        <v>45311</v>
      </c>
      <c r="G618" s="1">
        <v>45292</v>
      </c>
      <c r="H618" s="14">
        <v>786.84</v>
      </c>
      <c r="I618">
        <v>98119</v>
      </c>
      <c r="J618" t="s">
        <v>88</v>
      </c>
      <c r="K618" t="s">
        <v>96</v>
      </c>
      <c r="L618" s="16" t="s">
        <v>10</v>
      </c>
    </row>
    <row r="619" spans="1:12" x14ac:dyDescent="0.35">
      <c r="A619" t="s">
        <v>8</v>
      </c>
      <c r="B619" t="s">
        <v>101</v>
      </c>
      <c r="C619" t="s">
        <v>93</v>
      </c>
      <c r="D619" t="s">
        <v>10</v>
      </c>
      <c r="E619" t="s">
        <v>10</v>
      </c>
      <c r="F619" s="7">
        <v>45311</v>
      </c>
      <c r="G619" s="1">
        <v>45292</v>
      </c>
      <c r="H619" s="14">
        <v>5913.5929000000033</v>
      </c>
      <c r="I619">
        <v>2297687</v>
      </c>
      <c r="J619" t="s">
        <v>88</v>
      </c>
      <c r="K619" t="s">
        <v>94</v>
      </c>
      <c r="L619" s="16" t="s">
        <v>10</v>
      </c>
    </row>
    <row r="620" spans="1:12" x14ac:dyDescent="0.35">
      <c r="A620" t="s">
        <v>8</v>
      </c>
      <c r="B620" t="s">
        <v>101</v>
      </c>
      <c r="C620" t="s">
        <v>95</v>
      </c>
      <c r="D620" t="s">
        <v>10</v>
      </c>
      <c r="E620" t="s">
        <v>10</v>
      </c>
      <c r="F620" s="7">
        <v>45311</v>
      </c>
      <c r="G620" s="1">
        <v>45292</v>
      </c>
      <c r="H620" s="14">
        <v>3629.809999999999</v>
      </c>
      <c r="I620">
        <v>775806</v>
      </c>
      <c r="J620" t="s">
        <v>88</v>
      </c>
      <c r="K620" t="s">
        <v>96</v>
      </c>
      <c r="L620" s="16" t="s">
        <v>10</v>
      </c>
    </row>
    <row r="621" spans="1:12" x14ac:dyDescent="0.35">
      <c r="A621" t="s">
        <v>8</v>
      </c>
      <c r="B621" t="s">
        <v>16</v>
      </c>
      <c r="C621" t="s">
        <v>95</v>
      </c>
      <c r="D621" t="s">
        <v>10</v>
      </c>
      <c r="E621" t="s">
        <v>10</v>
      </c>
      <c r="F621" s="7">
        <v>45311</v>
      </c>
      <c r="G621" s="1">
        <v>45292</v>
      </c>
      <c r="H621" s="14">
        <v>1378.6</v>
      </c>
      <c r="I621">
        <v>198343</v>
      </c>
      <c r="J621" t="s">
        <v>88</v>
      </c>
      <c r="K621" t="s">
        <v>96</v>
      </c>
      <c r="L621" s="16" t="s">
        <v>10</v>
      </c>
    </row>
    <row r="622" spans="1:12" x14ac:dyDescent="0.35">
      <c r="A622" t="s">
        <v>8</v>
      </c>
      <c r="B622" t="s">
        <v>102</v>
      </c>
      <c r="C622" t="s">
        <v>95</v>
      </c>
      <c r="D622" t="s">
        <v>10</v>
      </c>
      <c r="E622" t="s">
        <v>10</v>
      </c>
      <c r="F622" s="7">
        <v>45311</v>
      </c>
      <c r="G622" s="1">
        <v>45292</v>
      </c>
      <c r="H622" s="14">
        <v>1.1099999999999999</v>
      </c>
      <c r="I622">
        <v>3652</v>
      </c>
      <c r="J622" t="s">
        <v>88</v>
      </c>
      <c r="K622" t="s">
        <v>96</v>
      </c>
      <c r="L622" s="16" t="s">
        <v>10</v>
      </c>
    </row>
    <row r="623" spans="1:12" x14ac:dyDescent="0.35">
      <c r="A623" t="s">
        <v>8</v>
      </c>
      <c r="B623" t="s">
        <v>103</v>
      </c>
      <c r="C623" t="s">
        <v>95</v>
      </c>
      <c r="D623" t="s">
        <v>104</v>
      </c>
      <c r="E623" t="s">
        <v>8</v>
      </c>
      <c r="F623" s="7">
        <v>45311</v>
      </c>
      <c r="G623" s="1">
        <v>45292</v>
      </c>
      <c r="H623" s="14">
        <v>52.760000000000005</v>
      </c>
      <c r="I623">
        <v>263</v>
      </c>
      <c r="J623" t="s">
        <v>88</v>
      </c>
      <c r="K623" t="s">
        <v>105</v>
      </c>
      <c r="L623" s="16" t="s">
        <v>95</v>
      </c>
    </row>
    <row r="624" spans="1:12" x14ac:dyDescent="0.35">
      <c r="A624" t="s">
        <v>8</v>
      </c>
      <c r="B624" t="s">
        <v>16</v>
      </c>
      <c r="C624" t="s">
        <v>95</v>
      </c>
      <c r="D624" t="s">
        <v>104</v>
      </c>
      <c r="E624" t="s">
        <v>8</v>
      </c>
      <c r="F624" s="7">
        <v>45311</v>
      </c>
      <c r="G624" s="1">
        <v>45292</v>
      </c>
      <c r="H624" s="14">
        <v>68.63</v>
      </c>
      <c r="I624">
        <v>395</v>
      </c>
      <c r="J624" t="s">
        <v>88</v>
      </c>
      <c r="K624" t="s">
        <v>105</v>
      </c>
      <c r="L624" s="16" t="s">
        <v>95</v>
      </c>
    </row>
    <row r="625" spans="1:12" x14ac:dyDescent="0.35">
      <c r="A625" t="s">
        <v>8</v>
      </c>
      <c r="B625" t="s">
        <v>84</v>
      </c>
      <c r="C625" t="s">
        <v>95</v>
      </c>
      <c r="D625" t="s">
        <v>104</v>
      </c>
      <c r="E625" t="s">
        <v>8</v>
      </c>
      <c r="F625" s="7">
        <v>45311</v>
      </c>
      <c r="G625" s="1">
        <v>45292</v>
      </c>
      <c r="H625" s="14">
        <v>8106.3899999999994</v>
      </c>
      <c r="I625">
        <v>30879</v>
      </c>
      <c r="J625" t="s">
        <v>88</v>
      </c>
      <c r="K625" t="s">
        <v>105</v>
      </c>
      <c r="L625" s="16" t="s">
        <v>95</v>
      </c>
    </row>
    <row r="626" spans="1:12" x14ac:dyDescent="0.35">
      <c r="A626" t="s">
        <v>8</v>
      </c>
      <c r="B626" t="s">
        <v>17</v>
      </c>
      <c r="C626" t="s">
        <v>95</v>
      </c>
      <c r="D626" t="s">
        <v>104</v>
      </c>
      <c r="E626" t="s">
        <v>8</v>
      </c>
      <c r="F626" s="7">
        <v>45311</v>
      </c>
      <c r="G626" s="1">
        <v>45292</v>
      </c>
      <c r="H626" s="14">
        <v>58.02</v>
      </c>
      <c r="I626">
        <v>529</v>
      </c>
      <c r="J626" t="s">
        <v>88</v>
      </c>
      <c r="K626" t="s">
        <v>105</v>
      </c>
      <c r="L626" s="16" t="s">
        <v>95</v>
      </c>
    </row>
    <row r="627" spans="1:12" x14ac:dyDescent="0.35">
      <c r="A627" t="s">
        <v>8</v>
      </c>
      <c r="B627" t="s">
        <v>106</v>
      </c>
      <c r="C627" t="s">
        <v>95</v>
      </c>
      <c r="D627" t="s">
        <v>104</v>
      </c>
      <c r="E627" t="s">
        <v>8</v>
      </c>
      <c r="F627" s="7">
        <v>45311</v>
      </c>
      <c r="G627" s="1">
        <v>45292</v>
      </c>
      <c r="H627" s="14">
        <v>1.91</v>
      </c>
      <c r="I627">
        <v>1</v>
      </c>
      <c r="J627" t="s">
        <v>88</v>
      </c>
      <c r="K627" t="s">
        <v>105</v>
      </c>
      <c r="L627" s="16" t="s">
        <v>95</v>
      </c>
    </row>
    <row r="628" spans="1:12" x14ac:dyDescent="0.35">
      <c r="A628" t="s">
        <v>8</v>
      </c>
      <c r="B628" t="s">
        <v>92</v>
      </c>
      <c r="C628" t="s">
        <v>95</v>
      </c>
      <c r="D628" t="s">
        <v>104</v>
      </c>
      <c r="E628" t="s">
        <v>8</v>
      </c>
      <c r="F628" s="7">
        <v>45311</v>
      </c>
      <c r="G628" s="1">
        <v>45292</v>
      </c>
      <c r="H628" s="14">
        <v>159.89999999999998</v>
      </c>
      <c r="I628">
        <v>1257</v>
      </c>
      <c r="J628" t="s">
        <v>88</v>
      </c>
      <c r="K628" t="s">
        <v>105</v>
      </c>
      <c r="L628" s="16" t="s">
        <v>95</v>
      </c>
    </row>
    <row r="629" spans="1:12" x14ac:dyDescent="0.35">
      <c r="A629" t="s">
        <v>8</v>
      </c>
      <c r="B629" t="s">
        <v>21</v>
      </c>
      <c r="C629" t="s">
        <v>95</v>
      </c>
      <c r="D629" t="s">
        <v>104</v>
      </c>
      <c r="E629" t="s">
        <v>8</v>
      </c>
      <c r="F629" s="7">
        <v>45311</v>
      </c>
      <c r="G629" s="1">
        <v>45292</v>
      </c>
      <c r="H629" s="14">
        <v>354.86999999999995</v>
      </c>
      <c r="I629">
        <v>1366</v>
      </c>
      <c r="J629" t="s">
        <v>88</v>
      </c>
      <c r="K629" t="s">
        <v>105</v>
      </c>
      <c r="L629" s="16" t="s">
        <v>95</v>
      </c>
    </row>
    <row r="630" spans="1:12" x14ac:dyDescent="0.35">
      <c r="A630" t="s">
        <v>8</v>
      </c>
      <c r="B630" t="s">
        <v>101</v>
      </c>
      <c r="C630" t="s">
        <v>95</v>
      </c>
      <c r="D630" t="s">
        <v>104</v>
      </c>
      <c r="E630" t="s">
        <v>8</v>
      </c>
      <c r="F630" s="7">
        <v>45311</v>
      </c>
      <c r="G630" s="1">
        <v>45292</v>
      </c>
      <c r="H630" s="14">
        <v>50.1</v>
      </c>
      <c r="I630">
        <v>336</v>
      </c>
      <c r="J630" t="s">
        <v>88</v>
      </c>
      <c r="K630" t="s">
        <v>105</v>
      </c>
      <c r="L630" s="16" t="s">
        <v>95</v>
      </c>
    </row>
    <row r="631" spans="1:12" x14ac:dyDescent="0.35">
      <c r="A631" t="s">
        <v>8</v>
      </c>
      <c r="B631" t="s">
        <v>99</v>
      </c>
      <c r="C631" t="s">
        <v>95</v>
      </c>
      <c r="D631" t="s">
        <v>104</v>
      </c>
      <c r="E631" t="s">
        <v>8</v>
      </c>
      <c r="F631" s="7">
        <v>45311</v>
      </c>
      <c r="G631" s="1">
        <v>45292</v>
      </c>
      <c r="H631" s="14">
        <v>45.25</v>
      </c>
      <c r="I631">
        <v>368</v>
      </c>
      <c r="J631" t="s">
        <v>88</v>
      </c>
      <c r="K631" t="s">
        <v>105</v>
      </c>
      <c r="L631" s="16" t="s">
        <v>95</v>
      </c>
    </row>
    <row r="632" spans="1:12" x14ac:dyDescent="0.35">
      <c r="A632" t="s">
        <v>8</v>
      </c>
      <c r="B632" t="s">
        <v>100</v>
      </c>
      <c r="C632" t="s">
        <v>95</v>
      </c>
      <c r="D632" t="s">
        <v>104</v>
      </c>
      <c r="E632" t="s">
        <v>8</v>
      </c>
      <c r="F632" s="7">
        <v>45311</v>
      </c>
      <c r="G632" s="1">
        <v>45292</v>
      </c>
      <c r="H632" s="14">
        <v>191.27999999999997</v>
      </c>
      <c r="I632">
        <v>1043</v>
      </c>
      <c r="J632" t="s">
        <v>88</v>
      </c>
      <c r="K632" t="s">
        <v>105</v>
      </c>
      <c r="L632" s="16" t="s">
        <v>95</v>
      </c>
    </row>
    <row r="633" spans="1:12" x14ac:dyDescent="0.35">
      <c r="A633" t="s">
        <v>8</v>
      </c>
      <c r="B633" t="s">
        <v>92</v>
      </c>
      <c r="C633" t="s">
        <v>85</v>
      </c>
      <c r="D633" t="s">
        <v>9</v>
      </c>
      <c r="E633" t="s">
        <v>11</v>
      </c>
      <c r="F633" s="7">
        <v>45318</v>
      </c>
      <c r="G633" s="1">
        <v>45292</v>
      </c>
      <c r="H633" s="14">
        <v>10316.090037999998</v>
      </c>
      <c r="I633">
        <v>2557828</v>
      </c>
      <c r="J633" t="s">
        <v>88</v>
      </c>
      <c r="K633" t="s">
        <v>87</v>
      </c>
      <c r="L633" s="16" t="s">
        <v>9</v>
      </c>
    </row>
    <row r="634" spans="1:12" x14ac:dyDescent="0.35">
      <c r="A634" t="s">
        <v>8</v>
      </c>
      <c r="B634" t="s">
        <v>92</v>
      </c>
      <c r="C634" t="s">
        <v>85</v>
      </c>
      <c r="D634" t="s">
        <v>9</v>
      </c>
      <c r="E634" t="s">
        <v>12</v>
      </c>
      <c r="F634" s="7">
        <v>45318</v>
      </c>
      <c r="G634" s="1">
        <v>45292</v>
      </c>
      <c r="H634" s="14">
        <v>27238.429998000003</v>
      </c>
      <c r="I634">
        <v>5142787</v>
      </c>
      <c r="J634" t="s">
        <v>88</v>
      </c>
      <c r="K634" t="s">
        <v>87</v>
      </c>
      <c r="L634" s="16" t="s">
        <v>12</v>
      </c>
    </row>
    <row r="635" spans="1:12" x14ac:dyDescent="0.35">
      <c r="A635" t="s">
        <v>8</v>
      </c>
      <c r="B635" t="s">
        <v>92</v>
      </c>
      <c r="C635" t="s">
        <v>93</v>
      </c>
      <c r="D635" t="s">
        <v>10</v>
      </c>
      <c r="E635" t="s">
        <v>10</v>
      </c>
      <c r="F635" s="7">
        <v>45318</v>
      </c>
      <c r="G635" s="1">
        <v>45292</v>
      </c>
      <c r="H635" s="14">
        <v>6906.9658999999992</v>
      </c>
      <c r="I635">
        <v>2305664</v>
      </c>
      <c r="J635" t="s">
        <v>88</v>
      </c>
      <c r="K635" t="s">
        <v>94</v>
      </c>
      <c r="L635" s="16" t="s">
        <v>10</v>
      </c>
    </row>
    <row r="636" spans="1:12" x14ac:dyDescent="0.35">
      <c r="A636" t="s">
        <v>8</v>
      </c>
      <c r="B636" t="s">
        <v>92</v>
      </c>
      <c r="C636" t="s">
        <v>95</v>
      </c>
      <c r="D636" t="s">
        <v>10</v>
      </c>
      <c r="E636" t="s">
        <v>10</v>
      </c>
      <c r="F636" s="7">
        <v>45318</v>
      </c>
      <c r="G636" s="1">
        <v>45292</v>
      </c>
      <c r="H636" s="14">
        <v>8634.0300000000043</v>
      </c>
      <c r="I636">
        <v>1047445</v>
      </c>
      <c r="J636" t="s">
        <v>88</v>
      </c>
      <c r="K636" t="s">
        <v>96</v>
      </c>
      <c r="L636" s="16" t="s">
        <v>10</v>
      </c>
    </row>
    <row r="637" spans="1:12" x14ac:dyDescent="0.35">
      <c r="A637" t="s">
        <v>8</v>
      </c>
      <c r="B637" t="s">
        <v>84</v>
      </c>
      <c r="C637" t="s">
        <v>93</v>
      </c>
      <c r="D637" t="s">
        <v>10</v>
      </c>
      <c r="E637" t="s">
        <v>10</v>
      </c>
      <c r="F637" s="7">
        <v>45318</v>
      </c>
      <c r="G637" s="1">
        <v>45292</v>
      </c>
      <c r="H637" s="14">
        <v>5852.6000000000013</v>
      </c>
      <c r="I637">
        <v>2290348</v>
      </c>
      <c r="J637" t="s">
        <v>88</v>
      </c>
      <c r="K637" t="s">
        <v>94</v>
      </c>
      <c r="L637" s="16" t="s">
        <v>10</v>
      </c>
    </row>
    <row r="638" spans="1:12" x14ac:dyDescent="0.35">
      <c r="A638" t="s">
        <v>8</v>
      </c>
      <c r="B638" t="s">
        <v>84</v>
      </c>
      <c r="C638" t="s">
        <v>95</v>
      </c>
      <c r="D638" t="s">
        <v>10</v>
      </c>
      <c r="E638" t="s">
        <v>10</v>
      </c>
      <c r="F638" s="7">
        <v>45318</v>
      </c>
      <c r="G638" s="1">
        <v>45292</v>
      </c>
      <c r="H638" s="14">
        <v>5506.5200000000013</v>
      </c>
      <c r="I638">
        <v>1373191</v>
      </c>
      <c r="J638" t="s">
        <v>88</v>
      </c>
      <c r="K638" t="s">
        <v>96</v>
      </c>
      <c r="L638" s="16" t="s">
        <v>10</v>
      </c>
    </row>
    <row r="639" spans="1:12" x14ac:dyDescent="0.35">
      <c r="A639" t="s">
        <v>8</v>
      </c>
      <c r="B639" t="s">
        <v>17</v>
      </c>
      <c r="C639" t="s">
        <v>93</v>
      </c>
      <c r="D639" t="s">
        <v>10</v>
      </c>
      <c r="E639" t="s">
        <v>10</v>
      </c>
      <c r="F639" s="7">
        <v>45318</v>
      </c>
      <c r="G639" s="1">
        <v>45292</v>
      </c>
      <c r="H639" s="14">
        <v>7121.7094999999999</v>
      </c>
      <c r="I639">
        <v>1459880</v>
      </c>
      <c r="J639" t="s">
        <v>88</v>
      </c>
      <c r="K639" t="s">
        <v>94</v>
      </c>
      <c r="L639" s="16" t="s">
        <v>10</v>
      </c>
    </row>
    <row r="640" spans="1:12" x14ac:dyDescent="0.35">
      <c r="A640" t="s">
        <v>8</v>
      </c>
      <c r="B640" t="s">
        <v>17</v>
      </c>
      <c r="C640" t="s">
        <v>95</v>
      </c>
      <c r="D640" t="s">
        <v>10</v>
      </c>
      <c r="E640" t="s">
        <v>10</v>
      </c>
      <c r="F640" s="7">
        <v>45318</v>
      </c>
      <c r="G640" s="1">
        <v>45292</v>
      </c>
      <c r="H640" s="14">
        <v>8821.2999999999938</v>
      </c>
      <c r="I640">
        <v>967748</v>
      </c>
      <c r="J640" t="s">
        <v>88</v>
      </c>
      <c r="K640" t="s">
        <v>96</v>
      </c>
      <c r="L640" s="16" t="s">
        <v>10</v>
      </c>
    </row>
    <row r="641" spans="1:12" x14ac:dyDescent="0.35">
      <c r="A641" t="s">
        <v>8</v>
      </c>
      <c r="B641" t="s">
        <v>99</v>
      </c>
      <c r="C641" t="s">
        <v>93</v>
      </c>
      <c r="D641" t="s">
        <v>10</v>
      </c>
      <c r="E641" t="s">
        <v>10</v>
      </c>
      <c r="F641" s="7">
        <v>45318</v>
      </c>
      <c r="G641" s="1">
        <v>45292</v>
      </c>
      <c r="H641" s="14">
        <v>6798.0000999999993</v>
      </c>
      <c r="I641">
        <v>1131771</v>
      </c>
      <c r="J641" t="s">
        <v>88</v>
      </c>
      <c r="K641" t="s">
        <v>94</v>
      </c>
      <c r="L641" s="16" t="s">
        <v>10</v>
      </c>
    </row>
    <row r="642" spans="1:12" x14ac:dyDescent="0.35">
      <c r="A642" t="s">
        <v>8</v>
      </c>
      <c r="B642" t="s">
        <v>99</v>
      </c>
      <c r="C642" t="s">
        <v>95</v>
      </c>
      <c r="D642" t="s">
        <v>10</v>
      </c>
      <c r="E642" t="s">
        <v>10</v>
      </c>
      <c r="F642" s="7">
        <v>45318</v>
      </c>
      <c r="G642" s="1">
        <v>45292</v>
      </c>
      <c r="H642" s="14">
        <v>10380.179999999997</v>
      </c>
      <c r="I642">
        <v>1857468</v>
      </c>
      <c r="J642" t="s">
        <v>88</v>
      </c>
      <c r="K642" t="s">
        <v>96</v>
      </c>
      <c r="L642" s="16" t="s">
        <v>10</v>
      </c>
    </row>
    <row r="643" spans="1:12" x14ac:dyDescent="0.35">
      <c r="A643" t="s">
        <v>8</v>
      </c>
      <c r="B643" t="s">
        <v>100</v>
      </c>
      <c r="C643" t="s">
        <v>93</v>
      </c>
      <c r="D643" t="s">
        <v>10</v>
      </c>
      <c r="E643" t="s">
        <v>10</v>
      </c>
      <c r="F643" s="7">
        <v>45318</v>
      </c>
      <c r="G643" s="1">
        <v>45292</v>
      </c>
      <c r="H643" s="14">
        <v>6728.8148999999903</v>
      </c>
      <c r="I643">
        <v>1814655</v>
      </c>
      <c r="J643" t="s">
        <v>88</v>
      </c>
      <c r="K643" t="s">
        <v>94</v>
      </c>
      <c r="L643" s="16" t="s">
        <v>10</v>
      </c>
    </row>
    <row r="644" spans="1:12" x14ac:dyDescent="0.35">
      <c r="A644" t="s">
        <v>8</v>
      </c>
      <c r="B644" t="s">
        <v>100</v>
      </c>
      <c r="C644" t="s">
        <v>95</v>
      </c>
      <c r="D644" t="s">
        <v>10</v>
      </c>
      <c r="E644" t="s">
        <v>10</v>
      </c>
      <c r="F644" s="7">
        <v>45318</v>
      </c>
      <c r="G644" s="1">
        <v>45292</v>
      </c>
      <c r="H644" s="14">
        <v>10397.080000000002</v>
      </c>
      <c r="I644">
        <v>1657871</v>
      </c>
      <c r="J644" t="s">
        <v>88</v>
      </c>
      <c r="K644" t="s">
        <v>96</v>
      </c>
      <c r="L644" s="16" t="s">
        <v>10</v>
      </c>
    </row>
    <row r="645" spans="1:12" x14ac:dyDescent="0.35">
      <c r="A645" t="s">
        <v>8</v>
      </c>
      <c r="B645" t="s">
        <v>101</v>
      </c>
      <c r="C645" t="s">
        <v>93</v>
      </c>
      <c r="D645" t="s">
        <v>10</v>
      </c>
      <c r="E645" t="s">
        <v>10</v>
      </c>
      <c r="F645" s="7">
        <v>45318</v>
      </c>
      <c r="G645" s="1">
        <v>45292</v>
      </c>
      <c r="H645" s="14">
        <v>5812.2397999999976</v>
      </c>
      <c r="I645">
        <v>2071989</v>
      </c>
      <c r="J645" t="s">
        <v>88</v>
      </c>
      <c r="K645" t="s">
        <v>94</v>
      </c>
      <c r="L645" s="16" t="s">
        <v>10</v>
      </c>
    </row>
    <row r="646" spans="1:12" x14ac:dyDescent="0.35">
      <c r="A646" t="s">
        <v>8</v>
      </c>
      <c r="B646" t="s">
        <v>101</v>
      </c>
      <c r="C646" t="s">
        <v>95</v>
      </c>
      <c r="D646" t="s">
        <v>10</v>
      </c>
      <c r="E646" t="s">
        <v>10</v>
      </c>
      <c r="F646" s="7">
        <v>45318</v>
      </c>
      <c r="G646" s="1">
        <v>45292</v>
      </c>
      <c r="H646" s="14">
        <v>4012.35</v>
      </c>
      <c r="I646">
        <v>891968</v>
      </c>
      <c r="J646" t="s">
        <v>88</v>
      </c>
      <c r="K646" t="s">
        <v>96</v>
      </c>
      <c r="L646" s="16" t="s">
        <v>10</v>
      </c>
    </row>
    <row r="647" spans="1:12" x14ac:dyDescent="0.35">
      <c r="A647" t="s">
        <v>8</v>
      </c>
      <c r="B647" t="s">
        <v>16</v>
      </c>
      <c r="C647" t="s">
        <v>95</v>
      </c>
      <c r="D647" t="s">
        <v>10</v>
      </c>
      <c r="E647" t="s">
        <v>10</v>
      </c>
      <c r="F647" s="7">
        <v>45318</v>
      </c>
      <c r="G647" s="1">
        <v>45292</v>
      </c>
      <c r="H647" s="14">
        <v>2334.13</v>
      </c>
      <c r="I647">
        <v>288444</v>
      </c>
      <c r="J647" t="s">
        <v>88</v>
      </c>
      <c r="K647" t="s">
        <v>96</v>
      </c>
      <c r="L647" s="16" t="s">
        <v>10</v>
      </c>
    </row>
    <row r="648" spans="1:12" x14ac:dyDescent="0.35">
      <c r="A648" t="s">
        <v>8</v>
      </c>
      <c r="B648" t="s">
        <v>102</v>
      </c>
      <c r="C648" t="s">
        <v>95</v>
      </c>
      <c r="D648" t="s">
        <v>10</v>
      </c>
      <c r="E648" t="s">
        <v>10</v>
      </c>
      <c r="F648" s="7">
        <v>45318</v>
      </c>
      <c r="G648" s="1">
        <v>45292</v>
      </c>
      <c r="H648" s="14">
        <v>1.23</v>
      </c>
      <c r="I648">
        <v>3069</v>
      </c>
      <c r="J648" t="s">
        <v>88</v>
      </c>
      <c r="K648" t="s">
        <v>96</v>
      </c>
      <c r="L648" s="16" t="s">
        <v>10</v>
      </c>
    </row>
    <row r="649" spans="1:12" x14ac:dyDescent="0.35">
      <c r="A649" t="s">
        <v>8</v>
      </c>
      <c r="B649" t="s">
        <v>103</v>
      </c>
      <c r="C649" t="s">
        <v>95</v>
      </c>
      <c r="D649" t="s">
        <v>104</v>
      </c>
      <c r="E649" t="s">
        <v>8</v>
      </c>
      <c r="F649" s="7">
        <v>45318</v>
      </c>
      <c r="G649" s="1">
        <v>45292</v>
      </c>
      <c r="H649" s="14">
        <v>45.43</v>
      </c>
      <c r="I649">
        <v>294</v>
      </c>
      <c r="J649" t="s">
        <v>88</v>
      </c>
      <c r="K649" t="s">
        <v>105</v>
      </c>
      <c r="L649" s="16" t="s">
        <v>95</v>
      </c>
    </row>
    <row r="650" spans="1:12" x14ac:dyDescent="0.35">
      <c r="A650" t="s">
        <v>8</v>
      </c>
      <c r="B650" t="s">
        <v>16</v>
      </c>
      <c r="C650" t="s">
        <v>95</v>
      </c>
      <c r="D650" t="s">
        <v>104</v>
      </c>
      <c r="E650" t="s">
        <v>8</v>
      </c>
      <c r="F650" s="7">
        <v>45318</v>
      </c>
      <c r="G650" s="1">
        <v>45292</v>
      </c>
      <c r="H650" s="14">
        <v>76.309999999999988</v>
      </c>
      <c r="I650">
        <v>397</v>
      </c>
      <c r="J650" t="s">
        <v>88</v>
      </c>
      <c r="K650" t="s">
        <v>105</v>
      </c>
      <c r="L650" s="16" t="s">
        <v>95</v>
      </c>
    </row>
    <row r="651" spans="1:12" x14ac:dyDescent="0.35">
      <c r="A651" t="s">
        <v>8</v>
      </c>
      <c r="B651" t="s">
        <v>84</v>
      </c>
      <c r="C651" t="s">
        <v>95</v>
      </c>
      <c r="D651" t="s">
        <v>104</v>
      </c>
      <c r="E651" t="s">
        <v>8</v>
      </c>
      <c r="F651" s="7">
        <v>45318</v>
      </c>
      <c r="G651" s="1">
        <v>45292</v>
      </c>
      <c r="H651" s="14">
        <v>8009.6</v>
      </c>
      <c r="I651">
        <v>31409</v>
      </c>
      <c r="J651" t="s">
        <v>88</v>
      </c>
      <c r="K651" t="s">
        <v>105</v>
      </c>
      <c r="L651" s="16" t="s">
        <v>95</v>
      </c>
    </row>
    <row r="652" spans="1:12" x14ac:dyDescent="0.35">
      <c r="A652" t="s">
        <v>8</v>
      </c>
      <c r="B652" t="s">
        <v>17</v>
      </c>
      <c r="C652" t="s">
        <v>95</v>
      </c>
      <c r="D652" t="s">
        <v>104</v>
      </c>
      <c r="E652" t="s">
        <v>8</v>
      </c>
      <c r="F652" s="7">
        <v>45318</v>
      </c>
      <c r="G652" s="1">
        <v>45292</v>
      </c>
      <c r="H652" s="14">
        <v>70.81</v>
      </c>
      <c r="I652">
        <v>599</v>
      </c>
      <c r="J652" t="s">
        <v>88</v>
      </c>
      <c r="K652" t="s">
        <v>105</v>
      </c>
      <c r="L652" s="16" t="s">
        <v>95</v>
      </c>
    </row>
    <row r="653" spans="1:12" x14ac:dyDescent="0.35">
      <c r="A653" t="s">
        <v>8</v>
      </c>
      <c r="B653" t="s">
        <v>106</v>
      </c>
      <c r="C653" t="s">
        <v>95</v>
      </c>
      <c r="D653" t="s">
        <v>104</v>
      </c>
      <c r="E653" t="s">
        <v>8</v>
      </c>
      <c r="F653" s="7">
        <v>45318</v>
      </c>
      <c r="G653" s="1">
        <v>45292</v>
      </c>
      <c r="H653" s="14">
        <v>7.92</v>
      </c>
      <c r="I653">
        <v>32</v>
      </c>
      <c r="J653" t="s">
        <v>88</v>
      </c>
      <c r="K653" t="s">
        <v>105</v>
      </c>
      <c r="L653" s="16" t="s">
        <v>95</v>
      </c>
    </row>
    <row r="654" spans="1:12" x14ac:dyDescent="0.35">
      <c r="A654" t="s">
        <v>8</v>
      </c>
      <c r="B654" t="s">
        <v>92</v>
      </c>
      <c r="C654" t="s">
        <v>95</v>
      </c>
      <c r="D654" t="s">
        <v>104</v>
      </c>
      <c r="E654" t="s">
        <v>8</v>
      </c>
      <c r="F654" s="7">
        <v>45318</v>
      </c>
      <c r="G654" s="1">
        <v>45292</v>
      </c>
      <c r="H654" s="14">
        <v>224.19000000000003</v>
      </c>
      <c r="I654">
        <v>1588</v>
      </c>
      <c r="J654" t="s">
        <v>88</v>
      </c>
      <c r="K654" t="s">
        <v>105</v>
      </c>
      <c r="L654" s="16" t="s">
        <v>95</v>
      </c>
    </row>
    <row r="655" spans="1:12" x14ac:dyDescent="0.35">
      <c r="A655" t="s">
        <v>8</v>
      </c>
      <c r="B655" t="s">
        <v>21</v>
      </c>
      <c r="C655" t="s">
        <v>95</v>
      </c>
      <c r="D655" t="s">
        <v>104</v>
      </c>
      <c r="E655" t="s">
        <v>8</v>
      </c>
      <c r="F655" s="7">
        <v>45318</v>
      </c>
      <c r="G655" s="1">
        <v>45292</v>
      </c>
      <c r="H655" s="14">
        <v>550.13000000000011</v>
      </c>
      <c r="I655">
        <v>1674</v>
      </c>
      <c r="J655" t="s">
        <v>88</v>
      </c>
      <c r="K655" t="s">
        <v>105</v>
      </c>
      <c r="L655" s="16" t="s">
        <v>95</v>
      </c>
    </row>
    <row r="656" spans="1:12" x14ac:dyDescent="0.35">
      <c r="A656" t="s">
        <v>8</v>
      </c>
      <c r="B656" t="s">
        <v>101</v>
      </c>
      <c r="C656" t="s">
        <v>95</v>
      </c>
      <c r="D656" t="s">
        <v>104</v>
      </c>
      <c r="E656" t="s">
        <v>8</v>
      </c>
      <c r="F656" s="7">
        <v>45318</v>
      </c>
      <c r="G656" s="1">
        <v>45292</v>
      </c>
      <c r="H656" s="14">
        <v>54.17</v>
      </c>
      <c r="I656">
        <v>392</v>
      </c>
      <c r="J656" t="s">
        <v>88</v>
      </c>
      <c r="K656" t="s">
        <v>105</v>
      </c>
      <c r="L656" s="16" t="s">
        <v>95</v>
      </c>
    </row>
    <row r="657" spans="1:12" x14ac:dyDescent="0.35">
      <c r="A657" t="s">
        <v>8</v>
      </c>
      <c r="B657" t="s">
        <v>99</v>
      </c>
      <c r="C657" t="s">
        <v>95</v>
      </c>
      <c r="D657" t="s">
        <v>104</v>
      </c>
      <c r="E657" t="s">
        <v>8</v>
      </c>
      <c r="F657" s="7">
        <v>45318</v>
      </c>
      <c r="G657" s="1">
        <v>45292</v>
      </c>
      <c r="H657" s="14">
        <v>68.429999999999993</v>
      </c>
      <c r="I657">
        <v>406</v>
      </c>
      <c r="J657" t="s">
        <v>88</v>
      </c>
      <c r="K657" t="s">
        <v>105</v>
      </c>
      <c r="L657" s="16" t="s">
        <v>95</v>
      </c>
    </row>
    <row r="658" spans="1:12" x14ac:dyDescent="0.35">
      <c r="A658" t="s">
        <v>8</v>
      </c>
      <c r="B658" t="s">
        <v>100</v>
      </c>
      <c r="C658" t="s">
        <v>95</v>
      </c>
      <c r="D658" t="s">
        <v>104</v>
      </c>
      <c r="E658" t="s">
        <v>8</v>
      </c>
      <c r="F658" s="7">
        <v>45318</v>
      </c>
      <c r="G658" s="1">
        <v>45292</v>
      </c>
      <c r="H658" s="14">
        <v>178.92</v>
      </c>
      <c r="I658">
        <v>1068</v>
      </c>
      <c r="J658" t="s">
        <v>88</v>
      </c>
      <c r="K658" t="s">
        <v>105</v>
      </c>
      <c r="L658" s="16" t="s">
        <v>95</v>
      </c>
    </row>
    <row r="659" spans="1:12" x14ac:dyDescent="0.35">
      <c r="A659" t="s">
        <v>8</v>
      </c>
      <c r="B659" t="s">
        <v>92</v>
      </c>
      <c r="C659" t="s">
        <v>85</v>
      </c>
      <c r="D659" t="s">
        <v>9</v>
      </c>
      <c r="E659" t="s">
        <v>11</v>
      </c>
      <c r="F659" s="7">
        <v>45325</v>
      </c>
      <c r="G659" s="1">
        <v>45292</v>
      </c>
      <c r="H659" s="14">
        <v>10254.200008999998</v>
      </c>
      <c r="I659">
        <v>2072395</v>
      </c>
      <c r="J659" t="s">
        <v>88</v>
      </c>
      <c r="K659" t="s">
        <v>87</v>
      </c>
      <c r="L659" s="16" t="s">
        <v>9</v>
      </c>
    </row>
    <row r="660" spans="1:12" x14ac:dyDescent="0.35">
      <c r="A660" t="s">
        <v>8</v>
      </c>
      <c r="B660" t="s">
        <v>92</v>
      </c>
      <c r="C660" t="s">
        <v>85</v>
      </c>
      <c r="D660" t="s">
        <v>9</v>
      </c>
      <c r="E660" t="s">
        <v>12</v>
      </c>
      <c r="F660" s="7">
        <v>45325</v>
      </c>
      <c r="G660" s="1">
        <v>45292</v>
      </c>
      <c r="H660" s="14">
        <v>26509.399992000002</v>
      </c>
      <c r="I660">
        <v>4721324</v>
      </c>
      <c r="J660" t="s">
        <v>88</v>
      </c>
      <c r="K660" t="s">
        <v>87</v>
      </c>
      <c r="L660" s="16" t="s">
        <v>12</v>
      </c>
    </row>
    <row r="661" spans="1:12" x14ac:dyDescent="0.35">
      <c r="A661" t="s">
        <v>8</v>
      </c>
      <c r="B661" t="s">
        <v>92</v>
      </c>
      <c r="C661" t="s">
        <v>93</v>
      </c>
      <c r="D661" t="s">
        <v>10</v>
      </c>
      <c r="E661" t="s">
        <v>10</v>
      </c>
      <c r="F661" s="7">
        <v>45325</v>
      </c>
      <c r="G661" s="1">
        <v>45292</v>
      </c>
      <c r="H661" s="14">
        <v>4066.8458000000005</v>
      </c>
      <c r="I661">
        <v>1184485</v>
      </c>
      <c r="J661" t="s">
        <v>88</v>
      </c>
      <c r="K661" t="s">
        <v>94</v>
      </c>
      <c r="L661" s="16" t="s">
        <v>10</v>
      </c>
    </row>
    <row r="662" spans="1:12" x14ac:dyDescent="0.35">
      <c r="A662" t="s">
        <v>8</v>
      </c>
      <c r="B662" t="s">
        <v>92</v>
      </c>
      <c r="C662" t="s">
        <v>95</v>
      </c>
      <c r="D662" t="s">
        <v>10</v>
      </c>
      <c r="E662" t="s">
        <v>10</v>
      </c>
      <c r="F662" s="7">
        <v>45325</v>
      </c>
      <c r="G662" s="1">
        <v>45292</v>
      </c>
      <c r="H662" s="14">
        <v>9039.4299999999948</v>
      </c>
      <c r="I662">
        <v>1357447</v>
      </c>
      <c r="J662" t="s">
        <v>88</v>
      </c>
      <c r="K662" t="s">
        <v>96</v>
      </c>
      <c r="L662" s="16" t="s">
        <v>10</v>
      </c>
    </row>
    <row r="663" spans="1:12" x14ac:dyDescent="0.35">
      <c r="A663" t="s">
        <v>8</v>
      </c>
      <c r="B663" t="s">
        <v>84</v>
      </c>
      <c r="C663" t="s">
        <v>93</v>
      </c>
      <c r="D663" t="s">
        <v>10</v>
      </c>
      <c r="E663" t="s">
        <v>10</v>
      </c>
      <c r="F663" s="7">
        <v>45325</v>
      </c>
      <c r="G663" s="1">
        <v>45292</v>
      </c>
      <c r="H663" s="14">
        <v>1418.1480999999999</v>
      </c>
      <c r="I663">
        <v>363387</v>
      </c>
      <c r="J663" t="s">
        <v>88</v>
      </c>
      <c r="K663" t="s">
        <v>94</v>
      </c>
      <c r="L663" s="16" t="s">
        <v>10</v>
      </c>
    </row>
    <row r="664" spans="1:12" x14ac:dyDescent="0.35">
      <c r="A664" t="s">
        <v>8</v>
      </c>
      <c r="B664" t="s">
        <v>84</v>
      </c>
      <c r="C664" t="s">
        <v>95</v>
      </c>
      <c r="D664" t="s">
        <v>10</v>
      </c>
      <c r="E664" t="s">
        <v>10</v>
      </c>
      <c r="F664" s="7">
        <v>45325</v>
      </c>
      <c r="G664" s="1">
        <v>45292</v>
      </c>
      <c r="H664" s="14">
        <v>5538.95</v>
      </c>
      <c r="I664">
        <v>1398991</v>
      </c>
      <c r="J664" t="s">
        <v>88</v>
      </c>
      <c r="K664" t="s">
        <v>96</v>
      </c>
      <c r="L664" s="16" t="s">
        <v>10</v>
      </c>
    </row>
    <row r="665" spans="1:12" x14ac:dyDescent="0.35">
      <c r="A665" t="s">
        <v>8</v>
      </c>
      <c r="B665" t="s">
        <v>17</v>
      </c>
      <c r="C665" t="s">
        <v>93</v>
      </c>
      <c r="D665" t="s">
        <v>10</v>
      </c>
      <c r="E665" t="s">
        <v>10</v>
      </c>
      <c r="F665" s="7">
        <v>45325</v>
      </c>
      <c r="G665" s="1">
        <v>45292</v>
      </c>
      <c r="H665" s="14">
        <v>4245.222499999998</v>
      </c>
      <c r="I665">
        <v>911053</v>
      </c>
      <c r="J665" t="s">
        <v>88</v>
      </c>
      <c r="K665" t="s">
        <v>94</v>
      </c>
      <c r="L665" s="16" t="s">
        <v>10</v>
      </c>
    </row>
    <row r="666" spans="1:12" x14ac:dyDescent="0.35">
      <c r="A666" t="s">
        <v>8</v>
      </c>
      <c r="B666" t="s">
        <v>17</v>
      </c>
      <c r="C666" t="s">
        <v>95</v>
      </c>
      <c r="D666" t="s">
        <v>10</v>
      </c>
      <c r="E666" t="s">
        <v>10</v>
      </c>
      <c r="F666" s="7">
        <v>45325</v>
      </c>
      <c r="G666" s="1">
        <v>45292</v>
      </c>
      <c r="H666" s="14">
        <v>7749.8700000000026</v>
      </c>
      <c r="I666">
        <v>1036352</v>
      </c>
      <c r="J666" t="s">
        <v>88</v>
      </c>
      <c r="K666" t="s">
        <v>96</v>
      </c>
      <c r="L666" s="16" t="s">
        <v>10</v>
      </c>
    </row>
    <row r="667" spans="1:12" x14ac:dyDescent="0.35">
      <c r="A667" t="s">
        <v>8</v>
      </c>
      <c r="B667" t="s">
        <v>99</v>
      </c>
      <c r="C667" t="s">
        <v>93</v>
      </c>
      <c r="D667" t="s">
        <v>10</v>
      </c>
      <c r="E667" t="s">
        <v>10</v>
      </c>
      <c r="F667" s="7">
        <v>45325</v>
      </c>
      <c r="G667" s="1">
        <v>45292</v>
      </c>
      <c r="H667" s="14">
        <v>4110.6302999999998</v>
      </c>
      <c r="I667">
        <v>681126</v>
      </c>
      <c r="J667" t="s">
        <v>88</v>
      </c>
      <c r="K667" t="s">
        <v>94</v>
      </c>
      <c r="L667" s="16" t="s">
        <v>10</v>
      </c>
    </row>
    <row r="668" spans="1:12" x14ac:dyDescent="0.35">
      <c r="A668" t="s">
        <v>8</v>
      </c>
      <c r="B668" t="s">
        <v>99</v>
      </c>
      <c r="C668" t="s">
        <v>95</v>
      </c>
      <c r="D668" t="s">
        <v>10</v>
      </c>
      <c r="E668" t="s">
        <v>10</v>
      </c>
      <c r="F668" s="7">
        <v>45325</v>
      </c>
      <c r="G668" s="1">
        <v>45292</v>
      </c>
      <c r="H668" s="14">
        <v>10760.730000000005</v>
      </c>
      <c r="I668">
        <v>2143416</v>
      </c>
      <c r="J668" t="s">
        <v>88</v>
      </c>
      <c r="K668" t="s">
        <v>96</v>
      </c>
      <c r="L668" s="16" t="s">
        <v>10</v>
      </c>
    </row>
    <row r="669" spans="1:12" x14ac:dyDescent="0.35">
      <c r="A669" t="s">
        <v>8</v>
      </c>
      <c r="B669" t="s">
        <v>100</v>
      </c>
      <c r="C669" t="s">
        <v>93</v>
      </c>
      <c r="D669" t="s">
        <v>10</v>
      </c>
      <c r="E669" t="s">
        <v>10</v>
      </c>
      <c r="F669" s="7">
        <v>45325</v>
      </c>
      <c r="G669" s="1">
        <v>45292</v>
      </c>
      <c r="H669" s="14">
        <v>4012.1473000000001</v>
      </c>
      <c r="I669">
        <v>1025229</v>
      </c>
      <c r="J669" t="s">
        <v>88</v>
      </c>
      <c r="K669" t="s">
        <v>94</v>
      </c>
      <c r="L669" s="16" t="s">
        <v>10</v>
      </c>
    </row>
    <row r="670" spans="1:12" x14ac:dyDescent="0.35">
      <c r="A670" t="s">
        <v>8</v>
      </c>
      <c r="B670" t="s">
        <v>100</v>
      </c>
      <c r="C670" t="s">
        <v>95</v>
      </c>
      <c r="D670" t="s">
        <v>10</v>
      </c>
      <c r="E670" t="s">
        <v>10</v>
      </c>
      <c r="F670" s="7">
        <v>45325</v>
      </c>
      <c r="G670" s="1">
        <v>45292</v>
      </c>
      <c r="H670" s="14">
        <v>9656.9799999999977</v>
      </c>
      <c r="I670">
        <v>2054668</v>
      </c>
      <c r="J670" t="s">
        <v>88</v>
      </c>
      <c r="K670" t="s">
        <v>96</v>
      </c>
      <c r="L670" s="16" t="s">
        <v>10</v>
      </c>
    </row>
    <row r="671" spans="1:12" x14ac:dyDescent="0.35">
      <c r="A671" t="s">
        <v>8</v>
      </c>
      <c r="B671" t="s">
        <v>101</v>
      </c>
      <c r="C671" t="s">
        <v>93</v>
      </c>
      <c r="D671" t="s">
        <v>10</v>
      </c>
      <c r="E671" t="s">
        <v>10</v>
      </c>
      <c r="F671" s="7">
        <v>45325</v>
      </c>
      <c r="G671" s="1">
        <v>45292</v>
      </c>
      <c r="H671" s="14">
        <v>3491.8388000000009</v>
      </c>
      <c r="I671">
        <v>1040801</v>
      </c>
      <c r="J671" t="s">
        <v>88</v>
      </c>
      <c r="K671" t="s">
        <v>94</v>
      </c>
      <c r="L671" s="16" t="s">
        <v>10</v>
      </c>
    </row>
    <row r="672" spans="1:12" x14ac:dyDescent="0.35">
      <c r="A672" t="s">
        <v>8</v>
      </c>
      <c r="B672" t="s">
        <v>101</v>
      </c>
      <c r="C672" t="s">
        <v>95</v>
      </c>
      <c r="D672" t="s">
        <v>10</v>
      </c>
      <c r="E672" t="s">
        <v>10</v>
      </c>
      <c r="F672" s="7">
        <v>45325</v>
      </c>
      <c r="G672" s="1">
        <v>45292</v>
      </c>
      <c r="H672" s="14">
        <v>3562.9399999999987</v>
      </c>
      <c r="I672">
        <v>769861</v>
      </c>
      <c r="J672" t="s">
        <v>88</v>
      </c>
      <c r="K672" t="s">
        <v>96</v>
      </c>
      <c r="L672" s="16" t="s">
        <v>10</v>
      </c>
    </row>
    <row r="673" spans="1:12" x14ac:dyDescent="0.35">
      <c r="A673" t="s">
        <v>8</v>
      </c>
      <c r="B673" t="s">
        <v>16</v>
      </c>
      <c r="C673" t="s">
        <v>93</v>
      </c>
      <c r="D673" t="s">
        <v>10</v>
      </c>
      <c r="E673" t="s">
        <v>10</v>
      </c>
      <c r="F673" s="7">
        <v>45325</v>
      </c>
      <c r="G673" s="1">
        <v>45292</v>
      </c>
      <c r="H673" s="14">
        <v>1253.1614</v>
      </c>
      <c r="I673">
        <v>300755</v>
      </c>
      <c r="J673" t="s">
        <v>88</v>
      </c>
      <c r="K673" t="s">
        <v>94</v>
      </c>
      <c r="L673" s="16" t="s">
        <v>10</v>
      </c>
    </row>
    <row r="674" spans="1:12" x14ac:dyDescent="0.35">
      <c r="A674" t="s">
        <v>8</v>
      </c>
      <c r="B674" t="s">
        <v>16</v>
      </c>
      <c r="C674" t="s">
        <v>95</v>
      </c>
      <c r="D674" t="s">
        <v>10</v>
      </c>
      <c r="E674" t="s">
        <v>10</v>
      </c>
      <c r="F674" s="7">
        <v>45325</v>
      </c>
      <c r="G674" s="1">
        <v>45292</v>
      </c>
      <c r="H674" s="14">
        <v>1843.3400000000006</v>
      </c>
      <c r="I674">
        <v>284188</v>
      </c>
      <c r="J674" t="s">
        <v>88</v>
      </c>
      <c r="K674" t="s">
        <v>96</v>
      </c>
      <c r="L674" s="16" t="s">
        <v>10</v>
      </c>
    </row>
    <row r="675" spans="1:12" x14ac:dyDescent="0.35">
      <c r="A675" t="s">
        <v>8</v>
      </c>
      <c r="B675" t="s">
        <v>102</v>
      </c>
      <c r="C675" t="s">
        <v>95</v>
      </c>
      <c r="D675" t="s">
        <v>10</v>
      </c>
      <c r="E675" t="s">
        <v>10</v>
      </c>
      <c r="F675" s="7">
        <v>45325</v>
      </c>
      <c r="G675" s="1">
        <v>45292</v>
      </c>
      <c r="H675" s="14">
        <v>1.1099999999999999</v>
      </c>
      <c r="I675">
        <v>1217</v>
      </c>
      <c r="J675" t="s">
        <v>88</v>
      </c>
      <c r="K675" t="s">
        <v>96</v>
      </c>
      <c r="L675" s="16" t="s">
        <v>10</v>
      </c>
    </row>
    <row r="676" spans="1:12" x14ac:dyDescent="0.35">
      <c r="A676" t="s">
        <v>8</v>
      </c>
      <c r="B676" t="s">
        <v>103</v>
      </c>
      <c r="C676" t="s">
        <v>95</v>
      </c>
      <c r="D676" t="s">
        <v>104</v>
      </c>
      <c r="E676" t="s">
        <v>8</v>
      </c>
      <c r="F676" s="7">
        <v>45325</v>
      </c>
      <c r="G676" s="1">
        <v>45292</v>
      </c>
      <c r="H676" s="14">
        <v>54.76</v>
      </c>
      <c r="I676">
        <v>277</v>
      </c>
      <c r="J676" t="s">
        <v>88</v>
      </c>
      <c r="K676" t="s">
        <v>105</v>
      </c>
      <c r="L676" s="16" t="s">
        <v>95</v>
      </c>
    </row>
    <row r="677" spans="1:12" x14ac:dyDescent="0.35">
      <c r="A677" t="s">
        <v>8</v>
      </c>
      <c r="B677" t="s">
        <v>16</v>
      </c>
      <c r="C677" t="s">
        <v>95</v>
      </c>
      <c r="D677" t="s">
        <v>104</v>
      </c>
      <c r="E677" t="s">
        <v>8</v>
      </c>
      <c r="F677" s="7">
        <v>45325</v>
      </c>
      <c r="G677" s="1">
        <v>45292</v>
      </c>
      <c r="H677" s="14">
        <v>71.83</v>
      </c>
      <c r="I677">
        <v>342</v>
      </c>
      <c r="J677" t="s">
        <v>88</v>
      </c>
      <c r="K677" t="s">
        <v>105</v>
      </c>
      <c r="L677" s="16" t="s">
        <v>95</v>
      </c>
    </row>
    <row r="678" spans="1:12" x14ac:dyDescent="0.35">
      <c r="A678" t="s">
        <v>8</v>
      </c>
      <c r="B678" t="s">
        <v>84</v>
      </c>
      <c r="C678" t="s">
        <v>95</v>
      </c>
      <c r="D678" t="s">
        <v>104</v>
      </c>
      <c r="E678" t="s">
        <v>8</v>
      </c>
      <c r="F678" s="7">
        <v>45325</v>
      </c>
      <c r="G678" s="1">
        <v>45292</v>
      </c>
      <c r="H678" s="14">
        <v>8366.81</v>
      </c>
      <c r="I678">
        <v>32149</v>
      </c>
      <c r="J678" t="s">
        <v>88</v>
      </c>
      <c r="K678" t="s">
        <v>105</v>
      </c>
      <c r="L678" s="16" t="s">
        <v>95</v>
      </c>
    </row>
    <row r="679" spans="1:12" x14ac:dyDescent="0.35">
      <c r="A679" t="s">
        <v>8</v>
      </c>
      <c r="B679" t="s">
        <v>17</v>
      </c>
      <c r="C679" t="s">
        <v>95</v>
      </c>
      <c r="D679" t="s">
        <v>104</v>
      </c>
      <c r="E679" t="s">
        <v>8</v>
      </c>
      <c r="F679" s="7">
        <v>45325</v>
      </c>
      <c r="G679" s="1">
        <v>45292</v>
      </c>
      <c r="H679" s="14">
        <v>72.069999999999993</v>
      </c>
      <c r="I679">
        <v>547</v>
      </c>
      <c r="J679" t="s">
        <v>88</v>
      </c>
      <c r="K679" t="s">
        <v>105</v>
      </c>
      <c r="L679" s="16" t="s">
        <v>95</v>
      </c>
    </row>
    <row r="680" spans="1:12" x14ac:dyDescent="0.35">
      <c r="A680" t="s">
        <v>8</v>
      </c>
      <c r="B680" t="s">
        <v>106</v>
      </c>
      <c r="C680" t="s">
        <v>95</v>
      </c>
      <c r="D680" t="s">
        <v>104</v>
      </c>
      <c r="E680" t="s">
        <v>8</v>
      </c>
      <c r="F680" s="7">
        <v>45325</v>
      </c>
      <c r="G680" s="1">
        <v>45292</v>
      </c>
      <c r="H680" s="14">
        <v>20.65</v>
      </c>
      <c r="I680">
        <v>64</v>
      </c>
      <c r="J680" t="s">
        <v>88</v>
      </c>
      <c r="K680" t="s">
        <v>105</v>
      </c>
      <c r="L680" s="16" t="s">
        <v>95</v>
      </c>
    </row>
    <row r="681" spans="1:12" x14ac:dyDescent="0.35">
      <c r="A681" t="s">
        <v>8</v>
      </c>
      <c r="B681" t="s">
        <v>92</v>
      </c>
      <c r="C681" t="s">
        <v>95</v>
      </c>
      <c r="D681" t="s">
        <v>104</v>
      </c>
      <c r="E681" t="s">
        <v>8</v>
      </c>
      <c r="F681" s="7">
        <v>45325</v>
      </c>
      <c r="G681" s="1">
        <v>45292</v>
      </c>
      <c r="H681" s="14">
        <v>205.63</v>
      </c>
      <c r="I681">
        <v>1420</v>
      </c>
      <c r="J681" t="s">
        <v>88</v>
      </c>
      <c r="K681" t="s">
        <v>105</v>
      </c>
      <c r="L681" s="16" t="s">
        <v>95</v>
      </c>
    </row>
    <row r="682" spans="1:12" x14ac:dyDescent="0.35">
      <c r="A682" t="s">
        <v>8</v>
      </c>
      <c r="B682" t="s">
        <v>21</v>
      </c>
      <c r="C682" t="s">
        <v>95</v>
      </c>
      <c r="D682" t="s">
        <v>104</v>
      </c>
      <c r="E682" t="s">
        <v>8</v>
      </c>
      <c r="F682" s="7">
        <v>45325</v>
      </c>
      <c r="G682" s="1">
        <v>45292</v>
      </c>
      <c r="H682" s="14">
        <v>428.61</v>
      </c>
      <c r="I682">
        <v>1502</v>
      </c>
      <c r="J682" t="s">
        <v>88</v>
      </c>
      <c r="K682" t="s">
        <v>105</v>
      </c>
      <c r="L682" s="16" t="s">
        <v>95</v>
      </c>
    </row>
    <row r="683" spans="1:12" x14ac:dyDescent="0.35">
      <c r="A683" t="s">
        <v>8</v>
      </c>
      <c r="B683" t="s">
        <v>101</v>
      </c>
      <c r="C683" t="s">
        <v>95</v>
      </c>
      <c r="D683" t="s">
        <v>104</v>
      </c>
      <c r="E683" t="s">
        <v>8</v>
      </c>
      <c r="F683" s="7">
        <v>45325</v>
      </c>
      <c r="G683" s="1">
        <v>45292</v>
      </c>
      <c r="H683" s="14">
        <v>62.070000000000007</v>
      </c>
      <c r="I683">
        <v>353</v>
      </c>
      <c r="J683" t="s">
        <v>88</v>
      </c>
      <c r="K683" t="s">
        <v>105</v>
      </c>
      <c r="L683" s="16" t="s">
        <v>95</v>
      </c>
    </row>
    <row r="684" spans="1:12" x14ac:dyDescent="0.35">
      <c r="A684" t="s">
        <v>8</v>
      </c>
      <c r="B684" t="s">
        <v>99</v>
      </c>
      <c r="C684" t="s">
        <v>95</v>
      </c>
      <c r="D684" t="s">
        <v>104</v>
      </c>
      <c r="E684" t="s">
        <v>8</v>
      </c>
      <c r="F684" s="7">
        <v>45325</v>
      </c>
      <c r="G684" s="1">
        <v>45292</v>
      </c>
      <c r="H684" s="14">
        <v>59.78</v>
      </c>
      <c r="I684">
        <v>392</v>
      </c>
      <c r="J684" t="s">
        <v>88</v>
      </c>
      <c r="K684" t="s">
        <v>105</v>
      </c>
      <c r="L684" s="16" t="s">
        <v>95</v>
      </c>
    </row>
    <row r="685" spans="1:12" x14ac:dyDescent="0.35">
      <c r="A685" t="s">
        <v>8</v>
      </c>
      <c r="B685" t="s">
        <v>100</v>
      </c>
      <c r="C685" t="s">
        <v>95</v>
      </c>
      <c r="D685" t="s">
        <v>104</v>
      </c>
      <c r="E685" t="s">
        <v>8</v>
      </c>
      <c r="F685" s="7">
        <v>45325</v>
      </c>
      <c r="G685" s="1">
        <v>45292</v>
      </c>
      <c r="H685" s="14">
        <v>120.07999999999998</v>
      </c>
      <c r="I685">
        <v>869</v>
      </c>
      <c r="J685" t="s">
        <v>88</v>
      </c>
      <c r="K685" t="s">
        <v>105</v>
      </c>
      <c r="L685" s="16" t="s">
        <v>95</v>
      </c>
    </row>
    <row r="686" spans="1:12" x14ac:dyDescent="0.35">
      <c r="A686" t="s">
        <v>8</v>
      </c>
      <c r="B686" t="s">
        <v>92</v>
      </c>
      <c r="C686" t="s">
        <v>85</v>
      </c>
      <c r="D686" t="s">
        <v>9</v>
      </c>
      <c r="E686" t="s">
        <v>11</v>
      </c>
      <c r="F686" s="7">
        <v>45332</v>
      </c>
      <c r="G686" s="1">
        <v>45292</v>
      </c>
      <c r="H686" s="14">
        <v>9035.6199949999991</v>
      </c>
      <c r="I686">
        <v>1661402</v>
      </c>
      <c r="J686" t="s">
        <v>88</v>
      </c>
      <c r="K686" t="s">
        <v>87</v>
      </c>
      <c r="L686" s="16" t="s">
        <v>9</v>
      </c>
    </row>
    <row r="687" spans="1:12" x14ac:dyDescent="0.35">
      <c r="A687" t="s">
        <v>8</v>
      </c>
      <c r="B687" t="s">
        <v>92</v>
      </c>
      <c r="C687" t="s">
        <v>85</v>
      </c>
      <c r="D687" t="s">
        <v>9</v>
      </c>
      <c r="E687" t="s">
        <v>12</v>
      </c>
      <c r="F687" s="7">
        <v>45332</v>
      </c>
      <c r="G687" s="1">
        <v>45292</v>
      </c>
      <c r="H687" s="14">
        <v>27634.220013999999</v>
      </c>
      <c r="I687">
        <v>4780363</v>
      </c>
      <c r="J687" t="s">
        <v>88</v>
      </c>
      <c r="K687" t="s">
        <v>87</v>
      </c>
      <c r="L687" s="16" t="s">
        <v>12</v>
      </c>
    </row>
    <row r="688" spans="1:12" x14ac:dyDescent="0.35">
      <c r="A688" t="s">
        <v>8</v>
      </c>
      <c r="B688" t="s">
        <v>92</v>
      </c>
      <c r="C688" t="s">
        <v>93</v>
      </c>
      <c r="D688" t="s">
        <v>10</v>
      </c>
      <c r="E688" t="s">
        <v>10</v>
      </c>
      <c r="F688" s="7">
        <v>45332</v>
      </c>
      <c r="G688" s="1">
        <v>45292</v>
      </c>
      <c r="H688" s="14">
        <v>6623.9480999999987</v>
      </c>
      <c r="I688">
        <v>1709588</v>
      </c>
      <c r="J688" t="s">
        <v>88</v>
      </c>
      <c r="K688" t="s">
        <v>94</v>
      </c>
      <c r="L688" s="16" t="s">
        <v>10</v>
      </c>
    </row>
    <row r="689" spans="1:12" x14ac:dyDescent="0.35">
      <c r="A689" t="s">
        <v>8</v>
      </c>
      <c r="B689" t="s">
        <v>92</v>
      </c>
      <c r="C689" t="s">
        <v>95</v>
      </c>
      <c r="D689" t="s">
        <v>10</v>
      </c>
      <c r="E689" t="s">
        <v>10</v>
      </c>
      <c r="F689" s="7">
        <v>45332</v>
      </c>
      <c r="G689" s="1">
        <v>45292</v>
      </c>
      <c r="H689" s="14">
        <v>8800.1599999999926</v>
      </c>
      <c r="I689">
        <v>1196673</v>
      </c>
      <c r="J689" t="s">
        <v>88</v>
      </c>
      <c r="K689" t="s">
        <v>96</v>
      </c>
      <c r="L689" s="16" t="s">
        <v>10</v>
      </c>
    </row>
    <row r="690" spans="1:12" x14ac:dyDescent="0.35">
      <c r="A690" t="s">
        <v>8</v>
      </c>
      <c r="B690" t="s">
        <v>84</v>
      </c>
      <c r="C690" t="s">
        <v>93</v>
      </c>
      <c r="D690" t="s">
        <v>10</v>
      </c>
      <c r="E690" t="s">
        <v>10</v>
      </c>
      <c r="F690" s="7">
        <v>45332</v>
      </c>
      <c r="G690" s="1">
        <v>45292</v>
      </c>
      <c r="H690" s="14">
        <v>1967.6221000000005</v>
      </c>
      <c r="I690">
        <v>223031</v>
      </c>
      <c r="J690" t="s">
        <v>88</v>
      </c>
      <c r="K690" t="s">
        <v>94</v>
      </c>
      <c r="L690" s="16" t="s">
        <v>10</v>
      </c>
    </row>
    <row r="691" spans="1:12" x14ac:dyDescent="0.35">
      <c r="A691" t="s">
        <v>8</v>
      </c>
      <c r="B691" t="s">
        <v>84</v>
      </c>
      <c r="C691" t="s">
        <v>95</v>
      </c>
      <c r="D691" t="s">
        <v>10</v>
      </c>
      <c r="E691" t="s">
        <v>10</v>
      </c>
      <c r="F691" s="7">
        <v>45332</v>
      </c>
      <c r="G691" s="1">
        <v>45292</v>
      </c>
      <c r="H691" s="14">
        <v>6281.57</v>
      </c>
      <c r="I691">
        <v>1398207</v>
      </c>
      <c r="J691" t="s">
        <v>88</v>
      </c>
      <c r="K691" t="s">
        <v>96</v>
      </c>
      <c r="L691" s="16" t="s">
        <v>10</v>
      </c>
    </row>
    <row r="692" spans="1:12" x14ac:dyDescent="0.35">
      <c r="A692" t="s">
        <v>8</v>
      </c>
      <c r="B692" t="s">
        <v>17</v>
      </c>
      <c r="C692" t="s">
        <v>93</v>
      </c>
      <c r="D692" t="s">
        <v>10</v>
      </c>
      <c r="E692" t="s">
        <v>10</v>
      </c>
      <c r="F692" s="7">
        <v>45332</v>
      </c>
      <c r="G692" s="1">
        <v>45292</v>
      </c>
      <c r="H692" s="14">
        <v>7178.1404999999977</v>
      </c>
      <c r="I692">
        <v>1573613</v>
      </c>
      <c r="J692" t="s">
        <v>88</v>
      </c>
      <c r="K692" t="s">
        <v>94</v>
      </c>
      <c r="L692" s="16" t="s">
        <v>10</v>
      </c>
    </row>
    <row r="693" spans="1:12" x14ac:dyDescent="0.35">
      <c r="A693" t="s">
        <v>8</v>
      </c>
      <c r="B693" t="s">
        <v>17</v>
      </c>
      <c r="C693" t="s">
        <v>95</v>
      </c>
      <c r="D693" t="s">
        <v>10</v>
      </c>
      <c r="E693" t="s">
        <v>10</v>
      </c>
      <c r="F693" s="7">
        <v>45332</v>
      </c>
      <c r="G693" s="1">
        <v>45292</v>
      </c>
      <c r="H693" s="14">
        <v>7835.6700000000046</v>
      </c>
      <c r="I693">
        <v>1029944</v>
      </c>
      <c r="J693" t="s">
        <v>88</v>
      </c>
      <c r="K693" t="s">
        <v>96</v>
      </c>
      <c r="L693" s="16" t="s">
        <v>10</v>
      </c>
    </row>
    <row r="694" spans="1:12" x14ac:dyDescent="0.35">
      <c r="A694" t="s">
        <v>8</v>
      </c>
      <c r="B694" t="s">
        <v>99</v>
      </c>
      <c r="C694" t="s">
        <v>93</v>
      </c>
      <c r="D694" t="s">
        <v>10</v>
      </c>
      <c r="E694" t="s">
        <v>10</v>
      </c>
      <c r="F694" s="7">
        <v>45332</v>
      </c>
      <c r="G694" s="1">
        <v>45292</v>
      </c>
      <c r="H694" s="14">
        <v>7140.3116999999975</v>
      </c>
      <c r="I694">
        <v>1924448</v>
      </c>
      <c r="J694" t="s">
        <v>88</v>
      </c>
      <c r="K694" t="s">
        <v>94</v>
      </c>
      <c r="L694" s="16" t="s">
        <v>10</v>
      </c>
    </row>
    <row r="695" spans="1:12" x14ac:dyDescent="0.35">
      <c r="A695" t="s">
        <v>8</v>
      </c>
      <c r="B695" t="s">
        <v>99</v>
      </c>
      <c r="C695" t="s">
        <v>95</v>
      </c>
      <c r="D695" t="s">
        <v>10</v>
      </c>
      <c r="E695" t="s">
        <v>10</v>
      </c>
      <c r="F695" s="7">
        <v>45332</v>
      </c>
      <c r="G695" s="1">
        <v>45292</v>
      </c>
      <c r="H695" s="14">
        <v>11372.780000000004</v>
      </c>
      <c r="I695">
        <v>2234018</v>
      </c>
      <c r="J695" t="s">
        <v>88</v>
      </c>
      <c r="K695" t="s">
        <v>96</v>
      </c>
      <c r="L695" s="16" t="s">
        <v>10</v>
      </c>
    </row>
    <row r="696" spans="1:12" x14ac:dyDescent="0.35">
      <c r="A696" t="s">
        <v>8</v>
      </c>
      <c r="B696" t="s">
        <v>100</v>
      </c>
      <c r="C696" t="s">
        <v>93</v>
      </c>
      <c r="D696" t="s">
        <v>10</v>
      </c>
      <c r="E696" t="s">
        <v>10</v>
      </c>
      <c r="F696" s="7">
        <v>45332</v>
      </c>
      <c r="G696" s="1">
        <v>45292</v>
      </c>
      <c r="H696" s="14">
        <v>7182.4997999999987</v>
      </c>
      <c r="I696">
        <v>2084171</v>
      </c>
      <c r="J696" t="s">
        <v>88</v>
      </c>
      <c r="K696" t="s">
        <v>94</v>
      </c>
      <c r="L696" s="16" t="s">
        <v>10</v>
      </c>
    </row>
    <row r="697" spans="1:12" x14ac:dyDescent="0.35">
      <c r="A697" t="s">
        <v>8</v>
      </c>
      <c r="B697" t="s">
        <v>100</v>
      </c>
      <c r="C697" t="s">
        <v>95</v>
      </c>
      <c r="D697" t="s">
        <v>10</v>
      </c>
      <c r="E697" t="s">
        <v>10</v>
      </c>
      <c r="F697" s="7">
        <v>45332</v>
      </c>
      <c r="G697" s="1">
        <v>45292</v>
      </c>
      <c r="H697" s="14">
        <v>7979.699999999998</v>
      </c>
      <c r="I697">
        <v>1740487</v>
      </c>
      <c r="J697" t="s">
        <v>88</v>
      </c>
      <c r="K697" t="s">
        <v>96</v>
      </c>
      <c r="L697" s="16" t="s">
        <v>10</v>
      </c>
    </row>
    <row r="698" spans="1:12" x14ac:dyDescent="0.35">
      <c r="A698" t="s">
        <v>8</v>
      </c>
      <c r="B698" t="s">
        <v>101</v>
      </c>
      <c r="C698" t="s">
        <v>93</v>
      </c>
      <c r="D698" t="s">
        <v>10</v>
      </c>
      <c r="E698" t="s">
        <v>10</v>
      </c>
      <c r="F698" s="7">
        <v>45332</v>
      </c>
      <c r="G698" s="1">
        <v>45292</v>
      </c>
      <c r="H698" s="14">
        <v>5259.0863999999974</v>
      </c>
      <c r="I698">
        <v>1420923</v>
      </c>
      <c r="J698" t="s">
        <v>88</v>
      </c>
      <c r="K698" t="s">
        <v>94</v>
      </c>
      <c r="L698" s="16" t="s">
        <v>10</v>
      </c>
    </row>
    <row r="699" spans="1:12" x14ac:dyDescent="0.35">
      <c r="A699" t="s">
        <v>8</v>
      </c>
      <c r="B699" t="s">
        <v>101</v>
      </c>
      <c r="C699" t="s">
        <v>95</v>
      </c>
      <c r="D699" t="s">
        <v>10</v>
      </c>
      <c r="E699" t="s">
        <v>10</v>
      </c>
      <c r="F699" s="7">
        <v>45332</v>
      </c>
      <c r="G699" s="1">
        <v>45292</v>
      </c>
      <c r="H699" s="14">
        <v>3836.3200000000015</v>
      </c>
      <c r="I699">
        <v>686710</v>
      </c>
      <c r="J699" t="s">
        <v>88</v>
      </c>
      <c r="K699" t="s">
        <v>96</v>
      </c>
      <c r="L699" s="16" t="s">
        <v>10</v>
      </c>
    </row>
    <row r="700" spans="1:12" x14ac:dyDescent="0.35">
      <c r="A700" t="s">
        <v>8</v>
      </c>
      <c r="B700" t="s">
        <v>16</v>
      </c>
      <c r="C700" t="s">
        <v>93</v>
      </c>
      <c r="D700" t="s">
        <v>10</v>
      </c>
      <c r="E700" t="s">
        <v>10</v>
      </c>
      <c r="F700" s="7">
        <v>45332</v>
      </c>
      <c r="G700" s="1">
        <v>45292</v>
      </c>
      <c r="H700" s="14">
        <v>3203.4206000000004</v>
      </c>
      <c r="I700">
        <v>1070884</v>
      </c>
      <c r="J700" t="s">
        <v>88</v>
      </c>
      <c r="K700" t="s">
        <v>94</v>
      </c>
      <c r="L700" s="16" t="s">
        <v>10</v>
      </c>
    </row>
    <row r="701" spans="1:12" x14ac:dyDescent="0.35">
      <c r="A701" t="s">
        <v>8</v>
      </c>
      <c r="B701" t="s">
        <v>16</v>
      </c>
      <c r="C701" t="s">
        <v>95</v>
      </c>
      <c r="D701" t="s">
        <v>10</v>
      </c>
      <c r="E701" t="s">
        <v>10</v>
      </c>
      <c r="F701" s="7">
        <v>45332</v>
      </c>
      <c r="G701" s="1">
        <v>45292</v>
      </c>
      <c r="H701" s="14">
        <v>2253.2000000000003</v>
      </c>
      <c r="I701">
        <v>374587</v>
      </c>
      <c r="J701" t="s">
        <v>88</v>
      </c>
      <c r="K701" t="s">
        <v>96</v>
      </c>
      <c r="L701" s="16" t="s">
        <v>10</v>
      </c>
    </row>
    <row r="702" spans="1:12" x14ac:dyDescent="0.35">
      <c r="A702" t="s">
        <v>8</v>
      </c>
      <c r="B702" t="s">
        <v>102</v>
      </c>
      <c r="C702" t="s">
        <v>95</v>
      </c>
      <c r="D702" t="s">
        <v>10</v>
      </c>
      <c r="E702" t="s">
        <v>10</v>
      </c>
      <c r="F702" s="7">
        <v>45332</v>
      </c>
      <c r="G702" s="1">
        <v>45292</v>
      </c>
      <c r="H702" s="14">
        <v>0.37</v>
      </c>
      <c r="I702">
        <v>357</v>
      </c>
      <c r="J702" t="s">
        <v>88</v>
      </c>
      <c r="K702" t="s">
        <v>96</v>
      </c>
      <c r="L702" s="16" t="s">
        <v>10</v>
      </c>
    </row>
    <row r="703" spans="1:12" x14ac:dyDescent="0.35">
      <c r="A703" t="s">
        <v>8</v>
      </c>
      <c r="B703" t="s">
        <v>103</v>
      </c>
      <c r="C703" t="s">
        <v>95</v>
      </c>
      <c r="D703" t="s">
        <v>104</v>
      </c>
      <c r="E703" t="s">
        <v>8</v>
      </c>
      <c r="F703" s="7">
        <v>45332</v>
      </c>
      <c r="G703" s="1">
        <v>45292</v>
      </c>
      <c r="H703" s="14">
        <v>46.79</v>
      </c>
      <c r="I703">
        <v>271</v>
      </c>
      <c r="J703" t="s">
        <v>88</v>
      </c>
      <c r="K703" t="s">
        <v>105</v>
      </c>
      <c r="L703" s="16" t="s">
        <v>95</v>
      </c>
    </row>
    <row r="704" spans="1:12" x14ac:dyDescent="0.35">
      <c r="A704" t="s">
        <v>8</v>
      </c>
      <c r="B704" t="s">
        <v>16</v>
      </c>
      <c r="C704" t="s">
        <v>95</v>
      </c>
      <c r="D704" t="s">
        <v>104</v>
      </c>
      <c r="E704" t="s">
        <v>8</v>
      </c>
      <c r="F704" s="7">
        <v>45332</v>
      </c>
      <c r="G704" s="1">
        <v>45292</v>
      </c>
      <c r="H704" s="14">
        <v>75.5</v>
      </c>
      <c r="I704">
        <v>304</v>
      </c>
      <c r="J704" t="s">
        <v>88</v>
      </c>
      <c r="K704" t="s">
        <v>105</v>
      </c>
      <c r="L704" s="16" t="s">
        <v>95</v>
      </c>
    </row>
    <row r="705" spans="1:12" x14ac:dyDescent="0.35">
      <c r="A705" t="s">
        <v>8</v>
      </c>
      <c r="B705" t="s">
        <v>84</v>
      </c>
      <c r="C705" t="s">
        <v>95</v>
      </c>
      <c r="D705" t="s">
        <v>104</v>
      </c>
      <c r="E705" t="s">
        <v>8</v>
      </c>
      <c r="F705" s="7">
        <v>45332</v>
      </c>
      <c r="G705" s="1">
        <v>45292</v>
      </c>
      <c r="H705" s="14">
        <v>8124.1500000000015</v>
      </c>
      <c r="I705">
        <v>30715</v>
      </c>
      <c r="J705" t="s">
        <v>88</v>
      </c>
      <c r="K705" t="s">
        <v>105</v>
      </c>
      <c r="L705" s="16" t="s">
        <v>95</v>
      </c>
    </row>
    <row r="706" spans="1:12" x14ac:dyDescent="0.35">
      <c r="A706" t="s">
        <v>8</v>
      </c>
      <c r="B706" t="s">
        <v>17</v>
      </c>
      <c r="C706" t="s">
        <v>95</v>
      </c>
      <c r="D706" t="s">
        <v>104</v>
      </c>
      <c r="E706" t="s">
        <v>8</v>
      </c>
      <c r="F706" s="7">
        <v>45332</v>
      </c>
      <c r="G706" s="1">
        <v>45292</v>
      </c>
      <c r="H706" s="14">
        <v>70.88</v>
      </c>
      <c r="I706">
        <v>611</v>
      </c>
      <c r="J706" t="s">
        <v>88</v>
      </c>
      <c r="K706" t="s">
        <v>105</v>
      </c>
      <c r="L706" s="16" t="s">
        <v>95</v>
      </c>
    </row>
    <row r="707" spans="1:12" x14ac:dyDescent="0.35">
      <c r="A707" t="s">
        <v>8</v>
      </c>
      <c r="B707" t="s">
        <v>106</v>
      </c>
      <c r="C707" t="s">
        <v>95</v>
      </c>
      <c r="D707" t="s">
        <v>104</v>
      </c>
      <c r="E707" t="s">
        <v>8</v>
      </c>
      <c r="F707" s="7">
        <v>45332</v>
      </c>
      <c r="G707" s="1">
        <v>45292</v>
      </c>
      <c r="H707" s="14">
        <v>24.880000000000003</v>
      </c>
      <c r="I707">
        <v>83</v>
      </c>
      <c r="J707" t="s">
        <v>88</v>
      </c>
      <c r="K707" t="s">
        <v>105</v>
      </c>
      <c r="L707" s="16" t="s">
        <v>95</v>
      </c>
    </row>
    <row r="708" spans="1:12" x14ac:dyDescent="0.35">
      <c r="A708" t="s">
        <v>8</v>
      </c>
      <c r="B708" t="s">
        <v>92</v>
      </c>
      <c r="C708" t="s">
        <v>95</v>
      </c>
      <c r="D708" t="s">
        <v>104</v>
      </c>
      <c r="E708" t="s">
        <v>8</v>
      </c>
      <c r="F708" s="7">
        <v>45332</v>
      </c>
      <c r="G708" s="1">
        <v>45292</v>
      </c>
      <c r="H708" s="14">
        <v>172.73999999999995</v>
      </c>
      <c r="I708">
        <v>1295</v>
      </c>
      <c r="J708" t="s">
        <v>88</v>
      </c>
      <c r="K708" t="s">
        <v>105</v>
      </c>
      <c r="L708" s="16" t="s">
        <v>95</v>
      </c>
    </row>
    <row r="709" spans="1:12" x14ac:dyDescent="0.35">
      <c r="A709" t="s">
        <v>8</v>
      </c>
      <c r="B709" t="s">
        <v>21</v>
      </c>
      <c r="C709" t="s">
        <v>95</v>
      </c>
      <c r="D709" t="s">
        <v>104</v>
      </c>
      <c r="E709" t="s">
        <v>8</v>
      </c>
      <c r="F709" s="7">
        <v>45332</v>
      </c>
      <c r="G709" s="1">
        <v>45292</v>
      </c>
      <c r="H709" s="14">
        <v>512.18000000000006</v>
      </c>
      <c r="I709">
        <v>1609</v>
      </c>
      <c r="J709" t="s">
        <v>88</v>
      </c>
      <c r="K709" t="s">
        <v>105</v>
      </c>
      <c r="L709" s="16" t="s">
        <v>95</v>
      </c>
    </row>
    <row r="710" spans="1:12" x14ac:dyDescent="0.35">
      <c r="A710" t="s">
        <v>8</v>
      </c>
      <c r="B710" t="s">
        <v>101</v>
      </c>
      <c r="C710" t="s">
        <v>95</v>
      </c>
      <c r="D710" t="s">
        <v>104</v>
      </c>
      <c r="E710" t="s">
        <v>8</v>
      </c>
      <c r="F710" s="7">
        <v>45332</v>
      </c>
      <c r="G710" s="1">
        <v>45292</v>
      </c>
      <c r="H710" s="14">
        <v>41.21</v>
      </c>
      <c r="I710">
        <v>344</v>
      </c>
      <c r="J710" t="s">
        <v>88</v>
      </c>
      <c r="K710" t="s">
        <v>105</v>
      </c>
      <c r="L710" s="16" t="s">
        <v>95</v>
      </c>
    </row>
    <row r="711" spans="1:12" x14ac:dyDescent="0.35">
      <c r="A711" t="s">
        <v>8</v>
      </c>
      <c r="B711" t="s">
        <v>99</v>
      </c>
      <c r="C711" t="s">
        <v>95</v>
      </c>
      <c r="D711" t="s">
        <v>104</v>
      </c>
      <c r="E711" t="s">
        <v>8</v>
      </c>
      <c r="F711" s="7">
        <v>45332</v>
      </c>
      <c r="G711" s="1">
        <v>45292</v>
      </c>
      <c r="H711" s="14">
        <v>73.259999999999991</v>
      </c>
      <c r="I711">
        <v>362</v>
      </c>
      <c r="J711" t="s">
        <v>88</v>
      </c>
      <c r="K711" t="s">
        <v>105</v>
      </c>
      <c r="L711" s="16" t="s">
        <v>95</v>
      </c>
    </row>
    <row r="712" spans="1:12" x14ac:dyDescent="0.35">
      <c r="A712" t="s">
        <v>8</v>
      </c>
      <c r="B712" t="s">
        <v>100</v>
      </c>
      <c r="C712" t="s">
        <v>95</v>
      </c>
      <c r="D712" t="s">
        <v>104</v>
      </c>
      <c r="E712" t="s">
        <v>8</v>
      </c>
      <c r="F712" s="7">
        <v>45332</v>
      </c>
      <c r="G712" s="1">
        <v>45292</v>
      </c>
      <c r="H712" s="14">
        <v>210.84</v>
      </c>
      <c r="I712">
        <v>1117</v>
      </c>
      <c r="J712" t="s">
        <v>88</v>
      </c>
      <c r="K712" t="s">
        <v>105</v>
      </c>
      <c r="L712" s="16" t="s">
        <v>95</v>
      </c>
    </row>
    <row r="713" spans="1:12" x14ac:dyDescent="0.35">
      <c r="A713" t="s">
        <v>8</v>
      </c>
      <c r="B713" t="s">
        <v>92</v>
      </c>
      <c r="C713" t="s">
        <v>85</v>
      </c>
      <c r="D713" t="s">
        <v>9</v>
      </c>
      <c r="E713" t="s">
        <v>11</v>
      </c>
      <c r="F713" s="7">
        <v>45339</v>
      </c>
      <c r="G713" s="1">
        <v>45292</v>
      </c>
      <c r="H713" s="14">
        <v>8334.6900050000004</v>
      </c>
      <c r="I713">
        <v>1313339</v>
      </c>
      <c r="J713" t="s">
        <v>88</v>
      </c>
      <c r="K713" t="s">
        <v>87</v>
      </c>
      <c r="L713" s="16" t="s">
        <v>9</v>
      </c>
    </row>
    <row r="714" spans="1:12" x14ac:dyDescent="0.35">
      <c r="A714" t="s">
        <v>8</v>
      </c>
      <c r="B714" t="s">
        <v>92</v>
      </c>
      <c r="C714" t="s">
        <v>85</v>
      </c>
      <c r="D714" t="s">
        <v>9</v>
      </c>
      <c r="E714" t="s">
        <v>12</v>
      </c>
      <c r="F714" s="7">
        <v>45339</v>
      </c>
      <c r="G714" s="1">
        <v>45292</v>
      </c>
      <c r="H714" s="14">
        <v>28699.520009000003</v>
      </c>
      <c r="I714">
        <v>5080306</v>
      </c>
      <c r="J714" t="s">
        <v>88</v>
      </c>
      <c r="K714" t="s">
        <v>87</v>
      </c>
      <c r="L714" s="16" t="s">
        <v>12</v>
      </c>
    </row>
    <row r="715" spans="1:12" x14ac:dyDescent="0.35">
      <c r="A715" t="s">
        <v>8</v>
      </c>
      <c r="B715" t="s">
        <v>92</v>
      </c>
      <c r="C715" t="s">
        <v>93</v>
      </c>
      <c r="D715" t="s">
        <v>10</v>
      </c>
      <c r="E715" t="s">
        <v>10</v>
      </c>
      <c r="F715" s="7">
        <v>45339</v>
      </c>
      <c r="G715" s="1">
        <v>45292</v>
      </c>
      <c r="H715" s="14">
        <v>6893.5488999999989</v>
      </c>
      <c r="I715">
        <v>1694270</v>
      </c>
      <c r="J715" t="s">
        <v>88</v>
      </c>
      <c r="K715" t="s">
        <v>94</v>
      </c>
      <c r="L715" s="16" t="s">
        <v>10</v>
      </c>
    </row>
    <row r="716" spans="1:12" x14ac:dyDescent="0.35">
      <c r="A716" t="s">
        <v>8</v>
      </c>
      <c r="B716" t="s">
        <v>92</v>
      </c>
      <c r="C716" t="s">
        <v>95</v>
      </c>
      <c r="D716" t="s">
        <v>10</v>
      </c>
      <c r="E716" t="s">
        <v>10</v>
      </c>
      <c r="F716" s="7">
        <v>45339</v>
      </c>
      <c r="G716" s="1">
        <v>45292</v>
      </c>
      <c r="H716" s="14">
        <v>7417.4899999999943</v>
      </c>
      <c r="I716">
        <v>998474</v>
      </c>
      <c r="J716" t="s">
        <v>88</v>
      </c>
      <c r="K716" t="s">
        <v>96</v>
      </c>
      <c r="L716" s="16" t="s">
        <v>10</v>
      </c>
    </row>
    <row r="717" spans="1:12" x14ac:dyDescent="0.35">
      <c r="A717" t="s">
        <v>8</v>
      </c>
      <c r="B717" t="s">
        <v>84</v>
      </c>
      <c r="C717" t="s">
        <v>93</v>
      </c>
      <c r="D717" t="s">
        <v>10</v>
      </c>
      <c r="E717" t="s">
        <v>10</v>
      </c>
      <c r="F717" s="7">
        <v>45339</v>
      </c>
      <c r="G717" s="1">
        <v>45292</v>
      </c>
      <c r="H717" s="14">
        <v>2036.8693999999998</v>
      </c>
      <c r="I717">
        <v>215574</v>
      </c>
      <c r="J717" t="s">
        <v>88</v>
      </c>
      <c r="K717" t="s">
        <v>94</v>
      </c>
      <c r="L717" s="16" t="s">
        <v>10</v>
      </c>
    </row>
    <row r="718" spans="1:12" x14ac:dyDescent="0.35">
      <c r="A718" t="s">
        <v>8</v>
      </c>
      <c r="B718" t="s">
        <v>84</v>
      </c>
      <c r="C718" t="s">
        <v>95</v>
      </c>
      <c r="D718" t="s">
        <v>10</v>
      </c>
      <c r="E718" t="s">
        <v>10</v>
      </c>
      <c r="F718" s="7">
        <v>45339</v>
      </c>
      <c r="G718" s="1">
        <v>45292</v>
      </c>
      <c r="H718" s="14">
        <v>6080.07</v>
      </c>
      <c r="I718">
        <v>1447147</v>
      </c>
      <c r="J718" t="s">
        <v>88</v>
      </c>
      <c r="K718" t="s">
        <v>96</v>
      </c>
      <c r="L718" s="16" t="s">
        <v>10</v>
      </c>
    </row>
    <row r="719" spans="1:12" x14ac:dyDescent="0.35">
      <c r="A719" t="s">
        <v>8</v>
      </c>
      <c r="B719" t="s">
        <v>17</v>
      </c>
      <c r="C719" t="s">
        <v>93</v>
      </c>
      <c r="D719" t="s">
        <v>10</v>
      </c>
      <c r="E719" t="s">
        <v>10</v>
      </c>
      <c r="F719" s="7">
        <v>45339</v>
      </c>
      <c r="G719" s="1">
        <v>45292</v>
      </c>
      <c r="H719" s="14">
        <v>7063.3274000000038</v>
      </c>
      <c r="I719">
        <v>1605831</v>
      </c>
      <c r="J719" t="s">
        <v>88</v>
      </c>
      <c r="K719" t="s">
        <v>94</v>
      </c>
      <c r="L719" s="16" t="s">
        <v>10</v>
      </c>
    </row>
    <row r="720" spans="1:12" x14ac:dyDescent="0.35">
      <c r="A720" t="s">
        <v>8</v>
      </c>
      <c r="B720" t="s">
        <v>17</v>
      </c>
      <c r="C720" t="s">
        <v>95</v>
      </c>
      <c r="D720" t="s">
        <v>10</v>
      </c>
      <c r="E720" t="s">
        <v>10</v>
      </c>
      <c r="F720" s="7">
        <v>45339</v>
      </c>
      <c r="G720" s="1">
        <v>45292</v>
      </c>
      <c r="H720" s="14">
        <v>8113.2199999999984</v>
      </c>
      <c r="I720">
        <v>1045283</v>
      </c>
      <c r="J720" t="s">
        <v>88</v>
      </c>
      <c r="K720" t="s">
        <v>96</v>
      </c>
      <c r="L720" s="16" t="s">
        <v>10</v>
      </c>
    </row>
    <row r="721" spans="1:12" x14ac:dyDescent="0.35">
      <c r="A721" t="s">
        <v>8</v>
      </c>
      <c r="B721" t="s">
        <v>99</v>
      </c>
      <c r="C721" t="s">
        <v>93</v>
      </c>
      <c r="D721" t="s">
        <v>10</v>
      </c>
      <c r="E721" t="s">
        <v>10</v>
      </c>
      <c r="F721" s="7">
        <v>45339</v>
      </c>
      <c r="G721" s="1">
        <v>45292</v>
      </c>
      <c r="H721" s="14">
        <v>6866.8573000000024</v>
      </c>
      <c r="I721">
        <v>2091803</v>
      </c>
      <c r="J721" t="s">
        <v>88</v>
      </c>
      <c r="K721" t="s">
        <v>94</v>
      </c>
      <c r="L721" s="16" t="s">
        <v>10</v>
      </c>
    </row>
    <row r="722" spans="1:12" x14ac:dyDescent="0.35">
      <c r="A722" t="s">
        <v>8</v>
      </c>
      <c r="B722" t="s">
        <v>99</v>
      </c>
      <c r="C722" t="s">
        <v>95</v>
      </c>
      <c r="D722" t="s">
        <v>10</v>
      </c>
      <c r="E722" t="s">
        <v>10</v>
      </c>
      <c r="F722" s="7">
        <v>45339</v>
      </c>
      <c r="G722" s="1">
        <v>45292</v>
      </c>
      <c r="H722" s="14">
        <v>11950.14</v>
      </c>
      <c r="I722">
        <v>2695161</v>
      </c>
      <c r="J722" t="s">
        <v>88</v>
      </c>
      <c r="K722" t="s">
        <v>96</v>
      </c>
      <c r="L722" s="16" t="s">
        <v>10</v>
      </c>
    </row>
    <row r="723" spans="1:12" x14ac:dyDescent="0.35">
      <c r="A723" t="s">
        <v>8</v>
      </c>
      <c r="B723" t="s">
        <v>100</v>
      </c>
      <c r="C723" t="s">
        <v>93</v>
      </c>
      <c r="D723" t="s">
        <v>10</v>
      </c>
      <c r="E723" t="s">
        <v>10</v>
      </c>
      <c r="F723" s="7">
        <v>45339</v>
      </c>
      <c r="G723" s="1">
        <v>45292</v>
      </c>
      <c r="H723" s="14">
        <v>7090.4279000000006</v>
      </c>
      <c r="I723">
        <v>2065178</v>
      </c>
      <c r="J723" t="s">
        <v>88</v>
      </c>
      <c r="K723" t="s">
        <v>94</v>
      </c>
      <c r="L723" s="16" t="s">
        <v>10</v>
      </c>
    </row>
    <row r="724" spans="1:12" x14ac:dyDescent="0.35">
      <c r="A724" t="s">
        <v>8</v>
      </c>
      <c r="B724" t="s">
        <v>100</v>
      </c>
      <c r="C724" t="s">
        <v>95</v>
      </c>
      <c r="D724" t="s">
        <v>10</v>
      </c>
      <c r="E724" t="s">
        <v>10</v>
      </c>
      <c r="F724" s="7">
        <v>45339</v>
      </c>
      <c r="G724" s="1">
        <v>45292</v>
      </c>
      <c r="H724" s="14">
        <v>5484.7800000000016</v>
      </c>
      <c r="I724">
        <v>1001649</v>
      </c>
      <c r="J724" t="s">
        <v>88</v>
      </c>
      <c r="K724" t="s">
        <v>96</v>
      </c>
      <c r="L724" s="16" t="s">
        <v>10</v>
      </c>
    </row>
    <row r="725" spans="1:12" x14ac:dyDescent="0.35">
      <c r="A725" t="s">
        <v>8</v>
      </c>
      <c r="B725" t="s">
        <v>101</v>
      </c>
      <c r="C725" t="s">
        <v>93</v>
      </c>
      <c r="D725" t="s">
        <v>10</v>
      </c>
      <c r="E725" t="s">
        <v>10</v>
      </c>
      <c r="F725" s="7">
        <v>45339</v>
      </c>
      <c r="G725" s="1">
        <v>45292</v>
      </c>
      <c r="H725" s="14">
        <v>5385.9901</v>
      </c>
      <c r="I725">
        <v>1490333</v>
      </c>
      <c r="J725" t="s">
        <v>88</v>
      </c>
      <c r="K725" t="s">
        <v>94</v>
      </c>
      <c r="L725" s="16" t="s">
        <v>10</v>
      </c>
    </row>
    <row r="726" spans="1:12" x14ac:dyDescent="0.35">
      <c r="A726" t="s">
        <v>8</v>
      </c>
      <c r="B726" t="s">
        <v>101</v>
      </c>
      <c r="C726" t="s">
        <v>95</v>
      </c>
      <c r="D726" t="s">
        <v>10</v>
      </c>
      <c r="E726" t="s">
        <v>10</v>
      </c>
      <c r="F726" s="7">
        <v>45339</v>
      </c>
      <c r="G726" s="1">
        <v>45292</v>
      </c>
      <c r="H726" s="14">
        <v>3157.05</v>
      </c>
      <c r="I726">
        <v>644036</v>
      </c>
      <c r="J726" t="s">
        <v>88</v>
      </c>
      <c r="K726" t="s">
        <v>96</v>
      </c>
      <c r="L726" s="16" t="s">
        <v>10</v>
      </c>
    </row>
    <row r="727" spans="1:12" x14ac:dyDescent="0.35">
      <c r="A727" t="s">
        <v>8</v>
      </c>
      <c r="B727" t="s">
        <v>16</v>
      </c>
      <c r="C727" t="s">
        <v>93</v>
      </c>
      <c r="D727" t="s">
        <v>10</v>
      </c>
      <c r="E727" t="s">
        <v>10</v>
      </c>
      <c r="F727" s="7">
        <v>45339</v>
      </c>
      <c r="G727" s="1">
        <v>45292</v>
      </c>
      <c r="H727" s="14">
        <v>3105.331900000001</v>
      </c>
      <c r="I727">
        <v>903244</v>
      </c>
      <c r="J727" t="s">
        <v>88</v>
      </c>
      <c r="K727" t="s">
        <v>94</v>
      </c>
      <c r="L727" s="16" t="s">
        <v>10</v>
      </c>
    </row>
    <row r="728" spans="1:12" x14ac:dyDescent="0.35">
      <c r="A728" t="s">
        <v>8</v>
      </c>
      <c r="B728" t="s">
        <v>16</v>
      </c>
      <c r="C728" t="s">
        <v>95</v>
      </c>
      <c r="D728" t="s">
        <v>10</v>
      </c>
      <c r="E728" t="s">
        <v>10</v>
      </c>
      <c r="F728" s="7">
        <v>45339</v>
      </c>
      <c r="G728" s="1">
        <v>45292</v>
      </c>
      <c r="H728" s="14">
        <v>1465.4899999999998</v>
      </c>
      <c r="I728">
        <v>309820</v>
      </c>
      <c r="J728" t="s">
        <v>88</v>
      </c>
      <c r="K728" t="s">
        <v>96</v>
      </c>
      <c r="L728" s="16" t="s">
        <v>10</v>
      </c>
    </row>
    <row r="729" spans="1:12" x14ac:dyDescent="0.35">
      <c r="A729" t="s">
        <v>8</v>
      </c>
      <c r="B729" t="s">
        <v>102</v>
      </c>
      <c r="C729" t="s">
        <v>95</v>
      </c>
      <c r="D729" t="s">
        <v>10</v>
      </c>
      <c r="E729" t="s">
        <v>10</v>
      </c>
      <c r="F729" s="7">
        <v>45339</v>
      </c>
      <c r="G729" s="1">
        <v>45292</v>
      </c>
      <c r="H729" s="14">
        <v>0.37</v>
      </c>
      <c r="I729">
        <v>391</v>
      </c>
      <c r="J729" t="s">
        <v>88</v>
      </c>
      <c r="K729" t="s">
        <v>96</v>
      </c>
      <c r="L729" s="16" t="s">
        <v>10</v>
      </c>
    </row>
    <row r="730" spans="1:12" x14ac:dyDescent="0.35">
      <c r="A730" t="s">
        <v>8</v>
      </c>
      <c r="B730" t="s">
        <v>103</v>
      </c>
      <c r="C730" t="s">
        <v>95</v>
      </c>
      <c r="D730" t="s">
        <v>104</v>
      </c>
      <c r="E730" t="s">
        <v>8</v>
      </c>
      <c r="F730" s="7">
        <v>45339</v>
      </c>
      <c r="G730" s="1">
        <v>45292</v>
      </c>
      <c r="H730" s="14">
        <v>57.47</v>
      </c>
      <c r="I730">
        <v>265</v>
      </c>
      <c r="J730" t="s">
        <v>88</v>
      </c>
      <c r="K730" t="s">
        <v>105</v>
      </c>
      <c r="L730" s="16" t="s">
        <v>95</v>
      </c>
    </row>
    <row r="731" spans="1:12" x14ac:dyDescent="0.35">
      <c r="A731" t="s">
        <v>8</v>
      </c>
      <c r="B731" t="s">
        <v>16</v>
      </c>
      <c r="C731" t="s">
        <v>95</v>
      </c>
      <c r="D731" t="s">
        <v>104</v>
      </c>
      <c r="E731" t="s">
        <v>8</v>
      </c>
      <c r="F731" s="7">
        <v>45339</v>
      </c>
      <c r="G731" s="1">
        <v>45292</v>
      </c>
      <c r="H731" s="14">
        <v>64.72999999999999</v>
      </c>
      <c r="I731">
        <v>271</v>
      </c>
      <c r="J731" t="s">
        <v>88</v>
      </c>
      <c r="K731" t="s">
        <v>105</v>
      </c>
      <c r="L731" s="16" t="s">
        <v>95</v>
      </c>
    </row>
    <row r="732" spans="1:12" x14ac:dyDescent="0.35">
      <c r="A732" t="s">
        <v>8</v>
      </c>
      <c r="B732" t="s">
        <v>84</v>
      </c>
      <c r="C732" t="s">
        <v>95</v>
      </c>
      <c r="D732" t="s">
        <v>104</v>
      </c>
      <c r="E732" t="s">
        <v>8</v>
      </c>
      <c r="F732" s="7">
        <v>45339</v>
      </c>
      <c r="G732" s="1">
        <v>45292</v>
      </c>
      <c r="H732" s="14">
        <v>7805.8300000000027</v>
      </c>
      <c r="I732">
        <v>29342</v>
      </c>
      <c r="J732" t="s">
        <v>88</v>
      </c>
      <c r="K732" t="s">
        <v>105</v>
      </c>
      <c r="L732" s="16" t="s">
        <v>95</v>
      </c>
    </row>
    <row r="733" spans="1:12" x14ac:dyDescent="0.35">
      <c r="A733" t="s">
        <v>8</v>
      </c>
      <c r="B733" t="s">
        <v>17</v>
      </c>
      <c r="C733" t="s">
        <v>95</v>
      </c>
      <c r="D733" t="s">
        <v>104</v>
      </c>
      <c r="E733" t="s">
        <v>8</v>
      </c>
      <c r="F733" s="7">
        <v>45339</v>
      </c>
      <c r="G733" s="1">
        <v>45292</v>
      </c>
      <c r="H733" s="14">
        <v>63.28</v>
      </c>
      <c r="I733">
        <v>462</v>
      </c>
      <c r="J733" t="s">
        <v>88</v>
      </c>
      <c r="K733" t="s">
        <v>105</v>
      </c>
      <c r="L733" s="16" t="s">
        <v>95</v>
      </c>
    </row>
    <row r="734" spans="1:12" x14ac:dyDescent="0.35">
      <c r="A734" t="s">
        <v>8</v>
      </c>
      <c r="B734" t="s">
        <v>106</v>
      </c>
      <c r="C734" t="s">
        <v>95</v>
      </c>
      <c r="D734" t="s">
        <v>104</v>
      </c>
      <c r="E734" t="s">
        <v>8</v>
      </c>
      <c r="F734" s="7">
        <v>45339</v>
      </c>
      <c r="G734" s="1">
        <v>45292</v>
      </c>
      <c r="H734" s="14">
        <v>1.97</v>
      </c>
      <c r="I734">
        <v>14</v>
      </c>
      <c r="J734" t="s">
        <v>88</v>
      </c>
      <c r="K734" t="s">
        <v>105</v>
      </c>
      <c r="L734" s="16" t="s">
        <v>95</v>
      </c>
    </row>
    <row r="735" spans="1:12" x14ac:dyDescent="0.35">
      <c r="A735" t="s">
        <v>8</v>
      </c>
      <c r="B735" t="s">
        <v>92</v>
      </c>
      <c r="C735" t="s">
        <v>95</v>
      </c>
      <c r="D735" t="s">
        <v>104</v>
      </c>
      <c r="E735" t="s">
        <v>8</v>
      </c>
      <c r="F735" s="7">
        <v>45339</v>
      </c>
      <c r="G735" s="1">
        <v>45292</v>
      </c>
      <c r="H735" s="14">
        <v>245.51</v>
      </c>
      <c r="I735">
        <v>1499</v>
      </c>
      <c r="J735" t="s">
        <v>88</v>
      </c>
      <c r="K735" t="s">
        <v>105</v>
      </c>
      <c r="L735" s="16" t="s">
        <v>95</v>
      </c>
    </row>
    <row r="736" spans="1:12" x14ac:dyDescent="0.35">
      <c r="A736" t="s">
        <v>8</v>
      </c>
      <c r="B736" t="s">
        <v>21</v>
      </c>
      <c r="C736" t="s">
        <v>95</v>
      </c>
      <c r="D736" t="s">
        <v>104</v>
      </c>
      <c r="E736" t="s">
        <v>8</v>
      </c>
      <c r="F736" s="7">
        <v>45339</v>
      </c>
      <c r="G736" s="1">
        <v>45292</v>
      </c>
      <c r="H736" s="14">
        <v>523.76</v>
      </c>
      <c r="I736">
        <v>1459</v>
      </c>
      <c r="J736" t="s">
        <v>88</v>
      </c>
      <c r="K736" t="s">
        <v>105</v>
      </c>
      <c r="L736" s="16" t="s">
        <v>95</v>
      </c>
    </row>
    <row r="737" spans="1:12" x14ac:dyDescent="0.35">
      <c r="A737" t="s">
        <v>8</v>
      </c>
      <c r="B737" t="s">
        <v>101</v>
      </c>
      <c r="C737" t="s">
        <v>95</v>
      </c>
      <c r="D737" t="s">
        <v>104</v>
      </c>
      <c r="E737" t="s">
        <v>8</v>
      </c>
      <c r="F737" s="7">
        <v>45339</v>
      </c>
      <c r="G737" s="1">
        <v>45292</v>
      </c>
      <c r="H737" s="14">
        <v>49.370000000000005</v>
      </c>
      <c r="I737">
        <v>299</v>
      </c>
      <c r="J737" t="s">
        <v>88</v>
      </c>
      <c r="K737" t="s">
        <v>105</v>
      </c>
      <c r="L737" s="16" t="s">
        <v>95</v>
      </c>
    </row>
    <row r="738" spans="1:12" x14ac:dyDescent="0.35">
      <c r="A738" t="s">
        <v>8</v>
      </c>
      <c r="B738" t="s">
        <v>99</v>
      </c>
      <c r="C738" t="s">
        <v>95</v>
      </c>
      <c r="D738" t="s">
        <v>104</v>
      </c>
      <c r="E738" t="s">
        <v>8</v>
      </c>
      <c r="F738" s="7">
        <v>45339</v>
      </c>
      <c r="G738" s="1">
        <v>45292</v>
      </c>
      <c r="H738" s="14">
        <v>62.899999999999991</v>
      </c>
      <c r="I738">
        <v>336</v>
      </c>
      <c r="J738" t="s">
        <v>88</v>
      </c>
      <c r="K738" t="s">
        <v>105</v>
      </c>
      <c r="L738" s="16" t="s">
        <v>95</v>
      </c>
    </row>
    <row r="739" spans="1:12" x14ac:dyDescent="0.35">
      <c r="A739" t="s">
        <v>8</v>
      </c>
      <c r="B739" t="s">
        <v>100</v>
      </c>
      <c r="C739" t="s">
        <v>95</v>
      </c>
      <c r="D739" t="s">
        <v>104</v>
      </c>
      <c r="E739" t="s">
        <v>8</v>
      </c>
      <c r="F739" s="7">
        <v>45339</v>
      </c>
      <c r="G739" s="1">
        <v>45292</v>
      </c>
      <c r="H739" s="14">
        <v>109.25</v>
      </c>
      <c r="I739">
        <v>913</v>
      </c>
      <c r="J739" t="s">
        <v>88</v>
      </c>
      <c r="K739" t="s">
        <v>105</v>
      </c>
      <c r="L739" s="16" t="s">
        <v>95</v>
      </c>
    </row>
    <row r="740" spans="1:12" x14ac:dyDescent="0.35">
      <c r="A740" t="s">
        <v>8</v>
      </c>
      <c r="B740" t="s">
        <v>92</v>
      </c>
      <c r="C740" t="s">
        <v>85</v>
      </c>
      <c r="D740" t="s">
        <v>9</v>
      </c>
      <c r="E740" t="s">
        <v>11</v>
      </c>
      <c r="F740" s="7">
        <v>45346</v>
      </c>
      <c r="G740" s="1">
        <v>45292</v>
      </c>
      <c r="H740" s="14">
        <v>7664.35</v>
      </c>
      <c r="I740">
        <v>1175438</v>
      </c>
      <c r="J740" t="s">
        <v>88</v>
      </c>
      <c r="K740" t="s">
        <v>87</v>
      </c>
      <c r="L740" s="16" t="s">
        <v>9</v>
      </c>
    </row>
    <row r="741" spans="1:12" x14ac:dyDescent="0.35">
      <c r="A741" t="s">
        <v>8</v>
      </c>
      <c r="B741" t="s">
        <v>92</v>
      </c>
      <c r="C741" t="s">
        <v>85</v>
      </c>
      <c r="D741" t="s">
        <v>9</v>
      </c>
      <c r="E741" t="s">
        <v>12</v>
      </c>
      <c r="F741" s="7">
        <v>45346</v>
      </c>
      <c r="G741" s="1">
        <v>45292</v>
      </c>
      <c r="H741" s="14">
        <v>25574.460001000003</v>
      </c>
      <c r="I741">
        <v>4302069</v>
      </c>
      <c r="J741" t="s">
        <v>88</v>
      </c>
      <c r="K741" t="s">
        <v>87</v>
      </c>
      <c r="L741" s="16" t="s">
        <v>12</v>
      </c>
    </row>
    <row r="742" spans="1:12" x14ac:dyDescent="0.35">
      <c r="A742" t="s">
        <v>8</v>
      </c>
      <c r="B742" t="s">
        <v>92</v>
      </c>
      <c r="C742" t="s">
        <v>93</v>
      </c>
      <c r="D742" t="s">
        <v>10</v>
      </c>
      <c r="E742" t="s">
        <v>10</v>
      </c>
      <c r="F742" s="7">
        <v>45346</v>
      </c>
      <c r="G742" s="1">
        <v>45292</v>
      </c>
      <c r="H742" s="14">
        <v>7106.8857000000025</v>
      </c>
      <c r="I742">
        <v>2101088</v>
      </c>
      <c r="J742" t="s">
        <v>88</v>
      </c>
      <c r="K742" t="s">
        <v>94</v>
      </c>
      <c r="L742" s="16" t="s">
        <v>10</v>
      </c>
    </row>
    <row r="743" spans="1:12" x14ac:dyDescent="0.35">
      <c r="A743" t="s">
        <v>8</v>
      </c>
      <c r="B743" t="s">
        <v>92</v>
      </c>
      <c r="C743" t="s">
        <v>95</v>
      </c>
      <c r="D743" t="s">
        <v>10</v>
      </c>
      <c r="E743" t="s">
        <v>10</v>
      </c>
      <c r="F743" s="7">
        <v>45346</v>
      </c>
      <c r="G743" s="1">
        <v>45292</v>
      </c>
      <c r="H743" s="14">
        <v>6853.5099999999975</v>
      </c>
      <c r="I743">
        <v>1132168</v>
      </c>
      <c r="J743" t="s">
        <v>88</v>
      </c>
      <c r="K743" t="s">
        <v>96</v>
      </c>
      <c r="L743" s="16" t="s">
        <v>10</v>
      </c>
    </row>
    <row r="744" spans="1:12" x14ac:dyDescent="0.35">
      <c r="A744" t="s">
        <v>8</v>
      </c>
      <c r="B744" t="s">
        <v>84</v>
      </c>
      <c r="C744" t="s">
        <v>93</v>
      </c>
      <c r="D744" t="s">
        <v>10</v>
      </c>
      <c r="E744" t="s">
        <v>10</v>
      </c>
      <c r="F744" s="7">
        <v>45346</v>
      </c>
      <c r="G744" s="1">
        <v>45292</v>
      </c>
      <c r="H744" s="14">
        <v>3647.9030999999986</v>
      </c>
      <c r="I744">
        <v>612872</v>
      </c>
      <c r="J744" t="s">
        <v>88</v>
      </c>
      <c r="K744" t="s">
        <v>94</v>
      </c>
      <c r="L744" s="16" t="s">
        <v>10</v>
      </c>
    </row>
    <row r="745" spans="1:12" x14ac:dyDescent="0.35">
      <c r="A745" t="s">
        <v>8</v>
      </c>
      <c r="B745" t="s">
        <v>84</v>
      </c>
      <c r="C745" t="s">
        <v>95</v>
      </c>
      <c r="D745" t="s">
        <v>10</v>
      </c>
      <c r="E745" t="s">
        <v>10</v>
      </c>
      <c r="F745" s="7">
        <v>45346</v>
      </c>
      <c r="G745" s="1">
        <v>45292</v>
      </c>
      <c r="H745" s="14">
        <v>5273.43</v>
      </c>
      <c r="I745">
        <v>1208131</v>
      </c>
      <c r="J745" t="s">
        <v>88</v>
      </c>
      <c r="K745" t="s">
        <v>96</v>
      </c>
      <c r="L745" s="16" t="s">
        <v>10</v>
      </c>
    </row>
    <row r="746" spans="1:12" x14ac:dyDescent="0.35">
      <c r="A746" t="s">
        <v>8</v>
      </c>
      <c r="B746" t="s">
        <v>17</v>
      </c>
      <c r="C746" t="s">
        <v>93</v>
      </c>
      <c r="D746" t="s">
        <v>10</v>
      </c>
      <c r="E746" t="s">
        <v>10</v>
      </c>
      <c r="F746" s="7">
        <v>45346</v>
      </c>
      <c r="G746" s="1">
        <v>45292</v>
      </c>
      <c r="H746" s="14">
        <v>6835.9557999999988</v>
      </c>
      <c r="I746">
        <v>1599046</v>
      </c>
      <c r="J746" t="s">
        <v>88</v>
      </c>
      <c r="K746" t="s">
        <v>94</v>
      </c>
      <c r="L746" s="16" t="s">
        <v>10</v>
      </c>
    </row>
    <row r="747" spans="1:12" x14ac:dyDescent="0.35">
      <c r="A747" t="s">
        <v>8</v>
      </c>
      <c r="B747" t="s">
        <v>17</v>
      </c>
      <c r="C747" t="s">
        <v>95</v>
      </c>
      <c r="D747" t="s">
        <v>10</v>
      </c>
      <c r="E747" t="s">
        <v>10</v>
      </c>
      <c r="F747" s="7">
        <v>45346</v>
      </c>
      <c r="G747" s="1">
        <v>45292</v>
      </c>
      <c r="H747" s="14">
        <v>8113.0300000000034</v>
      </c>
      <c r="I747">
        <v>977996</v>
      </c>
      <c r="J747" t="s">
        <v>88</v>
      </c>
      <c r="K747" t="s">
        <v>96</v>
      </c>
      <c r="L747" s="16" t="s">
        <v>10</v>
      </c>
    </row>
    <row r="748" spans="1:12" x14ac:dyDescent="0.35">
      <c r="A748" t="s">
        <v>8</v>
      </c>
      <c r="B748" t="s">
        <v>99</v>
      </c>
      <c r="C748" t="s">
        <v>93</v>
      </c>
      <c r="D748" t="s">
        <v>10</v>
      </c>
      <c r="E748" t="s">
        <v>10</v>
      </c>
      <c r="F748" s="7">
        <v>45346</v>
      </c>
      <c r="G748" s="1">
        <v>45292</v>
      </c>
      <c r="H748" s="14">
        <v>6912.5581000000038</v>
      </c>
      <c r="I748">
        <v>2590070</v>
      </c>
      <c r="J748" t="s">
        <v>88</v>
      </c>
      <c r="K748" t="s">
        <v>94</v>
      </c>
      <c r="L748" s="16" t="s">
        <v>10</v>
      </c>
    </row>
    <row r="749" spans="1:12" x14ac:dyDescent="0.35">
      <c r="A749" t="s">
        <v>8</v>
      </c>
      <c r="B749" t="s">
        <v>99</v>
      </c>
      <c r="C749" t="s">
        <v>95</v>
      </c>
      <c r="D749" t="s">
        <v>10</v>
      </c>
      <c r="E749" t="s">
        <v>10</v>
      </c>
      <c r="F749" s="7">
        <v>45346</v>
      </c>
      <c r="G749" s="1">
        <v>45292</v>
      </c>
      <c r="H749" s="14">
        <v>10986.860000000002</v>
      </c>
      <c r="I749">
        <v>2281546</v>
      </c>
      <c r="J749" t="s">
        <v>88</v>
      </c>
      <c r="K749" t="s">
        <v>96</v>
      </c>
      <c r="L749" s="16" t="s">
        <v>10</v>
      </c>
    </row>
    <row r="750" spans="1:12" x14ac:dyDescent="0.35">
      <c r="A750" t="s">
        <v>8</v>
      </c>
      <c r="B750" t="s">
        <v>100</v>
      </c>
      <c r="C750" t="s">
        <v>93</v>
      </c>
      <c r="D750" t="s">
        <v>10</v>
      </c>
      <c r="E750" t="s">
        <v>10</v>
      </c>
      <c r="F750" s="7">
        <v>45346</v>
      </c>
      <c r="G750" s="1">
        <v>45292</v>
      </c>
      <c r="H750" s="14">
        <v>6799.8084999999992</v>
      </c>
      <c r="I750">
        <v>2431884</v>
      </c>
      <c r="J750" t="s">
        <v>88</v>
      </c>
      <c r="K750" t="s">
        <v>94</v>
      </c>
      <c r="L750" s="16" t="s">
        <v>10</v>
      </c>
    </row>
    <row r="751" spans="1:12" x14ac:dyDescent="0.35">
      <c r="A751" t="s">
        <v>8</v>
      </c>
      <c r="B751" t="s">
        <v>100</v>
      </c>
      <c r="C751" t="s">
        <v>95</v>
      </c>
      <c r="D751" t="s">
        <v>10</v>
      </c>
      <c r="E751" t="s">
        <v>10</v>
      </c>
      <c r="F751" s="7">
        <v>45346</v>
      </c>
      <c r="G751" s="1">
        <v>45292</v>
      </c>
      <c r="H751" s="14">
        <v>4650.1900000000005</v>
      </c>
      <c r="I751">
        <v>831149</v>
      </c>
      <c r="J751" t="s">
        <v>88</v>
      </c>
      <c r="K751" t="s">
        <v>96</v>
      </c>
      <c r="L751" s="16" t="s">
        <v>10</v>
      </c>
    </row>
    <row r="752" spans="1:12" x14ac:dyDescent="0.35">
      <c r="A752" t="s">
        <v>8</v>
      </c>
      <c r="B752" t="s">
        <v>101</v>
      </c>
      <c r="C752" t="s">
        <v>93</v>
      </c>
      <c r="D752" t="s">
        <v>10</v>
      </c>
      <c r="E752" t="s">
        <v>10</v>
      </c>
      <c r="F752" s="7">
        <v>45346</v>
      </c>
      <c r="G752" s="1">
        <v>45292</v>
      </c>
      <c r="H752" s="14">
        <v>5672.9356999999991</v>
      </c>
      <c r="I752">
        <v>1889345</v>
      </c>
      <c r="J752" t="s">
        <v>88</v>
      </c>
      <c r="K752" t="s">
        <v>94</v>
      </c>
      <c r="L752" s="16" t="s">
        <v>10</v>
      </c>
    </row>
    <row r="753" spans="1:12" x14ac:dyDescent="0.35">
      <c r="A753" t="s">
        <v>8</v>
      </c>
      <c r="B753" t="s">
        <v>101</v>
      </c>
      <c r="C753" t="s">
        <v>95</v>
      </c>
      <c r="D753" t="s">
        <v>10</v>
      </c>
      <c r="E753" t="s">
        <v>10</v>
      </c>
      <c r="F753" s="7">
        <v>45346</v>
      </c>
      <c r="G753" s="1">
        <v>45292</v>
      </c>
      <c r="H753" s="14">
        <v>3033.5299999999993</v>
      </c>
      <c r="I753">
        <v>719018</v>
      </c>
      <c r="J753" t="s">
        <v>88</v>
      </c>
      <c r="K753" t="s">
        <v>96</v>
      </c>
      <c r="L753" s="16" t="s">
        <v>10</v>
      </c>
    </row>
    <row r="754" spans="1:12" x14ac:dyDescent="0.35">
      <c r="A754" t="s">
        <v>8</v>
      </c>
      <c r="B754" t="s">
        <v>16</v>
      </c>
      <c r="C754" t="s">
        <v>93</v>
      </c>
      <c r="D754" t="s">
        <v>10</v>
      </c>
      <c r="E754" t="s">
        <v>10</v>
      </c>
      <c r="F754" s="7">
        <v>45346</v>
      </c>
      <c r="G754" s="1">
        <v>45292</v>
      </c>
      <c r="H754" s="14">
        <v>3196.7196999999996</v>
      </c>
      <c r="I754">
        <v>1337408</v>
      </c>
      <c r="J754" t="s">
        <v>88</v>
      </c>
      <c r="K754" t="s">
        <v>94</v>
      </c>
      <c r="L754" s="16" t="s">
        <v>10</v>
      </c>
    </row>
    <row r="755" spans="1:12" x14ac:dyDescent="0.35">
      <c r="A755" t="s">
        <v>8</v>
      </c>
      <c r="B755" t="s">
        <v>16</v>
      </c>
      <c r="C755" t="s">
        <v>95</v>
      </c>
      <c r="D755" t="s">
        <v>10</v>
      </c>
      <c r="E755" t="s">
        <v>10</v>
      </c>
      <c r="F755" s="7">
        <v>45346</v>
      </c>
      <c r="G755" s="1">
        <v>45292</v>
      </c>
      <c r="H755" s="14">
        <v>768.31000000000006</v>
      </c>
      <c r="I755">
        <v>249641</v>
      </c>
      <c r="J755" t="s">
        <v>88</v>
      </c>
      <c r="K755" t="s">
        <v>96</v>
      </c>
      <c r="L755" s="16" t="s">
        <v>10</v>
      </c>
    </row>
    <row r="756" spans="1:12" x14ac:dyDescent="0.35">
      <c r="A756" t="s">
        <v>8</v>
      </c>
      <c r="B756" t="s">
        <v>103</v>
      </c>
      <c r="C756" t="s">
        <v>95</v>
      </c>
      <c r="D756" t="s">
        <v>104</v>
      </c>
      <c r="E756" t="s">
        <v>8</v>
      </c>
      <c r="F756" s="7">
        <v>45346</v>
      </c>
      <c r="G756" s="1">
        <v>45292</v>
      </c>
      <c r="H756" s="14">
        <v>72.95</v>
      </c>
      <c r="I756">
        <v>322</v>
      </c>
      <c r="J756" t="s">
        <v>88</v>
      </c>
      <c r="K756" t="s">
        <v>105</v>
      </c>
      <c r="L756" s="16" t="s">
        <v>95</v>
      </c>
    </row>
    <row r="757" spans="1:12" x14ac:dyDescent="0.35">
      <c r="A757" t="s">
        <v>8</v>
      </c>
      <c r="B757" t="s">
        <v>16</v>
      </c>
      <c r="C757" t="s">
        <v>95</v>
      </c>
      <c r="D757" t="s">
        <v>104</v>
      </c>
      <c r="E757" t="s">
        <v>8</v>
      </c>
      <c r="F757" s="7">
        <v>45346</v>
      </c>
      <c r="G757" s="1">
        <v>45292</v>
      </c>
      <c r="H757" s="14">
        <v>51.449999999999996</v>
      </c>
      <c r="I757">
        <v>283</v>
      </c>
      <c r="J757" t="s">
        <v>88</v>
      </c>
      <c r="K757" t="s">
        <v>105</v>
      </c>
      <c r="L757" s="16" t="s">
        <v>95</v>
      </c>
    </row>
    <row r="758" spans="1:12" x14ac:dyDescent="0.35">
      <c r="A758" t="s">
        <v>8</v>
      </c>
      <c r="B758" t="s">
        <v>84</v>
      </c>
      <c r="C758" t="s">
        <v>95</v>
      </c>
      <c r="D758" t="s">
        <v>104</v>
      </c>
      <c r="E758" t="s">
        <v>8</v>
      </c>
      <c r="F758" s="7">
        <v>45346</v>
      </c>
      <c r="G758" s="1">
        <v>45292</v>
      </c>
      <c r="H758" s="14">
        <v>7890.0800000000008</v>
      </c>
      <c r="I758">
        <v>30672</v>
      </c>
      <c r="J758" t="s">
        <v>88</v>
      </c>
      <c r="K758" t="s">
        <v>105</v>
      </c>
      <c r="L758" s="16" t="s">
        <v>95</v>
      </c>
    </row>
    <row r="759" spans="1:12" x14ac:dyDescent="0.35">
      <c r="A759" t="s">
        <v>8</v>
      </c>
      <c r="B759" t="s">
        <v>17</v>
      </c>
      <c r="C759" t="s">
        <v>95</v>
      </c>
      <c r="D759" t="s">
        <v>104</v>
      </c>
      <c r="E759" t="s">
        <v>8</v>
      </c>
      <c r="F759" s="7">
        <v>45346</v>
      </c>
      <c r="G759" s="1">
        <v>45292</v>
      </c>
      <c r="H759" s="14">
        <v>64.680000000000007</v>
      </c>
      <c r="I759">
        <v>515</v>
      </c>
      <c r="J759" t="s">
        <v>88</v>
      </c>
      <c r="K759" t="s">
        <v>105</v>
      </c>
      <c r="L759" s="16" t="s">
        <v>95</v>
      </c>
    </row>
    <row r="760" spans="1:12" x14ac:dyDescent="0.35">
      <c r="A760" t="s">
        <v>8</v>
      </c>
      <c r="B760" t="s">
        <v>106</v>
      </c>
      <c r="C760" t="s">
        <v>95</v>
      </c>
      <c r="D760" t="s">
        <v>104</v>
      </c>
      <c r="E760" t="s">
        <v>8</v>
      </c>
      <c r="F760" s="7">
        <v>45346</v>
      </c>
      <c r="G760" s="1">
        <v>45292</v>
      </c>
      <c r="H760" s="14">
        <v>4.42</v>
      </c>
      <c r="I760">
        <v>20</v>
      </c>
      <c r="J760" t="s">
        <v>88</v>
      </c>
      <c r="K760" t="s">
        <v>105</v>
      </c>
      <c r="L760" s="16" t="s">
        <v>95</v>
      </c>
    </row>
    <row r="761" spans="1:12" x14ac:dyDescent="0.35">
      <c r="A761" t="s">
        <v>8</v>
      </c>
      <c r="B761" t="s">
        <v>92</v>
      </c>
      <c r="C761" t="s">
        <v>95</v>
      </c>
      <c r="D761" t="s">
        <v>104</v>
      </c>
      <c r="E761" t="s">
        <v>8</v>
      </c>
      <c r="F761" s="7">
        <v>45346</v>
      </c>
      <c r="G761" s="1">
        <v>45292</v>
      </c>
      <c r="H761" s="14">
        <v>214.01</v>
      </c>
      <c r="I761">
        <v>1488</v>
      </c>
      <c r="J761" t="s">
        <v>88</v>
      </c>
      <c r="K761" t="s">
        <v>105</v>
      </c>
      <c r="L761" s="16" t="s">
        <v>95</v>
      </c>
    </row>
    <row r="762" spans="1:12" x14ac:dyDescent="0.35">
      <c r="A762" t="s">
        <v>8</v>
      </c>
      <c r="B762" t="s">
        <v>21</v>
      </c>
      <c r="C762" t="s">
        <v>95</v>
      </c>
      <c r="D762" t="s">
        <v>104</v>
      </c>
      <c r="E762" t="s">
        <v>8</v>
      </c>
      <c r="F762" s="7">
        <v>45346</v>
      </c>
      <c r="G762" s="1">
        <v>45292</v>
      </c>
      <c r="H762" s="14">
        <v>342.75</v>
      </c>
      <c r="I762">
        <v>1283</v>
      </c>
      <c r="J762" t="s">
        <v>88</v>
      </c>
      <c r="K762" t="s">
        <v>105</v>
      </c>
      <c r="L762" s="16" t="s">
        <v>95</v>
      </c>
    </row>
    <row r="763" spans="1:12" x14ac:dyDescent="0.35">
      <c r="A763" t="s">
        <v>8</v>
      </c>
      <c r="B763" t="s">
        <v>101</v>
      </c>
      <c r="C763" t="s">
        <v>95</v>
      </c>
      <c r="D763" t="s">
        <v>104</v>
      </c>
      <c r="E763" t="s">
        <v>8</v>
      </c>
      <c r="F763" s="7">
        <v>45346</v>
      </c>
      <c r="G763" s="1">
        <v>45292</v>
      </c>
      <c r="H763" s="14">
        <v>74.09</v>
      </c>
      <c r="I763">
        <v>340</v>
      </c>
      <c r="J763" t="s">
        <v>88</v>
      </c>
      <c r="K763" t="s">
        <v>105</v>
      </c>
      <c r="L763" s="16" t="s">
        <v>95</v>
      </c>
    </row>
    <row r="764" spans="1:12" x14ac:dyDescent="0.35">
      <c r="A764" t="s">
        <v>8</v>
      </c>
      <c r="B764" t="s">
        <v>99</v>
      </c>
      <c r="C764" t="s">
        <v>95</v>
      </c>
      <c r="D764" t="s">
        <v>104</v>
      </c>
      <c r="E764" t="s">
        <v>8</v>
      </c>
      <c r="F764" s="7">
        <v>45346</v>
      </c>
      <c r="G764" s="1">
        <v>45292</v>
      </c>
      <c r="H764" s="14">
        <v>63.339999999999989</v>
      </c>
      <c r="I764">
        <v>351</v>
      </c>
      <c r="J764" t="s">
        <v>88</v>
      </c>
      <c r="K764" t="s">
        <v>105</v>
      </c>
      <c r="L764" s="16" t="s">
        <v>95</v>
      </c>
    </row>
    <row r="765" spans="1:12" x14ac:dyDescent="0.35">
      <c r="A765" t="s">
        <v>8</v>
      </c>
      <c r="B765" t="s">
        <v>100</v>
      </c>
      <c r="C765" t="s">
        <v>95</v>
      </c>
      <c r="D765" t="s">
        <v>104</v>
      </c>
      <c r="E765" t="s">
        <v>8</v>
      </c>
      <c r="F765" s="7">
        <v>45346</v>
      </c>
      <c r="G765" s="1">
        <v>45292</v>
      </c>
      <c r="H765" s="14">
        <v>138.03</v>
      </c>
      <c r="I765">
        <v>709</v>
      </c>
      <c r="J765" t="s">
        <v>88</v>
      </c>
      <c r="K765" t="s">
        <v>105</v>
      </c>
      <c r="L765" s="16" t="s">
        <v>95</v>
      </c>
    </row>
    <row r="766" spans="1:12" x14ac:dyDescent="0.35">
      <c r="A766" t="s">
        <v>8</v>
      </c>
      <c r="B766" t="s">
        <v>92</v>
      </c>
      <c r="C766" t="s">
        <v>85</v>
      </c>
      <c r="D766" t="s">
        <v>9</v>
      </c>
      <c r="E766" t="s">
        <v>11</v>
      </c>
      <c r="F766" s="7">
        <v>45353</v>
      </c>
      <c r="G766" s="1">
        <v>45292</v>
      </c>
      <c r="H766" s="14">
        <v>8849.7300099999993</v>
      </c>
      <c r="I766">
        <v>1235096</v>
      </c>
      <c r="J766" t="s">
        <v>88</v>
      </c>
      <c r="K766" t="s">
        <v>87</v>
      </c>
      <c r="L766" s="16" t="s">
        <v>9</v>
      </c>
    </row>
    <row r="767" spans="1:12" x14ac:dyDescent="0.35">
      <c r="A767" t="s">
        <v>8</v>
      </c>
      <c r="B767" t="s">
        <v>92</v>
      </c>
      <c r="C767" t="s">
        <v>85</v>
      </c>
      <c r="D767" t="s">
        <v>9</v>
      </c>
      <c r="E767" t="s">
        <v>12</v>
      </c>
      <c r="F767" s="7">
        <v>45353</v>
      </c>
      <c r="G767" s="1">
        <v>45292</v>
      </c>
      <c r="H767" s="14">
        <v>29417.540019</v>
      </c>
      <c r="I767">
        <v>4911172</v>
      </c>
      <c r="J767" t="s">
        <v>88</v>
      </c>
      <c r="K767" t="s">
        <v>87</v>
      </c>
      <c r="L767" s="16" t="s">
        <v>12</v>
      </c>
    </row>
    <row r="768" spans="1:12" x14ac:dyDescent="0.35">
      <c r="A768" t="s">
        <v>8</v>
      </c>
      <c r="B768" t="s">
        <v>92</v>
      </c>
      <c r="C768" t="s">
        <v>93</v>
      </c>
      <c r="D768" t="s">
        <v>10</v>
      </c>
      <c r="E768" t="s">
        <v>10</v>
      </c>
      <c r="F768" s="7">
        <v>45353</v>
      </c>
      <c r="G768" s="1">
        <v>45292</v>
      </c>
      <c r="H768" s="14">
        <v>4431.4867000000013</v>
      </c>
      <c r="I768">
        <v>1342493</v>
      </c>
      <c r="J768" t="s">
        <v>88</v>
      </c>
      <c r="K768" t="s">
        <v>94</v>
      </c>
      <c r="L768" s="16" t="s">
        <v>10</v>
      </c>
    </row>
    <row r="769" spans="1:12" x14ac:dyDescent="0.35">
      <c r="A769" t="s">
        <v>8</v>
      </c>
      <c r="B769" t="s">
        <v>92</v>
      </c>
      <c r="C769" t="s">
        <v>95</v>
      </c>
      <c r="D769" t="s">
        <v>10</v>
      </c>
      <c r="E769" t="s">
        <v>10</v>
      </c>
      <c r="F769" s="7">
        <v>45353</v>
      </c>
      <c r="G769" s="1">
        <v>45292</v>
      </c>
      <c r="H769" s="14">
        <v>5462.5899999999992</v>
      </c>
      <c r="I769">
        <v>1005507</v>
      </c>
      <c r="J769" t="s">
        <v>88</v>
      </c>
      <c r="K769" t="s">
        <v>96</v>
      </c>
      <c r="L769" s="16" t="s">
        <v>10</v>
      </c>
    </row>
    <row r="770" spans="1:12" x14ac:dyDescent="0.35">
      <c r="A770" t="s">
        <v>8</v>
      </c>
      <c r="B770" t="s">
        <v>84</v>
      </c>
      <c r="C770" t="s">
        <v>93</v>
      </c>
      <c r="D770" t="s">
        <v>10</v>
      </c>
      <c r="E770" t="s">
        <v>10</v>
      </c>
      <c r="F770" s="7">
        <v>45353</v>
      </c>
      <c r="G770" s="1">
        <v>45292</v>
      </c>
      <c r="H770" s="14">
        <v>4991.0021999999999</v>
      </c>
      <c r="I770">
        <v>1229439</v>
      </c>
      <c r="J770" t="s">
        <v>88</v>
      </c>
      <c r="K770" t="s">
        <v>94</v>
      </c>
      <c r="L770" s="16" t="s">
        <v>10</v>
      </c>
    </row>
    <row r="771" spans="1:12" x14ac:dyDescent="0.35">
      <c r="A771" t="s">
        <v>8</v>
      </c>
      <c r="B771" t="s">
        <v>84</v>
      </c>
      <c r="C771" t="s">
        <v>95</v>
      </c>
      <c r="D771" t="s">
        <v>10</v>
      </c>
      <c r="E771" t="s">
        <v>10</v>
      </c>
      <c r="F771" s="7">
        <v>45353</v>
      </c>
      <c r="G771" s="1">
        <v>45292</v>
      </c>
      <c r="H771" s="14">
        <v>5531.4299999999976</v>
      </c>
      <c r="I771">
        <v>1227380</v>
      </c>
      <c r="J771" t="s">
        <v>88</v>
      </c>
      <c r="K771" t="s">
        <v>96</v>
      </c>
      <c r="L771" s="16" t="s">
        <v>10</v>
      </c>
    </row>
    <row r="772" spans="1:12" x14ac:dyDescent="0.35">
      <c r="A772" t="s">
        <v>8</v>
      </c>
      <c r="B772" t="s">
        <v>17</v>
      </c>
      <c r="C772" t="s">
        <v>93</v>
      </c>
      <c r="D772" t="s">
        <v>10</v>
      </c>
      <c r="E772" t="s">
        <v>10</v>
      </c>
      <c r="F772" s="7">
        <v>45353</v>
      </c>
      <c r="G772" s="1">
        <v>45292</v>
      </c>
      <c r="H772" s="14">
        <v>3669.5361999999977</v>
      </c>
      <c r="I772">
        <v>767666</v>
      </c>
      <c r="J772" t="s">
        <v>88</v>
      </c>
      <c r="K772" t="s">
        <v>94</v>
      </c>
      <c r="L772" s="16" t="s">
        <v>10</v>
      </c>
    </row>
    <row r="773" spans="1:12" x14ac:dyDescent="0.35">
      <c r="A773" t="s">
        <v>8</v>
      </c>
      <c r="B773" t="s">
        <v>17</v>
      </c>
      <c r="C773" t="s">
        <v>95</v>
      </c>
      <c r="D773" t="s">
        <v>10</v>
      </c>
      <c r="E773" t="s">
        <v>10</v>
      </c>
      <c r="F773" s="7">
        <v>45353</v>
      </c>
      <c r="G773" s="1">
        <v>45292</v>
      </c>
      <c r="H773" s="14">
        <v>6394.0099999999993</v>
      </c>
      <c r="I773">
        <v>1026525</v>
      </c>
      <c r="J773" t="s">
        <v>88</v>
      </c>
      <c r="K773" t="s">
        <v>96</v>
      </c>
      <c r="L773" s="16" t="s">
        <v>10</v>
      </c>
    </row>
    <row r="774" spans="1:12" x14ac:dyDescent="0.35">
      <c r="A774" t="s">
        <v>8</v>
      </c>
      <c r="B774" t="s">
        <v>99</v>
      </c>
      <c r="C774" t="s">
        <v>93</v>
      </c>
      <c r="D774" t="s">
        <v>10</v>
      </c>
      <c r="E774" t="s">
        <v>10</v>
      </c>
      <c r="F774" s="7">
        <v>45353</v>
      </c>
      <c r="G774" s="1">
        <v>45292</v>
      </c>
      <c r="H774" s="14">
        <v>4421.9359000000004</v>
      </c>
      <c r="I774">
        <v>1435783</v>
      </c>
      <c r="J774" t="s">
        <v>88</v>
      </c>
      <c r="K774" t="s">
        <v>94</v>
      </c>
      <c r="L774" s="16" t="s">
        <v>10</v>
      </c>
    </row>
    <row r="775" spans="1:12" x14ac:dyDescent="0.35">
      <c r="A775" t="s">
        <v>8</v>
      </c>
      <c r="B775" t="s">
        <v>99</v>
      </c>
      <c r="C775" t="s">
        <v>95</v>
      </c>
      <c r="D775" t="s">
        <v>10</v>
      </c>
      <c r="E775" t="s">
        <v>10</v>
      </c>
      <c r="F775" s="7">
        <v>45353</v>
      </c>
      <c r="G775" s="1">
        <v>45292</v>
      </c>
      <c r="H775" s="14">
        <v>10210.839999999997</v>
      </c>
      <c r="I775">
        <v>2025046</v>
      </c>
      <c r="J775" t="s">
        <v>88</v>
      </c>
      <c r="K775" t="s">
        <v>96</v>
      </c>
      <c r="L775" s="16" t="s">
        <v>10</v>
      </c>
    </row>
    <row r="776" spans="1:12" x14ac:dyDescent="0.35">
      <c r="A776" t="s">
        <v>8</v>
      </c>
      <c r="B776" t="s">
        <v>100</v>
      </c>
      <c r="C776" t="s">
        <v>93</v>
      </c>
      <c r="D776" t="s">
        <v>10</v>
      </c>
      <c r="E776" t="s">
        <v>10</v>
      </c>
      <c r="F776" s="7">
        <v>45353</v>
      </c>
      <c r="G776" s="1">
        <v>45292</v>
      </c>
      <c r="H776" s="14">
        <v>3655.9493000000034</v>
      </c>
      <c r="I776">
        <v>1355308</v>
      </c>
      <c r="J776" t="s">
        <v>88</v>
      </c>
      <c r="K776" t="s">
        <v>94</v>
      </c>
      <c r="L776" s="16" t="s">
        <v>10</v>
      </c>
    </row>
    <row r="777" spans="1:12" x14ac:dyDescent="0.35">
      <c r="A777" t="s">
        <v>8</v>
      </c>
      <c r="B777" t="s">
        <v>100</v>
      </c>
      <c r="C777" t="s">
        <v>95</v>
      </c>
      <c r="D777" t="s">
        <v>10</v>
      </c>
      <c r="E777" t="s">
        <v>10</v>
      </c>
      <c r="F777" s="7">
        <v>45353</v>
      </c>
      <c r="G777" s="1">
        <v>45292</v>
      </c>
      <c r="H777" s="14">
        <v>3712.7299999999991</v>
      </c>
      <c r="I777">
        <v>1052250</v>
      </c>
      <c r="J777" t="s">
        <v>88</v>
      </c>
      <c r="K777" t="s">
        <v>96</v>
      </c>
      <c r="L777" s="16" t="s">
        <v>10</v>
      </c>
    </row>
    <row r="778" spans="1:12" x14ac:dyDescent="0.35">
      <c r="A778" t="s">
        <v>8</v>
      </c>
      <c r="B778" t="s">
        <v>21</v>
      </c>
      <c r="C778" t="s">
        <v>95</v>
      </c>
      <c r="D778" t="s">
        <v>10</v>
      </c>
      <c r="E778" t="s">
        <v>10</v>
      </c>
      <c r="F778" s="7">
        <v>45353</v>
      </c>
      <c r="G778" s="1">
        <v>45292</v>
      </c>
      <c r="H778" s="14">
        <v>418.27000000000004</v>
      </c>
      <c r="I778">
        <v>73187</v>
      </c>
      <c r="J778" t="s">
        <v>88</v>
      </c>
      <c r="K778" t="s">
        <v>96</v>
      </c>
      <c r="L778" s="16" t="s">
        <v>10</v>
      </c>
    </row>
    <row r="779" spans="1:12" x14ac:dyDescent="0.35">
      <c r="A779" t="s">
        <v>8</v>
      </c>
      <c r="B779" t="s">
        <v>101</v>
      </c>
      <c r="C779" t="s">
        <v>93</v>
      </c>
      <c r="D779" t="s">
        <v>10</v>
      </c>
      <c r="E779" t="s">
        <v>10</v>
      </c>
      <c r="F779" s="7">
        <v>45353</v>
      </c>
      <c r="G779" s="1">
        <v>45292</v>
      </c>
      <c r="H779" s="14">
        <v>3832.5696000000007</v>
      </c>
      <c r="I779">
        <v>1293320</v>
      </c>
      <c r="J779" t="s">
        <v>88</v>
      </c>
      <c r="K779" t="s">
        <v>94</v>
      </c>
      <c r="L779" s="16" t="s">
        <v>10</v>
      </c>
    </row>
    <row r="780" spans="1:12" x14ac:dyDescent="0.35">
      <c r="A780" t="s">
        <v>8</v>
      </c>
      <c r="B780" t="s">
        <v>101</v>
      </c>
      <c r="C780" t="s">
        <v>95</v>
      </c>
      <c r="D780" t="s">
        <v>10</v>
      </c>
      <c r="E780" t="s">
        <v>10</v>
      </c>
      <c r="F780" s="7">
        <v>45353</v>
      </c>
      <c r="G780" s="1">
        <v>45292</v>
      </c>
      <c r="H780" s="14">
        <v>2913.8199999999983</v>
      </c>
      <c r="I780">
        <v>841990</v>
      </c>
      <c r="J780" t="s">
        <v>88</v>
      </c>
      <c r="K780" t="s">
        <v>96</v>
      </c>
      <c r="L780" s="16" t="s">
        <v>10</v>
      </c>
    </row>
    <row r="781" spans="1:12" x14ac:dyDescent="0.35">
      <c r="A781" t="s">
        <v>8</v>
      </c>
      <c r="B781" t="s">
        <v>16</v>
      </c>
      <c r="C781" t="s">
        <v>93</v>
      </c>
      <c r="D781" t="s">
        <v>10</v>
      </c>
      <c r="E781" t="s">
        <v>10</v>
      </c>
      <c r="F781" s="7">
        <v>45353</v>
      </c>
      <c r="G781" s="1">
        <v>45292</v>
      </c>
      <c r="H781" s="14">
        <v>1976.8982999999998</v>
      </c>
      <c r="I781">
        <v>708695</v>
      </c>
      <c r="J781" t="s">
        <v>88</v>
      </c>
      <c r="K781" t="s">
        <v>94</v>
      </c>
      <c r="L781" s="16" t="s">
        <v>10</v>
      </c>
    </row>
    <row r="782" spans="1:12" x14ac:dyDescent="0.35">
      <c r="A782" t="s">
        <v>8</v>
      </c>
      <c r="B782" t="s">
        <v>16</v>
      </c>
      <c r="C782" t="s">
        <v>95</v>
      </c>
      <c r="D782" t="s">
        <v>10</v>
      </c>
      <c r="E782" t="s">
        <v>10</v>
      </c>
      <c r="F782" s="7">
        <v>45353</v>
      </c>
      <c r="G782" s="1">
        <v>45292</v>
      </c>
      <c r="H782" s="14">
        <v>665.07</v>
      </c>
      <c r="I782">
        <v>263103</v>
      </c>
      <c r="J782" t="s">
        <v>88</v>
      </c>
      <c r="K782" t="s">
        <v>96</v>
      </c>
      <c r="L782" s="16" t="s">
        <v>10</v>
      </c>
    </row>
    <row r="783" spans="1:12" x14ac:dyDescent="0.35">
      <c r="A783" t="s">
        <v>8</v>
      </c>
      <c r="B783" t="s">
        <v>102</v>
      </c>
      <c r="C783" t="s">
        <v>95</v>
      </c>
      <c r="D783" t="s">
        <v>10</v>
      </c>
      <c r="E783" t="s">
        <v>10</v>
      </c>
      <c r="F783" s="7">
        <v>45353</v>
      </c>
      <c r="G783" s="1">
        <v>45292</v>
      </c>
      <c r="H783" s="14">
        <v>0.74</v>
      </c>
      <c r="I783">
        <v>970</v>
      </c>
      <c r="J783" t="s">
        <v>88</v>
      </c>
      <c r="K783" t="s">
        <v>96</v>
      </c>
      <c r="L783" s="16" t="s">
        <v>10</v>
      </c>
    </row>
    <row r="784" spans="1:12" x14ac:dyDescent="0.35">
      <c r="A784" t="s">
        <v>8</v>
      </c>
      <c r="B784" t="s">
        <v>103</v>
      </c>
      <c r="C784" t="s">
        <v>95</v>
      </c>
      <c r="D784" t="s">
        <v>104</v>
      </c>
      <c r="E784" t="s">
        <v>8</v>
      </c>
      <c r="F784" s="7">
        <v>45353</v>
      </c>
      <c r="G784" s="1">
        <v>45292</v>
      </c>
      <c r="H784" s="14">
        <v>78.69</v>
      </c>
      <c r="I784">
        <v>398</v>
      </c>
      <c r="J784" t="s">
        <v>88</v>
      </c>
      <c r="K784" t="s">
        <v>105</v>
      </c>
      <c r="L784" s="16" t="s">
        <v>95</v>
      </c>
    </row>
    <row r="785" spans="1:12" x14ac:dyDescent="0.35">
      <c r="A785" t="s">
        <v>8</v>
      </c>
      <c r="B785" t="s">
        <v>16</v>
      </c>
      <c r="C785" t="s">
        <v>95</v>
      </c>
      <c r="D785" t="s">
        <v>104</v>
      </c>
      <c r="E785" t="s">
        <v>8</v>
      </c>
      <c r="F785" s="7">
        <v>45353</v>
      </c>
      <c r="G785" s="1">
        <v>45292</v>
      </c>
      <c r="H785" s="14">
        <v>62.41</v>
      </c>
      <c r="I785">
        <v>258</v>
      </c>
      <c r="J785" t="s">
        <v>88</v>
      </c>
      <c r="K785" t="s">
        <v>105</v>
      </c>
      <c r="L785" s="16" t="s">
        <v>95</v>
      </c>
    </row>
    <row r="786" spans="1:12" x14ac:dyDescent="0.35">
      <c r="A786" t="s">
        <v>8</v>
      </c>
      <c r="B786" t="s">
        <v>84</v>
      </c>
      <c r="C786" t="s">
        <v>95</v>
      </c>
      <c r="D786" t="s">
        <v>104</v>
      </c>
      <c r="E786" t="s">
        <v>8</v>
      </c>
      <c r="F786" s="7">
        <v>45353</v>
      </c>
      <c r="G786" s="1">
        <v>45292</v>
      </c>
      <c r="H786" s="14">
        <v>8644.5400000000009</v>
      </c>
      <c r="I786">
        <v>31488</v>
      </c>
      <c r="J786" t="s">
        <v>88</v>
      </c>
      <c r="K786" t="s">
        <v>105</v>
      </c>
      <c r="L786" s="16" t="s">
        <v>95</v>
      </c>
    </row>
    <row r="787" spans="1:12" x14ac:dyDescent="0.35">
      <c r="A787" t="s">
        <v>8</v>
      </c>
      <c r="B787" t="s">
        <v>17</v>
      </c>
      <c r="C787" t="s">
        <v>95</v>
      </c>
      <c r="D787" t="s">
        <v>104</v>
      </c>
      <c r="E787" t="s">
        <v>8</v>
      </c>
      <c r="F787" s="7">
        <v>45353</v>
      </c>
      <c r="G787" s="1">
        <v>45292</v>
      </c>
      <c r="H787" s="14">
        <v>106.41999999999999</v>
      </c>
      <c r="I787">
        <v>644</v>
      </c>
      <c r="J787" t="s">
        <v>88</v>
      </c>
      <c r="K787" t="s">
        <v>105</v>
      </c>
      <c r="L787" s="16" t="s">
        <v>95</v>
      </c>
    </row>
    <row r="788" spans="1:12" x14ac:dyDescent="0.35">
      <c r="A788" t="s">
        <v>8</v>
      </c>
      <c r="B788" t="s">
        <v>106</v>
      </c>
      <c r="C788" t="s">
        <v>95</v>
      </c>
      <c r="D788" t="s">
        <v>104</v>
      </c>
      <c r="E788" t="s">
        <v>8</v>
      </c>
      <c r="F788" s="7">
        <v>45353</v>
      </c>
      <c r="G788" s="1">
        <v>45292</v>
      </c>
      <c r="H788" s="14">
        <v>13.99</v>
      </c>
      <c r="I788">
        <v>16</v>
      </c>
      <c r="J788" t="s">
        <v>88</v>
      </c>
      <c r="K788" t="s">
        <v>105</v>
      </c>
      <c r="L788" s="16" t="s">
        <v>95</v>
      </c>
    </row>
    <row r="789" spans="1:12" x14ac:dyDescent="0.35">
      <c r="A789" t="s">
        <v>8</v>
      </c>
      <c r="B789" t="s">
        <v>92</v>
      </c>
      <c r="C789" t="s">
        <v>95</v>
      </c>
      <c r="D789" t="s">
        <v>104</v>
      </c>
      <c r="E789" t="s">
        <v>8</v>
      </c>
      <c r="F789" s="7">
        <v>45353</v>
      </c>
      <c r="G789" s="1">
        <v>45292</v>
      </c>
      <c r="H789" s="14">
        <v>260.14999999999998</v>
      </c>
      <c r="I789">
        <v>1553</v>
      </c>
      <c r="J789" t="s">
        <v>88</v>
      </c>
      <c r="K789" t="s">
        <v>105</v>
      </c>
      <c r="L789" s="16" t="s">
        <v>95</v>
      </c>
    </row>
    <row r="790" spans="1:12" x14ac:dyDescent="0.35">
      <c r="A790" t="s">
        <v>8</v>
      </c>
      <c r="B790" t="s">
        <v>21</v>
      </c>
      <c r="C790" t="s">
        <v>95</v>
      </c>
      <c r="D790" t="s">
        <v>104</v>
      </c>
      <c r="E790" t="s">
        <v>8</v>
      </c>
      <c r="F790" s="7">
        <v>45353</v>
      </c>
      <c r="G790" s="1">
        <v>45292</v>
      </c>
      <c r="H790" s="14">
        <v>300.64999999999998</v>
      </c>
      <c r="I790">
        <v>1061</v>
      </c>
      <c r="J790" t="s">
        <v>88</v>
      </c>
      <c r="K790" t="s">
        <v>105</v>
      </c>
      <c r="L790" s="16" t="s">
        <v>95</v>
      </c>
    </row>
    <row r="791" spans="1:12" x14ac:dyDescent="0.35">
      <c r="A791" t="s">
        <v>8</v>
      </c>
      <c r="B791" t="s">
        <v>101</v>
      </c>
      <c r="C791" t="s">
        <v>95</v>
      </c>
      <c r="D791" t="s">
        <v>104</v>
      </c>
      <c r="E791" t="s">
        <v>8</v>
      </c>
      <c r="F791" s="7">
        <v>45353</v>
      </c>
      <c r="G791" s="1">
        <v>45292</v>
      </c>
      <c r="H791" s="14">
        <v>77.220000000000013</v>
      </c>
      <c r="I791">
        <v>368</v>
      </c>
      <c r="J791" t="s">
        <v>88</v>
      </c>
      <c r="K791" t="s">
        <v>105</v>
      </c>
      <c r="L791" s="16" t="s">
        <v>95</v>
      </c>
    </row>
    <row r="792" spans="1:12" x14ac:dyDescent="0.35">
      <c r="A792" t="s">
        <v>8</v>
      </c>
      <c r="B792" t="s">
        <v>99</v>
      </c>
      <c r="C792" t="s">
        <v>95</v>
      </c>
      <c r="D792" t="s">
        <v>104</v>
      </c>
      <c r="E792" t="s">
        <v>8</v>
      </c>
      <c r="F792" s="7">
        <v>45353</v>
      </c>
      <c r="G792" s="1">
        <v>45292</v>
      </c>
      <c r="H792" s="14">
        <v>60.7</v>
      </c>
      <c r="I792">
        <v>345</v>
      </c>
      <c r="J792" t="s">
        <v>88</v>
      </c>
      <c r="K792" t="s">
        <v>105</v>
      </c>
      <c r="L792" s="16" t="s">
        <v>95</v>
      </c>
    </row>
    <row r="793" spans="1:12" x14ac:dyDescent="0.35">
      <c r="A793" t="s">
        <v>8</v>
      </c>
      <c r="B793" t="s">
        <v>100</v>
      </c>
      <c r="C793" t="s">
        <v>95</v>
      </c>
      <c r="D793" t="s">
        <v>104</v>
      </c>
      <c r="E793" t="s">
        <v>8</v>
      </c>
      <c r="F793" s="7">
        <v>45353</v>
      </c>
      <c r="G793" s="1">
        <v>45292</v>
      </c>
      <c r="H793" s="14">
        <v>194.2</v>
      </c>
      <c r="I793">
        <v>1223</v>
      </c>
      <c r="J793" t="s">
        <v>88</v>
      </c>
      <c r="K793" t="s">
        <v>105</v>
      </c>
      <c r="L793" s="16" t="s">
        <v>95</v>
      </c>
    </row>
    <row r="794" spans="1:12" x14ac:dyDescent="0.35">
      <c r="A794" t="s">
        <v>8</v>
      </c>
      <c r="B794" t="s">
        <v>92</v>
      </c>
      <c r="C794" t="s">
        <v>85</v>
      </c>
      <c r="D794" t="s">
        <v>9</v>
      </c>
      <c r="E794" t="s">
        <v>11</v>
      </c>
      <c r="F794" s="7">
        <v>45360</v>
      </c>
      <c r="G794" s="1">
        <v>45292</v>
      </c>
      <c r="H794" s="14">
        <v>6477.3100000000013</v>
      </c>
      <c r="I794">
        <v>767686</v>
      </c>
      <c r="J794" t="s">
        <v>88</v>
      </c>
      <c r="K794" t="s">
        <v>87</v>
      </c>
      <c r="L794" s="16" t="s">
        <v>9</v>
      </c>
    </row>
    <row r="795" spans="1:12" x14ac:dyDescent="0.35">
      <c r="A795" t="s">
        <v>8</v>
      </c>
      <c r="B795" t="s">
        <v>92</v>
      </c>
      <c r="C795" t="s">
        <v>85</v>
      </c>
      <c r="D795" t="s">
        <v>9</v>
      </c>
      <c r="E795" t="s">
        <v>12</v>
      </c>
      <c r="F795" s="7">
        <v>45360</v>
      </c>
      <c r="G795" s="1">
        <v>45292</v>
      </c>
      <c r="H795" s="14">
        <v>20819.060001999998</v>
      </c>
      <c r="I795">
        <v>3340778</v>
      </c>
      <c r="J795" t="s">
        <v>88</v>
      </c>
      <c r="K795" t="s">
        <v>87</v>
      </c>
      <c r="L795" s="16" t="s">
        <v>12</v>
      </c>
    </row>
    <row r="796" spans="1:12" x14ac:dyDescent="0.35">
      <c r="A796" t="s">
        <v>8</v>
      </c>
      <c r="B796" t="s">
        <v>21</v>
      </c>
      <c r="C796" t="s">
        <v>85</v>
      </c>
      <c r="D796" t="s">
        <v>9</v>
      </c>
      <c r="E796" t="s">
        <v>10</v>
      </c>
      <c r="F796" s="7">
        <v>45360</v>
      </c>
      <c r="G796" s="1">
        <v>45292</v>
      </c>
      <c r="H796" s="14">
        <v>18326.030010000002</v>
      </c>
      <c r="I796">
        <v>4259605</v>
      </c>
      <c r="J796" t="s">
        <v>88</v>
      </c>
      <c r="K796" t="s">
        <v>87</v>
      </c>
      <c r="L796" s="16" t="s">
        <v>9</v>
      </c>
    </row>
    <row r="797" spans="1:12" x14ac:dyDescent="0.35">
      <c r="A797" t="s">
        <v>8</v>
      </c>
      <c r="B797" t="s">
        <v>92</v>
      </c>
      <c r="C797" t="s">
        <v>93</v>
      </c>
      <c r="D797" t="s">
        <v>10</v>
      </c>
      <c r="E797" t="s">
        <v>10</v>
      </c>
      <c r="F797" s="7">
        <v>45360</v>
      </c>
      <c r="G797" s="1">
        <v>45292</v>
      </c>
      <c r="H797" s="14">
        <v>5626.3892999999998</v>
      </c>
      <c r="I797">
        <v>1987455</v>
      </c>
      <c r="J797" t="s">
        <v>88</v>
      </c>
      <c r="K797" t="s">
        <v>94</v>
      </c>
      <c r="L797" s="16" t="s">
        <v>10</v>
      </c>
    </row>
    <row r="798" spans="1:12" x14ac:dyDescent="0.35">
      <c r="A798" t="s">
        <v>8</v>
      </c>
      <c r="B798" t="s">
        <v>92</v>
      </c>
      <c r="C798" t="s">
        <v>95</v>
      </c>
      <c r="D798" t="s">
        <v>10</v>
      </c>
      <c r="E798" t="s">
        <v>10</v>
      </c>
      <c r="F798" s="7">
        <v>45360</v>
      </c>
      <c r="G798" s="1">
        <v>45292</v>
      </c>
      <c r="H798" s="14">
        <v>5139.4200000000037</v>
      </c>
      <c r="I798">
        <v>1005392</v>
      </c>
      <c r="J798" t="s">
        <v>88</v>
      </c>
      <c r="K798" t="s">
        <v>96</v>
      </c>
      <c r="L798" s="16" t="s">
        <v>10</v>
      </c>
    </row>
    <row r="799" spans="1:12" x14ac:dyDescent="0.35">
      <c r="A799" t="s">
        <v>8</v>
      </c>
      <c r="B799" t="s">
        <v>84</v>
      </c>
      <c r="C799" t="s">
        <v>93</v>
      </c>
      <c r="D799" t="s">
        <v>10</v>
      </c>
      <c r="E799" t="s">
        <v>10</v>
      </c>
      <c r="F799" s="7">
        <v>45360</v>
      </c>
      <c r="G799" s="1">
        <v>45292</v>
      </c>
      <c r="H799" s="14">
        <v>5770.9738000000016</v>
      </c>
      <c r="I799">
        <v>1132488</v>
      </c>
      <c r="J799" t="s">
        <v>88</v>
      </c>
      <c r="K799" t="s">
        <v>94</v>
      </c>
      <c r="L799" s="16" t="s">
        <v>10</v>
      </c>
    </row>
    <row r="800" spans="1:12" x14ac:dyDescent="0.35">
      <c r="A800" t="s">
        <v>8</v>
      </c>
      <c r="B800" t="s">
        <v>84</v>
      </c>
      <c r="C800" t="s">
        <v>95</v>
      </c>
      <c r="D800" t="s">
        <v>10</v>
      </c>
      <c r="E800" t="s">
        <v>10</v>
      </c>
      <c r="F800" s="7">
        <v>45360</v>
      </c>
      <c r="G800" s="1">
        <v>45292</v>
      </c>
      <c r="H800" s="14">
        <v>5769.7199999999975</v>
      </c>
      <c r="I800">
        <v>1177415</v>
      </c>
      <c r="J800" t="s">
        <v>88</v>
      </c>
      <c r="K800" t="s">
        <v>96</v>
      </c>
      <c r="L800" s="16" t="s">
        <v>10</v>
      </c>
    </row>
    <row r="801" spans="1:12" x14ac:dyDescent="0.35">
      <c r="A801" t="s">
        <v>8</v>
      </c>
      <c r="B801" t="s">
        <v>17</v>
      </c>
      <c r="C801" t="s">
        <v>93</v>
      </c>
      <c r="D801" t="s">
        <v>10</v>
      </c>
      <c r="E801" t="s">
        <v>10</v>
      </c>
      <c r="F801" s="7">
        <v>45360</v>
      </c>
      <c r="G801" s="1">
        <v>45292</v>
      </c>
      <c r="H801" s="14">
        <v>5334.588600000001</v>
      </c>
      <c r="I801">
        <v>960617</v>
      </c>
      <c r="J801" t="s">
        <v>88</v>
      </c>
      <c r="K801" t="s">
        <v>94</v>
      </c>
      <c r="L801" s="16" t="s">
        <v>10</v>
      </c>
    </row>
    <row r="802" spans="1:12" x14ac:dyDescent="0.35">
      <c r="A802" t="s">
        <v>8</v>
      </c>
      <c r="B802" t="s">
        <v>17</v>
      </c>
      <c r="C802" t="s">
        <v>95</v>
      </c>
      <c r="D802" t="s">
        <v>10</v>
      </c>
      <c r="E802" t="s">
        <v>10</v>
      </c>
      <c r="F802" s="7">
        <v>45360</v>
      </c>
      <c r="G802" s="1">
        <v>45292</v>
      </c>
      <c r="H802" s="14">
        <v>6616.9599999999982</v>
      </c>
      <c r="I802">
        <v>1216949</v>
      </c>
      <c r="J802" t="s">
        <v>88</v>
      </c>
      <c r="K802" t="s">
        <v>96</v>
      </c>
      <c r="L802" s="16" t="s">
        <v>10</v>
      </c>
    </row>
    <row r="803" spans="1:12" x14ac:dyDescent="0.35">
      <c r="A803" t="s">
        <v>8</v>
      </c>
      <c r="B803" t="s">
        <v>99</v>
      </c>
      <c r="C803" t="s">
        <v>93</v>
      </c>
      <c r="D803" t="s">
        <v>10</v>
      </c>
      <c r="E803" t="s">
        <v>10</v>
      </c>
      <c r="F803" s="7">
        <v>45360</v>
      </c>
      <c r="G803" s="1">
        <v>45292</v>
      </c>
      <c r="H803" s="14">
        <v>5621.4567999999972</v>
      </c>
      <c r="I803">
        <v>1529708</v>
      </c>
      <c r="J803" t="s">
        <v>88</v>
      </c>
      <c r="K803" t="s">
        <v>94</v>
      </c>
      <c r="L803" s="16" t="s">
        <v>10</v>
      </c>
    </row>
    <row r="804" spans="1:12" x14ac:dyDescent="0.35">
      <c r="A804" t="s">
        <v>8</v>
      </c>
      <c r="B804" t="s">
        <v>99</v>
      </c>
      <c r="C804" t="s">
        <v>95</v>
      </c>
      <c r="D804" t="s">
        <v>10</v>
      </c>
      <c r="E804" t="s">
        <v>10</v>
      </c>
      <c r="F804" s="7">
        <v>45360</v>
      </c>
      <c r="G804" s="1">
        <v>45292</v>
      </c>
      <c r="H804" s="14">
        <v>8081.3200000000006</v>
      </c>
      <c r="I804">
        <v>1850263</v>
      </c>
      <c r="J804" t="s">
        <v>88</v>
      </c>
      <c r="K804" t="s">
        <v>96</v>
      </c>
      <c r="L804" s="16" t="s">
        <v>10</v>
      </c>
    </row>
    <row r="805" spans="1:12" x14ac:dyDescent="0.35">
      <c r="A805" t="s">
        <v>8</v>
      </c>
      <c r="B805" t="s">
        <v>100</v>
      </c>
      <c r="C805" t="s">
        <v>93</v>
      </c>
      <c r="D805" t="s">
        <v>10</v>
      </c>
      <c r="E805" t="s">
        <v>10</v>
      </c>
      <c r="F805" s="7">
        <v>45360</v>
      </c>
      <c r="G805" s="1">
        <v>45292</v>
      </c>
      <c r="H805" s="14">
        <v>5333.349299999998</v>
      </c>
      <c r="I805">
        <v>1991177</v>
      </c>
      <c r="J805" t="s">
        <v>88</v>
      </c>
      <c r="K805" t="s">
        <v>94</v>
      </c>
      <c r="L805" s="16" t="s">
        <v>10</v>
      </c>
    </row>
    <row r="806" spans="1:12" x14ac:dyDescent="0.35">
      <c r="A806" t="s">
        <v>8</v>
      </c>
      <c r="B806" t="s">
        <v>100</v>
      </c>
      <c r="C806" t="s">
        <v>95</v>
      </c>
      <c r="D806" t="s">
        <v>10</v>
      </c>
      <c r="E806" t="s">
        <v>10</v>
      </c>
      <c r="F806" s="7">
        <v>45360</v>
      </c>
      <c r="G806" s="1">
        <v>45292</v>
      </c>
      <c r="H806" s="14">
        <v>3538.48</v>
      </c>
      <c r="I806">
        <v>1214141</v>
      </c>
      <c r="J806" t="s">
        <v>88</v>
      </c>
      <c r="K806" t="s">
        <v>96</v>
      </c>
      <c r="L806" s="16" t="s">
        <v>10</v>
      </c>
    </row>
    <row r="807" spans="1:12" x14ac:dyDescent="0.35">
      <c r="A807" t="s">
        <v>8</v>
      </c>
      <c r="B807" t="s">
        <v>21</v>
      </c>
      <c r="C807" t="s">
        <v>95</v>
      </c>
      <c r="D807" t="s">
        <v>10</v>
      </c>
      <c r="E807" t="s">
        <v>10</v>
      </c>
      <c r="F807" s="7">
        <v>45360</v>
      </c>
      <c r="G807" s="1">
        <v>45292</v>
      </c>
      <c r="H807" s="14">
        <v>2997.8999999999992</v>
      </c>
      <c r="I807">
        <v>499971</v>
      </c>
      <c r="J807" t="s">
        <v>88</v>
      </c>
      <c r="K807" t="s">
        <v>96</v>
      </c>
      <c r="L807" s="16" t="s">
        <v>10</v>
      </c>
    </row>
    <row r="808" spans="1:12" x14ac:dyDescent="0.35">
      <c r="A808" t="s">
        <v>8</v>
      </c>
      <c r="B808" t="s">
        <v>101</v>
      </c>
      <c r="C808" t="s">
        <v>93</v>
      </c>
      <c r="D808" t="s">
        <v>10</v>
      </c>
      <c r="E808" t="s">
        <v>10</v>
      </c>
      <c r="F808" s="7">
        <v>45360</v>
      </c>
      <c r="G808" s="1">
        <v>45292</v>
      </c>
      <c r="H808" s="14">
        <v>4281.5677999999989</v>
      </c>
      <c r="I808">
        <v>1313468</v>
      </c>
      <c r="J808" t="s">
        <v>88</v>
      </c>
      <c r="K808" t="s">
        <v>94</v>
      </c>
      <c r="L808" s="16" t="s">
        <v>10</v>
      </c>
    </row>
    <row r="809" spans="1:12" x14ac:dyDescent="0.35">
      <c r="A809" t="s">
        <v>8</v>
      </c>
      <c r="B809" t="s">
        <v>101</v>
      </c>
      <c r="C809" t="s">
        <v>95</v>
      </c>
      <c r="D809" t="s">
        <v>10</v>
      </c>
      <c r="E809" t="s">
        <v>10</v>
      </c>
      <c r="F809" s="7">
        <v>45360</v>
      </c>
      <c r="G809" s="1">
        <v>45292</v>
      </c>
      <c r="H809" s="14">
        <v>2831.1999999999989</v>
      </c>
      <c r="I809">
        <v>694958</v>
      </c>
      <c r="J809" t="s">
        <v>88</v>
      </c>
      <c r="K809" t="s">
        <v>96</v>
      </c>
      <c r="L809" s="16" t="s">
        <v>10</v>
      </c>
    </row>
    <row r="810" spans="1:12" x14ac:dyDescent="0.35">
      <c r="A810" t="s">
        <v>8</v>
      </c>
      <c r="B810" t="s">
        <v>16</v>
      </c>
      <c r="C810" t="s">
        <v>93</v>
      </c>
      <c r="D810" t="s">
        <v>10</v>
      </c>
      <c r="E810" t="s">
        <v>10</v>
      </c>
      <c r="F810" s="7">
        <v>45360</v>
      </c>
      <c r="G810" s="1">
        <v>45292</v>
      </c>
      <c r="H810" s="14">
        <v>2282.0040000000004</v>
      </c>
      <c r="I810">
        <v>1006170</v>
      </c>
      <c r="J810" t="s">
        <v>88</v>
      </c>
      <c r="K810" t="s">
        <v>94</v>
      </c>
      <c r="L810" s="16" t="s">
        <v>10</v>
      </c>
    </row>
    <row r="811" spans="1:12" x14ac:dyDescent="0.35">
      <c r="A811" t="s">
        <v>8</v>
      </c>
      <c r="B811" t="s">
        <v>16</v>
      </c>
      <c r="C811" t="s">
        <v>95</v>
      </c>
      <c r="D811" t="s">
        <v>10</v>
      </c>
      <c r="E811" t="s">
        <v>10</v>
      </c>
      <c r="F811" s="7">
        <v>45360</v>
      </c>
      <c r="G811" s="1">
        <v>45292</v>
      </c>
      <c r="H811" s="14">
        <v>801.31999999999982</v>
      </c>
      <c r="I811">
        <v>284700</v>
      </c>
      <c r="J811" t="s">
        <v>88</v>
      </c>
      <c r="K811" t="s">
        <v>96</v>
      </c>
      <c r="L811" s="16" t="s">
        <v>10</v>
      </c>
    </row>
    <row r="812" spans="1:12" x14ac:dyDescent="0.35">
      <c r="A812" t="s">
        <v>8</v>
      </c>
      <c r="B812" t="s">
        <v>102</v>
      </c>
      <c r="C812" t="s">
        <v>95</v>
      </c>
      <c r="D812" t="s">
        <v>10</v>
      </c>
      <c r="E812" t="s">
        <v>10</v>
      </c>
      <c r="F812" s="7">
        <v>45360</v>
      </c>
      <c r="G812" s="1">
        <v>45292</v>
      </c>
      <c r="H812" s="14">
        <v>1.1099999999999999</v>
      </c>
      <c r="I812">
        <v>2695</v>
      </c>
      <c r="J812" t="s">
        <v>88</v>
      </c>
      <c r="K812" t="s">
        <v>96</v>
      </c>
      <c r="L812" s="16" t="s">
        <v>10</v>
      </c>
    </row>
    <row r="813" spans="1:12" x14ac:dyDescent="0.35">
      <c r="A813" t="s">
        <v>8</v>
      </c>
      <c r="B813" t="s">
        <v>103</v>
      </c>
      <c r="C813" t="s">
        <v>95</v>
      </c>
      <c r="D813" t="s">
        <v>104</v>
      </c>
      <c r="E813" t="s">
        <v>8</v>
      </c>
      <c r="F813" s="7">
        <v>45360</v>
      </c>
      <c r="G813" s="1">
        <v>45292</v>
      </c>
      <c r="H813" s="14">
        <v>93.210000000000008</v>
      </c>
      <c r="I813">
        <v>419</v>
      </c>
      <c r="J813" t="s">
        <v>88</v>
      </c>
      <c r="K813" t="s">
        <v>105</v>
      </c>
      <c r="L813" s="16" t="s">
        <v>95</v>
      </c>
    </row>
    <row r="814" spans="1:12" x14ac:dyDescent="0.35">
      <c r="A814" t="s">
        <v>8</v>
      </c>
      <c r="B814" t="s">
        <v>16</v>
      </c>
      <c r="C814" t="s">
        <v>95</v>
      </c>
      <c r="D814" t="s">
        <v>104</v>
      </c>
      <c r="E814" t="s">
        <v>8</v>
      </c>
      <c r="F814" s="7">
        <v>45360</v>
      </c>
      <c r="G814" s="1">
        <v>45292</v>
      </c>
      <c r="H814" s="14">
        <v>51.309999999999995</v>
      </c>
      <c r="I814">
        <v>258</v>
      </c>
      <c r="J814" t="s">
        <v>88</v>
      </c>
      <c r="K814" t="s">
        <v>105</v>
      </c>
      <c r="L814" s="16" t="s">
        <v>95</v>
      </c>
    </row>
    <row r="815" spans="1:12" x14ac:dyDescent="0.35">
      <c r="A815" t="s">
        <v>8</v>
      </c>
      <c r="B815" t="s">
        <v>84</v>
      </c>
      <c r="C815" t="s">
        <v>95</v>
      </c>
      <c r="D815" t="s">
        <v>104</v>
      </c>
      <c r="E815" t="s">
        <v>8</v>
      </c>
      <c r="F815" s="7">
        <v>45360</v>
      </c>
      <c r="G815" s="1">
        <v>45292</v>
      </c>
      <c r="H815" s="14">
        <v>10337.749999999996</v>
      </c>
      <c r="I815">
        <v>34045</v>
      </c>
      <c r="J815" t="s">
        <v>88</v>
      </c>
      <c r="K815" t="s">
        <v>105</v>
      </c>
      <c r="L815" s="16" t="s">
        <v>95</v>
      </c>
    </row>
    <row r="816" spans="1:12" x14ac:dyDescent="0.35">
      <c r="A816" t="s">
        <v>8</v>
      </c>
      <c r="B816" t="s">
        <v>17</v>
      </c>
      <c r="C816" t="s">
        <v>95</v>
      </c>
      <c r="D816" t="s">
        <v>104</v>
      </c>
      <c r="E816" t="s">
        <v>8</v>
      </c>
      <c r="F816" s="7">
        <v>45360</v>
      </c>
      <c r="G816" s="1">
        <v>45292</v>
      </c>
      <c r="H816" s="14">
        <v>88.039999999999992</v>
      </c>
      <c r="I816">
        <v>673</v>
      </c>
      <c r="J816" t="s">
        <v>88</v>
      </c>
      <c r="K816" t="s">
        <v>105</v>
      </c>
      <c r="L816" s="16" t="s">
        <v>95</v>
      </c>
    </row>
    <row r="817" spans="1:12" x14ac:dyDescent="0.35">
      <c r="A817" t="s">
        <v>8</v>
      </c>
      <c r="B817" t="s">
        <v>106</v>
      </c>
      <c r="C817" t="s">
        <v>95</v>
      </c>
      <c r="D817" t="s">
        <v>104</v>
      </c>
      <c r="E817" t="s">
        <v>8</v>
      </c>
      <c r="F817" s="7">
        <v>45360</v>
      </c>
      <c r="G817" s="1">
        <v>45292</v>
      </c>
      <c r="H817" s="14">
        <v>3.26</v>
      </c>
      <c r="I817">
        <v>11</v>
      </c>
      <c r="J817" t="s">
        <v>88</v>
      </c>
      <c r="K817" t="s">
        <v>105</v>
      </c>
      <c r="L817" s="16" t="s">
        <v>95</v>
      </c>
    </row>
    <row r="818" spans="1:12" x14ac:dyDescent="0.35">
      <c r="A818" t="s">
        <v>8</v>
      </c>
      <c r="B818" t="s">
        <v>92</v>
      </c>
      <c r="C818" t="s">
        <v>95</v>
      </c>
      <c r="D818" t="s">
        <v>104</v>
      </c>
      <c r="E818" t="s">
        <v>8</v>
      </c>
      <c r="F818" s="7">
        <v>45360</v>
      </c>
      <c r="G818" s="1">
        <v>45292</v>
      </c>
      <c r="H818" s="14">
        <v>270.65999999999997</v>
      </c>
      <c r="I818">
        <v>1732</v>
      </c>
      <c r="J818" t="s">
        <v>88</v>
      </c>
      <c r="K818" t="s">
        <v>105</v>
      </c>
      <c r="L818" s="16" t="s">
        <v>95</v>
      </c>
    </row>
    <row r="819" spans="1:12" x14ac:dyDescent="0.35">
      <c r="A819" t="s">
        <v>8</v>
      </c>
      <c r="B819" t="s">
        <v>21</v>
      </c>
      <c r="C819" t="s">
        <v>95</v>
      </c>
      <c r="D819" t="s">
        <v>104</v>
      </c>
      <c r="E819" t="s">
        <v>8</v>
      </c>
      <c r="F819" s="7">
        <v>45360</v>
      </c>
      <c r="G819" s="1">
        <v>45292</v>
      </c>
      <c r="H819" s="14">
        <v>459.98</v>
      </c>
      <c r="I819">
        <v>1785</v>
      </c>
      <c r="J819" t="s">
        <v>88</v>
      </c>
      <c r="K819" t="s">
        <v>105</v>
      </c>
      <c r="L819" s="16" t="s">
        <v>95</v>
      </c>
    </row>
    <row r="820" spans="1:12" x14ac:dyDescent="0.35">
      <c r="A820" t="s">
        <v>8</v>
      </c>
      <c r="B820" t="s">
        <v>101</v>
      </c>
      <c r="C820" t="s">
        <v>95</v>
      </c>
      <c r="D820" t="s">
        <v>104</v>
      </c>
      <c r="E820" t="s">
        <v>8</v>
      </c>
      <c r="F820" s="7">
        <v>45360</v>
      </c>
      <c r="G820" s="1">
        <v>45292</v>
      </c>
      <c r="H820" s="14">
        <v>99.009999999999991</v>
      </c>
      <c r="I820">
        <v>473</v>
      </c>
      <c r="J820" t="s">
        <v>88</v>
      </c>
      <c r="K820" t="s">
        <v>105</v>
      </c>
      <c r="L820" s="16" t="s">
        <v>95</v>
      </c>
    </row>
    <row r="821" spans="1:12" x14ac:dyDescent="0.35">
      <c r="A821" t="s">
        <v>8</v>
      </c>
      <c r="B821" t="s">
        <v>99</v>
      </c>
      <c r="C821" t="s">
        <v>95</v>
      </c>
      <c r="D821" t="s">
        <v>104</v>
      </c>
      <c r="E821" t="s">
        <v>8</v>
      </c>
      <c r="F821" s="7">
        <v>45360</v>
      </c>
      <c r="G821" s="1">
        <v>45292</v>
      </c>
      <c r="H821" s="14">
        <v>161.91000000000003</v>
      </c>
      <c r="I821">
        <v>859</v>
      </c>
      <c r="J821" t="s">
        <v>88</v>
      </c>
      <c r="K821" t="s">
        <v>105</v>
      </c>
      <c r="L821" s="16" t="s">
        <v>95</v>
      </c>
    </row>
    <row r="822" spans="1:12" x14ac:dyDescent="0.35">
      <c r="A822" t="s">
        <v>8</v>
      </c>
      <c r="B822" t="s">
        <v>100</v>
      </c>
      <c r="C822" t="s">
        <v>95</v>
      </c>
      <c r="D822" t="s">
        <v>104</v>
      </c>
      <c r="E822" t="s">
        <v>8</v>
      </c>
      <c r="F822" s="7">
        <v>45360</v>
      </c>
      <c r="G822" s="1">
        <v>45292</v>
      </c>
      <c r="H822" s="14">
        <v>183.29999999999998</v>
      </c>
      <c r="I822">
        <v>946</v>
      </c>
      <c r="J822" t="s">
        <v>88</v>
      </c>
      <c r="K822" t="s">
        <v>105</v>
      </c>
      <c r="L822" s="16" t="s">
        <v>95</v>
      </c>
    </row>
    <row r="823" spans="1:12" x14ac:dyDescent="0.35">
      <c r="A823" t="s">
        <v>8</v>
      </c>
      <c r="B823" t="s">
        <v>21</v>
      </c>
      <c r="C823" t="s">
        <v>85</v>
      </c>
      <c r="D823" t="s">
        <v>9</v>
      </c>
      <c r="E823" t="s">
        <v>10</v>
      </c>
      <c r="F823" s="7">
        <v>45367</v>
      </c>
      <c r="G823" s="1">
        <v>45292</v>
      </c>
      <c r="H823" s="14">
        <v>32462.050018000002</v>
      </c>
      <c r="I823">
        <v>6448941</v>
      </c>
      <c r="J823" t="s">
        <v>88</v>
      </c>
      <c r="K823" t="s">
        <v>87</v>
      </c>
      <c r="L823" s="16" t="s">
        <v>9</v>
      </c>
    </row>
    <row r="824" spans="1:12" x14ac:dyDescent="0.35">
      <c r="A824" t="s">
        <v>8</v>
      </c>
      <c r="B824" t="s">
        <v>92</v>
      </c>
      <c r="C824" t="s">
        <v>93</v>
      </c>
      <c r="D824" t="s">
        <v>10</v>
      </c>
      <c r="E824" t="s">
        <v>10</v>
      </c>
      <c r="F824" s="7">
        <v>45367</v>
      </c>
      <c r="G824" s="1">
        <v>45292</v>
      </c>
      <c r="H824" s="14">
        <v>5686.5447999999978</v>
      </c>
      <c r="I824">
        <v>1361596</v>
      </c>
      <c r="J824" t="s">
        <v>88</v>
      </c>
      <c r="K824" t="s">
        <v>94</v>
      </c>
      <c r="L824" s="16" t="s">
        <v>10</v>
      </c>
    </row>
    <row r="825" spans="1:12" x14ac:dyDescent="0.35">
      <c r="A825" t="s">
        <v>8</v>
      </c>
      <c r="B825" t="s">
        <v>92</v>
      </c>
      <c r="C825" t="s">
        <v>95</v>
      </c>
      <c r="D825" t="s">
        <v>10</v>
      </c>
      <c r="E825" t="s">
        <v>10</v>
      </c>
      <c r="F825" s="7">
        <v>45367</v>
      </c>
      <c r="G825" s="1">
        <v>45292</v>
      </c>
      <c r="H825" s="14">
        <v>4907.5799999999963</v>
      </c>
      <c r="I825">
        <v>997263</v>
      </c>
      <c r="J825" t="s">
        <v>88</v>
      </c>
      <c r="K825" t="s">
        <v>96</v>
      </c>
      <c r="L825" s="16" t="s">
        <v>10</v>
      </c>
    </row>
    <row r="826" spans="1:12" x14ac:dyDescent="0.35">
      <c r="A826" t="s">
        <v>8</v>
      </c>
      <c r="B826" t="s">
        <v>84</v>
      </c>
      <c r="C826" t="s">
        <v>93</v>
      </c>
      <c r="D826" t="s">
        <v>10</v>
      </c>
      <c r="E826" t="s">
        <v>10</v>
      </c>
      <c r="F826" s="7">
        <v>45367</v>
      </c>
      <c r="G826" s="1">
        <v>45292</v>
      </c>
      <c r="H826" s="14">
        <v>5836.5745999999972</v>
      </c>
      <c r="I826">
        <v>880581</v>
      </c>
      <c r="J826" t="s">
        <v>88</v>
      </c>
      <c r="K826" t="s">
        <v>94</v>
      </c>
      <c r="L826" s="16" t="s">
        <v>10</v>
      </c>
    </row>
    <row r="827" spans="1:12" x14ac:dyDescent="0.35">
      <c r="A827" t="s">
        <v>8</v>
      </c>
      <c r="B827" t="s">
        <v>84</v>
      </c>
      <c r="C827" t="s">
        <v>95</v>
      </c>
      <c r="D827" t="s">
        <v>10</v>
      </c>
      <c r="E827" t="s">
        <v>10</v>
      </c>
      <c r="F827" s="7">
        <v>45367</v>
      </c>
      <c r="G827" s="1">
        <v>45292</v>
      </c>
      <c r="H827" s="14">
        <v>4432.1699999999983</v>
      </c>
      <c r="I827">
        <v>1043795</v>
      </c>
      <c r="J827" t="s">
        <v>88</v>
      </c>
      <c r="K827" t="s">
        <v>96</v>
      </c>
      <c r="L827" s="16" t="s">
        <v>10</v>
      </c>
    </row>
    <row r="828" spans="1:12" x14ac:dyDescent="0.35">
      <c r="A828" t="s">
        <v>8</v>
      </c>
      <c r="B828" t="s">
        <v>17</v>
      </c>
      <c r="C828" t="s">
        <v>93</v>
      </c>
      <c r="D828" t="s">
        <v>10</v>
      </c>
      <c r="E828" t="s">
        <v>10</v>
      </c>
      <c r="F828" s="7">
        <v>45367</v>
      </c>
      <c r="G828" s="1">
        <v>45292</v>
      </c>
      <c r="H828" s="14">
        <v>5314.477100000001</v>
      </c>
      <c r="I828">
        <v>771512</v>
      </c>
      <c r="J828" t="s">
        <v>88</v>
      </c>
      <c r="K828" t="s">
        <v>94</v>
      </c>
      <c r="L828" s="16" t="s">
        <v>10</v>
      </c>
    </row>
    <row r="829" spans="1:12" x14ac:dyDescent="0.35">
      <c r="A829" t="s">
        <v>8</v>
      </c>
      <c r="B829" t="s">
        <v>17</v>
      </c>
      <c r="C829" t="s">
        <v>95</v>
      </c>
      <c r="D829" t="s">
        <v>10</v>
      </c>
      <c r="E829" t="s">
        <v>10</v>
      </c>
      <c r="F829" s="7">
        <v>45367</v>
      </c>
      <c r="G829" s="1">
        <v>45292</v>
      </c>
      <c r="H829" s="14">
        <v>7251.72</v>
      </c>
      <c r="I829">
        <v>1381239</v>
      </c>
      <c r="J829" t="s">
        <v>88</v>
      </c>
      <c r="K829" t="s">
        <v>96</v>
      </c>
      <c r="L829" s="16" t="s">
        <v>10</v>
      </c>
    </row>
    <row r="830" spans="1:12" x14ac:dyDescent="0.35">
      <c r="A830" t="s">
        <v>8</v>
      </c>
      <c r="B830" t="s">
        <v>99</v>
      </c>
      <c r="C830" t="s">
        <v>93</v>
      </c>
      <c r="D830" t="s">
        <v>10</v>
      </c>
      <c r="E830" t="s">
        <v>10</v>
      </c>
      <c r="F830" s="7">
        <v>45367</v>
      </c>
      <c r="G830" s="1">
        <v>45292</v>
      </c>
      <c r="H830" s="14">
        <v>5609.5313999999971</v>
      </c>
      <c r="I830">
        <v>1588380</v>
      </c>
      <c r="J830" t="s">
        <v>88</v>
      </c>
      <c r="K830" t="s">
        <v>94</v>
      </c>
      <c r="L830" s="16" t="s">
        <v>10</v>
      </c>
    </row>
    <row r="831" spans="1:12" x14ac:dyDescent="0.35">
      <c r="A831" t="s">
        <v>8</v>
      </c>
      <c r="B831" t="s">
        <v>99</v>
      </c>
      <c r="C831" t="s">
        <v>95</v>
      </c>
      <c r="D831" t="s">
        <v>10</v>
      </c>
      <c r="E831" t="s">
        <v>10</v>
      </c>
      <c r="F831" s="7">
        <v>45367</v>
      </c>
      <c r="G831" s="1">
        <v>45292</v>
      </c>
      <c r="H831" s="14">
        <v>4763.0299999999979</v>
      </c>
      <c r="I831">
        <v>1189621</v>
      </c>
      <c r="J831" t="s">
        <v>88</v>
      </c>
      <c r="K831" t="s">
        <v>96</v>
      </c>
      <c r="L831" s="16" t="s">
        <v>10</v>
      </c>
    </row>
    <row r="832" spans="1:12" x14ac:dyDescent="0.35">
      <c r="A832" t="s">
        <v>8</v>
      </c>
      <c r="B832" t="s">
        <v>100</v>
      </c>
      <c r="C832" t="s">
        <v>93</v>
      </c>
      <c r="D832" t="s">
        <v>10</v>
      </c>
      <c r="E832" t="s">
        <v>10</v>
      </c>
      <c r="F832" s="7">
        <v>45367</v>
      </c>
      <c r="G832" s="1">
        <v>45292</v>
      </c>
      <c r="H832" s="14">
        <v>5476.7584999999954</v>
      </c>
      <c r="I832">
        <v>1809762</v>
      </c>
      <c r="J832" t="s">
        <v>88</v>
      </c>
      <c r="K832" t="s">
        <v>94</v>
      </c>
      <c r="L832" s="16" t="s">
        <v>10</v>
      </c>
    </row>
    <row r="833" spans="1:12" x14ac:dyDescent="0.35">
      <c r="A833" t="s">
        <v>8</v>
      </c>
      <c r="B833" t="s">
        <v>100</v>
      </c>
      <c r="C833" t="s">
        <v>95</v>
      </c>
      <c r="D833" t="s">
        <v>10</v>
      </c>
      <c r="E833" t="s">
        <v>10</v>
      </c>
      <c r="F833" s="7">
        <v>45367</v>
      </c>
      <c r="G833" s="1">
        <v>45292</v>
      </c>
      <c r="H833" s="14">
        <v>3903.3199999999993</v>
      </c>
      <c r="I833">
        <v>1580471</v>
      </c>
      <c r="J833" t="s">
        <v>88</v>
      </c>
      <c r="K833" t="s">
        <v>96</v>
      </c>
      <c r="L833" s="16" t="s">
        <v>10</v>
      </c>
    </row>
    <row r="834" spans="1:12" x14ac:dyDescent="0.35">
      <c r="A834" t="s">
        <v>8</v>
      </c>
      <c r="B834" t="s">
        <v>21</v>
      </c>
      <c r="C834" t="s">
        <v>95</v>
      </c>
      <c r="D834" t="s">
        <v>10</v>
      </c>
      <c r="E834" t="s">
        <v>10</v>
      </c>
      <c r="F834" s="7">
        <v>45367</v>
      </c>
      <c r="G834" s="1">
        <v>45292</v>
      </c>
      <c r="H834" s="14">
        <v>3792.0300000000007</v>
      </c>
      <c r="I834">
        <v>606598</v>
      </c>
      <c r="J834" t="s">
        <v>88</v>
      </c>
      <c r="K834" t="s">
        <v>96</v>
      </c>
      <c r="L834" s="16" t="s">
        <v>10</v>
      </c>
    </row>
    <row r="835" spans="1:12" x14ac:dyDescent="0.35">
      <c r="A835" t="s">
        <v>8</v>
      </c>
      <c r="B835" t="s">
        <v>101</v>
      </c>
      <c r="C835" t="s">
        <v>93</v>
      </c>
      <c r="D835" t="s">
        <v>10</v>
      </c>
      <c r="E835" t="s">
        <v>10</v>
      </c>
      <c r="F835" s="7">
        <v>45367</v>
      </c>
      <c r="G835" s="1">
        <v>45292</v>
      </c>
      <c r="H835" s="14">
        <v>4409.5598000000009</v>
      </c>
      <c r="I835">
        <v>1013031</v>
      </c>
      <c r="J835" t="s">
        <v>88</v>
      </c>
      <c r="K835" t="s">
        <v>94</v>
      </c>
      <c r="L835" s="16" t="s">
        <v>10</v>
      </c>
    </row>
    <row r="836" spans="1:12" x14ac:dyDescent="0.35">
      <c r="A836" t="s">
        <v>8</v>
      </c>
      <c r="B836" t="s">
        <v>101</v>
      </c>
      <c r="C836" t="s">
        <v>95</v>
      </c>
      <c r="D836" t="s">
        <v>10</v>
      </c>
      <c r="E836" t="s">
        <v>10</v>
      </c>
      <c r="F836" s="7">
        <v>45367</v>
      </c>
      <c r="G836" s="1">
        <v>45292</v>
      </c>
      <c r="H836" s="14">
        <v>2529.3700000000003</v>
      </c>
      <c r="I836">
        <v>729320</v>
      </c>
      <c r="J836" t="s">
        <v>88</v>
      </c>
      <c r="K836" t="s">
        <v>96</v>
      </c>
      <c r="L836" s="16" t="s">
        <v>10</v>
      </c>
    </row>
    <row r="837" spans="1:12" x14ac:dyDescent="0.35">
      <c r="A837" t="s">
        <v>8</v>
      </c>
      <c r="B837" t="s">
        <v>16</v>
      </c>
      <c r="C837" t="s">
        <v>93</v>
      </c>
      <c r="D837" t="s">
        <v>10</v>
      </c>
      <c r="E837" t="s">
        <v>10</v>
      </c>
      <c r="F837" s="7">
        <v>45367</v>
      </c>
      <c r="G837" s="1">
        <v>45292</v>
      </c>
      <c r="H837" s="14">
        <v>2297.9643999999998</v>
      </c>
      <c r="I837">
        <v>819374</v>
      </c>
      <c r="J837" t="s">
        <v>88</v>
      </c>
      <c r="K837" t="s">
        <v>94</v>
      </c>
      <c r="L837" s="16" t="s">
        <v>10</v>
      </c>
    </row>
    <row r="838" spans="1:12" x14ac:dyDescent="0.35">
      <c r="A838" t="s">
        <v>8</v>
      </c>
      <c r="B838" t="s">
        <v>16</v>
      </c>
      <c r="C838" t="s">
        <v>95</v>
      </c>
      <c r="D838" t="s">
        <v>10</v>
      </c>
      <c r="E838" t="s">
        <v>10</v>
      </c>
      <c r="F838" s="7">
        <v>45367</v>
      </c>
      <c r="G838" s="1">
        <v>45292</v>
      </c>
      <c r="H838" s="14">
        <v>787.84000000000015</v>
      </c>
      <c r="I838">
        <v>251088</v>
      </c>
      <c r="J838" t="s">
        <v>88</v>
      </c>
      <c r="K838" t="s">
        <v>96</v>
      </c>
      <c r="L838" s="16" t="s">
        <v>10</v>
      </c>
    </row>
    <row r="839" spans="1:12" x14ac:dyDescent="0.35">
      <c r="A839" t="s">
        <v>8</v>
      </c>
      <c r="B839" t="s">
        <v>102</v>
      </c>
      <c r="C839" t="s">
        <v>95</v>
      </c>
      <c r="D839" t="s">
        <v>10</v>
      </c>
      <c r="E839" t="s">
        <v>10</v>
      </c>
      <c r="F839" s="7">
        <v>45367</v>
      </c>
      <c r="G839" s="1">
        <v>45292</v>
      </c>
      <c r="H839" s="14">
        <v>0.37</v>
      </c>
      <c r="I839">
        <v>646</v>
      </c>
      <c r="J839" t="s">
        <v>88</v>
      </c>
      <c r="K839" t="s">
        <v>96</v>
      </c>
      <c r="L839" s="16" t="s">
        <v>10</v>
      </c>
    </row>
    <row r="840" spans="1:12" x14ac:dyDescent="0.35">
      <c r="A840" t="s">
        <v>8</v>
      </c>
      <c r="B840" t="s">
        <v>103</v>
      </c>
      <c r="C840" t="s">
        <v>95</v>
      </c>
      <c r="D840" t="s">
        <v>104</v>
      </c>
      <c r="E840" t="s">
        <v>8</v>
      </c>
      <c r="F840" s="7">
        <v>45367</v>
      </c>
      <c r="G840" s="1">
        <v>45292</v>
      </c>
      <c r="H840" s="14">
        <v>107.19</v>
      </c>
      <c r="I840">
        <v>409</v>
      </c>
      <c r="J840" t="s">
        <v>88</v>
      </c>
      <c r="K840" t="s">
        <v>105</v>
      </c>
      <c r="L840" s="16" t="s">
        <v>95</v>
      </c>
    </row>
    <row r="841" spans="1:12" x14ac:dyDescent="0.35">
      <c r="A841" t="s">
        <v>8</v>
      </c>
      <c r="B841" t="s">
        <v>16</v>
      </c>
      <c r="C841" t="s">
        <v>95</v>
      </c>
      <c r="D841" t="s">
        <v>104</v>
      </c>
      <c r="E841" t="s">
        <v>8</v>
      </c>
      <c r="F841" s="7">
        <v>45367</v>
      </c>
      <c r="G841" s="1">
        <v>45292</v>
      </c>
      <c r="H841" s="14">
        <v>49.679999999999993</v>
      </c>
      <c r="I841">
        <v>255</v>
      </c>
      <c r="J841" t="s">
        <v>88</v>
      </c>
      <c r="K841" t="s">
        <v>105</v>
      </c>
      <c r="L841" s="16" t="s">
        <v>95</v>
      </c>
    </row>
    <row r="842" spans="1:12" x14ac:dyDescent="0.35">
      <c r="A842" t="s">
        <v>8</v>
      </c>
      <c r="B842" t="s">
        <v>84</v>
      </c>
      <c r="C842" t="s">
        <v>95</v>
      </c>
      <c r="D842" t="s">
        <v>104</v>
      </c>
      <c r="E842" t="s">
        <v>8</v>
      </c>
      <c r="F842" s="7">
        <v>45367</v>
      </c>
      <c r="G842" s="1">
        <v>45292</v>
      </c>
      <c r="H842" s="14">
        <v>9065.41</v>
      </c>
      <c r="I842">
        <v>31472</v>
      </c>
      <c r="J842" t="s">
        <v>88</v>
      </c>
      <c r="K842" t="s">
        <v>105</v>
      </c>
      <c r="L842" s="16" t="s">
        <v>95</v>
      </c>
    </row>
    <row r="843" spans="1:12" x14ac:dyDescent="0.35">
      <c r="A843" t="s">
        <v>8</v>
      </c>
      <c r="B843" t="s">
        <v>17</v>
      </c>
      <c r="C843" t="s">
        <v>95</v>
      </c>
      <c r="D843" t="s">
        <v>104</v>
      </c>
      <c r="E843" t="s">
        <v>8</v>
      </c>
      <c r="F843" s="7">
        <v>45367</v>
      </c>
      <c r="G843" s="1">
        <v>45292</v>
      </c>
      <c r="H843" s="14">
        <v>81.11</v>
      </c>
      <c r="I843">
        <v>664</v>
      </c>
      <c r="J843" t="s">
        <v>88</v>
      </c>
      <c r="K843" t="s">
        <v>105</v>
      </c>
      <c r="L843" s="16" t="s">
        <v>95</v>
      </c>
    </row>
    <row r="844" spans="1:12" x14ac:dyDescent="0.35">
      <c r="A844" t="s">
        <v>8</v>
      </c>
      <c r="B844" t="s">
        <v>106</v>
      </c>
      <c r="C844" t="s">
        <v>95</v>
      </c>
      <c r="D844" t="s">
        <v>104</v>
      </c>
      <c r="E844" t="s">
        <v>8</v>
      </c>
      <c r="F844" s="7">
        <v>45367</v>
      </c>
      <c r="G844" s="1">
        <v>45292</v>
      </c>
      <c r="H844" s="14">
        <v>9.16</v>
      </c>
      <c r="I844">
        <v>49</v>
      </c>
      <c r="J844" t="s">
        <v>88</v>
      </c>
      <c r="K844" t="s">
        <v>105</v>
      </c>
      <c r="L844" s="16" t="s">
        <v>95</v>
      </c>
    </row>
    <row r="845" spans="1:12" x14ac:dyDescent="0.35">
      <c r="A845" t="s">
        <v>8</v>
      </c>
      <c r="B845" t="s">
        <v>92</v>
      </c>
      <c r="C845" t="s">
        <v>95</v>
      </c>
      <c r="D845" t="s">
        <v>104</v>
      </c>
      <c r="E845" t="s">
        <v>8</v>
      </c>
      <c r="F845" s="7">
        <v>45367</v>
      </c>
      <c r="G845" s="1">
        <v>45292</v>
      </c>
      <c r="H845" s="14">
        <v>237.32000000000002</v>
      </c>
      <c r="I845">
        <v>1572</v>
      </c>
      <c r="J845" t="s">
        <v>88</v>
      </c>
      <c r="K845" t="s">
        <v>105</v>
      </c>
      <c r="L845" s="16" t="s">
        <v>95</v>
      </c>
    </row>
    <row r="846" spans="1:12" x14ac:dyDescent="0.35">
      <c r="A846" t="s">
        <v>8</v>
      </c>
      <c r="B846" t="s">
        <v>21</v>
      </c>
      <c r="C846" t="s">
        <v>95</v>
      </c>
      <c r="D846" t="s">
        <v>104</v>
      </c>
      <c r="E846" t="s">
        <v>8</v>
      </c>
      <c r="F846" s="7">
        <v>45367</v>
      </c>
      <c r="G846" s="1">
        <v>45292</v>
      </c>
      <c r="H846" s="14">
        <v>434.56</v>
      </c>
      <c r="I846">
        <v>1963</v>
      </c>
      <c r="J846" t="s">
        <v>88</v>
      </c>
      <c r="K846" t="s">
        <v>105</v>
      </c>
      <c r="L846" s="16" t="s">
        <v>95</v>
      </c>
    </row>
    <row r="847" spans="1:12" x14ac:dyDescent="0.35">
      <c r="A847" t="s">
        <v>8</v>
      </c>
      <c r="B847" t="s">
        <v>101</v>
      </c>
      <c r="C847" t="s">
        <v>95</v>
      </c>
      <c r="D847" t="s">
        <v>104</v>
      </c>
      <c r="E847" t="s">
        <v>8</v>
      </c>
      <c r="F847" s="7">
        <v>45367</v>
      </c>
      <c r="G847" s="1">
        <v>45292</v>
      </c>
      <c r="H847" s="14">
        <v>95.19</v>
      </c>
      <c r="I847">
        <v>465</v>
      </c>
      <c r="J847" t="s">
        <v>88</v>
      </c>
      <c r="K847" t="s">
        <v>105</v>
      </c>
      <c r="L847" s="16" t="s">
        <v>95</v>
      </c>
    </row>
    <row r="848" spans="1:12" x14ac:dyDescent="0.35">
      <c r="A848" t="s">
        <v>8</v>
      </c>
      <c r="B848" t="s">
        <v>99</v>
      </c>
      <c r="C848" t="s">
        <v>95</v>
      </c>
      <c r="D848" t="s">
        <v>104</v>
      </c>
      <c r="E848" t="s">
        <v>8</v>
      </c>
      <c r="F848" s="7">
        <v>45367</v>
      </c>
      <c r="G848" s="1">
        <v>45292</v>
      </c>
      <c r="H848" s="14">
        <v>89.929999999999993</v>
      </c>
      <c r="I848">
        <v>466</v>
      </c>
      <c r="J848" t="s">
        <v>88</v>
      </c>
      <c r="K848" t="s">
        <v>105</v>
      </c>
      <c r="L848" s="16" t="s">
        <v>95</v>
      </c>
    </row>
    <row r="849" spans="1:12" x14ac:dyDescent="0.35">
      <c r="A849" t="s">
        <v>8</v>
      </c>
      <c r="B849" t="s">
        <v>100</v>
      </c>
      <c r="C849" t="s">
        <v>95</v>
      </c>
      <c r="D849" t="s">
        <v>104</v>
      </c>
      <c r="E849" t="s">
        <v>8</v>
      </c>
      <c r="F849" s="7">
        <v>45367</v>
      </c>
      <c r="G849" s="1">
        <v>45292</v>
      </c>
      <c r="H849" s="14">
        <v>176.25</v>
      </c>
      <c r="I849">
        <v>894</v>
      </c>
      <c r="J849" t="s">
        <v>88</v>
      </c>
      <c r="K849" t="s">
        <v>105</v>
      </c>
      <c r="L849" s="16" t="s">
        <v>95</v>
      </c>
    </row>
    <row r="850" spans="1:12" x14ac:dyDescent="0.35">
      <c r="A850" t="s">
        <v>8</v>
      </c>
      <c r="B850" t="s">
        <v>21</v>
      </c>
      <c r="C850" t="s">
        <v>85</v>
      </c>
      <c r="D850" t="s">
        <v>9</v>
      </c>
      <c r="E850" t="s">
        <v>10</v>
      </c>
      <c r="F850" s="7">
        <v>45374</v>
      </c>
      <c r="G850" s="1">
        <v>45292</v>
      </c>
      <c r="H850" s="14">
        <v>34007.000002000001</v>
      </c>
      <c r="I850">
        <v>6926578</v>
      </c>
      <c r="J850" t="s">
        <v>88</v>
      </c>
      <c r="K850" t="s">
        <v>87</v>
      </c>
      <c r="L850" s="16" t="s">
        <v>9</v>
      </c>
    </row>
    <row r="851" spans="1:12" x14ac:dyDescent="0.35">
      <c r="A851" t="s">
        <v>8</v>
      </c>
      <c r="B851" t="s">
        <v>92</v>
      </c>
      <c r="C851" t="s">
        <v>93</v>
      </c>
      <c r="D851" t="s">
        <v>10</v>
      </c>
      <c r="E851" t="s">
        <v>10</v>
      </c>
      <c r="F851" s="7">
        <v>45374</v>
      </c>
      <c r="G851" s="1">
        <v>45292</v>
      </c>
      <c r="H851" s="14">
        <v>5828.9737000000023</v>
      </c>
      <c r="I851">
        <v>1331175</v>
      </c>
      <c r="J851" t="s">
        <v>88</v>
      </c>
      <c r="K851" t="s">
        <v>94</v>
      </c>
      <c r="L851" s="16" t="s">
        <v>10</v>
      </c>
    </row>
    <row r="852" spans="1:12" x14ac:dyDescent="0.35">
      <c r="A852" t="s">
        <v>8</v>
      </c>
      <c r="B852" t="s">
        <v>92</v>
      </c>
      <c r="C852" t="s">
        <v>95</v>
      </c>
      <c r="D852" t="s">
        <v>10</v>
      </c>
      <c r="E852" t="s">
        <v>10</v>
      </c>
      <c r="F852" s="7">
        <v>45374</v>
      </c>
      <c r="G852" s="1">
        <v>45292</v>
      </c>
      <c r="H852" s="14">
        <v>7014.2599999999966</v>
      </c>
      <c r="I852">
        <v>1621512</v>
      </c>
      <c r="J852" t="s">
        <v>88</v>
      </c>
      <c r="K852" t="s">
        <v>96</v>
      </c>
      <c r="L852" s="16" t="s">
        <v>10</v>
      </c>
    </row>
    <row r="853" spans="1:12" x14ac:dyDescent="0.35">
      <c r="A853" t="s">
        <v>8</v>
      </c>
      <c r="B853" t="s">
        <v>84</v>
      </c>
      <c r="C853" t="s">
        <v>93</v>
      </c>
      <c r="D853" t="s">
        <v>10</v>
      </c>
      <c r="E853" t="s">
        <v>10</v>
      </c>
      <c r="F853" s="7">
        <v>45374</v>
      </c>
      <c r="G853" s="1">
        <v>45292</v>
      </c>
      <c r="H853" s="14">
        <v>5634.7644</v>
      </c>
      <c r="I853">
        <v>709220</v>
      </c>
      <c r="J853" t="s">
        <v>88</v>
      </c>
      <c r="K853" t="s">
        <v>94</v>
      </c>
      <c r="L853" s="16" t="s">
        <v>10</v>
      </c>
    </row>
    <row r="854" spans="1:12" x14ac:dyDescent="0.35">
      <c r="A854" t="s">
        <v>8</v>
      </c>
      <c r="B854" t="s">
        <v>84</v>
      </c>
      <c r="C854" t="s">
        <v>95</v>
      </c>
      <c r="D854" t="s">
        <v>10</v>
      </c>
      <c r="E854" t="s">
        <v>10</v>
      </c>
      <c r="F854" s="7">
        <v>45374</v>
      </c>
      <c r="G854" s="1">
        <v>45292</v>
      </c>
      <c r="H854" s="14">
        <v>4541.9400000000032</v>
      </c>
      <c r="I854">
        <v>1160569</v>
      </c>
      <c r="J854" t="s">
        <v>88</v>
      </c>
      <c r="K854" t="s">
        <v>96</v>
      </c>
      <c r="L854" s="16" t="s">
        <v>10</v>
      </c>
    </row>
    <row r="855" spans="1:12" x14ac:dyDescent="0.35">
      <c r="A855" t="s">
        <v>8</v>
      </c>
      <c r="B855" t="s">
        <v>17</v>
      </c>
      <c r="C855" t="s">
        <v>93</v>
      </c>
      <c r="D855" t="s">
        <v>10</v>
      </c>
      <c r="E855" t="s">
        <v>10</v>
      </c>
      <c r="F855" s="7">
        <v>45374</v>
      </c>
      <c r="G855" s="1">
        <v>45292</v>
      </c>
      <c r="H855" s="14">
        <v>5419.9525000000012</v>
      </c>
      <c r="I855">
        <v>829069</v>
      </c>
      <c r="J855" t="s">
        <v>88</v>
      </c>
      <c r="K855" t="s">
        <v>94</v>
      </c>
      <c r="L855" s="16" t="s">
        <v>10</v>
      </c>
    </row>
    <row r="856" spans="1:12" x14ac:dyDescent="0.35">
      <c r="A856" t="s">
        <v>8</v>
      </c>
      <c r="B856" t="s">
        <v>17</v>
      </c>
      <c r="C856" t="s">
        <v>95</v>
      </c>
      <c r="D856" t="s">
        <v>10</v>
      </c>
      <c r="E856" t="s">
        <v>10</v>
      </c>
      <c r="F856" s="7">
        <v>45374</v>
      </c>
      <c r="G856" s="1">
        <v>45292</v>
      </c>
      <c r="H856" s="14">
        <v>7676.3600000000006</v>
      </c>
      <c r="I856">
        <v>1709971</v>
      </c>
      <c r="J856" t="s">
        <v>88</v>
      </c>
      <c r="K856" t="s">
        <v>96</v>
      </c>
      <c r="L856" s="16" t="s">
        <v>10</v>
      </c>
    </row>
    <row r="857" spans="1:12" x14ac:dyDescent="0.35">
      <c r="A857" t="s">
        <v>8</v>
      </c>
      <c r="B857" t="s">
        <v>99</v>
      </c>
      <c r="C857" t="s">
        <v>93</v>
      </c>
      <c r="D857" t="s">
        <v>10</v>
      </c>
      <c r="E857" t="s">
        <v>10</v>
      </c>
      <c r="F857" s="7">
        <v>45374</v>
      </c>
      <c r="G857" s="1">
        <v>45292</v>
      </c>
      <c r="H857" s="14">
        <v>5647.7424999999976</v>
      </c>
      <c r="I857">
        <v>1291095</v>
      </c>
      <c r="J857" t="s">
        <v>88</v>
      </c>
      <c r="K857" t="s">
        <v>94</v>
      </c>
      <c r="L857" s="16" t="s">
        <v>10</v>
      </c>
    </row>
    <row r="858" spans="1:12" x14ac:dyDescent="0.35">
      <c r="A858" t="s">
        <v>8</v>
      </c>
      <c r="B858" t="s">
        <v>99</v>
      </c>
      <c r="C858" t="s">
        <v>95</v>
      </c>
      <c r="D858" t="s">
        <v>10</v>
      </c>
      <c r="E858" t="s">
        <v>10</v>
      </c>
      <c r="F858" s="7">
        <v>45374</v>
      </c>
      <c r="G858" s="1">
        <v>45292</v>
      </c>
      <c r="H858" s="14">
        <v>5309.619999999999</v>
      </c>
      <c r="I858">
        <v>1388342</v>
      </c>
      <c r="J858" t="s">
        <v>88</v>
      </c>
      <c r="K858" t="s">
        <v>96</v>
      </c>
      <c r="L858" s="16" t="s">
        <v>10</v>
      </c>
    </row>
    <row r="859" spans="1:12" x14ac:dyDescent="0.35">
      <c r="A859" t="s">
        <v>8</v>
      </c>
      <c r="B859" t="s">
        <v>100</v>
      </c>
      <c r="C859" t="s">
        <v>93</v>
      </c>
      <c r="D859" t="s">
        <v>10</v>
      </c>
      <c r="E859" t="s">
        <v>10</v>
      </c>
      <c r="F859" s="7">
        <v>45374</v>
      </c>
      <c r="G859" s="1">
        <v>45292</v>
      </c>
      <c r="H859" s="14">
        <v>5443.6207999999997</v>
      </c>
      <c r="I859">
        <v>1622812</v>
      </c>
      <c r="J859" t="s">
        <v>88</v>
      </c>
      <c r="K859" t="s">
        <v>94</v>
      </c>
      <c r="L859" s="16" t="s">
        <v>10</v>
      </c>
    </row>
    <row r="860" spans="1:12" x14ac:dyDescent="0.35">
      <c r="A860" t="s">
        <v>8</v>
      </c>
      <c r="B860" t="s">
        <v>100</v>
      </c>
      <c r="C860" t="s">
        <v>95</v>
      </c>
      <c r="D860" t="s">
        <v>10</v>
      </c>
      <c r="E860" t="s">
        <v>10</v>
      </c>
      <c r="F860" s="7">
        <v>45374</v>
      </c>
      <c r="G860" s="1">
        <v>45292</v>
      </c>
      <c r="H860" s="14">
        <v>7051.7300000000014</v>
      </c>
      <c r="I860">
        <v>2463931</v>
      </c>
      <c r="J860" t="s">
        <v>88</v>
      </c>
      <c r="K860" t="s">
        <v>96</v>
      </c>
      <c r="L860" s="16" t="s">
        <v>10</v>
      </c>
    </row>
    <row r="861" spans="1:12" x14ac:dyDescent="0.35">
      <c r="A861" t="s">
        <v>8</v>
      </c>
      <c r="B861" t="s">
        <v>21</v>
      </c>
      <c r="C861" t="s">
        <v>95</v>
      </c>
      <c r="D861" t="s">
        <v>10</v>
      </c>
      <c r="E861" t="s">
        <v>10</v>
      </c>
      <c r="F861" s="7">
        <v>45374</v>
      </c>
      <c r="G861" s="1">
        <v>45292</v>
      </c>
      <c r="H861" s="14">
        <v>4486.43</v>
      </c>
      <c r="I861">
        <v>842260</v>
      </c>
      <c r="J861" t="s">
        <v>88</v>
      </c>
      <c r="K861" t="s">
        <v>96</v>
      </c>
      <c r="L861" s="16" t="s">
        <v>10</v>
      </c>
    </row>
    <row r="862" spans="1:12" x14ac:dyDescent="0.35">
      <c r="A862" t="s">
        <v>8</v>
      </c>
      <c r="B862" t="s">
        <v>101</v>
      </c>
      <c r="C862" t="s">
        <v>93</v>
      </c>
      <c r="D862" t="s">
        <v>10</v>
      </c>
      <c r="E862" t="s">
        <v>10</v>
      </c>
      <c r="F862" s="7">
        <v>45374</v>
      </c>
      <c r="G862" s="1">
        <v>45292</v>
      </c>
      <c r="H862" s="14">
        <v>4459.3438999999989</v>
      </c>
      <c r="I862">
        <v>1238874</v>
      </c>
      <c r="J862" t="s">
        <v>88</v>
      </c>
      <c r="K862" t="s">
        <v>94</v>
      </c>
      <c r="L862" s="16" t="s">
        <v>10</v>
      </c>
    </row>
    <row r="863" spans="1:12" x14ac:dyDescent="0.35">
      <c r="A863" t="s">
        <v>8</v>
      </c>
      <c r="B863" t="s">
        <v>101</v>
      </c>
      <c r="C863" t="s">
        <v>95</v>
      </c>
      <c r="D863" t="s">
        <v>10</v>
      </c>
      <c r="E863" t="s">
        <v>10</v>
      </c>
      <c r="F863" s="7">
        <v>45374</v>
      </c>
      <c r="G863" s="1">
        <v>45292</v>
      </c>
      <c r="H863" s="14">
        <v>3274.1199999999994</v>
      </c>
      <c r="I863">
        <v>898608</v>
      </c>
      <c r="J863" t="s">
        <v>88</v>
      </c>
      <c r="K863" t="s">
        <v>96</v>
      </c>
      <c r="L863" s="16" t="s">
        <v>10</v>
      </c>
    </row>
    <row r="864" spans="1:12" x14ac:dyDescent="0.35">
      <c r="A864" t="s">
        <v>8</v>
      </c>
      <c r="B864" t="s">
        <v>16</v>
      </c>
      <c r="C864" t="s">
        <v>93</v>
      </c>
      <c r="D864" t="s">
        <v>10</v>
      </c>
      <c r="E864" t="s">
        <v>10</v>
      </c>
      <c r="F864" s="7">
        <v>45374</v>
      </c>
      <c r="G864" s="1">
        <v>45292</v>
      </c>
      <c r="H864" s="14">
        <v>2275.3664999999992</v>
      </c>
      <c r="I864">
        <v>753534</v>
      </c>
      <c r="J864" t="s">
        <v>88</v>
      </c>
      <c r="K864" t="s">
        <v>94</v>
      </c>
      <c r="L864" s="16" t="s">
        <v>10</v>
      </c>
    </row>
    <row r="865" spans="1:12" x14ac:dyDescent="0.35">
      <c r="A865" t="s">
        <v>8</v>
      </c>
      <c r="B865" t="s">
        <v>16</v>
      </c>
      <c r="C865" t="s">
        <v>95</v>
      </c>
      <c r="D865" t="s">
        <v>10</v>
      </c>
      <c r="E865" t="s">
        <v>10</v>
      </c>
      <c r="F865" s="7">
        <v>45374</v>
      </c>
      <c r="G865" s="1">
        <v>45292</v>
      </c>
      <c r="H865" s="14">
        <v>499.90999999999997</v>
      </c>
      <c r="I865">
        <v>136258</v>
      </c>
      <c r="J865" t="s">
        <v>88</v>
      </c>
      <c r="K865" t="s">
        <v>96</v>
      </c>
      <c r="L865" s="16" t="s">
        <v>10</v>
      </c>
    </row>
    <row r="866" spans="1:12" x14ac:dyDescent="0.35">
      <c r="A866" t="s">
        <v>8</v>
      </c>
      <c r="B866" t="s">
        <v>103</v>
      </c>
      <c r="C866" t="s">
        <v>95</v>
      </c>
      <c r="D866" t="s">
        <v>104</v>
      </c>
      <c r="E866" t="s">
        <v>8</v>
      </c>
      <c r="F866" s="7">
        <v>45374</v>
      </c>
      <c r="G866" s="1">
        <v>45292</v>
      </c>
      <c r="H866" s="14">
        <v>120.44</v>
      </c>
      <c r="I866">
        <v>563</v>
      </c>
      <c r="J866" t="s">
        <v>88</v>
      </c>
      <c r="K866" t="s">
        <v>105</v>
      </c>
      <c r="L866" s="16" t="s">
        <v>95</v>
      </c>
    </row>
    <row r="867" spans="1:12" x14ac:dyDescent="0.35">
      <c r="A867" t="s">
        <v>8</v>
      </c>
      <c r="B867" t="s">
        <v>16</v>
      </c>
      <c r="C867" t="s">
        <v>95</v>
      </c>
      <c r="D867" t="s">
        <v>104</v>
      </c>
      <c r="E867" t="s">
        <v>8</v>
      </c>
      <c r="F867" s="7">
        <v>45374</v>
      </c>
      <c r="G867" s="1">
        <v>45292</v>
      </c>
      <c r="H867" s="14">
        <v>43.539999999999992</v>
      </c>
      <c r="I867">
        <v>266</v>
      </c>
      <c r="J867" t="s">
        <v>88</v>
      </c>
      <c r="K867" t="s">
        <v>105</v>
      </c>
      <c r="L867" s="16" t="s">
        <v>95</v>
      </c>
    </row>
    <row r="868" spans="1:12" x14ac:dyDescent="0.35">
      <c r="A868" t="s">
        <v>8</v>
      </c>
      <c r="B868" t="s">
        <v>84</v>
      </c>
      <c r="C868" t="s">
        <v>95</v>
      </c>
      <c r="D868" t="s">
        <v>104</v>
      </c>
      <c r="E868" t="s">
        <v>8</v>
      </c>
      <c r="F868" s="7">
        <v>45374</v>
      </c>
      <c r="G868" s="1">
        <v>45292</v>
      </c>
      <c r="H868" s="14">
        <v>8387.0299999999988</v>
      </c>
      <c r="I868">
        <v>30896</v>
      </c>
      <c r="J868" t="s">
        <v>88</v>
      </c>
      <c r="K868" t="s">
        <v>105</v>
      </c>
      <c r="L868" s="16" t="s">
        <v>95</v>
      </c>
    </row>
    <row r="869" spans="1:12" x14ac:dyDescent="0.35">
      <c r="A869" t="s">
        <v>8</v>
      </c>
      <c r="B869" t="s">
        <v>17</v>
      </c>
      <c r="C869" t="s">
        <v>95</v>
      </c>
      <c r="D869" t="s">
        <v>104</v>
      </c>
      <c r="E869" t="s">
        <v>8</v>
      </c>
      <c r="F869" s="7">
        <v>45374</v>
      </c>
      <c r="G869" s="1">
        <v>45292</v>
      </c>
      <c r="H869" s="14">
        <v>74.859999999999985</v>
      </c>
      <c r="I869">
        <v>755</v>
      </c>
      <c r="J869" t="s">
        <v>88</v>
      </c>
      <c r="K869" t="s">
        <v>105</v>
      </c>
      <c r="L869" s="16" t="s">
        <v>95</v>
      </c>
    </row>
    <row r="870" spans="1:12" x14ac:dyDescent="0.35">
      <c r="A870" t="s">
        <v>8</v>
      </c>
      <c r="B870" t="s">
        <v>106</v>
      </c>
      <c r="C870" t="s">
        <v>95</v>
      </c>
      <c r="D870" t="s">
        <v>104</v>
      </c>
      <c r="E870" t="s">
        <v>8</v>
      </c>
      <c r="F870" s="7">
        <v>45374</v>
      </c>
      <c r="G870" s="1">
        <v>45292</v>
      </c>
      <c r="H870" s="14">
        <v>16.79</v>
      </c>
      <c r="I870">
        <v>24</v>
      </c>
      <c r="J870" t="s">
        <v>88</v>
      </c>
      <c r="K870" t="s">
        <v>105</v>
      </c>
      <c r="L870" s="16" t="s">
        <v>95</v>
      </c>
    </row>
    <row r="871" spans="1:12" x14ac:dyDescent="0.35">
      <c r="A871" t="s">
        <v>8</v>
      </c>
      <c r="B871" t="s">
        <v>92</v>
      </c>
      <c r="C871" t="s">
        <v>95</v>
      </c>
      <c r="D871" t="s">
        <v>104</v>
      </c>
      <c r="E871" t="s">
        <v>8</v>
      </c>
      <c r="F871" s="7">
        <v>45374</v>
      </c>
      <c r="G871" s="1">
        <v>45292</v>
      </c>
      <c r="H871" s="14">
        <v>275.60000000000002</v>
      </c>
      <c r="I871">
        <v>1708</v>
      </c>
      <c r="J871" t="s">
        <v>88</v>
      </c>
      <c r="K871" t="s">
        <v>105</v>
      </c>
      <c r="L871" s="16" t="s">
        <v>95</v>
      </c>
    </row>
    <row r="872" spans="1:12" x14ac:dyDescent="0.35">
      <c r="A872" t="s">
        <v>8</v>
      </c>
      <c r="B872" t="s">
        <v>21</v>
      </c>
      <c r="C872" t="s">
        <v>95</v>
      </c>
      <c r="D872" t="s">
        <v>104</v>
      </c>
      <c r="E872" t="s">
        <v>8</v>
      </c>
      <c r="F872" s="7">
        <v>45374</v>
      </c>
      <c r="G872" s="1">
        <v>45292</v>
      </c>
      <c r="H872" s="14">
        <v>429.36</v>
      </c>
      <c r="I872">
        <v>2131</v>
      </c>
      <c r="J872" t="s">
        <v>88</v>
      </c>
      <c r="K872" t="s">
        <v>105</v>
      </c>
      <c r="L872" s="16" t="s">
        <v>95</v>
      </c>
    </row>
    <row r="873" spans="1:12" x14ac:dyDescent="0.35">
      <c r="A873" t="s">
        <v>8</v>
      </c>
      <c r="B873" t="s">
        <v>101</v>
      </c>
      <c r="C873" t="s">
        <v>95</v>
      </c>
      <c r="D873" t="s">
        <v>104</v>
      </c>
      <c r="E873" t="s">
        <v>8</v>
      </c>
      <c r="F873" s="7">
        <v>45374</v>
      </c>
      <c r="G873" s="1">
        <v>45292</v>
      </c>
      <c r="H873" s="14">
        <v>72.8</v>
      </c>
      <c r="I873">
        <v>496</v>
      </c>
      <c r="J873" t="s">
        <v>88</v>
      </c>
      <c r="K873" t="s">
        <v>105</v>
      </c>
      <c r="L873" s="16" t="s">
        <v>95</v>
      </c>
    </row>
    <row r="874" spans="1:12" x14ac:dyDescent="0.35">
      <c r="A874" t="s">
        <v>8</v>
      </c>
      <c r="B874" t="s">
        <v>99</v>
      </c>
      <c r="C874" t="s">
        <v>95</v>
      </c>
      <c r="D874" t="s">
        <v>104</v>
      </c>
      <c r="E874" t="s">
        <v>8</v>
      </c>
      <c r="F874" s="7">
        <v>45374</v>
      </c>
      <c r="G874" s="1">
        <v>45292</v>
      </c>
      <c r="H874" s="14">
        <v>75.3</v>
      </c>
      <c r="I874">
        <v>461</v>
      </c>
      <c r="J874" t="s">
        <v>88</v>
      </c>
      <c r="K874" t="s">
        <v>105</v>
      </c>
      <c r="L874" s="16" t="s">
        <v>95</v>
      </c>
    </row>
    <row r="875" spans="1:12" x14ac:dyDescent="0.35">
      <c r="A875" t="s">
        <v>8</v>
      </c>
      <c r="B875" t="s">
        <v>100</v>
      </c>
      <c r="C875" t="s">
        <v>95</v>
      </c>
      <c r="D875" t="s">
        <v>104</v>
      </c>
      <c r="E875" t="s">
        <v>8</v>
      </c>
      <c r="F875" s="7">
        <v>45374</v>
      </c>
      <c r="G875" s="1">
        <v>45292</v>
      </c>
      <c r="H875" s="14">
        <v>167.89000000000001</v>
      </c>
      <c r="I875">
        <v>876</v>
      </c>
      <c r="J875" t="s">
        <v>88</v>
      </c>
      <c r="K875" t="s">
        <v>105</v>
      </c>
      <c r="L875" s="16" t="s">
        <v>95</v>
      </c>
    </row>
    <row r="876" spans="1:12" x14ac:dyDescent="0.35">
      <c r="A876" t="s">
        <v>8</v>
      </c>
      <c r="B876" t="s">
        <v>21</v>
      </c>
      <c r="C876" t="s">
        <v>85</v>
      </c>
      <c r="D876" t="s">
        <v>9</v>
      </c>
      <c r="E876" t="s">
        <v>10</v>
      </c>
      <c r="F876" s="7">
        <v>45381</v>
      </c>
      <c r="G876" s="1">
        <v>45292</v>
      </c>
      <c r="H876" s="14">
        <v>24730.940003999996</v>
      </c>
      <c r="I876">
        <v>5079868</v>
      </c>
      <c r="J876" t="s">
        <v>88</v>
      </c>
      <c r="K876" t="s">
        <v>87</v>
      </c>
      <c r="L876" s="16" t="s">
        <v>9</v>
      </c>
    </row>
    <row r="877" spans="1:12" x14ac:dyDescent="0.35">
      <c r="A877" t="s">
        <v>8</v>
      </c>
      <c r="B877" t="s">
        <v>21</v>
      </c>
      <c r="C877" t="s">
        <v>85</v>
      </c>
      <c r="D877" t="s">
        <v>9</v>
      </c>
      <c r="E877" t="s">
        <v>12</v>
      </c>
      <c r="F877" s="7">
        <v>45381</v>
      </c>
      <c r="G877" s="1">
        <v>45292</v>
      </c>
      <c r="H877" s="14">
        <v>8934.980008999999</v>
      </c>
      <c r="I877">
        <v>1489547</v>
      </c>
      <c r="J877" t="s">
        <v>88</v>
      </c>
      <c r="K877" t="s">
        <v>87</v>
      </c>
      <c r="L877" s="16" t="s">
        <v>12</v>
      </c>
    </row>
    <row r="878" spans="1:12" x14ac:dyDescent="0.35">
      <c r="A878" t="s">
        <v>8</v>
      </c>
      <c r="B878" t="s">
        <v>92</v>
      </c>
      <c r="C878" t="s">
        <v>93</v>
      </c>
      <c r="D878" t="s">
        <v>10</v>
      </c>
      <c r="E878" t="s">
        <v>10</v>
      </c>
      <c r="F878" s="7">
        <v>45381</v>
      </c>
      <c r="G878" s="1">
        <v>45292</v>
      </c>
      <c r="H878" s="14">
        <v>4997.8640999999989</v>
      </c>
      <c r="I878">
        <v>1218144</v>
      </c>
      <c r="J878" t="s">
        <v>88</v>
      </c>
      <c r="K878" t="s">
        <v>94</v>
      </c>
      <c r="L878" s="16" t="s">
        <v>10</v>
      </c>
    </row>
    <row r="879" spans="1:12" x14ac:dyDescent="0.35">
      <c r="A879" t="s">
        <v>8</v>
      </c>
      <c r="B879" t="s">
        <v>92</v>
      </c>
      <c r="C879" t="s">
        <v>95</v>
      </c>
      <c r="D879" t="s">
        <v>10</v>
      </c>
      <c r="E879" t="s">
        <v>10</v>
      </c>
      <c r="F879" s="7">
        <v>45381</v>
      </c>
      <c r="G879" s="1">
        <v>45292</v>
      </c>
      <c r="H879" s="14">
        <v>10452.990000000003</v>
      </c>
      <c r="I879">
        <v>2412743</v>
      </c>
      <c r="J879" t="s">
        <v>88</v>
      </c>
      <c r="K879" t="s">
        <v>96</v>
      </c>
      <c r="L879" s="16" t="s">
        <v>10</v>
      </c>
    </row>
    <row r="880" spans="1:12" x14ac:dyDescent="0.35">
      <c r="A880" t="s">
        <v>8</v>
      </c>
      <c r="B880" t="s">
        <v>84</v>
      </c>
      <c r="C880" t="s">
        <v>93</v>
      </c>
      <c r="D880" t="s">
        <v>10</v>
      </c>
      <c r="E880" t="s">
        <v>10</v>
      </c>
      <c r="F880" s="7">
        <v>45381</v>
      </c>
      <c r="G880" s="1">
        <v>45292</v>
      </c>
      <c r="H880" s="14">
        <v>6613.0198000000019</v>
      </c>
      <c r="I880">
        <v>1024524</v>
      </c>
      <c r="J880" t="s">
        <v>88</v>
      </c>
      <c r="K880" t="s">
        <v>94</v>
      </c>
      <c r="L880" s="16" t="s">
        <v>10</v>
      </c>
    </row>
    <row r="881" spans="1:12" x14ac:dyDescent="0.35">
      <c r="A881" t="s">
        <v>8</v>
      </c>
      <c r="B881" t="s">
        <v>84</v>
      </c>
      <c r="C881" t="s">
        <v>95</v>
      </c>
      <c r="D881" t="s">
        <v>10</v>
      </c>
      <c r="E881" t="s">
        <v>10</v>
      </c>
      <c r="F881" s="7">
        <v>45381</v>
      </c>
      <c r="G881" s="1">
        <v>45292</v>
      </c>
      <c r="H881" s="14">
        <v>4921.8</v>
      </c>
      <c r="I881">
        <v>1286059</v>
      </c>
      <c r="J881" t="s">
        <v>88</v>
      </c>
      <c r="K881" t="s">
        <v>96</v>
      </c>
      <c r="L881" s="16" t="s">
        <v>10</v>
      </c>
    </row>
    <row r="882" spans="1:12" x14ac:dyDescent="0.35">
      <c r="A882" t="s">
        <v>8</v>
      </c>
      <c r="B882" t="s">
        <v>17</v>
      </c>
      <c r="C882" t="s">
        <v>93</v>
      </c>
      <c r="D882" t="s">
        <v>10</v>
      </c>
      <c r="E882" t="s">
        <v>10</v>
      </c>
      <c r="F882" s="7">
        <v>45381</v>
      </c>
      <c r="G882" s="1">
        <v>45292</v>
      </c>
      <c r="H882" s="14">
        <v>4678.0623999999971</v>
      </c>
      <c r="I882">
        <v>701026</v>
      </c>
      <c r="J882" t="s">
        <v>88</v>
      </c>
      <c r="K882" t="s">
        <v>94</v>
      </c>
      <c r="L882" s="16" t="s">
        <v>10</v>
      </c>
    </row>
    <row r="883" spans="1:12" x14ac:dyDescent="0.35">
      <c r="A883" t="s">
        <v>8</v>
      </c>
      <c r="B883" t="s">
        <v>17</v>
      </c>
      <c r="C883" t="s">
        <v>95</v>
      </c>
      <c r="D883" t="s">
        <v>10</v>
      </c>
      <c r="E883" t="s">
        <v>10</v>
      </c>
      <c r="F883" s="7">
        <v>45381</v>
      </c>
      <c r="G883" s="1">
        <v>45292</v>
      </c>
      <c r="H883" s="14">
        <v>7304.0799999999972</v>
      </c>
      <c r="I883">
        <v>1583344</v>
      </c>
      <c r="J883" t="s">
        <v>88</v>
      </c>
      <c r="K883" t="s">
        <v>96</v>
      </c>
      <c r="L883" s="16" t="s">
        <v>10</v>
      </c>
    </row>
    <row r="884" spans="1:12" x14ac:dyDescent="0.35">
      <c r="A884" t="s">
        <v>8</v>
      </c>
      <c r="B884" t="s">
        <v>99</v>
      </c>
      <c r="C884" t="s">
        <v>93</v>
      </c>
      <c r="D884" t="s">
        <v>10</v>
      </c>
      <c r="E884" t="s">
        <v>10</v>
      </c>
      <c r="F884" s="7">
        <v>45381</v>
      </c>
      <c r="G884" s="1">
        <v>45292</v>
      </c>
      <c r="H884" s="14">
        <v>5170.1101999999983</v>
      </c>
      <c r="I884">
        <v>585118</v>
      </c>
      <c r="J884" t="s">
        <v>88</v>
      </c>
      <c r="K884" t="s">
        <v>94</v>
      </c>
      <c r="L884" s="16" t="s">
        <v>10</v>
      </c>
    </row>
    <row r="885" spans="1:12" x14ac:dyDescent="0.35">
      <c r="A885" t="s">
        <v>8</v>
      </c>
      <c r="B885" t="s">
        <v>99</v>
      </c>
      <c r="C885" t="s">
        <v>95</v>
      </c>
      <c r="D885" t="s">
        <v>10</v>
      </c>
      <c r="E885" t="s">
        <v>10</v>
      </c>
      <c r="F885" s="7">
        <v>45381</v>
      </c>
      <c r="G885" s="1">
        <v>45292</v>
      </c>
      <c r="H885" s="14">
        <v>4104.6499999999987</v>
      </c>
      <c r="I885">
        <v>1114538</v>
      </c>
      <c r="J885" t="s">
        <v>88</v>
      </c>
      <c r="K885" t="s">
        <v>96</v>
      </c>
      <c r="L885" s="16" t="s">
        <v>10</v>
      </c>
    </row>
    <row r="886" spans="1:12" x14ac:dyDescent="0.35">
      <c r="A886" t="s">
        <v>8</v>
      </c>
      <c r="B886" t="s">
        <v>100</v>
      </c>
      <c r="C886" t="s">
        <v>93</v>
      </c>
      <c r="D886" t="s">
        <v>10</v>
      </c>
      <c r="E886" t="s">
        <v>10</v>
      </c>
      <c r="F886" s="7">
        <v>45381</v>
      </c>
      <c r="G886" s="1">
        <v>45292</v>
      </c>
      <c r="H886" s="14">
        <v>4597.78</v>
      </c>
      <c r="I886">
        <v>1151580</v>
      </c>
      <c r="J886" t="s">
        <v>88</v>
      </c>
      <c r="K886" t="s">
        <v>94</v>
      </c>
      <c r="L886" s="16" t="s">
        <v>10</v>
      </c>
    </row>
    <row r="887" spans="1:12" x14ac:dyDescent="0.35">
      <c r="A887" t="s">
        <v>8</v>
      </c>
      <c r="B887" t="s">
        <v>100</v>
      </c>
      <c r="C887" t="s">
        <v>95</v>
      </c>
      <c r="D887" t="s">
        <v>10</v>
      </c>
      <c r="E887" t="s">
        <v>10</v>
      </c>
      <c r="F887" s="7">
        <v>45381</v>
      </c>
      <c r="G887" s="1">
        <v>45292</v>
      </c>
      <c r="H887" s="14">
        <v>9884.9500000000007</v>
      </c>
      <c r="I887">
        <v>3279343</v>
      </c>
      <c r="J887" t="s">
        <v>88</v>
      </c>
      <c r="K887" t="s">
        <v>96</v>
      </c>
      <c r="L887" s="16" t="s">
        <v>10</v>
      </c>
    </row>
    <row r="888" spans="1:12" x14ac:dyDescent="0.35">
      <c r="A888" t="s">
        <v>8</v>
      </c>
      <c r="B888" t="s">
        <v>21</v>
      </c>
      <c r="C888" t="s">
        <v>95</v>
      </c>
      <c r="D888" t="s">
        <v>10</v>
      </c>
      <c r="E888" t="s">
        <v>10</v>
      </c>
      <c r="F888" s="7">
        <v>45381</v>
      </c>
      <c r="G888" s="1">
        <v>45292</v>
      </c>
      <c r="H888" s="14">
        <v>4345.4100000000008</v>
      </c>
      <c r="I888">
        <v>811978</v>
      </c>
      <c r="J888" t="s">
        <v>88</v>
      </c>
      <c r="K888" t="s">
        <v>96</v>
      </c>
      <c r="L888" s="16" t="s">
        <v>10</v>
      </c>
    </row>
    <row r="889" spans="1:12" x14ac:dyDescent="0.35">
      <c r="A889" t="s">
        <v>8</v>
      </c>
      <c r="B889" t="s">
        <v>101</v>
      </c>
      <c r="C889" t="s">
        <v>93</v>
      </c>
      <c r="D889" t="s">
        <v>10</v>
      </c>
      <c r="E889" t="s">
        <v>10</v>
      </c>
      <c r="F889" s="7">
        <v>45381</v>
      </c>
      <c r="G889" s="1">
        <v>45292</v>
      </c>
      <c r="H889" s="14">
        <v>3677.6730000000002</v>
      </c>
      <c r="I889">
        <v>1090677</v>
      </c>
      <c r="J889" t="s">
        <v>88</v>
      </c>
      <c r="K889" t="s">
        <v>94</v>
      </c>
      <c r="L889" s="16" t="s">
        <v>10</v>
      </c>
    </row>
    <row r="890" spans="1:12" x14ac:dyDescent="0.35">
      <c r="A890" t="s">
        <v>8</v>
      </c>
      <c r="B890" t="s">
        <v>101</v>
      </c>
      <c r="C890" t="s">
        <v>95</v>
      </c>
      <c r="D890" t="s">
        <v>10</v>
      </c>
      <c r="E890" t="s">
        <v>10</v>
      </c>
      <c r="F890" s="7">
        <v>45381</v>
      </c>
      <c r="G890" s="1">
        <v>45292</v>
      </c>
      <c r="H890" s="14">
        <v>3937.3800000000006</v>
      </c>
      <c r="I890">
        <v>1020919</v>
      </c>
      <c r="J890" t="s">
        <v>88</v>
      </c>
      <c r="K890" t="s">
        <v>96</v>
      </c>
      <c r="L890" s="16" t="s">
        <v>10</v>
      </c>
    </row>
    <row r="891" spans="1:12" x14ac:dyDescent="0.35">
      <c r="A891" t="s">
        <v>8</v>
      </c>
      <c r="B891" t="s">
        <v>16</v>
      </c>
      <c r="C891" t="s">
        <v>93</v>
      </c>
      <c r="D891" t="s">
        <v>10</v>
      </c>
      <c r="E891" t="s">
        <v>10</v>
      </c>
      <c r="F891" s="7">
        <v>45381</v>
      </c>
      <c r="G891" s="1">
        <v>45292</v>
      </c>
      <c r="H891" s="14">
        <v>1870.5889999999999</v>
      </c>
      <c r="I891">
        <v>562759</v>
      </c>
      <c r="J891" t="s">
        <v>88</v>
      </c>
      <c r="K891" t="s">
        <v>94</v>
      </c>
      <c r="L891" s="16" t="s">
        <v>10</v>
      </c>
    </row>
    <row r="892" spans="1:12" x14ac:dyDescent="0.35">
      <c r="A892" t="s">
        <v>8</v>
      </c>
      <c r="B892" t="s">
        <v>102</v>
      </c>
      <c r="C892" t="s">
        <v>95</v>
      </c>
      <c r="D892" t="s">
        <v>10</v>
      </c>
      <c r="E892" t="s">
        <v>10</v>
      </c>
      <c r="F892" s="7">
        <v>45381</v>
      </c>
      <c r="G892" s="1">
        <v>45292</v>
      </c>
      <c r="H892" s="14">
        <v>0.37</v>
      </c>
      <c r="I892">
        <v>1437</v>
      </c>
      <c r="J892" t="s">
        <v>88</v>
      </c>
      <c r="K892" t="s">
        <v>96</v>
      </c>
      <c r="L892" s="16" t="s">
        <v>10</v>
      </c>
    </row>
    <row r="893" spans="1:12" x14ac:dyDescent="0.35">
      <c r="A893" t="s">
        <v>8</v>
      </c>
      <c r="B893" t="s">
        <v>103</v>
      </c>
      <c r="C893" t="s">
        <v>95</v>
      </c>
      <c r="D893" t="s">
        <v>104</v>
      </c>
      <c r="E893" t="s">
        <v>8</v>
      </c>
      <c r="F893" s="7">
        <v>45381</v>
      </c>
      <c r="G893" s="1">
        <v>45292</v>
      </c>
      <c r="H893" s="14">
        <v>91.12</v>
      </c>
      <c r="I893">
        <v>408</v>
      </c>
      <c r="J893" t="s">
        <v>88</v>
      </c>
      <c r="K893" t="s">
        <v>105</v>
      </c>
      <c r="L893" s="16" t="s">
        <v>95</v>
      </c>
    </row>
    <row r="894" spans="1:12" x14ac:dyDescent="0.35">
      <c r="A894" t="s">
        <v>8</v>
      </c>
      <c r="B894" t="s">
        <v>16</v>
      </c>
      <c r="C894" t="s">
        <v>95</v>
      </c>
      <c r="D894" t="s">
        <v>104</v>
      </c>
      <c r="E894" t="s">
        <v>8</v>
      </c>
      <c r="F894" s="7">
        <v>45381</v>
      </c>
      <c r="G894" s="1">
        <v>45292</v>
      </c>
      <c r="H894" s="14">
        <v>45.699999999999996</v>
      </c>
      <c r="I894">
        <v>277</v>
      </c>
      <c r="J894" t="s">
        <v>88</v>
      </c>
      <c r="K894" t="s">
        <v>105</v>
      </c>
      <c r="L894" s="16" t="s">
        <v>95</v>
      </c>
    </row>
    <row r="895" spans="1:12" x14ac:dyDescent="0.35">
      <c r="A895" t="s">
        <v>8</v>
      </c>
      <c r="B895" t="s">
        <v>84</v>
      </c>
      <c r="C895" t="s">
        <v>95</v>
      </c>
      <c r="D895" t="s">
        <v>104</v>
      </c>
      <c r="E895" t="s">
        <v>8</v>
      </c>
      <c r="F895" s="7">
        <v>45381</v>
      </c>
      <c r="G895" s="1">
        <v>45292</v>
      </c>
      <c r="H895" s="14">
        <v>8325.8722969999999</v>
      </c>
      <c r="I895">
        <v>29542</v>
      </c>
      <c r="J895" t="s">
        <v>88</v>
      </c>
      <c r="K895" t="s">
        <v>105</v>
      </c>
      <c r="L895" s="16" t="s">
        <v>95</v>
      </c>
    </row>
    <row r="896" spans="1:12" x14ac:dyDescent="0.35">
      <c r="A896" t="s">
        <v>8</v>
      </c>
      <c r="B896" t="s">
        <v>17</v>
      </c>
      <c r="C896" t="s">
        <v>95</v>
      </c>
      <c r="D896" t="s">
        <v>104</v>
      </c>
      <c r="E896" t="s">
        <v>8</v>
      </c>
      <c r="F896" s="7">
        <v>45381</v>
      </c>
      <c r="G896" s="1">
        <v>45292</v>
      </c>
      <c r="H896" s="14">
        <v>102.71000000000001</v>
      </c>
      <c r="I896">
        <v>836</v>
      </c>
      <c r="J896" t="s">
        <v>88</v>
      </c>
      <c r="K896" t="s">
        <v>105</v>
      </c>
      <c r="L896" s="16" t="s">
        <v>95</v>
      </c>
    </row>
    <row r="897" spans="1:12" x14ac:dyDescent="0.35">
      <c r="A897" t="s">
        <v>8</v>
      </c>
      <c r="B897" t="s">
        <v>106</v>
      </c>
      <c r="C897" t="s">
        <v>95</v>
      </c>
      <c r="D897" t="s">
        <v>104</v>
      </c>
      <c r="E897" t="s">
        <v>8</v>
      </c>
      <c r="F897" s="7">
        <v>45381</v>
      </c>
      <c r="G897" s="1">
        <v>45292</v>
      </c>
      <c r="H897" s="14">
        <v>15.669999999999998</v>
      </c>
      <c r="I897">
        <v>69</v>
      </c>
      <c r="J897" t="s">
        <v>88</v>
      </c>
      <c r="K897" t="s">
        <v>105</v>
      </c>
      <c r="L897" s="16" t="s">
        <v>95</v>
      </c>
    </row>
    <row r="898" spans="1:12" x14ac:dyDescent="0.35">
      <c r="A898" t="s">
        <v>8</v>
      </c>
      <c r="B898" t="s">
        <v>92</v>
      </c>
      <c r="C898" t="s">
        <v>95</v>
      </c>
      <c r="D898" t="s">
        <v>104</v>
      </c>
      <c r="E898" t="s">
        <v>8</v>
      </c>
      <c r="F898" s="7">
        <v>45381</v>
      </c>
      <c r="G898" s="1">
        <v>45292</v>
      </c>
      <c r="H898" s="14">
        <v>201.87000000000003</v>
      </c>
      <c r="I898">
        <v>1636</v>
      </c>
      <c r="J898" t="s">
        <v>88</v>
      </c>
      <c r="K898" t="s">
        <v>105</v>
      </c>
      <c r="L898" s="16" t="s">
        <v>95</v>
      </c>
    </row>
    <row r="899" spans="1:12" x14ac:dyDescent="0.35">
      <c r="A899" t="s">
        <v>8</v>
      </c>
      <c r="B899" t="s">
        <v>21</v>
      </c>
      <c r="C899" t="s">
        <v>95</v>
      </c>
      <c r="D899" t="s">
        <v>104</v>
      </c>
      <c r="E899" t="s">
        <v>8</v>
      </c>
      <c r="F899" s="7">
        <v>45381</v>
      </c>
      <c r="G899" s="1">
        <v>45292</v>
      </c>
      <c r="H899" s="14">
        <v>341.88999999999993</v>
      </c>
      <c r="I899">
        <v>2248</v>
      </c>
      <c r="J899" t="s">
        <v>88</v>
      </c>
      <c r="K899" t="s">
        <v>105</v>
      </c>
      <c r="L899" s="16" t="s">
        <v>95</v>
      </c>
    </row>
    <row r="900" spans="1:12" x14ac:dyDescent="0.35">
      <c r="A900" t="s">
        <v>8</v>
      </c>
      <c r="B900" t="s">
        <v>101</v>
      </c>
      <c r="C900" t="s">
        <v>95</v>
      </c>
      <c r="D900" t="s">
        <v>104</v>
      </c>
      <c r="E900" t="s">
        <v>8</v>
      </c>
      <c r="F900" s="7">
        <v>45381</v>
      </c>
      <c r="G900" s="1">
        <v>45292</v>
      </c>
      <c r="H900" s="14">
        <v>81.27000000000001</v>
      </c>
      <c r="I900">
        <v>500</v>
      </c>
      <c r="J900" t="s">
        <v>88</v>
      </c>
      <c r="K900" t="s">
        <v>105</v>
      </c>
      <c r="L900" s="16" t="s">
        <v>95</v>
      </c>
    </row>
    <row r="901" spans="1:12" x14ac:dyDescent="0.35">
      <c r="A901" t="s">
        <v>8</v>
      </c>
      <c r="B901" t="s">
        <v>99</v>
      </c>
      <c r="C901" t="s">
        <v>95</v>
      </c>
      <c r="D901" t="s">
        <v>104</v>
      </c>
      <c r="E901" t="s">
        <v>8</v>
      </c>
      <c r="F901" s="7">
        <v>45381</v>
      </c>
      <c r="G901" s="1">
        <v>45292</v>
      </c>
      <c r="H901" s="14">
        <v>60.72</v>
      </c>
      <c r="I901">
        <v>508</v>
      </c>
      <c r="J901" t="s">
        <v>88</v>
      </c>
      <c r="K901" t="s">
        <v>105</v>
      </c>
      <c r="L901" s="16" t="s">
        <v>95</v>
      </c>
    </row>
    <row r="902" spans="1:12" x14ac:dyDescent="0.35">
      <c r="A902" t="s">
        <v>8</v>
      </c>
      <c r="B902" t="s">
        <v>100</v>
      </c>
      <c r="C902" t="s">
        <v>95</v>
      </c>
      <c r="D902" t="s">
        <v>104</v>
      </c>
      <c r="E902" t="s">
        <v>8</v>
      </c>
      <c r="F902" s="7">
        <v>45381</v>
      </c>
      <c r="G902" s="1">
        <v>45292</v>
      </c>
      <c r="H902" s="14">
        <v>154.26999999999998</v>
      </c>
      <c r="I902">
        <v>942</v>
      </c>
      <c r="J902" t="s">
        <v>88</v>
      </c>
      <c r="K902" t="s">
        <v>105</v>
      </c>
      <c r="L902" s="16" t="s">
        <v>95</v>
      </c>
    </row>
    <row r="903" spans="1:12" x14ac:dyDescent="0.35">
      <c r="A903" t="s">
        <v>8</v>
      </c>
      <c r="B903" t="s">
        <v>21</v>
      </c>
      <c r="C903" t="s">
        <v>85</v>
      </c>
      <c r="D903" t="s">
        <v>9</v>
      </c>
      <c r="E903" t="s">
        <v>10</v>
      </c>
      <c r="F903" s="7">
        <v>45388</v>
      </c>
      <c r="G903" s="1">
        <v>45292</v>
      </c>
      <c r="H903" s="14">
        <v>18361.370004</v>
      </c>
      <c r="I903">
        <v>4254545</v>
      </c>
      <c r="J903" t="s">
        <v>88</v>
      </c>
      <c r="K903" t="s">
        <v>87</v>
      </c>
      <c r="L903" s="16" t="s">
        <v>9</v>
      </c>
    </row>
    <row r="904" spans="1:12" x14ac:dyDescent="0.35">
      <c r="A904" t="s">
        <v>8</v>
      </c>
      <c r="B904" t="s">
        <v>21</v>
      </c>
      <c r="C904" t="s">
        <v>85</v>
      </c>
      <c r="D904" t="s">
        <v>9</v>
      </c>
      <c r="E904" t="s">
        <v>12</v>
      </c>
      <c r="F904" s="7">
        <v>45388</v>
      </c>
      <c r="G904" s="1">
        <v>45292</v>
      </c>
      <c r="H904" s="14">
        <v>15195.689995000001</v>
      </c>
      <c r="I904">
        <v>3074357</v>
      </c>
      <c r="J904" t="s">
        <v>88</v>
      </c>
      <c r="K904" t="s">
        <v>87</v>
      </c>
      <c r="L904" s="16" t="s">
        <v>12</v>
      </c>
    </row>
    <row r="905" spans="1:12" x14ac:dyDescent="0.35">
      <c r="A905" t="s">
        <v>8</v>
      </c>
      <c r="B905" t="s">
        <v>92</v>
      </c>
      <c r="C905" t="s">
        <v>93</v>
      </c>
      <c r="D905" t="s">
        <v>10</v>
      </c>
      <c r="E905" t="s">
        <v>10</v>
      </c>
      <c r="F905" s="7">
        <v>45388</v>
      </c>
      <c r="G905" s="1">
        <v>45292</v>
      </c>
      <c r="H905" s="14">
        <v>11785.019199999993</v>
      </c>
      <c r="I905">
        <v>2592311</v>
      </c>
      <c r="J905" t="s">
        <v>88</v>
      </c>
      <c r="K905" t="s">
        <v>94</v>
      </c>
      <c r="L905" s="16" t="s">
        <v>10</v>
      </c>
    </row>
    <row r="906" spans="1:12" x14ac:dyDescent="0.35">
      <c r="A906" t="s">
        <v>8</v>
      </c>
      <c r="B906" t="s">
        <v>92</v>
      </c>
      <c r="C906" t="s">
        <v>95</v>
      </c>
      <c r="D906" t="s">
        <v>10</v>
      </c>
      <c r="E906" t="s">
        <v>10</v>
      </c>
      <c r="F906" s="7">
        <v>45388</v>
      </c>
      <c r="G906" s="1">
        <v>45292</v>
      </c>
      <c r="H906" s="14">
        <v>11799.800000000003</v>
      </c>
      <c r="I906">
        <v>2536790</v>
      </c>
      <c r="J906" t="s">
        <v>88</v>
      </c>
      <c r="K906" t="s">
        <v>96</v>
      </c>
      <c r="L906" s="16" t="s">
        <v>10</v>
      </c>
    </row>
    <row r="907" spans="1:12" x14ac:dyDescent="0.35">
      <c r="A907" t="s">
        <v>8</v>
      </c>
      <c r="B907" t="s">
        <v>84</v>
      </c>
      <c r="C907" t="s">
        <v>93</v>
      </c>
      <c r="D907" t="s">
        <v>10</v>
      </c>
      <c r="E907" t="s">
        <v>10</v>
      </c>
      <c r="F907" s="7">
        <v>45388</v>
      </c>
      <c r="G907" s="1">
        <v>45292</v>
      </c>
      <c r="H907" s="14">
        <v>6744.3843999999999</v>
      </c>
      <c r="I907">
        <v>1138127</v>
      </c>
      <c r="J907" t="s">
        <v>88</v>
      </c>
      <c r="K907" t="s">
        <v>94</v>
      </c>
      <c r="L907" s="16" t="s">
        <v>10</v>
      </c>
    </row>
    <row r="908" spans="1:12" x14ac:dyDescent="0.35">
      <c r="A908" t="s">
        <v>8</v>
      </c>
      <c r="B908" t="s">
        <v>84</v>
      </c>
      <c r="C908" t="s">
        <v>95</v>
      </c>
      <c r="D908" t="s">
        <v>10</v>
      </c>
      <c r="E908" t="s">
        <v>10</v>
      </c>
      <c r="F908" s="7">
        <v>45388</v>
      </c>
      <c r="G908" s="1">
        <v>45292</v>
      </c>
      <c r="H908" s="14">
        <v>5490.9500000000007</v>
      </c>
      <c r="I908">
        <v>1266479</v>
      </c>
      <c r="J908" t="s">
        <v>88</v>
      </c>
      <c r="K908" t="s">
        <v>96</v>
      </c>
      <c r="L908" s="16" t="s">
        <v>10</v>
      </c>
    </row>
    <row r="909" spans="1:12" x14ac:dyDescent="0.35">
      <c r="A909" t="s">
        <v>8</v>
      </c>
      <c r="B909" t="s">
        <v>17</v>
      </c>
      <c r="C909" t="s">
        <v>93</v>
      </c>
      <c r="D909" t="s">
        <v>10</v>
      </c>
      <c r="E909" t="s">
        <v>10</v>
      </c>
      <c r="F909" s="7">
        <v>45388</v>
      </c>
      <c r="G909" s="1">
        <v>45292</v>
      </c>
      <c r="H909" s="14">
        <v>5697.4231000000018</v>
      </c>
      <c r="I909">
        <v>975042</v>
      </c>
      <c r="J909" t="s">
        <v>88</v>
      </c>
      <c r="K909" t="s">
        <v>94</v>
      </c>
      <c r="L909" s="16" t="s">
        <v>10</v>
      </c>
    </row>
    <row r="910" spans="1:12" x14ac:dyDescent="0.35">
      <c r="A910" t="s">
        <v>8</v>
      </c>
      <c r="B910" t="s">
        <v>17</v>
      </c>
      <c r="C910" t="s">
        <v>95</v>
      </c>
      <c r="D910" t="s">
        <v>10</v>
      </c>
      <c r="E910" t="s">
        <v>10</v>
      </c>
      <c r="F910" s="7">
        <v>45388</v>
      </c>
      <c r="G910" s="1">
        <v>45292</v>
      </c>
      <c r="H910" s="14">
        <v>8249.980000000005</v>
      </c>
      <c r="I910">
        <v>1826267</v>
      </c>
      <c r="J910" t="s">
        <v>88</v>
      </c>
      <c r="K910" t="s">
        <v>96</v>
      </c>
      <c r="L910" s="16" t="s">
        <v>10</v>
      </c>
    </row>
    <row r="911" spans="1:12" x14ac:dyDescent="0.35">
      <c r="A911" t="s">
        <v>8</v>
      </c>
      <c r="B911" t="s">
        <v>99</v>
      </c>
      <c r="C911" t="s">
        <v>93</v>
      </c>
      <c r="D911" t="s">
        <v>10</v>
      </c>
      <c r="E911" t="s">
        <v>10</v>
      </c>
      <c r="F911" s="7">
        <v>45388</v>
      </c>
      <c r="G911" s="1">
        <v>45292</v>
      </c>
      <c r="H911" s="14">
        <v>5417.0466999999981</v>
      </c>
      <c r="I911">
        <v>900266</v>
      </c>
      <c r="J911" t="s">
        <v>88</v>
      </c>
      <c r="K911" t="s">
        <v>94</v>
      </c>
      <c r="L911" s="16" t="s">
        <v>10</v>
      </c>
    </row>
    <row r="912" spans="1:12" x14ac:dyDescent="0.35">
      <c r="A912" t="s">
        <v>8</v>
      </c>
      <c r="B912" t="s">
        <v>99</v>
      </c>
      <c r="C912" t="s">
        <v>95</v>
      </c>
      <c r="D912" t="s">
        <v>10</v>
      </c>
      <c r="E912" t="s">
        <v>10</v>
      </c>
      <c r="F912" s="7">
        <v>45388</v>
      </c>
      <c r="G912" s="1">
        <v>45292</v>
      </c>
      <c r="H912" s="14">
        <v>3517.9199999999978</v>
      </c>
      <c r="I912">
        <v>1022832</v>
      </c>
      <c r="J912" t="s">
        <v>88</v>
      </c>
      <c r="K912" t="s">
        <v>96</v>
      </c>
      <c r="L912" s="16" t="s">
        <v>10</v>
      </c>
    </row>
    <row r="913" spans="1:12" x14ac:dyDescent="0.35">
      <c r="A913" t="s">
        <v>8</v>
      </c>
      <c r="B913" t="s">
        <v>100</v>
      </c>
      <c r="C913" t="s">
        <v>93</v>
      </c>
      <c r="D913" t="s">
        <v>10</v>
      </c>
      <c r="E913" t="s">
        <v>10</v>
      </c>
      <c r="F913" s="7">
        <v>45388</v>
      </c>
      <c r="G913" s="1">
        <v>45292</v>
      </c>
      <c r="H913" s="14">
        <v>11820.418499999998</v>
      </c>
      <c r="I913">
        <v>2465604</v>
      </c>
      <c r="J913" t="s">
        <v>88</v>
      </c>
      <c r="K913" t="s">
        <v>94</v>
      </c>
      <c r="L913" s="16" t="s">
        <v>10</v>
      </c>
    </row>
    <row r="914" spans="1:12" x14ac:dyDescent="0.35">
      <c r="A914" t="s">
        <v>8</v>
      </c>
      <c r="B914" t="s">
        <v>100</v>
      </c>
      <c r="C914" t="s">
        <v>95</v>
      </c>
      <c r="D914" t="s">
        <v>10</v>
      </c>
      <c r="E914" t="s">
        <v>10</v>
      </c>
      <c r="F914" s="7">
        <v>45388</v>
      </c>
      <c r="G914" s="1">
        <v>45292</v>
      </c>
      <c r="H914" s="14">
        <v>9863.5500000000029</v>
      </c>
      <c r="I914">
        <v>3232867</v>
      </c>
      <c r="J914" t="s">
        <v>88</v>
      </c>
      <c r="K914" t="s">
        <v>96</v>
      </c>
      <c r="L914" s="16" t="s">
        <v>10</v>
      </c>
    </row>
    <row r="915" spans="1:12" x14ac:dyDescent="0.35">
      <c r="A915" t="s">
        <v>8</v>
      </c>
      <c r="B915" t="s">
        <v>21</v>
      </c>
      <c r="C915" t="s">
        <v>93</v>
      </c>
      <c r="D915" t="s">
        <v>10</v>
      </c>
      <c r="E915" t="s">
        <v>10</v>
      </c>
      <c r="F915" s="7">
        <v>45388</v>
      </c>
      <c r="G915" s="1">
        <v>45292</v>
      </c>
      <c r="H915" s="14">
        <v>2502.9568000000004</v>
      </c>
      <c r="I915">
        <v>685982</v>
      </c>
      <c r="J915" t="s">
        <v>88</v>
      </c>
      <c r="K915" t="s">
        <v>94</v>
      </c>
      <c r="L915" s="16" t="s">
        <v>10</v>
      </c>
    </row>
    <row r="916" spans="1:12" x14ac:dyDescent="0.35">
      <c r="A916" t="s">
        <v>8</v>
      </c>
      <c r="B916" t="s">
        <v>21</v>
      </c>
      <c r="C916" t="s">
        <v>95</v>
      </c>
      <c r="D916" t="s">
        <v>10</v>
      </c>
      <c r="E916" t="s">
        <v>10</v>
      </c>
      <c r="F916" s="7">
        <v>45388</v>
      </c>
      <c r="G916" s="1">
        <v>45292</v>
      </c>
      <c r="H916" s="14">
        <v>4155.57</v>
      </c>
      <c r="I916">
        <v>751857</v>
      </c>
      <c r="J916" t="s">
        <v>88</v>
      </c>
      <c r="K916" t="s">
        <v>96</v>
      </c>
      <c r="L916" s="16" t="s">
        <v>10</v>
      </c>
    </row>
    <row r="917" spans="1:12" x14ac:dyDescent="0.35">
      <c r="A917" t="s">
        <v>8</v>
      </c>
      <c r="B917" t="s">
        <v>101</v>
      </c>
      <c r="C917" t="s">
        <v>93</v>
      </c>
      <c r="D917" t="s">
        <v>10</v>
      </c>
      <c r="E917" t="s">
        <v>10</v>
      </c>
      <c r="F917" s="7">
        <v>45388</v>
      </c>
      <c r="G917" s="1">
        <v>45292</v>
      </c>
      <c r="H917" s="14">
        <v>3065.2410000000004</v>
      </c>
      <c r="I917">
        <v>904477</v>
      </c>
      <c r="J917" t="s">
        <v>88</v>
      </c>
      <c r="K917" t="s">
        <v>94</v>
      </c>
      <c r="L917" s="16" t="s">
        <v>10</v>
      </c>
    </row>
    <row r="918" spans="1:12" x14ac:dyDescent="0.35">
      <c r="A918" t="s">
        <v>8</v>
      </c>
      <c r="B918" t="s">
        <v>101</v>
      </c>
      <c r="C918" t="s">
        <v>95</v>
      </c>
      <c r="D918" t="s">
        <v>10</v>
      </c>
      <c r="E918" t="s">
        <v>10</v>
      </c>
      <c r="F918" s="7">
        <v>45388</v>
      </c>
      <c r="G918" s="1">
        <v>45292</v>
      </c>
      <c r="H918" s="14">
        <v>5528.7300000000041</v>
      </c>
      <c r="I918">
        <v>1295296</v>
      </c>
      <c r="J918" t="s">
        <v>88</v>
      </c>
      <c r="K918" t="s">
        <v>96</v>
      </c>
      <c r="L918" s="16" t="s">
        <v>10</v>
      </c>
    </row>
    <row r="919" spans="1:12" x14ac:dyDescent="0.35">
      <c r="A919" t="s">
        <v>8</v>
      </c>
      <c r="B919" t="s">
        <v>16</v>
      </c>
      <c r="C919" t="s">
        <v>93</v>
      </c>
      <c r="D919" t="s">
        <v>10</v>
      </c>
      <c r="E919" t="s">
        <v>10</v>
      </c>
      <c r="F919" s="7">
        <v>45388</v>
      </c>
      <c r="G919" s="1">
        <v>45292</v>
      </c>
      <c r="H919" s="14">
        <v>125.91149999999999</v>
      </c>
      <c r="I919">
        <v>55427</v>
      </c>
      <c r="J919" t="s">
        <v>88</v>
      </c>
      <c r="K919" t="s">
        <v>94</v>
      </c>
      <c r="L919" s="16" t="s">
        <v>10</v>
      </c>
    </row>
    <row r="920" spans="1:12" x14ac:dyDescent="0.35">
      <c r="A920" t="s">
        <v>8</v>
      </c>
      <c r="B920" t="s">
        <v>102</v>
      </c>
      <c r="C920" t="s">
        <v>95</v>
      </c>
      <c r="D920" t="s">
        <v>10</v>
      </c>
      <c r="E920" t="s">
        <v>10</v>
      </c>
      <c r="F920" s="7">
        <v>45388</v>
      </c>
      <c r="G920" s="1">
        <v>45292</v>
      </c>
      <c r="H920" s="14">
        <v>0.77</v>
      </c>
      <c r="I920">
        <v>3586</v>
      </c>
      <c r="J920" t="s">
        <v>88</v>
      </c>
      <c r="K920" t="s">
        <v>96</v>
      </c>
      <c r="L920" s="16" t="s">
        <v>10</v>
      </c>
    </row>
    <row r="921" spans="1:12" x14ac:dyDescent="0.35">
      <c r="A921" t="s">
        <v>8</v>
      </c>
      <c r="B921" t="s">
        <v>103</v>
      </c>
      <c r="C921" t="s">
        <v>95</v>
      </c>
      <c r="D921" t="s">
        <v>104</v>
      </c>
      <c r="E921" t="s">
        <v>8</v>
      </c>
      <c r="F921" s="7">
        <v>45388</v>
      </c>
      <c r="G921" s="1">
        <v>45292</v>
      </c>
      <c r="H921" s="14">
        <v>100.25999999999999</v>
      </c>
      <c r="I921">
        <v>418</v>
      </c>
      <c r="J921" t="s">
        <v>88</v>
      </c>
      <c r="K921" t="s">
        <v>105</v>
      </c>
      <c r="L921" s="16" t="s">
        <v>95</v>
      </c>
    </row>
    <row r="922" spans="1:12" x14ac:dyDescent="0.35">
      <c r="A922" t="s">
        <v>8</v>
      </c>
      <c r="B922" t="s">
        <v>16</v>
      </c>
      <c r="C922" t="s">
        <v>95</v>
      </c>
      <c r="D922" t="s">
        <v>104</v>
      </c>
      <c r="E922" t="s">
        <v>8</v>
      </c>
      <c r="F922" s="7">
        <v>45388</v>
      </c>
      <c r="G922" s="1">
        <v>45292</v>
      </c>
      <c r="H922" s="14">
        <v>44.11</v>
      </c>
      <c r="I922">
        <v>211</v>
      </c>
      <c r="J922" t="s">
        <v>88</v>
      </c>
      <c r="K922" t="s">
        <v>105</v>
      </c>
      <c r="L922" s="16" t="s">
        <v>95</v>
      </c>
    </row>
    <row r="923" spans="1:12" x14ac:dyDescent="0.35">
      <c r="A923" t="s">
        <v>8</v>
      </c>
      <c r="B923" t="s">
        <v>84</v>
      </c>
      <c r="C923" t="s">
        <v>95</v>
      </c>
      <c r="D923" t="s">
        <v>104</v>
      </c>
      <c r="E923" t="s">
        <v>8</v>
      </c>
      <c r="F923" s="7">
        <v>45388</v>
      </c>
      <c r="G923" s="1">
        <v>45292</v>
      </c>
      <c r="H923" s="14">
        <v>8505.9989580000001</v>
      </c>
      <c r="I923">
        <v>31858</v>
      </c>
      <c r="J923" t="s">
        <v>88</v>
      </c>
      <c r="K923" t="s">
        <v>105</v>
      </c>
      <c r="L923" s="16" t="s">
        <v>95</v>
      </c>
    </row>
    <row r="924" spans="1:12" x14ac:dyDescent="0.35">
      <c r="A924" t="s">
        <v>8</v>
      </c>
      <c r="B924" t="s">
        <v>17</v>
      </c>
      <c r="C924" t="s">
        <v>95</v>
      </c>
      <c r="D924" t="s">
        <v>104</v>
      </c>
      <c r="E924" t="s">
        <v>8</v>
      </c>
      <c r="F924" s="7">
        <v>45388</v>
      </c>
      <c r="G924" s="1">
        <v>45292</v>
      </c>
      <c r="H924" s="14">
        <v>102.03999999999999</v>
      </c>
      <c r="I924">
        <v>941</v>
      </c>
      <c r="J924" t="s">
        <v>88</v>
      </c>
      <c r="K924" t="s">
        <v>105</v>
      </c>
      <c r="L924" s="16" t="s">
        <v>95</v>
      </c>
    </row>
    <row r="925" spans="1:12" x14ac:dyDescent="0.35">
      <c r="A925" t="s">
        <v>8</v>
      </c>
      <c r="B925" t="s">
        <v>106</v>
      </c>
      <c r="C925" t="s">
        <v>95</v>
      </c>
      <c r="D925" t="s">
        <v>104</v>
      </c>
      <c r="E925" t="s">
        <v>8</v>
      </c>
      <c r="F925" s="7">
        <v>45388</v>
      </c>
      <c r="G925" s="1">
        <v>45292</v>
      </c>
      <c r="H925" s="14">
        <v>339.32320599999997</v>
      </c>
      <c r="I925">
        <v>668</v>
      </c>
      <c r="J925" t="s">
        <v>88</v>
      </c>
      <c r="K925" t="s">
        <v>105</v>
      </c>
      <c r="L925" s="16" t="s">
        <v>95</v>
      </c>
    </row>
    <row r="926" spans="1:12" x14ac:dyDescent="0.35">
      <c r="A926" t="s">
        <v>8</v>
      </c>
      <c r="B926" t="s">
        <v>92</v>
      </c>
      <c r="C926" t="s">
        <v>95</v>
      </c>
      <c r="D926" t="s">
        <v>104</v>
      </c>
      <c r="E926" t="s">
        <v>8</v>
      </c>
      <c r="F926" s="7">
        <v>45388</v>
      </c>
      <c r="G926" s="1">
        <v>45292</v>
      </c>
      <c r="H926" s="14">
        <v>235.44117900000001</v>
      </c>
      <c r="I926">
        <v>1668</v>
      </c>
      <c r="J926" t="s">
        <v>88</v>
      </c>
      <c r="K926" t="s">
        <v>105</v>
      </c>
      <c r="L926" s="16" t="s">
        <v>95</v>
      </c>
    </row>
    <row r="927" spans="1:12" x14ac:dyDescent="0.35">
      <c r="A927" t="s">
        <v>8</v>
      </c>
      <c r="B927" t="s">
        <v>21</v>
      </c>
      <c r="C927" t="s">
        <v>95</v>
      </c>
      <c r="D927" t="s">
        <v>104</v>
      </c>
      <c r="E927" t="s">
        <v>8</v>
      </c>
      <c r="F927" s="7">
        <v>45388</v>
      </c>
      <c r="G927" s="1">
        <v>45292</v>
      </c>
      <c r="H927" s="14">
        <v>291.04181799999998</v>
      </c>
      <c r="I927">
        <v>2100</v>
      </c>
      <c r="J927" t="s">
        <v>88</v>
      </c>
      <c r="K927" t="s">
        <v>105</v>
      </c>
      <c r="L927" s="16" t="s">
        <v>95</v>
      </c>
    </row>
    <row r="928" spans="1:12" x14ac:dyDescent="0.35">
      <c r="A928" t="s">
        <v>8</v>
      </c>
      <c r="B928" t="s">
        <v>101</v>
      </c>
      <c r="C928" t="s">
        <v>95</v>
      </c>
      <c r="D928" t="s">
        <v>104</v>
      </c>
      <c r="E928" t="s">
        <v>8</v>
      </c>
      <c r="F928" s="7">
        <v>45388</v>
      </c>
      <c r="G928" s="1">
        <v>45292</v>
      </c>
      <c r="H928" s="14">
        <v>59.379999999999995</v>
      </c>
      <c r="I928">
        <v>494</v>
      </c>
      <c r="J928" t="s">
        <v>88</v>
      </c>
      <c r="K928" t="s">
        <v>105</v>
      </c>
      <c r="L928" s="16" t="s">
        <v>95</v>
      </c>
    </row>
    <row r="929" spans="1:12" x14ac:dyDescent="0.35">
      <c r="A929" t="s">
        <v>8</v>
      </c>
      <c r="B929" t="s">
        <v>99</v>
      </c>
      <c r="C929" t="s">
        <v>95</v>
      </c>
      <c r="D929" t="s">
        <v>104</v>
      </c>
      <c r="E929" t="s">
        <v>8</v>
      </c>
      <c r="F929" s="7">
        <v>45388</v>
      </c>
      <c r="G929" s="1">
        <v>45292</v>
      </c>
      <c r="H929" s="14">
        <v>64.290000000000006</v>
      </c>
      <c r="I929">
        <v>470</v>
      </c>
      <c r="J929" t="s">
        <v>88</v>
      </c>
      <c r="K929" t="s">
        <v>105</v>
      </c>
      <c r="L929" s="16" t="s">
        <v>95</v>
      </c>
    </row>
    <row r="930" spans="1:12" x14ac:dyDescent="0.35">
      <c r="A930" t="s">
        <v>8</v>
      </c>
      <c r="B930" t="s">
        <v>100</v>
      </c>
      <c r="C930" t="s">
        <v>95</v>
      </c>
      <c r="D930" t="s">
        <v>104</v>
      </c>
      <c r="E930" t="s">
        <v>8</v>
      </c>
      <c r="F930" s="7">
        <v>45388</v>
      </c>
      <c r="G930" s="1">
        <v>45292</v>
      </c>
      <c r="H930" s="14">
        <v>106.03999999999999</v>
      </c>
      <c r="I930">
        <v>822</v>
      </c>
      <c r="J930" t="s">
        <v>88</v>
      </c>
      <c r="K930" t="s">
        <v>105</v>
      </c>
      <c r="L930" s="16" t="s">
        <v>95</v>
      </c>
    </row>
    <row r="931" spans="1:12" x14ac:dyDescent="0.35">
      <c r="A931" t="s">
        <v>8</v>
      </c>
      <c r="B931" t="s">
        <v>21</v>
      </c>
      <c r="C931" t="s">
        <v>85</v>
      </c>
      <c r="D931" t="s">
        <v>9</v>
      </c>
      <c r="E931" t="s">
        <v>10</v>
      </c>
      <c r="F931" s="7">
        <v>45395</v>
      </c>
      <c r="G931" s="1">
        <v>45292</v>
      </c>
      <c r="H931" s="14">
        <v>18797.490014999996</v>
      </c>
      <c r="I931">
        <v>4201768</v>
      </c>
      <c r="J931" t="s">
        <v>88</v>
      </c>
      <c r="K931" t="s">
        <v>87</v>
      </c>
      <c r="L931" s="16" t="s">
        <v>9</v>
      </c>
    </row>
    <row r="932" spans="1:12" x14ac:dyDescent="0.35">
      <c r="A932" t="s">
        <v>8</v>
      </c>
      <c r="B932" t="s">
        <v>21</v>
      </c>
      <c r="C932" t="s">
        <v>85</v>
      </c>
      <c r="D932" t="s">
        <v>9</v>
      </c>
      <c r="E932" t="s">
        <v>12</v>
      </c>
      <c r="F932" s="7">
        <v>45395</v>
      </c>
      <c r="G932" s="1">
        <v>45292</v>
      </c>
      <c r="H932" s="14">
        <v>15381.100011</v>
      </c>
      <c r="I932">
        <v>2963532</v>
      </c>
      <c r="J932" t="s">
        <v>88</v>
      </c>
      <c r="K932" t="s">
        <v>87</v>
      </c>
      <c r="L932" s="16" t="s">
        <v>12</v>
      </c>
    </row>
    <row r="933" spans="1:12" x14ac:dyDescent="0.35">
      <c r="A933" t="s">
        <v>8</v>
      </c>
      <c r="B933" t="s">
        <v>92</v>
      </c>
      <c r="C933" t="s">
        <v>93</v>
      </c>
      <c r="D933" t="s">
        <v>10</v>
      </c>
      <c r="E933" t="s">
        <v>10</v>
      </c>
      <c r="F933" s="7">
        <v>45395</v>
      </c>
      <c r="G933" s="1">
        <v>45292</v>
      </c>
      <c r="H933" s="14">
        <v>5351.6664999999994</v>
      </c>
      <c r="I933">
        <v>1294175</v>
      </c>
      <c r="J933" t="s">
        <v>88</v>
      </c>
      <c r="K933" t="s">
        <v>94</v>
      </c>
      <c r="L933" s="16" t="s">
        <v>10</v>
      </c>
    </row>
    <row r="934" spans="1:12" x14ac:dyDescent="0.35">
      <c r="A934" t="s">
        <v>8</v>
      </c>
      <c r="B934" t="s">
        <v>92</v>
      </c>
      <c r="C934" t="s">
        <v>95</v>
      </c>
      <c r="D934" t="s">
        <v>10</v>
      </c>
      <c r="E934" t="s">
        <v>10</v>
      </c>
      <c r="F934" s="7">
        <v>45395</v>
      </c>
      <c r="G934" s="1">
        <v>45292</v>
      </c>
      <c r="H934" s="14">
        <v>8077.9700000000021</v>
      </c>
      <c r="I934">
        <v>1917192</v>
      </c>
      <c r="J934" t="s">
        <v>88</v>
      </c>
      <c r="K934" t="s">
        <v>96</v>
      </c>
      <c r="L934" s="16" t="s">
        <v>10</v>
      </c>
    </row>
    <row r="935" spans="1:12" x14ac:dyDescent="0.35">
      <c r="A935" t="s">
        <v>8</v>
      </c>
      <c r="B935" t="s">
        <v>84</v>
      </c>
      <c r="C935" t="s">
        <v>93</v>
      </c>
      <c r="D935" t="s">
        <v>10</v>
      </c>
      <c r="E935" t="s">
        <v>10</v>
      </c>
      <c r="F935" s="7">
        <v>45395</v>
      </c>
      <c r="G935" s="1">
        <v>45292</v>
      </c>
      <c r="H935" s="14">
        <v>6043.7695999999996</v>
      </c>
      <c r="I935">
        <v>960050</v>
      </c>
      <c r="J935" t="s">
        <v>88</v>
      </c>
      <c r="K935" t="s">
        <v>94</v>
      </c>
      <c r="L935" s="16" t="s">
        <v>10</v>
      </c>
    </row>
    <row r="936" spans="1:12" x14ac:dyDescent="0.35">
      <c r="A936" t="s">
        <v>8</v>
      </c>
      <c r="B936" t="s">
        <v>84</v>
      </c>
      <c r="C936" t="s">
        <v>95</v>
      </c>
      <c r="D936" t="s">
        <v>10</v>
      </c>
      <c r="E936" t="s">
        <v>10</v>
      </c>
      <c r="F936" s="7">
        <v>45395</v>
      </c>
      <c r="G936" s="1">
        <v>45292</v>
      </c>
      <c r="H936" s="14">
        <v>4850.5599999999995</v>
      </c>
      <c r="I936">
        <v>1130461</v>
      </c>
      <c r="J936" t="s">
        <v>88</v>
      </c>
      <c r="K936" t="s">
        <v>96</v>
      </c>
      <c r="L936" s="16" t="s">
        <v>10</v>
      </c>
    </row>
    <row r="937" spans="1:12" x14ac:dyDescent="0.35">
      <c r="A937" t="s">
        <v>8</v>
      </c>
      <c r="B937" t="s">
        <v>17</v>
      </c>
      <c r="C937" t="s">
        <v>93</v>
      </c>
      <c r="D937" t="s">
        <v>10</v>
      </c>
      <c r="E937" t="s">
        <v>10</v>
      </c>
      <c r="F937" s="7">
        <v>45395</v>
      </c>
      <c r="G937" s="1">
        <v>45292</v>
      </c>
      <c r="H937" s="14">
        <v>6972.1745999999994</v>
      </c>
      <c r="I937">
        <v>1205741</v>
      </c>
      <c r="J937" t="s">
        <v>88</v>
      </c>
      <c r="K937" t="s">
        <v>94</v>
      </c>
      <c r="L937" s="16" t="s">
        <v>10</v>
      </c>
    </row>
    <row r="938" spans="1:12" x14ac:dyDescent="0.35">
      <c r="A938" t="s">
        <v>8</v>
      </c>
      <c r="B938" t="s">
        <v>17</v>
      </c>
      <c r="C938" t="s">
        <v>95</v>
      </c>
      <c r="D938" t="s">
        <v>10</v>
      </c>
      <c r="E938" t="s">
        <v>10</v>
      </c>
      <c r="F938" s="7">
        <v>45395</v>
      </c>
      <c r="G938" s="1">
        <v>45292</v>
      </c>
      <c r="H938" s="14">
        <v>10199.040000000003</v>
      </c>
      <c r="I938">
        <v>2323604</v>
      </c>
      <c r="J938" t="s">
        <v>88</v>
      </c>
      <c r="K938" t="s">
        <v>96</v>
      </c>
      <c r="L938" s="16" t="s">
        <v>10</v>
      </c>
    </row>
    <row r="939" spans="1:12" x14ac:dyDescent="0.35">
      <c r="A939" t="s">
        <v>8</v>
      </c>
      <c r="B939" t="s">
        <v>99</v>
      </c>
      <c r="C939" t="s">
        <v>93</v>
      </c>
      <c r="D939" t="s">
        <v>10</v>
      </c>
      <c r="E939" t="s">
        <v>10</v>
      </c>
      <c r="F939" s="7">
        <v>45395</v>
      </c>
      <c r="G939" s="1">
        <v>45292</v>
      </c>
      <c r="H939" s="14">
        <v>7143.3048000000017</v>
      </c>
      <c r="I939">
        <v>1192619</v>
      </c>
      <c r="J939" t="s">
        <v>88</v>
      </c>
      <c r="K939" t="s">
        <v>94</v>
      </c>
      <c r="L939" s="16" t="s">
        <v>10</v>
      </c>
    </row>
    <row r="940" spans="1:12" x14ac:dyDescent="0.35">
      <c r="A940" t="s">
        <v>8</v>
      </c>
      <c r="B940" t="s">
        <v>99</v>
      </c>
      <c r="C940" t="s">
        <v>95</v>
      </c>
      <c r="D940" t="s">
        <v>10</v>
      </c>
      <c r="E940" t="s">
        <v>10</v>
      </c>
      <c r="F940" s="7">
        <v>45395</v>
      </c>
      <c r="G940" s="1">
        <v>45292</v>
      </c>
      <c r="H940" s="14">
        <v>6111.28</v>
      </c>
      <c r="I940">
        <v>1469080</v>
      </c>
      <c r="J940" t="s">
        <v>88</v>
      </c>
      <c r="K940" t="s">
        <v>96</v>
      </c>
      <c r="L940" s="16" t="s">
        <v>10</v>
      </c>
    </row>
    <row r="941" spans="1:12" x14ac:dyDescent="0.35">
      <c r="A941" t="s">
        <v>8</v>
      </c>
      <c r="B941" t="s">
        <v>100</v>
      </c>
      <c r="C941" t="s">
        <v>93</v>
      </c>
      <c r="D941" t="s">
        <v>10</v>
      </c>
      <c r="E941" t="s">
        <v>10</v>
      </c>
      <c r="F941" s="7">
        <v>45395</v>
      </c>
      <c r="G941" s="1">
        <v>45292</v>
      </c>
      <c r="H941" s="14">
        <v>5290.145300000001</v>
      </c>
      <c r="I941">
        <v>1448631</v>
      </c>
      <c r="J941" t="s">
        <v>88</v>
      </c>
      <c r="K941" t="s">
        <v>94</v>
      </c>
      <c r="L941" s="16" t="s">
        <v>10</v>
      </c>
    </row>
    <row r="942" spans="1:12" x14ac:dyDescent="0.35">
      <c r="A942" t="s">
        <v>8</v>
      </c>
      <c r="B942" t="s">
        <v>100</v>
      </c>
      <c r="C942" t="s">
        <v>95</v>
      </c>
      <c r="D942" t="s">
        <v>10</v>
      </c>
      <c r="E942" t="s">
        <v>10</v>
      </c>
      <c r="F942" s="7">
        <v>45395</v>
      </c>
      <c r="G942" s="1">
        <v>45292</v>
      </c>
      <c r="H942" s="14">
        <v>7098.7800000000007</v>
      </c>
      <c r="I942">
        <v>2443805</v>
      </c>
      <c r="J942" t="s">
        <v>88</v>
      </c>
      <c r="K942" t="s">
        <v>96</v>
      </c>
      <c r="L942" s="16" t="s">
        <v>10</v>
      </c>
    </row>
    <row r="943" spans="1:12" x14ac:dyDescent="0.35">
      <c r="A943" t="s">
        <v>8</v>
      </c>
      <c r="B943" t="s">
        <v>21</v>
      </c>
      <c r="C943" t="s">
        <v>93</v>
      </c>
      <c r="D943" t="s">
        <v>10</v>
      </c>
      <c r="E943" t="s">
        <v>10</v>
      </c>
      <c r="F943" s="7">
        <v>45395</v>
      </c>
      <c r="G943" s="1">
        <v>45292</v>
      </c>
      <c r="H943" s="14">
        <v>3915.5297999999993</v>
      </c>
      <c r="I943">
        <v>1064546</v>
      </c>
      <c r="J943" t="s">
        <v>88</v>
      </c>
      <c r="K943" t="s">
        <v>94</v>
      </c>
      <c r="L943" s="16" t="s">
        <v>10</v>
      </c>
    </row>
    <row r="944" spans="1:12" x14ac:dyDescent="0.35">
      <c r="A944" t="s">
        <v>8</v>
      </c>
      <c r="B944" t="s">
        <v>21</v>
      </c>
      <c r="C944" t="s">
        <v>95</v>
      </c>
      <c r="D944" t="s">
        <v>10</v>
      </c>
      <c r="E944" t="s">
        <v>10</v>
      </c>
      <c r="F944" s="7">
        <v>45395</v>
      </c>
      <c r="G944" s="1">
        <v>45292</v>
      </c>
      <c r="H944" s="14">
        <v>3106.690000000001</v>
      </c>
      <c r="I944">
        <v>588058</v>
      </c>
      <c r="J944" t="s">
        <v>88</v>
      </c>
      <c r="K944" t="s">
        <v>96</v>
      </c>
      <c r="L944" s="16" t="s">
        <v>10</v>
      </c>
    </row>
    <row r="945" spans="1:12" x14ac:dyDescent="0.35">
      <c r="A945" t="s">
        <v>8</v>
      </c>
      <c r="B945" t="s">
        <v>101</v>
      </c>
      <c r="C945" t="s">
        <v>93</v>
      </c>
      <c r="D945" t="s">
        <v>10</v>
      </c>
      <c r="E945" t="s">
        <v>10</v>
      </c>
      <c r="F945" s="7">
        <v>45395</v>
      </c>
      <c r="G945" s="1">
        <v>45292</v>
      </c>
      <c r="H945" s="14">
        <v>5856.3028999999988</v>
      </c>
      <c r="I945">
        <v>1512999</v>
      </c>
      <c r="J945" t="s">
        <v>88</v>
      </c>
      <c r="K945" t="s">
        <v>94</v>
      </c>
      <c r="L945" s="16" t="s">
        <v>10</v>
      </c>
    </row>
    <row r="946" spans="1:12" x14ac:dyDescent="0.35">
      <c r="A946" t="s">
        <v>8</v>
      </c>
      <c r="B946" t="s">
        <v>101</v>
      </c>
      <c r="C946" t="s">
        <v>95</v>
      </c>
      <c r="D946" t="s">
        <v>10</v>
      </c>
      <c r="E946" t="s">
        <v>10</v>
      </c>
      <c r="F946" s="7">
        <v>45395</v>
      </c>
      <c r="G946" s="1">
        <v>45292</v>
      </c>
      <c r="H946" s="14">
        <v>4823.760000000002</v>
      </c>
      <c r="I946">
        <v>1077695</v>
      </c>
      <c r="J946" t="s">
        <v>88</v>
      </c>
      <c r="K946" t="s">
        <v>96</v>
      </c>
      <c r="L946" s="16" t="s">
        <v>10</v>
      </c>
    </row>
    <row r="947" spans="1:12" x14ac:dyDescent="0.35">
      <c r="A947" t="s">
        <v>8</v>
      </c>
      <c r="B947" t="s">
        <v>102</v>
      </c>
      <c r="C947" t="s">
        <v>95</v>
      </c>
      <c r="D947" t="s">
        <v>10</v>
      </c>
      <c r="E947" t="s">
        <v>10</v>
      </c>
      <c r="F947" s="7">
        <v>45395</v>
      </c>
      <c r="G947" s="1">
        <v>45292</v>
      </c>
      <c r="H947" s="14">
        <v>0.37</v>
      </c>
      <c r="I947">
        <v>2051</v>
      </c>
      <c r="J947" t="s">
        <v>88</v>
      </c>
      <c r="K947" t="s">
        <v>96</v>
      </c>
      <c r="L947" s="16" t="s">
        <v>10</v>
      </c>
    </row>
    <row r="948" spans="1:12" x14ac:dyDescent="0.35">
      <c r="A948" t="s">
        <v>8</v>
      </c>
      <c r="B948" t="s">
        <v>103</v>
      </c>
      <c r="C948" t="s">
        <v>95</v>
      </c>
      <c r="D948" t="s">
        <v>104</v>
      </c>
      <c r="E948" t="s">
        <v>8</v>
      </c>
      <c r="F948" s="7">
        <v>45395</v>
      </c>
      <c r="G948" s="1">
        <v>45292</v>
      </c>
      <c r="H948" s="14">
        <v>81.94</v>
      </c>
      <c r="I948">
        <v>358</v>
      </c>
      <c r="J948" t="s">
        <v>88</v>
      </c>
      <c r="K948" t="s">
        <v>105</v>
      </c>
      <c r="L948" s="16" t="s">
        <v>95</v>
      </c>
    </row>
    <row r="949" spans="1:12" x14ac:dyDescent="0.35">
      <c r="A949" t="s">
        <v>8</v>
      </c>
      <c r="B949" t="s">
        <v>16</v>
      </c>
      <c r="C949" t="s">
        <v>95</v>
      </c>
      <c r="D949" t="s">
        <v>104</v>
      </c>
      <c r="E949" t="s">
        <v>8</v>
      </c>
      <c r="F949" s="7">
        <v>45395</v>
      </c>
      <c r="G949" s="1">
        <v>45292</v>
      </c>
      <c r="H949" s="14">
        <v>32.639999999999993</v>
      </c>
      <c r="I949">
        <v>168</v>
      </c>
      <c r="J949" t="s">
        <v>88</v>
      </c>
      <c r="K949" t="s">
        <v>105</v>
      </c>
      <c r="L949" s="16" t="s">
        <v>95</v>
      </c>
    </row>
    <row r="950" spans="1:12" x14ac:dyDescent="0.35">
      <c r="A950" t="s">
        <v>8</v>
      </c>
      <c r="B950" t="s">
        <v>84</v>
      </c>
      <c r="C950" t="s">
        <v>95</v>
      </c>
      <c r="D950" t="s">
        <v>104</v>
      </c>
      <c r="E950" t="s">
        <v>8</v>
      </c>
      <c r="F950" s="7">
        <v>45395</v>
      </c>
      <c r="G950" s="1">
        <v>45292</v>
      </c>
      <c r="H950" s="14">
        <v>8947.6126199999981</v>
      </c>
      <c r="I950">
        <v>35254</v>
      </c>
      <c r="J950" t="s">
        <v>88</v>
      </c>
      <c r="K950" t="s">
        <v>105</v>
      </c>
      <c r="L950" s="16" t="s">
        <v>95</v>
      </c>
    </row>
    <row r="951" spans="1:12" x14ac:dyDescent="0.35">
      <c r="A951" t="s">
        <v>8</v>
      </c>
      <c r="B951" t="s">
        <v>17</v>
      </c>
      <c r="C951" t="s">
        <v>95</v>
      </c>
      <c r="D951" t="s">
        <v>104</v>
      </c>
      <c r="E951" t="s">
        <v>8</v>
      </c>
      <c r="F951" s="7">
        <v>45395</v>
      </c>
      <c r="G951" s="1">
        <v>45292</v>
      </c>
      <c r="H951" s="14">
        <v>105.71000000000001</v>
      </c>
      <c r="I951">
        <v>942</v>
      </c>
      <c r="J951" t="s">
        <v>88</v>
      </c>
      <c r="K951" t="s">
        <v>105</v>
      </c>
      <c r="L951" s="16" t="s">
        <v>95</v>
      </c>
    </row>
    <row r="952" spans="1:12" x14ac:dyDescent="0.35">
      <c r="A952" t="s">
        <v>8</v>
      </c>
      <c r="B952" t="s">
        <v>106</v>
      </c>
      <c r="C952" t="s">
        <v>95</v>
      </c>
      <c r="D952" t="s">
        <v>104</v>
      </c>
      <c r="E952" t="s">
        <v>8</v>
      </c>
      <c r="F952" s="7">
        <v>45395</v>
      </c>
      <c r="G952" s="1">
        <v>45292</v>
      </c>
      <c r="H952" s="14">
        <v>244.45272600000001</v>
      </c>
      <c r="I952">
        <v>590</v>
      </c>
      <c r="J952" t="s">
        <v>88</v>
      </c>
      <c r="K952" t="s">
        <v>105</v>
      </c>
      <c r="L952" s="16" t="s">
        <v>95</v>
      </c>
    </row>
    <row r="953" spans="1:12" x14ac:dyDescent="0.35">
      <c r="A953" t="s">
        <v>8</v>
      </c>
      <c r="B953" t="s">
        <v>92</v>
      </c>
      <c r="C953" t="s">
        <v>95</v>
      </c>
      <c r="D953" t="s">
        <v>104</v>
      </c>
      <c r="E953" t="s">
        <v>8</v>
      </c>
      <c r="F953" s="7">
        <v>45395</v>
      </c>
      <c r="G953" s="1">
        <v>45292</v>
      </c>
      <c r="H953" s="14">
        <v>245.91000000000003</v>
      </c>
      <c r="I953">
        <v>1765</v>
      </c>
      <c r="J953" t="s">
        <v>88</v>
      </c>
      <c r="K953" t="s">
        <v>105</v>
      </c>
      <c r="L953" s="16" t="s">
        <v>95</v>
      </c>
    </row>
    <row r="954" spans="1:12" x14ac:dyDescent="0.35">
      <c r="A954" t="s">
        <v>8</v>
      </c>
      <c r="B954" t="s">
        <v>21</v>
      </c>
      <c r="C954" t="s">
        <v>95</v>
      </c>
      <c r="D954" t="s">
        <v>104</v>
      </c>
      <c r="E954" t="s">
        <v>8</v>
      </c>
      <c r="F954" s="7">
        <v>45395</v>
      </c>
      <c r="G954" s="1">
        <v>45292</v>
      </c>
      <c r="H954" s="14">
        <v>315.5</v>
      </c>
      <c r="I954">
        <v>2218</v>
      </c>
      <c r="J954" t="s">
        <v>88</v>
      </c>
      <c r="K954" t="s">
        <v>105</v>
      </c>
      <c r="L954" s="16" t="s">
        <v>95</v>
      </c>
    </row>
    <row r="955" spans="1:12" x14ac:dyDescent="0.35">
      <c r="A955" t="s">
        <v>8</v>
      </c>
      <c r="B955" t="s">
        <v>101</v>
      </c>
      <c r="C955" t="s">
        <v>95</v>
      </c>
      <c r="D955" t="s">
        <v>104</v>
      </c>
      <c r="E955" t="s">
        <v>8</v>
      </c>
      <c r="F955" s="7">
        <v>45395</v>
      </c>
      <c r="G955" s="1">
        <v>45292</v>
      </c>
      <c r="H955" s="14">
        <v>87.269999999999982</v>
      </c>
      <c r="I955">
        <v>424</v>
      </c>
      <c r="J955" t="s">
        <v>88</v>
      </c>
      <c r="K955" t="s">
        <v>105</v>
      </c>
      <c r="L955" s="16" t="s">
        <v>95</v>
      </c>
    </row>
    <row r="956" spans="1:12" x14ac:dyDescent="0.35">
      <c r="A956" t="s">
        <v>8</v>
      </c>
      <c r="B956" t="s">
        <v>99</v>
      </c>
      <c r="C956" t="s">
        <v>95</v>
      </c>
      <c r="D956" t="s">
        <v>104</v>
      </c>
      <c r="E956" t="s">
        <v>8</v>
      </c>
      <c r="F956" s="7">
        <v>45395</v>
      </c>
      <c r="G956" s="1">
        <v>45292</v>
      </c>
      <c r="H956" s="14">
        <v>73.387280000000004</v>
      </c>
      <c r="I956">
        <v>423</v>
      </c>
      <c r="J956" t="s">
        <v>88</v>
      </c>
      <c r="K956" t="s">
        <v>105</v>
      </c>
      <c r="L956" s="16" t="s">
        <v>95</v>
      </c>
    </row>
    <row r="957" spans="1:12" x14ac:dyDescent="0.35">
      <c r="A957" t="s">
        <v>8</v>
      </c>
      <c r="B957" t="s">
        <v>100</v>
      </c>
      <c r="C957" t="s">
        <v>95</v>
      </c>
      <c r="D957" t="s">
        <v>104</v>
      </c>
      <c r="E957" t="s">
        <v>8</v>
      </c>
      <c r="F957" s="7">
        <v>45395</v>
      </c>
      <c r="G957" s="1">
        <v>45292</v>
      </c>
      <c r="H957" s="14">
        <v>104.4</v>
      </c>
      <c r="I957">
        <v>792</v>
      </c>
      <c r="J957" t="s">
        <v>88</v>
      </c>
      <c r="K957" t="s">
        <v>105</v>
      </c>
      <c r="L957" s="16" t="s">
        <v>95</v>
      </c>
    </row>
    <row r="958" spans="1:12" x14ac:dyDescent="0.35">
      <c r="A958" t="s">
        <v>8</v>
      </c>
      <c r="B958" t="s">
        <v>21</v>
      </c>
      <c r="C958" t="s">
        <v>85</v>
      </c>
      <c r="D958" t="s">
        <v>9</v>
      </c>
      <c r="E958" t="s">
        <v>10</v>
      </c>
      <c r="F958" s="7">
        <v>45402</v>
      </c>
      <c r="G958" s="1">
        <v>45292</v>
      </c>
      <c r="H958" s="14">
        <v>17913.090012000004</v>
      </c>
      <c r="I958">
        <v>3972312</v>
      </c>
      <c r="J958" t="s">
        <v>88</v>
      </c>
      <c r="K958" t="s">
        <v>87</v>
      </c>
      <c r="L958" s="16" t="s">
        <v>9</v>
      </c>
    </row>
    <row r="959" spans="1:12" x14ac:dyDescent="0.35">
      <c r="A959" t="s">
        <v>8</v>
      </c>
      <c r="B959" t="s">
        <v>21</v>
      </c>
      <c r="C959" t="s">
        <v>85</v>
      </c>
      <c r="D959" t="s">
        <v>9</v>
      </c>
      <c r="E959" t="s">
        <v>12</v>
      </c>
      <c r="F959" s="7">
        <v>45402</v>
      </c>
      <c r="G959" s="1">
        <v>45292</v>
      </c>
      <c r="H959" s="14">
        <v>15511.380012</v>
      </c>
      <c r="I959">
        <v>2925705</v>
      </c>
      <c r="J959" t="s">
        <v>88</v>
      </c>
      <c r="K959" t="s">
        <v>87</v>
      </c>
      <c r="L959" s="16" t="s">
        <v>12</v>
      </c>
    </row>
    <row r="960" spans="1:12" x14ac:dyDescent="0.35">
      <c r="A960" t="s">
        <v>8</v>
      </c>
      <c r="B960" t="s">
        <v>21</v>
      </c>
      <c r="C960" t="s">
        <v>85</v>
      </c>
      <c r="D960" t="s">
        <v>13</v>
      </c>
      <c r="E960" t="s">
        <v>11</v>
      </c>
      <c r="F960" s="7">
        <v>45402</v>
      </c>
      <c r="G960" s="1">
        <v>45292</v>
      </c>
      <c r="H960" s="14">
        <v>19509.264289999999</v>
      </c>
      <c r="I960">
        <v>8656464</v>
      </c>
      <c r="J960" t="s">
        <v>88</v>
      </c>
      <c r="K960" t="s">
        <v>90</v>
      </c>
      <c r="L960" s="16" t="s">
        <v>13</v>
      </c>
    </row>
    <row r="961" spans="1:12" x14ac:dyDescent="0.35">
      <c r="A961" t="s">
        <v>8</v>
      </c>
      <c r="B961" t="s">
        <v>92</v>
      </c>
      <c r="C961" t="s">
        <v>93</v>
      </c>
      <c r="D961" t="s">
        <v>10</v>
      </c>
      <c r="E961" t="s">
        <v>10</v>
      </c>
      <c r="F961" s="7">
        <v>45402</v>
      </c>
      <c r="G961" s="1">
        <v>45292</v>
      </c>
      <c r="H961" s="14">
        <v>6220.5291999999981</v>
      </c>
      <c r="I961">
        <v>1183868</v>
      </c>
      <c r="J961" t="s">
        <v>88</v>
      </c>
      <c r="K961" t="s">
        <v>94</v>
      </c>
      <c r="L961" s="16" t="s">
        <v>10</v>
      </c>
    </row>
    <row r="962" spans="1:12" x14ac:dyDescent="0.35">
      <c r="A962" t="s">
        <v>8</v>
      </c>
      <c r="B962" t="s">
        <v>92</v>
      </c>
      <c r="C962" t="s">
        <v>95</v>
      </c>
      <c r="D962" t="s">
        <v>10</v>
      </c>
      <c r="E962" t="s">
        <v>10</v>
      </c>
      <c r="F962" s="7">
        <v>45402</v>
      </c>
      <c r="G962" s="1">
        <v>45292</v>
      </c>
      <c r="H962" s="14">
        <v>7298.38</v>
      </c>
      <c r="I962">
        <v>1888143</v>
      </c>
      <c r="J962" t="s">
        <v>88</v>
      </c>
      <c r="K962" t="s">
        <v>96</v>
      </c>
      <c r="L962" s="16" t="s">
        <v>10</v>
      </c>
    </row>
    <row r="963" spans="1:12" x14ac:dyDescent="0.35">
      <c r="A963" t="s">
        <v>8</v>
      </c>
      <c r="B963" t="s">
        <v>84</v>
      </c>
      <c r="C963" t="s">
        <v>93</v>
      </c>
      <c r="D963" t="s">
        <v>10</v>
      </c>
      <c r="E963" t="s">
        <v>10</v>
      </c>
      <c r="F963" s="7">
        <v>45402</v>
      </c>
      <c r="G963" s="1">
        <v>45292</v>
      </c>
      <c r="H963" s="14">
        <v>1614.7319999999997</v>
      </c>
      <c r="I963">
        <v>122785</v>
      </c>
      <c r="J963" t="s">
        <v>88</v>
      </c>
      <c r="K963" t="s">
        <v>94</v>
      </c>
      <c r="L963" s="16" t="s">
        <v>10</v>
      </c>
    </row>
    <row r="964" spans="1:12" x14ac:dyDescent="0.35">
      <c r="A964" t="s">
        <v>8</v>
      </c>
      <c r="B964" t="s">
        <v>84</v>
      </c>
      <c r="C964" t="s">
        <v>95</v>
      </c>
      <c r="D964" t="s">
        <v>10</v>
      </c>
      <c r="E964" t="s">
        <v>10</v>
      </c>
      <c r="F964" s="7">
        <v>45402</v>
      </c>
      <c r="G964" s="1">
        <v>45292</v>
      </c>
      <c r="H964" s="14">
        <v>7549.5599999999995</v>
      </c>
      <c r="I964">
        <v>1476595</v>
      </c>
      <c r="J964" t="s">
        <v>88</v>
      </c>
      <c r="K964" t="s">
        <v>96</v>
      </c>
      <c r="L964" s="16" t="s">
        <v>10</v>
      </c>
    </row>
    <row r="965" spans="1:12" x14ac:dyDescent="0.35">
      <c r="A965" t="s">
        <v>8</v>
      </c>
      <c r="B965" t="s">
        <v>17</v>
      </c>
      <c r="C965" t="s">
        <v>93</v>
      </c>
      <c r="D965" t="s">
        <v>10</v>
      </c>
      <c r="E965" t="s">
        <v>10</v>
      </c>
      <c r="F965" s="7">
        <v>45402</v>
      </c>
      <c r="G965" s="1">
        <v>45292</v>
      </c>
      <c r="H965" s="14">
        <v>7775.753999999999</v>
      </c>
      <c r="I965">
        <v>1339507</v>
      </c>
      <c r="J965" t="s">
        <v>88</v>
      </c>
      <c r="K965" t="s">
        <v>94</v>
      </c>
      <c r="L965" s="16" t="s">
        <v>10</v>
      </c>
    </row>
    <row r="966" spans="1:12" x14ac:dyDescent="0.35">
      <c r="A966" t="s">
        <v>8</v>
      </c>
      <c r="B966" t="s">
        <v>17</v>
      </c>
      <c r="C966" t="s">
        <v>95</v>
      </c>
      <c r="D966" t="s">
        <v>10</v>
      </c>
      <c r="E966" t="s">
        <v>10</v>
      </c>
      <c r="F966" s="7">
        <v>45402</v>
      </c>
      <c r="G966" s="1">
        <v>45292</v>
      </c>
      <c r="H966" s="14">
        <v>10692.359999999999</v>
      </c>
      <c r="I966">
        <v>2777882</v>
      </c>
      <c r="J966" t="s">
        <v>88</v>
      </c>
      <c r="K966" t="s">
        <v>96</v>
      </c>
      <c r="L966" s="16" t="s">
        <v>10</v>
      </c>
    </row>
    <row r="967" spans="1:12" x14ac:dyDescent="0.35">
      <c r="A967" t="s">
        <v>8</v>
      </c>
      <c r="B967" t="s">
        <v>99</v>
      </c>
      <c r="C967" t="s">
        <v>93</v>
      </c>
      <c r="D967" t="s">
        <v>10</v>
      </c>
      <c r="E967" t="s">
        <v>10</v>
      </c>
      <c r="F967" s="7">
        <v>45402</v>
      </c>
      <c r="G967" s="1">
        <v>45292</v>
      </c>
      <c r="H967" s="14">
        <v>5046.263899999999</v>
      </c>
      <c r="I967">
        <v>722557</v>
      </c>
      <c r="J967" t="s">
        <v>88</v>
      </c>
      <c r="K967" t="s">
        <v>94</v>
      </c>
      <c r="L967" s="16" t="s">
        <v>10</v>
      </c>
    </row>
    <row r="968" spans="1:12" x14ac:dyDescent="0.35">
      <c r="A968" t="s">
        <v>8</v>
      </c>
      <c r="B968" t="s">
        <v>99</v>
      </c>
      <c r="C968" t="s">
        <v>95</v>
      </c>
      <c r="D968" t="s">
        <v>10</v>
      </c>
      <c r="E968" t="s">
        <v>10</v>
      </c>
      <c r="F968" s="7">
        <v>45402</v>
      </c>
      <c r="G968" s="1">
        <v>45292</v>
      </c>
      <c r="H968" s="14">
        <v>11089.740000000005</v>
      </c>
      <c r="I968">
        <v>2991511</v>
      </c>
      <c r="J968" t="s">
        <v>88</v>
      </c>
      <c r="K968" t="s">
        <v>96</v>
      </c>
      <c r="L968" s="16" t="s">
        <v>10</v>
      </c>
    </row>
    <row r="969" spans="1:12" x14ac:dyDescent="0.35">
      <c r="A969" t="s">
        <v>8</v>
      </c>
      <c r="B969" t="s">
        <v>100</v>
      </c>
      <c r="C969" t="s">
        <v>93</v>
      </c>
      <c r="D969" t="s">
        <v>10</v>
      </c>
      <c r="E969" t="s">
        <v>10</v>
      </c>
      <c r="F969" s="7">
        <v>45402</v>
      </c>
      <c r="G969" s="1">
        <v>45292</v>
      </c>
      <c r="H969" s="14">
        <v>3743.4843999999989</v>
      </c>
      <c r="I969">
        <v>888574</v>
      </c>
      <c r="J969" t="s">
        <v>88</v>
      </c>
      <c r="K969" t="s">
        <v>94</v>
      </c>
      <c r="L969" s="16" t="s">
        <v>10</v>
      </c>
    </row>
    <row r="970" spans="1:12" x14ac:dyDescent="0.35">
      <c r="A970" t="s">
        <v>8</v>
      </c>
      <c r="B970" t="s">
        <v>100</v>
      </c>
      <c r="C970" t="s">
        <v>95</v>
      </c>
      <c r="D970" t="s">
        <v>10</v>
      </c>
      <c r="E970" t="s">
        <v>10</v>
      </c>
      <c r="F970" s="7">
        <v>45402</v>
      </c>
      <c r="G970" s="1">
        <v>45292</v>
      </c>
      <c r="H970" s="14">
        <v>8467.2599999999984</v>
      </c>
      <c r="I970">
        <v>2409767</v>
      </c>
      <c r="J970" t="s">
        <v>88</v>
      </c>
      <c r="K970" t="s">
        <v>96</v>
      </c>
      <c r="L970" s="16" t="s">
        <v>10</v>
      </c>
    </row>
    <row r="971" spans="1:12" x14ac:dyDescent="0.35">
      <c r="A971" t="s">
        <v>8</v>
      </c>
      <c r="B971" t="s">
        <v>21</v>
      </c>
      <c r="C971" t="s">
        <v>93</v>
      </c>
      <c r="D971" t="s">
        <v>10</v>
      </c>
      <c r="E971" t="s">
        <v>10</v>
      </c>
      <c r="F971" s="7">
        <v>45402</v>
      </c>
      <c r="G971" s="1">
        <v>45292</v>
      </c>
      <c r="H971" s="14">
        <v>3423.4799999999991</v>
      </c>
      <c r="I971">
        <v>1003431</v>
      </c>
      <c r="J971" t="s">
        <v>88</v>
      </c>
      <c r="K971" t="s">
        <v>94</v>
      </c>
      <c r="L971" s="16" t="s">
        <v>10</v>
      </c>
    </row>
    <row r="972" spans="1:12" x14ac:dyDescent="0.35">
      <c r="A972" t="s">
        <v>8</v>
      </c>
      <c r="B972" t="s">
        <v>21</v>
      </c>
      <c r="C972" t="s">
        <v>95</v>
      </c>
      <c r="D972" t="s">
        <v>10</v>
      </c>
      <c r="E972" t="s">
        <v>10</v>
      </c>
      <c r="F972" s="7">
        <v>45402</v>
      </c>
      <c r="G972" s="1">
        <v>45292</v>
      </c>
      <c r="H972" s="14">
        <v>4104.7600000000011</v>
      </c>
      <c r="I972">
        <v>666701</v>
      </c>
      <c r="J972" t="s">
        <v>88</v>
      </c>
      <c r="K972" t="s">
        <v>96</v>
      </c>
      <c r="L972" s="16" t="s">
        <v>10</v>
      </c>
    </row>
    <row r="973" spans="1:12" x14ac:dyDescent="0.35">
      <c r="A973" t="s">
        <v>8</v>
      </c>
      <c r="B973" t="s">
        <v>101</v>
      </c>
      <c r="C973" t="s">
        <v>93</v>
      </c>
      <c r="D973" t="s">
        <v>10</v>
      </c>
      <c r="E973" t="s">
        <v>10</v>
      </c>
      <c r="F973" s="7">
        <v>45402</v>
      </c>
      <c r="G973" s="1">
        <v>45292</v>
      </c>
      <c r="H973" s="14">
        <v>2361.0650000000001</v>
      </c>
      <c r="I973">
        <v>695775</v>
      </c>
      <c r="J973" t="s">
        <v>88</v>
      </c>
      <c r="K973" t="s">
        <v>94</v>
      </c>
      <c r="L973" s="16" t="s">
        <v>10</v>
      </c>
    </row>
    <row r="974" spans="1:12" x14ac:dyDescent="0.35">
      <c r="A974" t="s">
        <v>8</v>
      </c>
      <c r="B974" t="s">
        <v>101</v>
      </c>
      <c r="C974" t="s">
        <v>95</v>
      </c>
      <c r="D974" t="s">
        <v>10</v>
      </c>
      <c r="E974" t="s">
        <v>10</v>
      </c>
      <c r="F974" s="7">
        <v>45402</v>
      </c>
      <c r="G974" s="1">
        <v>45292</v>
      </c>
      <c r="H974" s="14">
        <v>4359.4999999999991</v>
      </c>
      <c r="I974">
        <v>1978229</v>
      </c>
      <c r="J974" t="s">
        <v>88</v>
      </c>
      <c r="K974" t="s">
        <v>96</v>
      </c>
      <c r="L974" s="16" t="s">
        <v>10</v>
      </c>
    </row>
    <row r="975" spans="1:12" x14ac:dyDescent="0.35">
      <c r="A975" t="s">
        <v>8</v>
      </c>
      <c r="B975" t="s">
        <v>103</v>
      </c>
      <c r="C975" t="s">
        <v>95</v>
      </c>
      <c r="D975" t="s">
        <v>104</v>
      </c>
      <c r="E975" t="s">
        <v>8</v>
      </c>
      <c r="F975" s="7">
        <v>45402</v>
      </c>
      <c r="G975" s="1">
        <v>45292</v>
      </c>
      <c r="H975" s="14">
        <v>86.32</v>
      </c>
      <c r="I975">
        <v>374</v>
      </c>
      <c r="J975" t="s">
        <v>88</v>
      </c>
      <c r="K975" t="s">
        <v>105</v>
      </c>
      <c r="L975" s="16" t="s">
        <v>95</v>
      </c>
    </row>
    <row r="976" spans="1:12" x14ac:dyDescent="0.35">
      <c r="A976" t="s">
        <v>8</v>
      </c>
      <c r="B976" t="s">
        <v>16</v>
      </c>
      <c r="C976" t="s">
        <v>95</v>
      </c>
      <c r="D976" t="s">
        <v>104</v>
      </c>
      <c r="E976" t="s">
        <v>8</v>
      </c>
      <c r="F976" s="7">
        <v>45402</v>
      </c>
      <c r="G976" s="1">
        <v>45292</v>
      </c>
      <c r="H976" s="14">
        <v>37.520000000000003</v>
      </c>
      <c r="I976">
        <v>220</v>
      </c>
      <c r="J976" t="s">
        <v>88</v>
      </c>
      <c r="K976" t="s">
        <v>105</v>
      </c>
      <c r="L976" s="16" t="s">
        <v>95</v>
      </c>
    </row>
    <row r="977" spans="1:12" x14ac:dyDescent="0.35">
      <c r="A977" t="s">
        <v>8</v>
      </c>
      <c r="B977" t="s">
        <v>84</v>
      </c>
      <c r="C977" t="s">
        <v>95</v>
      </c>
      <c r="D977" t="s">
        <v>104</v>
      </c>
      <c r="E977" t="s">
        <v>8</v>
      </c>
      <c r="F977" s="7">
        <v>45402</v>
      </c>
      <c r="G977" s="1">
        <v>45292</v>
      </c>
      <c r="H977" s="14">
        <v>8529.7832739999994</v>
      </c>
      <c r="I977">
        <v>34096</v>
      </c>
      <c r="J977" t="s">
        <v>88</v>
      </c>
      <c r="K977" t="s">
        <v>105</v>
      </c>
      <c r="L977" s="16" t="s">
        <v>95</v>
      </c>
    </row>
    <row r="978" spans="1:12" x14ac:dyDescent="0.35">
      <c r="A978" t="s">
        <v>8</v>
      </c>
      <c r="B978" t="s">
        <v>17</v>
      </c>
      <c r="C978" t="s">
        <v>95</v>
      </c>
      <c r="D978" t="s">
        <v>104</v>
      </c>
      <c r="E978" t="s">
        <v>8</v>
      </c>
      <c r="F978" s="7">
        <v>45402</v>
      </c>
      <c r="G978" s="1">
        <v>45292</v>
      </c>
      <c r="H978" s="14">
        <v>116.16</v>
      </c>
      <c r="I978">
        <v>813</v>
      </c>
      <c r="J978" t="s">
        <v>88</v>
      </c>
      <c r="K978" t="s">
        <v>105</v>
      </c>
      <c r="L978" s="16" t="s">
        <v>95</v>
      </c>
    </row>
    <row r="979" spans="1:12" x14ac:dyDescent="0.35">
      <c r="A979" t="s">
        <v>8</v>
      </c>
      <c r="B979" t="s">
        <v>106</v>
      </c>
      <c r="C979" t="s">
        <v>95</v>
      </c>
      <c r="D979" t="s">
        <v>104</v>
      </c>
      <c r="E979" t="s">
        <v>8</v>
      </c>
      <c r="F979" s="7">
        <v>45402</v>
      </c>
      <c r="G979" s="1">
        <v>45292</v>
      </c>
      <c r="H979" s="14">
        <v>178.73999999999998</v>
      </c>
      <c r="I979">
        <v>412</v>
      </c>
      <c r="J979" t="s">
        <v>88</v>
      </c>
      <c r="K979" t="s">
        <v>105</v>
      </c>
      <c r="L979" s="16" t="s">
        <v>95</v>
      </c>
    </row>
    <row r="980" spans="1:12" x14ac:dyDescent="0.35">
      <c r="A980" t="s">
        <v>8</v>
      </c>
      <c r="B980" t="s">
        <v>92</v>
      </c>
      <c r="C980" t="s">
        <v>95</v>
      </c>
      <c r="D980" t="s">
        <v>104</v>
      </c>
      <c r="E980" t="s">
        <v>8</v>
      </c>
      <c r="F980" s="7">
        <v>45402</v>
      </c>
      <c r="G980" s="1">
        <v>45292</v>
      </c>
      <c r="H980" s="14">
        <v>251.88</v>
      </c>
      <c r="I980">
        <v>1907</v>
      </c>
      <c r="J980" t="s">
        <v>88</v>
      </c>
      <c r="K980" t="s">
        <v>105</v>
      </c>
      <c r="L980" s="16" t="s">
        <v>95</v>
      </c>
    </row>
    <row r="981" spans="1:12" x14ac:dyDescent="0.35">
      <c r="A981" t="s">
        <v>8</v>
      </c>
      <c r="B981" t="s">
        <v>21</v>
      </c>
      <c r="C981" t="s">
        <v>95</v>
      </c>
      <c r="D981" t="s">
        <v>104</v>
      </c>
      <c r="E981" t="s">
        <v>8</v>
      </c>
      <c r="F981" s="7">
        <v>45402</v>
      </c>
      <c r="G981" s="1">
        <v>45292</v>
      </c>
      <c r="H981" s="14">
        <v>370.21399999999994</v>
      </c>
      <c r="I981">
        <v>2324</v>
      </c>
      <c r="J981" t="s">
        <v>88</v>
      </c>
      <c r="K981" t="s">
        <v>105</v>
      </c>
      <c r="L981" s="16" t="s">
        <v>95</v>
      </c>
    </row>
    <row r="982" spans="1:12" x14ac:dyDescent="0.35">
      <c r="A982" t="s">
        <v>8</v>
      </c>
      <c r="B982" t="s">
        <v>101</v>
      </c>
      <c r="C982" t="s">
        <v>95</v>
      </c>
      <c r="D982" t="s">
        <v>104</v>
      </c>
      <c r="E982" t="s">
        <v>8</v>
      </c>
      <c r="F982" s="7">
        <v>45402</v>
      </c>
      <c r="G982" s="1">
        <v>45292</v>
      </c>
      <c r="H982" s="14">
        <v>97.210000000000008</v>
      </c>
      <c r="I982">
        <v>456</v>
      </c>
      <c r="J982" t="s">
        <v>88</v>
      </c>
      <c r="K982" t="s">
        <v>105</v>
      </c>
      <c r="L982" s="16" t="s">
        <v>95</v>
      </c>
    </row>
    <row r="983" spans="1:12" x14ac:dyDescent="0.35">
      <c r="A983" t="s">
        <v>8</v>
      </c>
      <c r="B983" t="s">
        <v>99</v>
      </c>
      <c r="C983" t="s">
        <v>95</v>
      </c>
      <c r="D983" t="s">
        <v>104</v>
      </c>
      <c r="E983" t="s">
        <v>8</v>
      </c>
      <c r="F983" s="7">
        <v>45402</v>
      </c>
      <c r="G983" s="1">
        <v>45292</v>
      </c>
      <c r="H983" s="14">
        <v>81.69</v>
      </c>
      <c r="I983">
        <v>463</v>
      </c>
      <c r="J983" t="s">
        <v>88</v>
      </c>
      <c r="K983" t="s">
        <v>105</v>
      </c>
      <c r="L983" s="16" t="s">
        <v>95</v>
      </c>
    </row>
    <row r="984" spans="1:12" x14ac:dyDescent="0.35">
      <c r="A984" t="s">
        <v>8</v>
      </c>
      <c r="B984" t="s">
        <v>102</v>
      </c>
      <c r="C984" t="s">
        <v>95</v>
      </c>
      <c r="D984" t="s">
        <v>104</v>
      </c>
      <c r="E984" t="s">
        <v>8</v>
      </c>
      <c r="F984" s="7">
        <v>45402</v>
      </c>
      <c r="G984" s="1">
        <v>45292</v>
      </c>
      <c r="H984" s="14">
        <v>23.529999999999998</v>
      </c>
      <c r="I984">
        <v>106</v>
      </c>
      <c r="J984" t="s">
        <v>88</v>
      </c>
      <c r="K984" t="s">
        <v>105</v>
      </c>
      <c r="L984" s="16" t="s">
        <v>95</v>
      </c>
    </row>
    <row r="985" spans="1:12" x14ac:dyDescent="0.35">
      <c r="A985" t="s">
        <v>8</v>
      </c>
      <c r="B985" t="s">
        <v>100</v>
      </c>
      <c r="C985" t="s">
        <v>95</v>
      </c>
      <c r="D985" t="s">
        <v>104</v>
      </c>
      <c r="E985" t="s">
        <v>8</v>
      </c>
      <c r="F985" s="7">
        <v>45402</v>
      </c>
      <c r="G985" s="1">
        <v>45292</v>
      </c>
      <c r="H985" s="14">
        <v>134.74</v>
      </c>
      <c r="I985">
        <v>821</v>
      </c>
      <c r="J985" t="s">
        <v>88</v>
      </c>
      <c r="K985" t="s">
        <v>105</v>
      </c>
      <c r="L985" s="16" t="s">
        <v>95</v>
      </c>
    </row>
    <row r="986" spans="1:12" x14ac:dyDescent="0.35">
      <c r="A986" t="s">
        <v>8</v>
      </c>
      <c r="B986" t="s">
        <v>21</v>
      </c>
      <c r="C986" t="s">
        <v>85</v>
      </c>
      <c r="D986" t="s">
        <v>9</v>
      </c>
      <c r="E986" t="s">
        <v>10</v>
      </c>
      <c r="F986" s="7">
        <v>45409</v>
      </c>
      <c r="G986" s="1">
        <v>45292</v>
      </c>
      <c r="H986" s="14">
        <v>2570.5500000000002</v>
      </c>
      <c r="I986">
        <v>550616</v>
      </c>
      <c r="J986" t="s">
        <v>88</v>
      </c>
      <c r="K986" t="s">
        <v>87</v>
      </c>
      <c r="L986" s="16" t="s">
        <v>9</v>
      </c>
    </row>
    <row r="987" spans="1:12" x14ac:dyDescent="0.35">
      <c r="A987" t="s">
        <v>8</v>
      </c>
      <c r="B987" t="s">
        <v>21</v>
      </c>
      <c r="C987" t="s">
        <v>85</v>
      </c>
      <c r="D987" t="s">
        <v>9</v>
      </c>
      <c r="E987" t="s">
        <v>12</v>
      </c>
      <c r="F987" s="7">
        <v>45409</v>
      </c>
      <c r="G987" s="1">
        <v>45292</v>
      </c>
      <c r="H987" s="14">
        <v>2306.7300070000001</v>
      </c>
      <c r="I987">
        <v>437071</v>
      </c>
      <c r="J987" t="s">
        <v>88</v>
      </c>
      <c r="K987" t="s">
        <v>87</v>
      </c>
      <c r="L987" s="16" t="s">
        <v>12</v>
      </c>
    </row>
    <row r="988" spans="1:12" x14ac:dyDescent="0.35">
      <c r="A988" t="s">
        <v>8</v>
      </c>
      <c r="B988" t="s">
        <v>21</v>
      </c>
      <c r="C988" t="s">
        <v>85</v>
      </c>
      <c r="D988" t="s">
        <v>13</v>
      </c>
      <c r="E988" t="s">
        <v>11</v>
      </c>
      <c r="F988" s="7">
        <v>45409</v>
      </c>
      <c r="G988" s="1">
        <v>45292</v>
      </c>
      <c r="H988" s="14">
        <v>23529.212711000004</v>
      </c>
      <c r="I988">
        <v>11006321</v>
      </c>
      <c r="J988" t="s">
        <v>88</v>
      </c>
      <c r="K988" t="s">
        <v>90</v>
      </c>
      <c r="L988" s="16" t="s">
        <v>13</v>
      </c>
    </row>
    <row r="989" spans="1:12" x14ac:dyDescent="0.35">
      <c r="A989" t="s">
        <v>8</v>
      </c>
      <c r="B989" t="s">
        <v>21</v>
      </c>
      <c r="C989" t="s">
        <v>85</v>
      </c>
      <c r="D989" t="s">
        <v>13</v>
      </c>
      <c r="E989" t="s">
        <v>12</v>
      </c>
      <c r="F989" s="7">
        <v>45409</v>
      </c>
      <c r="G989" s="1">
        <v>45292</v>
      </c>
      <c r="H989" s="14">
        <v>10352.390868999999</v>
      </c>
      <c r="I989">
        <v>2418419</v>
      </c>
      <c r="J989" t="s">
        <v>88</v>
      </c>
      <c r="K989" t="s">
        <v>90</v>
      </c>
      <c r="L989" s="16" t="s">
        <v>12</v>
      </c>
    </row>
    <row r="990" spans="1:12" x14ac:dyDescent="0.35">
      <c r="A990" t="s">
        <v>8</v>
      </c>
      <c r="B990" t="s">
        <v>92</v>
      </c>
      <c r="C990" t="s">
        <v>93</v>
      </c>
      <c r="D990" t="s">
        <v>10</v>
      </c>
      <c r="E990" t="s">
        <v>10</v>
      </c>
      <c r="F990" s="7">
        <v>45409</v>
      </c>
      <c r="G990" s="1">
        <v>45292</v>
      </c>
      <c r="H990" s="14">
        <v>6285.893500000001</v>
      </c>
      <c r="I990">
        <v>1091420</v>
      </c>
      <c r="J990" t="s">
        <v>88</v>
      </c>
      <c r="K990" t="s">
        <v>94</v>
      </c>
      <c r="L990" s="16" t="s">
        <v>10</v>
      </c>
    </row>
    <row r="991" spans="1:12" x14ac:dyDescent="0.35">
      <c r="A991" t="s">
        <v>8</v>
      </c>
      <c r="B991" t="s">
        <v>92</v>
      </c>
      <c r="C991" t="s">
        <v>95</v>
      </c>
      <c r="D991" t="s">
        <v>10</v>
      </c>
      <c r="E991" t="s">
        <v>10</v>
      </c>
      <c r="F991" s="7">
        <v>45409</v>
      </c>
      <c r="G991" s="1">
        <v>45292</v>
      </c>
      <c r="H991" s="14">
        <v>8214.7800000000007</v>
      </c>
      <c r="I991">
        <v>1822879</v>
      </c>
      <c r="J991" t="s">
        <v>88</v>
      </c>
      <c r="K991" t="s">
        <v>96</v>
      </c>
      <c r="L991" s="16" t="s">
        <v>10</v>
      </c>
    </row>
    <row r="992" spans="1:12" x14ac:dyDescent="0.35">
      <c r="A992" t="s">
        <v>8</v>
      </c>
      <c r="B992" t="s">
        <v>84</v>
      </c>
      <c r="C992" t="s">
        <v>93</v>
      </c>
      <c r="D992" t="s">
        <v>10</v>
      </c>
      <c r="E992" t="s">
        <v>10</v>
      </c>
      <c r="F992" s="7">
        <v>45409</v>
      </c>
      <c r="G992" s="1">
        <v>45292</v>
      </c>
      <c r="H992" s="14">
        <v>1567.2702999999999</v>
      </c>
      <c r="I992">
        <v>121985</v>
      </c>
      <c r="J992" t="s">
        <v>88</v>
      </c>
      <c r="K992" t="s">
        <v>94</v>
      </c>
      <c r="L992" s="16" t="s">
        <v>10</v>
      </c>
    </row>
    <row r="993" spans="1:12" x14ac:dyDescent="0.35">
      <c r="A993" t="s">
        <v>8</v>
      </c>
      <c r="B993" t="s">
        <v>84</v>
      </c>
      <c r="C993" t="s">
        <v>95</v>
      </c>
      <c r="D993" t="s">
        <v>10</v>
      </c>
      <c r="E993" t="s">
        <v>10</v>
      </c>
      <c r="F993" s="7">
        <v>45409</v>
      </c>
      <c r="G993" s="1">
        <v>45292</v>
      </c>
      <c r="H993" s="14">
        <v>8397.2800000000007</v>
      </c>
      <c r="I993">
        <v>1732118</v>
      </c>
      <c r="J993" t="s">
        <v>88</v>
      </c>
      <c r="K993" t="s">
        <v>96</v>
      </c>
      <c r="L993" s="16" t="s">
        <v>10</v>
      </c>
    </row>
    <row r="994" spans="1:12" x14ac:dyDescent="0.35">
      <c r="A994" t="s">
        <v>8</v>
      </c>
      <c r="B994" t="s">
        <v>17</v>
      </c>
      <c r="C994" t="s">
        <v>93</v>
      </c>
      <c r="D994" t="s">
        <v>10</v>
      </c>
      <c r="E994" t="s">
        <v>10</v>
      </c>
      <c r="F994" s="7">
        <v>45409</v>
      </c>
      <c r="G994" s="1">
        <v>45292</v>
      </c>
      <c r="H994" s="14">
        <v>7911.2648999999992</v>
      </c>
      <c r="I994">
        <v>1155660</v>
      </c>
      <c r="J994" t="s">
        <v>88</v>
      </c>
      <c r="K994" t="s">
        <v>94</v>
      </c>
      <c r="L994" s="16" t="s">
        <v>10</v>
      </c>
    </row>
    <row r="995" spans="1:12" x14ac:dyDescent="0.35">
      <c r="A995" t="s">
        <v>8</v>
      </c>
      <c r="B995" t="s">
        <v>17</v>
      </c>
      <c r="C995" t="s">
        <v>95</v>
      </c>
      <c r="D995" t="s">
        <v>10</v>
      </c>
      <c r="E995" t="s">
        <v>10</v>
      </c>
      <c r="F995" s="7">
        <v>45409</v>
      </c>
      <c r="G995" s="1">
        <v>45292</v>
      </c>
      <c r="H995" s="14">
        <v>9686.8300000000017</v>
      </c>
      <c r="I995">
        <v>2330395</v>
      </c>
      <c r="J995" t="s">
        <v>88</v>
      </c>
      <c r="K995" t="s">
        <v>96</v>
      </c>
      <c r="L995" s="16" t="s">
        <v>10</v>
      </c>
    </row>
    <row r="996" spans="1:12" x14ac:dyDescent="0.35">
      <c r="A996" t="s">
        <v>8</v>
      </c>
      <c r="B996" t="s">
        <v>99</v>
      </c>
      <c r="C996" t="s">
        <v>93</v>
      </c>
      <c r="D996" t="s">
        <v>10</v>
      </c>
      <c r="E996" t="s">
        <v>10</v>
      </c>
      <c r="F996" s="7">
        <v>45409</v>
      </c>
      <c r="G996" s="1">
        <v>45292</v>
      </c>
      <c r="H996" s="14">
        <v>4555.7056999999986</v>
      </c>
      <c r="I996">
        <v>649587</v>
      </c>
      <c r="J996" t="s">
        <v>88</v>
      </c>
      <c r="K996" t="s">
        <v>94</v>
      </c>
      <c r="L996" s="16" t="s">
        <v>10</v>
      </c>
    </row>
    <row r="997" spans="1:12" x14ac:dyDescent="0.35">
      <c r="A997" t="s">
        <v>8</v>
      </c>
      <c r="B997" t="s">
        <v>99</v>
      </c>
      <c r="C997" t="s">
        <v>95</v>
      </c>
      <c r="D997" t="s">
        <v>10</v>
      </c>
      <c r="E997" t="s">
        <v>10</v>
      </c>
      <c r="F997" s="7">
        <v>45409</v>
      </c>
      <c r="G997" s="1">
        <v>45292</v>
      </c>
      <c r="H997" s="14">
        <v>9661.4299999999985</v>
      </c>
      <c r="I997">
        <v>2144664</v>
      </c>
      <c r="J997" t="s">
        <v>88</v>
      </c>
      <c r="K997" t="s">
        <v>96</v>
      </c>
      <c r="L997" s="16" t="s">
        <v>10</v>
      </c>
    </row>
    <row r="998" spans="1:12" x14ac:dyDescent="0.35">
      <c r="A998" t="s">
        <v>8</v>
      </c>
      <c r="B998" t="s">
        <v>100</v>
      </c>
      <c r="C998" t="s">
        <v>93</v>
      </c>
      <c r="D998" t="s">
        <v>10</v>
      </c>
      <c r="E998" t="s">
        <v>10</v>
      </c>
      <c r="F998" s="7">
        <v>45409</v>
      </c>
      <c r="G998" s="1">
        <v>45292</v>
      </c>
      <c r="H998" s="14">
        <v>3132.7918000000009</v>
      </c>
      <c r="I998">
        <v>703411</v>
      </c>
      <c r="J998" t="s">
        <v>88</v>
      </c>
      <c r="K998" t="s">
        <v>94</v>
      </c>
      <c r="L998" s="16" t="s">
        <v>10</v>
      </c>
    </row>
    <row r="999" spans="1:12" x14ac:dyDescent="0.35">
      <c r="A999" t="s">
        <v>8</v>
      </c>
      <c r="B999" t="s">
        <v>100</v>
      </c>
      <c r="C999" t="s">
        <v>95</v>
      </c>
      <c r="D999" t="s">
        <v>10</v>
      </c>
      <c r="E999" t="s">
        <v>10</v>
      </c>
      <c r="F999" s="7">
        <v>45409</v>
      </c>
      <c r="G999" s="1">
        <v>45292</v>
      </c>
      <c r="H999" s="14">
        <v>4568.1800000000012</v>
      </c>
      <c r="I999">
        <v>1363715</v>
      </c>
      <c r="J999" t="s">
        <v>88</v>
      </c>
      <c r="K999" t="s">
        <v>96</v>
      </c>
      <c r="L999" s="16" t="s">
        <v>10</v>
      </c>
    </row>
    <row r="1000" spans="1:12" x14ac:dyDescent="0.35">
      <c r="A1000" t="s">
        <v>8</v>
      </c>
      <c r="B1000" t="s">
        <v>21</v>
      </c>
      <c r="C1000" t="s">
        <v>93</v>
      </c>
      <c r="D1000" t="s">
        <v>10</v>
      </c>
      <c r="E1000" t="s">
        <v>10</v>
      </c>
      <c r="F1000" s="7">
        <v>45409</v>
      </c>
      <c r="G1000" s="1">
        <v>45292</v>
      </c>
      <c r="H1000" s="14">
        <v>3318.5928000000013</v>
      </c>
      <c r="I1000">
        <v>831262</v>
      </c>
      <c r="J1000" t="s">
        <v>88</v>
      </c>
      <c r="K1000" t="s">
        <v>94</v>
      </c>
      <c r="L1000" s="16" t="s">
        <v>10</v>
      </c>
    </row>
    <row r="1001" spans="1:12" x14ac:dyDescent="0.35">
      <c r="A1001" t="s">
        <v>8</v>
      </c>
      <c r="B1001" t="s">
        <v>21</v>
      </c>
      <c r="C1001" t="s">
        <v>95</v>
      </c>
      <c r="D1001" t="s">
        <v>10</v>
      </c>
      <c r="E1001" t="s">
        <v>10</v>
      </c>
      <c r="F1001" s="7">
        <v>45409</v>
      </c>
      <c r="G1001" s="1">
        <v>45292</v>
      </c>
      <c r="H1001" s="14">
        <v>4492.22</v>
      </c>
      <c r="I1001">
        <v>845776</v>
      </c>
      <c r="J1001" t="s">
        <v>88</v>
      </c>
      <c r="K1001" t="s">
        <v>96</v>
      </c>
      <c r="L1001" s="16" t="s">
        <v>10</v>
      </c>
    </row>
    <row r="1002" spans="1:12" x14ac:dyDescent="0.35">
      <c r="A1002" t="s">
        <v>8</v>
      </c>
      <c r="B1002" t="s">
        <v>101</v>
      </c>
      <c r="C1002" t="s">
        <v>93</v>
      </c>
      <c r="D1002" t="s">
        <v>10</v>
      </c>
      <c r="E1002" t="s">
        <v>10</v>
      </c>
      <c r="F1002" s="7">
        <v>45409</v>
      </c>
      <c r="G1002" s="1">
        <v>45292</v>
      </c>
      <c r="H1002" s="14">
        <v>1117.6423999999995</v>
      </c>
      <c r="I1002">
        <v>243966</v>
      </c>
      <c r="J1002" t="s">
        <v>88</v>
      </c>
      <c r="K1002" t="s">
        <v>94</v>
      </c>
      <c r="L1002" s="16" t="s">
        <v>10</v>
      </c>
    </row>
    <row r="1003" spans="1:12" x14ac:dyDescent="0.35">
      <c r="A1003" t="s">
        <v>8</v>
      </c>
      <c r="B1003" t="s">
        <v>101</v>
      </c>
      <c r="C1003" t="s">
        <v>95</v>
      </c>
      <c r="D1003" t="s">
        <v>10</v>
      </c>
      <c r="E1003" t="s">
        <v>10</v>
      </c>
      <c r="F1003" s="7">
        <v>45409</v>
      </c>
      <c r="G1003" s="1">
        <v>45292</v>
      </c>
      <c r="H1003" s="14">
        <v>3387.7199999999993</v>
      </c>
      <c r="I1003">
        <v>1075832</v>
      </c>
      <c r="J1003" t="s">
        <v>88</v>
      </c>
      <c r="K1003" t="s">
        <v>96</v>
      </c>
      <c r="L1003" s="16" t="s">
        <v>10</v>
      </c>
    </row>
    <row r="1004" spans="1:12" x14ac:dyDescent="0.35">
      <c r="A1004" t="s">
        <v>8</v>
      </c>
      <c r="B1004" t="s">
        <v>103</v>
      </c>
      <c r="C1004" t="s">
        <v>95</v>
      </c>
      <c r="D1004" t="s">
        <v>104</v>
      </c>
      <c r="E1004" t="s">
        <v>8</v>
      </c>
      <c r="F1004" s="7">
        <v>45409</v>
      </c>
      <c r="G1004" s="1">
        <v>45292</v>
      </c>
      <c r="H1004" s="14">
        <v>81.53</v>
      </c>
      <c r="I1004">
        <v>451</v>
      </c>
      <c r="J1004" t="s">
        <v>88</v>
      </c>
      <c r="K1004" t="s">
        <v>105</v>
      </c>
      <c r="L1004" s="16" t="s">
        <v>95</v>
      </c>
    </row>
    <row r="1005" spans="1:12" x14ac:dyDescent="0.35">
      <c r="A1005" t="s">
        <v>8</v>
      </c>
      <c r="B1005" t="s">
        <v>16</v>
      </c>
      <c r="C1005" t="s">
        <v>95</v>
      </c>
      <c r="D1005" t="s">
        <v>104</v>
      </c>
      <c r="E1005" t="s">
        <v>8</v>
      </c>
      <c r="F1005" s="7">
        <v>45409</v>
      </c>
      <c r="G1005" s="1">
        <v>45292</v>
      </c>
      <c r="H1005" s="14">
        <v>37.949999999999996</v>
      </c>
      <c r="I1005">
        <v>231</v>
      </c>
      <c r="J1005" t="s">
        <v>88</v>
      </c>
      <c r="K1005" t="s">
        <v>105</v>
      </c>
      <c r="L1005" s="16" t="s">
        <v>95</v>
      </c>
    </row>
    <row r="1006" spans="1:12" x14ac:dyDescent="0.35">
      <c r="A1006" t="s">
        <v>8</v>
      </c>
      <c r="B1006" t="s">
        <v>84</v>
      </c>
      <c r="C1006" t="s">
        <v>95</v>
      </c>
      <c r="D1006" t="s">
        <v>104</v>
      </c>
      <c r="E1006" t="s">
        <v>8</v>
      </c>
      <c r="F1006" s="7">
        <v>45409</v>
      </c>
      <c r="G1006" s="1">
        <v>45292</v>
      </c>
      <c r="H1006" s="14">
        <v>8844.1343230000002</v>
      </c>
      <c r="I1006">
        <v>34039</v>
      </c>
      <c r="J1006" t="s">
        <v>88</v>
      </c>
      <c r="K1006" t="s">
        <v>105</v>
      </c>
      <c r="L1006" s="16" t="s">
        <v>95</v>
      </c>
    </row>
    <row r="1007" spans="1:12" x14ac:dyDescent="0.35">
      <c r="A1007" t="s">
        <v>8</v>
      </c>
      <c r="B1007" t="s">
        <v>17</v>
      </c>
      <c r="C1007" t="s">
        <v>95</v>
      </c>
      <c r="D1007" t="s">
        <v>104</v>
      </c>
      <c r="E1007" t="s">
        <v>8</v>
      </c>
      <c r="F1007" s="7">
        <v>45409</v>
      </c>
      <c r="G1007" s="1">
        <v>45292</v>
      </c>
      <c r="H1007" s="14">
        <v>113.38999999999999</v>
      </c>
      <c r="I1007">
        <v>939</v>
      </c>
      <c r="J1007" t="s">
        <v>88</v>
      </c>
      <c r="K1007" t="s">
        <v>105</v>
      </c>
      <c r="L1007" s="16" t="s">
        <v>95</v>
      </c>
    </row>
    <row r="1008" spans="1:12" x14ac:dyDescent="0.35">
      <c r="A1008" t="s">
        <v>8</v>
      </c>
      <c r="B1008" t="s">
        <v>106</v>
      </c>
      <c r="C1008" t="s">
        <v>95</v>
      </c>
      <c r="D1008" t="s">
        <v>104</v>
      </c>
      <c r="E1008" t="s">
        <v>8</v>
      </c>
      <c r="F1008" s="7">
        <v>45409</v>
      </c>
      <c r="G1008" s="1">
        <v>45292</v>
      </c>
      <c r="H1008" s="14">
        <v>212.01000000000002</v>
      </c>
      <c r="I1008">
        <v>454</v>
      </c>
      <c r="J1008" t="s">
        <v>88</v>
      </c>
      <c r="K1008" t="s">
        <v>105</v>
      </c>
      <c r="L1008" s="16" t="s">
        <v>95</v>
      </c>
    </row>
    <row r="1009" spans="1:12" x14ac:dyDescent="0.35">
      <c r="A1009" t="s">
        <v>8</v>
      </c>
      <c r="B1009" t="s">
        <v>92</v>
      </c>
      <c r="C1009" t="s">
        <v>95</v>
      </c>
      <c r="D1009" t="s">
        <v>104</v>
      </c>
      <c r="E1009" t="s">
        <v>8</v>
      </c>
      <c r="F1009" s="7">
        <v>45409</v>
      </c>
      <c r="G1009" s="1">
        <v>45292</v>
      </c>
      <c r="H1009" s="14">
        <v>318.74319200000002</v>
      </c>
      <c r="I1009">
        <v>2095</v>
      </c>
      <c r="J1009" t="s">
        <v>88</v>
      </c>
      <c r="K1009" t="s">
        <v>105</v>
      </c>
      <c r="L1009" s="16" t="s">
        <v>95</v>
      </c>
    </row>
    <row r="1010" spans="1:12" x14ac:dyDescent="0.35">
      <c r="A1010" t="s">
        <v>8</v>
      </c>
      <c r="B1010" t="s">
        <v>21</v>
      </c>
      <c r="C1010" t="s">
        <v>95</v>
      </c>
      <c r="D1010" t="s">
        <v>104</v>
      </c>
      <c r="E1010" t="s">
        <v>8</v>
      </c>
      <c r="F1010" s="7">
        <v>45409</v>
      </c>
      <c r="G1010" s="1">
        <v>45292</v>
      </c>
      <c r="H1010" s="14">
        <v>318.80999999999995</v>
      </c>
      <c r="I1010">
        <v>2130</v>
      </c>
      <c r="J1010" t="s">
        <v>88</v>
      </c>
      <c r="K1010" t="s">
        <v>105</v>
      </c>
      <c r="L1010" s="16" t="s">
        <v>95</v>
      </c>
    </row>
    <row r="1011" spans="1:12" x14ac:dyDescent="0.35">
      <c r="A1011" t="s">
        <v>8</v>
      </c>
      <c r="B1011" t="s">
        <v>101</v>
      </c>
      <c r="C1011" t="s">
        <v>95</v>
      </c>
      <c r="D1011" t="s">
        <v>104</v>
      </c>
      <c r="E1011" t="s">
        <v>8</v>
      </c>
      <c r="F1011" s="7">
        <v>45409</v>
      </c>
      <c r="G1011" s="1">
        <v>45292</v>
      </c>
      <c r="H1011" s="14">
        <v>84.59</v>
      </c>
      <c r="I1011">
        <v>495</v>
      </c>
      <c r="J1011" t="s">
        <v>88</v>
      </c>
      <c r="K1011" t="s">
        <v>105</v>
      </c>
      <c r="L1011" s="16" t="s">
        <v>95</v>
      </c>
    </row>
    <row r="1012" spans="1:12" x14ac:dyDescent="0.35">
      <c r="A1012" t="s">
        <v>8</v>
      </c>
      <c r="B1012" t="s">
        <v>99</v>
      </c>
      <c r="C1012" t="s">
        <v>95</v>
      </c>
      <c r="D1012" t="s">
        <v>104</v>
      </c>
      <c r="E1012" t="s">
        <v>8</v>
      </c>
      <c r="F1012" s="7">
        <v>45409</v>
      </c>
      <c r="G1012" s="1">
        <v>45292</v>
      </c>
      <c r="H1012" s="14">
        <v>105.263735</v>
      </c>
      <c r="I1012">
        <v>648</v>
      </c>
      <c r="J1012" t="s">
        <v>88</v>
      </c>
      <c r="K1012" t="s">
        <v>105</v>
      </c>
      <c r="L1012" s="16" t="s">
        <v>95</v>
      </c>
    </row>
    <row r="1013" spans="1:12" x14ac:dyDescent="0.35">
      <c r="A1013" t="s">
        <v>8</v>
      </c>
      <c r="B1013" t="s">
        <v>102</v>
      </c>
      <c r="C1013" t="s">
        <v>95</v>
      </c>
      <c r="D1013" t="s">
        <v>104</v>
      </c>
      <c r="E1013" t="s">
        <v>8</v>
      </c>
      <c r="F1013" s="7">
        <v>45409</v>
      </c>
      <c r="G1013" s="1">
        <v>45292</v>
      </c>
      <c r="H1013" s="14">
        <v>95.839999999999989</v>
      </c>
      <c r="I1013">
        <v>505</v>
      </c>
      <c r="J1013" t="s">
        <v>88</v>
      </c>
      <c r="K1013" t="s">
        <v>105</v>
      </c>
      <c r="L1013" s="16" t="s">
        <v>95</v>
      </c>
    </row>
    <row r="1014" spans="1:12" x14ac:dyDescent="0.35">
      <c r="A1014" t="s">
        <v>8</v>
      </c>
      <c r="B1014" t="s">
        <v>100</v>
      </c>
      <c r="C1014" t="s">
        <v>95</v>
      </c>
      <c r="D1014" t="s">
        <v>104</v>
      </c>
      <c r="E1014" t="s">
        <v>8</v>
      </c>
      <c r="F1014" s="7">
        <v>45409</v>
      </c>
      <c r="G1014" s="1">
        <v>45292</v>
      </c>
      <c r="H1014" s="14">
        <v>128.12</v>
      </c>
      <c r="I1014">
        <v>866</v>
      </c>
      <c r="J1014" t="s">
        <v>88</v>
      </c>
      <c r="K1014" t="s">
        <v>105</v>
      </c>
      <c r="L1014" s="16" t="s">
        <v>95</v>
      </c>
    </row>
    <row r="1015" spans="1:12" x14ac:dyDescent="0.35">
      <c r="A1015" t="s">
        <v>8</v>
      </c>
      <c r="B1015" t="s">
        <v>21</v>
      </c>
      <c r="C1015" t="s">
        <v>85</v>
      </c>
      <c r="D1015" t="s">
        <v>13</v>
      </c>
      <c r="E1015" t="s">
        <v>11</v>
      </c>
      <c r="F1015" s="7">
        <v>45416</v>
      </c>
      <c r="G1015" s="1">
        <v>45292</v>
      </c>
      <c r="H1015" s="14">
        <v>23511.768031000003</v>
      </c>
      <c r="I1015">
        <v>11031123</v>
      </c>
      <c r="J1015" t="s">
        <v>88</v>
      </c>
      <c r="K1015" t="s">
        <v>90</v>
      </c>
      <c r="L1015" s="16" t="s">
        <v>13</v>
      </c>
    </row>
    <row r="1016" spans="1:12" x14ac:dyDescent="0.35">
      <c r="A1016" t="s">
        <v>8</v>
      </c>
      <c r="B1016" t="s">
        <v>21</v>
      </c>
      <c r="C1016" t="s">
        <v>85</v>
      </c>
      <c r="D1016" t="s">
        <v>13</v>
      </c>
      <c r="E1016" t="s">
        <v>12</v>
      </c>
      <c r="F1016" s="7">
        <v>45416</v>
      </c>
      <c r="G1016" s="1">
        <v>45292</v>
      </c>
      <c r="H1016" s="14">
        <v>12210.272929000001</v>
      </c>
      <c r="I1016">
        <v>3325508</v>
      </c>
      <c r="J1016" t="s">
        <v>88</v>
      </c>
      <c r="K1016" t="s">
        <v>90</v>
      </c>
      <c r="L1016" s="16" t="s">
        <v>12</v>
      </c>
    </row>
    <row r="1017" spans="1:12" x14ac:dyDescent="0.35">
      <c r="A1017" t="s">
        <v>8</v>
      </c>
      <c r="B1017" t="s">
        <v>92</v>
      </c>
      <c r="C1017" t="s">
        <v>93</v>
      </c>
      <c r="D1017" t="s">
        <v>10</v>
      </c>
      <c r="E1017" t="s">
        <v>10</v>
      </c>
      <c r="F1017" s="7">
        <v>45416</v>
      </c>
      <c r="G1017" s="1">
        <v>45292</v>
      </c>
      <c r="H1017" s="14">
        <v>6275.0828999999976</v>
      </c>
      <c r="I1017">
        <v>1528211</v>
      </c>
      <c r="J1017" t="s">
        <v>88</v>
      </c>
      <c r="K1017" t="s">
        <v>94</v>
      </c>
      <c r="L1017" s="16" t="s">
        <v>10</v>
      </c>
    </row>
    <row r="1018" spans="1:12" x14ac:dyDescent="0.35">
      <c r="A1018" t="s">
        <v>8</v>
      </c>
      <c r="B1018" t="s">
        <v>92</v>
      </c>
      <c r="C1018" t="s">
        <v>95</v>
      </c>
      <c r="D1018" t="s">
        <v>10</v>
      </c>
      <c r="E1018" t="s">
        <v>10</v>
      </c>
      <c r="F1018" s="7">
        <v>45416</v>
      </c>
      <c r="G1018" s="1">
        <v>45292</v>
      </c>
      <c r="H1018" s="14">
        <v>11866.780000000004</v>
      </c>
      <c r="I1018">
        <v>2194202</v>
      </c>
      <c r="J1018" t="s">
        <v>88</v>
      </c>
      <c r="K1018" t="s">
        <v>96</v>
      </c>
      <c r="L1018" s="16" t="s">
        <v>10</v>
      </c>
    </row>
    <row r="1019" spans="1:12" x14ac:dyDescent="0.35">
      <c r="A1019" t="s">
        <v>8</v>
      </c>
      <c r="B1019" t="s">
        <v>84</v>
      </c>
      <c r="C1019" t="s">
        <v>93</v>
      </c>
      <c r="D1019" t="s">
        <v>10</v>
      </c>
      <c r="E1019" t="s">
        <v>10</v>
      </c>
      <c r="F1019" s="7">
        <v>45416</v>
      </c>
      <c r="G1019" s="1">
        <v>45292</v>
      </c>
      <c r="H1019" s="14">
        <v>1731.2059999999999</v>
      </c>
      <c r="I1019">
        <v>176964</v>
      </c>
      <c r="J1019" t="s">
        <v>88</v>
      </c>
      <c r="K1019" t="s">
        <v>94</v>
      </c>
      <c r="L1019" s="16" t="s">
        <v>10</v>
      </c>
    </row>
    <row r="1020" spans="1:12" x14ac:dyDescent="0.35">
      <c r="A1020" t="s">
        <v>8</v>
      </c>
      <c r="B1020" t="s">
        <v>84</v>
      </c>
      <c r="C1020" t="s">
        <v>95</v>
      </c>
      <c r="D1020" t="s">
        <v>10</v>
      </c>
      <c r="E1020" t="s">
        <v>10</v>
      </c>
      <c r="F1020" s="7">
        <v>45416</v>
      </c>
      <c r="G1020" s="1">
        <v>45292</v>
      </c>
      <c r="H1020" s="14">
        <v>9702.5100000000039</v>
      </c>
      <c r="I1020">
        <v>1948963</v>
      </c>
      <c r="J1020" t="s">
        <v>88</v>
      </c>
      <c r="K1020" t="s">
        <v>96</v>
      </c>
      <c r="L1020" s="16" t="s">
        <v>10</v>
      </c>
    </row>
    <row r="1021" spans="1:12" x14ac:dyDescent="0.35">
      <c r="A1021" t="s">
        <v>8</v>
      </c>
      <c r="B1021" t="s">
        <v>17</v>
      </c>
      <c r="C1021" t="s">
        <v>93</v>
      </c>
      <c r="D1021" t="s">
        <v>10</v>
      </c>
      <c r="E1021" t="s">
        <v>10</v>
      </c>
      <c r="F1021" s="7">
        <v>45416</v>
      </c>
      <c r="G1021" s="1">
        <v>45292</v>
      </c>
      <c r="H1021" s="14">
        <v>6958.256000000004</v>
      </c>
      <c r="I1021">
        <v>1026928</v>
      </c>
      <c r="J1021" t="s">
        <v>88</v>
      </c>
      <c r="K1021" t="s">
        <v>94</v>
      </c>
      <c r="L1021" s="16" t="s">
        <v>10</v>
      </c>
    </row>
    <row r="1022" spans="1:12" x14ac:dyDescent="0.35">
      <c r="A1022" t="s">
        <v>8</v>
      </c>
      <c r="B1022" t="s">
        <v>17</v>
      </c>
      <c r="C1022" t="s">
        <v>95</v>
      </c>
      <c r="D1022" t="s">
        <v>10</v>
      </c>
      <c r="E1022" t="s">
        <v>10</v>
      </c>
      <c r="F1022" s="7">
        <v>45416</v>
      </c>
      <c r="G1022" s="1">
        <v>45292</v>
      </c>
      <c r="H1022" s="14">
        <v>10958.749999999998</v>
      </c>
      <c r="I1022">
        <v>3121063</v>
      </c>
      <c r="J1022" t="s">
        <v>88</v>
      </c>
      <c r="K1022" t="s">
        <v>96</v>
      </c>
      <c r="L1022" s="16" t="s">
        <v>10</v>
      </c>
    </row>
    <row r="1023" spans="1:12" x14ac:dyDescent="0.35">
      <c r="A1023" t="s">
        <v>8</v>
      </c>
      <c r="B1023" t="s">
        <v>99</v>
      </c>
      <c r="C1023" t="s">
        <v>93</v>
      </c>
      <c r="D1023" t="s">
        <v>10</v>
      </c>
      <c r="E1023" t="s">
        <v>10</v>
      </c>
      <c r="F1023" s="7">
        <v>45416</v>
      </c>
      <c r="G1023" s="1">
        <v>45292</v>
      </c>
      <c r="H1023" s="14">
        <v>4971.2066000000004</v>
      </c>
      <c r="I1023">
        <v>756164</v>
      </c>
      <c r="J1023" t="s">
        <v>88</v>
      </c>
      <c r="K1023" t="s">
        <v>94</v>
      </c>
      <c r="L1023" s="16" t="s">
        <v>10</v>
      </c>
    </row>
    <row r="1024" spans="1:12" x14ac:dyDescent="0.35">
      <c r="A1024" t="s">
        <v>8</v>
      </c>
      <c r="B1024" t="s">
        <v>99</v>
      </c>
      <c r="C1024" t="s">
        <v>95</v>
      </c>
      <c r="D1024" t="s">
        <v>10</v>
      </c>
      <c r="E1024" t="s">
        <v>10</v>
      </c>
      <c r="F1024" s="7">
        <v>45416</v>
      </c>
      <c r="G1024" s="1">
        <v>45292</v>
      </c>
      <c r="H1024" s="14">
        <v>11751.45</v>
      </c>
      <c r="I1024">
        <v>2923735</v>
      </c>
      <c r="J1024" t="s">
        <v>88</v>
      </c>
      <c r="K1024" t="s">
        <v>96</v>
      </c>
      <c r="L1024" s="16" t="s">
        <v>10</v>
      </c>
    </row>
    <row r="1025" spans="1:12" x14ac:dyDescent="0.35">
      <c r="A1025" t="s">
        <v>8</v>
      </c>
      <c r="B1025" t="s">
        <v>100</v>
      </c>
      <c r="C1025" t="s">
        <v>93</v>
      </c>
      <c r="D1025" t="s">
        <v>10</v>
      </c>
      <c r="E1025" t="s">
        <v>10</v>
      </c>
      <c r="F1025" s="7">
        <v>45416</v>
      </c>
      <c r="G1025" s="1">
        <v>45292</v>
      </c>
      <c r="H1025" s="14">
        <v>3488.1769999999992</v>
      </c>
      <c r="I1025">
        <v>1137741</v>
      </c>
      <c r="J1025" t="s">
        <v>88</v>
      </c>
      <c r="K1025" t="s">
        <v>94</v>
      </c>
      <c r="L1025" s="16" t="s">
        <v>10</v>
      </c>
    </row>
    <row r="1026" spans="1:12" x14ac:dyDescent="0.35">
      <c r="A1026" t="s">
        <v>8</v>
      </c>
      <c r="B1026" t="s">
        <v>100</v>
      </c>
      <c r="C1026" t="s">
        <v>95</v>
      </c>
      <c r="D1026" t="s">
        <v>10</v>
      </c>
      <c r="E1026" t="s">
        <v>10</v>
      </c>
      <c r="F1026" s="7">
        <v>45416</v>
      </c>
      <c r="G1026" s="1">
        <v>45292</v>
      </c>
      <c r="H1026" s="14">
        <v>3854.3899999999994</v>
      </c>
      <c r="I1026">
        <v>1361116</v>
      </c>
      <c r="J1026" t="s">
        <v>88</v>
      </c>
      <c r="K1026" t="s">
        <v>96</v>
      </c>
      <c r="L1026" s="16" t="s">
        <v>10</v>
      </c>
    </row>
    <row r="1027" spans="1:12" x14ac:dyDescent="0.35">
      <c r="A1027" t="s">
        <v>8</v>
      </c>
      <c r="B1027" t="s">
        <v>21</v>
      </c>
      <c r="C1027" t="s">
        <v>93</v>
      </c>
      <c r="D1027" t="s">
        <v>10</v>
      </c>
      <c r="E1027" t="s">
        <v>10</v>
      </c>
      <c r="F1027" s="7">
        <v>45416</v>
      </c>
      <c r="G1027" s="1">
        <v>45292</v>
      </c>
      <c r="H1027" s="14">
        <v>4378.7928999999995</v>
      </c>
      <c r="I1027">
        <v>1371739</v>
      </c>
      <c r="J1027" t="s">
        <v>88</v>
      </c>
      <c r="K1027" t="s">
        <v>94</v>
      </c>
      <c r="L1027" s="16" t="s">
        <v>10</v>
      </c>
    </row>
    <row r="1028" spans="1:12" x14ac:dyDescent="0.35">
      <c r="A1028" t="s">
        <v>8</v>
      </c>
      <c r="B1028" t="s">
        <v>21</v>
      </c>
      <c r="C1028" t="s">
        <v>95</v>
      </c>
      <c r="D1028" t="s">
        <v>10</v>
      </c>
      <c r="E1028" t="s">
        <v>10</v>
      </c>
      <c r="F1028" s="7">
        <v>45416</v>
      </c>
      <c r="G1028" s="1">
        <v>45292</v>
      </c>
      <c r="H1028" s="14">
        <v>5087.5300000000034</v>
      </c>
      <c r="I1028">
        <v>974305</v>
      </c>
      <c r="J1028" t="s">
        <v>88</v>
      </c>
      <c r="K1028" t="s">
        <v>96</v>
      </c>
      <c r="L1028" s="16" t="s">
        <v>10</v>
      </c>
    </row>
    <row r="1029" spans="1:12" x14ac:dyDescent="0.35">
      <c r="A1029" t="s">
        <v>8</v>
      </c>
      <c r="B1029" t="s">
        <v>101</v>
      </c>
      <c r="C1029" t="s">
        <v>93</v>
      </c>
      <c r="D1029" t="s">
        <v>10</v>
      </c>
      <c r="E1029" t="s">
        <v>10</v>
      </c>
      <c r="F1029" s="7">
        <v>45416</v>
      </c>
      <c r="G1029" s="1">
        <v>45292</v>
      </c>
      <c r="H1029" s="14">
        <v>2014.6624000000002</v>
      </c>
      <c r="I1029">
        <v>638522</v>
      </c>
      <c r="J1029" t="s">
        <v>88</v>
      </c>
      <c r="K1029" t="s">
        <v>94</v>
      </c>
      <c r="L1029" s="16" t="s">
        <v>10</v>
      </c>
    </row>
    <row r="1030" spans="1:12" x14ac:dyDescent="0.35">
      <c r="A1030" t="s">
        <v>8</v>
      </c>
      <c r="B1030" t="s">
        <v>101</v>
      </c>
      <c r="C1030" t="s">
        <v>95</v>
      </c>
      <c r="D1030" t="s">
        <v>10</v>
      </c>
      <c r="E1030" t="s">
        <v>10</v>
      </c>
      <c r="F1030" s="7">
        <v>45416</v>
      </c>
      <c r="G1030" s="1">
        <v>45292</v>
      </c>
      <c r="H1030" s="14">
        <v>2160.1899999999996</v>
      </c>
      <c r="I1030">
        <v>827872</v>
      </c>
      <c r="J1030" t="s">
        <v>88</v>
      </c>
      <c r="K1030" t="s">
        <v>96</v>
      </c>
      <c r="L1030" s="16" t="s">
        <v>10</v>
      </c>
    </row>
    <row r="1031" spans="1:12" x14ac:dyDescent="0.35">
      <c r="A1031" t="s">
        <v>8</v>
      </c>
      <c r="B1031" t="s">
        <v>102</v>
      </c>
      <c r="C1031" t="s">
        <v>95</v>
      </c>
      <c r="D1031" t="s">
        <v>10</v>
      </c>
      <c r="E1031" t="s">
        <v>10</v>
      </c>
      <c r="F1031" s="7">
        <v>45416</v>
      </c>
      <c r="G1031" s="1">
        <v>45292</v>
      </c>
      <c r="H1031" s="14">
        <v>0.74</v>
      </c>
      <c r="I1031">
        <v>438</v>
      </c>
      <c r="J1031" t="s">
        <v>88</v>
      </c>
      <c r="K1031" t="s">
        <v>96</v>
      </c>
      <c r="L1031" s="16" t="s">
        <v>10</v>
      </c>
    </row>
    <row r="1032" spans="1:12" x14ac:dyDescent="0.35">
      <c r="A1032" t="s">
        <v>8</v>
      </c>
      <c r="B1032" t="s">
        <v>103</v>
      </c>
      <c r="C1032" t="s">
        <v>95</v>
      </c>
      <c r="D1032" t="s">
        <v>104</v>
      </c>
      <c r="E1032" t="s">
        <v>8</v>
      </c>
      <c r="F1032" s="7">
        <v>45416</v>
      </c>
      <c r="G1032" s="1">
        <v>45292</v>
      </c>
      <c r="H1032" s="14">
        <v>72.64</v>
      </c>
      <c r="I1032">
        <v>336</v>
      </c>
      <c r="J1032" t="s">
        <v>88</v>
      </c>
      <c r="K1032" t="s">
        <v>105</v>
      </c>
      <c r="L1032" s="16" t="s">
        <v>95</v>
      </c>
    </row>
    <row r="1033" spans="1:12" x14ac:dyDescent="0.35">
      <c r="A1033" t="s">
        <v>8</v>
      </c>
      <c r="B1033" t="s">
        <v>16</v>
      </c>
      <c r="C1033" t="s">
        <v>95</v>
      </c>
      <c r="D1033" t="s">
        <v>104</v>
      </c>
      <c r="E1033" t="s">
        <v>8</v>
      </c>
      <c r="F1033" s="7">
        <v>45416</v>
      </c>
      <c r="G1033" s="1">
        <v>45292</v>
      </c>
      <c r="H1033" s="14">
        <v>38.14</v>
      </c>
      <c r="I1033">
        <v>226</v>
      </c>
      <c r="J1033" t="s">
        <v>88</v>
      </c>
      <c r="K1033" t="s">
        <v>105</v>
      </c>
      <c r="L1033" s="16" t="s">
        <v>95</v>
      </c>
    </row>
    <row r="1034" spans="1:12" x14ac:dyDescent="0.35">
      <c r="A1034" t="s">
        <v>8</v>
      </c>
      <c r="B1034" t="s">
        <v>84</v>
      </c>
      <c r="C1034" t="s">
        <v>95</v>
      </c>
      <c r="D1034" t="s">
        <v>104</v>
      </c>
      <c r="E1034" t="s">
        <v>8</v>
      </c>
      <c r="F1034" s="7">
        <v>45416</v>
      </c>
      <c r="G1034" s="1">
        <v>45292</v>
      </c>
      <c r="H1034" s="14">
        <v>7562.0014150000006</v>
      </c>
      <c r="I1034">
        <v>28414</v>
      </c>
      <c r="J1034" t="s">
        <v>88</v>
      </c>
      <c r="K1034" t="s">
        <v>105</v>
      </c>
      <c r="L1034" s="16" t="s">
        <v>95</v>
      </c>
    </row>
    <row r="1035" spans="1:12" x14ac:dyDescent="0.35">
      <c r="A1035" t="s">
        <v>8</v>
      </c>
      <c r="B1035" t="s">
        <v>17</v>
      </c>
      <c r="C1035" t="s">
        <v>95</v>
      </c>
      <c r="D1035" t="s">
        <v>104</v>
      </c>
      <c r="E1035" t="s">
        <v>8</v>
      </c>
      <c r="F1035" s="7">
        <v>45416</v>
      </c>
      <c r="G1035" s="1">
        <v>45292</v>
      </c>
      <c r="H1035" s="14">
        <v>117.46</v>
      </c>
      <c r="I1035">
        <v>918</v>
      </c>
      <c r="J1035" t="s">
        <v>88</v>
      </c>
      <c r="K1035" t="s">
        <v>105</v>
      </c>
      <c r="L1035" s="16" t="s">
        <v>95</v>
      </c>
    </row>
    <row r="1036" spans="1:12" x14ac:dyDescent="0.35">
      <c r="A1036" t="s">
        <v>8</v>
      </c>
      <c r="B1036" t="s">
        <v>106</v>
      </c>
      <c r="C1036" t="s">
        <v>95</v>
      </c>
      <c r="D1036" t="s">
        <v>104</v>
      </c>
      <c r="E1036" t="s">
        <v>8</v>
      </c>
      <c r="F1036" s="7">
        <v>45416</v>
      </c>
      <c r="G1036" s="1">
        <v>45292</v>
      </c>
      <c r="H1036" s="14">
        <v>209.54000000000002</v>
      </c>
      <c r="I1036">
        <v>501</v>
      </c>
      <c r="J1036" t="s">
        <v>88</v>
      </c>
      <c r="K1036" t="s">
        <v>105</v>
      </c>
      <c r="L1036" s="16" t="s">
        <v>95</v>
      </c>
    </row>
    <row r="1037" spans="1:12" x14ac:dyDescent="0.35">
      <c r="A1037" t="s">
        <v>8</v>
      </c>
      <c r="B1037" t="s">
        <v>92</v>
      </c>
      <c r="C1037" t="s">
        <v>95</v>
      </c>
      <c r="D1037" t="s">
        <v>104</v>
      </c>
      <c r="E1037" t="s">
        <v>8</v>
      </c>
      <c r="F1037" s="7">
        <v>45416</v>
      </c>
      <c r="G1037" s="1">
        <v>45292</v>
      </c>
      <c r="H1037" s="14">
        <v>264.5</v>
      </c>
      <c r="I1037">
        <v>2040</v>
      </c>
      <c r="J1037" t="s">
        <v>88</v>
      </c>
      <c r="K1037" t="s">
        <v>105</v>
      </c>
      <c r="L1037" s="16" t="s">
        <v>95</v>
      </c>
    </row>
    <row r="1038" spans="1:12" x14ac:dyDescent="0.35">
      <c r="A1038" t="s">
        <v>8</v>
      </c>
      <c r="B1038" t="s">
        <v>21</v>
      </c>
      <c r="C1038" t="s">
        <v>95</v>
      </c>
      <c r="D1038" t="s">
        <v>104</v>
      </c>
      <c r="E1038" t="s">
        <v>8</v>
      </c>
      <c r="F1038" s="7">
        <v>45416</v>
      </c>
      <c r="G1038" s="1">
        <v>45292</v>
      </c>
      <c r="H1038" s="14">
        <v>310.85999999999996</v>
      </c>
      <c r="I1038">
        <v>2084</v>
      </c>
      <c r="J1038" t="s">
        <v>88</v>
      </c>
      <c r="K1038" t="s">
        <v>105</v>
      </c>
      <c r="L1038" s="16" t="s">
        <v>95</v>
      </c>
    </row>
    <row r="1039" spans="1:12" x14ac:dyDescent="0.35">
      <c r="A1039" t="s">
        <v>8</v>
      </c>
      <c r="B1039" t="s">
        <v>101</v>
      </c>
      <c r="C1039" t="s">
        <v>95</v>
      </c>
      <c r="D1039" t="s">
        <v>104</v>
      </c>
      <c r="E1039" t="s">
        <v>8</v>
      </c>
      <c r="F1039" s="7">
        <v>45416</v>
      </c>
      <c r="G1039" s="1">
        <v>45292</v>
      </c>
      <c r="H1039" s="14">
        <v>99.023240999999999</v>
      </c>
      <c r="I1039">
        <v>522</v>
      </c>
      <c r="J1039" t="s">
        <v>88</v>
      </c>
      <c r="K1039" t="s">
        <v>105</v>
      </c>
      <c r="L1039" s="16" t="s">
        <v>95</v>
      </c>
    </row>
    <row r="1040" spans="1:12" x14ac:dyDescent="0.35">
      <c r="A1040" t="s">
        <v>8</v>
      </c>
      <c r="B1040" t="s">
        <v>99</v>
      </c>
      <c r="C1040" t="s">
        <v>95</v>
      </c>
      <c r="D1040" t="s">
        <v>104</v>
      </c>
      <c r="E1040" t="s">
        <v>8</v>
      </c>
      <c r="F1040" s="7">
        <v>45416</v>
      </c>
      <c r="G1040" s="1">
        <v>45292</v>
      </c>
      <c r="H1040" s="14">
        <v>74.699999999999989</v>
      </c>
      <c r="I1040">
        <v>607</v>
      </c>
      <c r="J1040" t="s">
        <v>88</v>
      </c>
      <c r="K1040" t="s">
        <v>105</v>
      </c>
      <c r="L1040" s="16" t="s">
        <v>95</v>
      </c>
    </row>
    <row r="1041" spans="1:12" x14ac:dyDescent="0.35">
      <c r="A1041" t="s">
        <v>8</v>
      </c>
      <c r="B1041" t="s">
        <v>102</v>
      </c>
      <c r="C1041" t="s">
        <v>95</v>
      </c>
      <c r="D1041" t="s">
        <v>104</v>
      </c>
      <c r="E1041" t="s">
        <v>8</v>
      </c>
      <c r="F1041" s="7">
        <v>45416</v>
      </c>
      <c r="G1041" s="1">
        <v>45292</v>
      </c>
      <c r="H1041" s="14">
        <v>82.169999999999987</v>
      </c>
      <c r="I1041">
        <v>622</v>
      </c>
      <c r="J1041" t="s">
        <v>88</v>
      </c>
      <c r="K1041" t="s">
        <v>105</v>
      </c>
      <c r="L1041" s="16" t="s">
        <v>95</v>
      </c>
    </row>
    <row r="1042" spans="1:12" x14ac:dyDescent="0.35">
      <c r="A1042" t="s">
        <v>8</v>
      </c>
      <c r="B1042" t="s">
        <v>100</v>
      </c>
      <c r="C1042" t="s">
        <v>95</v>
      </c>
      <c r="D1042" t="s">
        <v>104</v>
      </c>
      <c r="E1042" t="s">
        <v>8</v>
      </c>
      <c r="F1042" s="7">
        <v>45416</v>
      </c>
      <c r="G1042" s="1">
        <v>45292</v>
      </c>
      <c r="H1042" s="14">
        <v>132.98000000000002</v>
      </c>
      <c r="I1042">
        <v>881</v>
      </c>
      <c r="J1042" t="s">
        <v>88</v>
      </c>
      <c r="K1042" t="s">
        <v>105</v>
      </c>
      <c r="L1042" s="16" t="s">
        <v>95</v>
      </c>
    </row>
    <row r="1043" spans="1:12" x14ac:dyDescent="0.35">
      <c r="A1043" t="s">
        <v>8</v>
      </c>
      <c r="B1043" t="s">
        <v>21</v>
      </c>
      <c r="C1043" t="s">
        <v>85</v>
      </c>
      <c r="D1043" t="s">
        <v>13</v>
      </c>
      <c r="E1043" t="s">
        <v>11</v>
      </c>
      <c r="F1043" s="7">
        <v>45423</v>
      </c>
      <c r="G1043" s="1">
        <v>45292</v>
      </c>
      <c r="H1043" s="14">
        <v>23547.020368999998</v>
      </c>
      <c r="I1043">
        <v>10549998</v>
      </c>
      <c r="J1043" t="s">
        <v>88</v>
      </c>
      <c r="K1043" t="s">
        <v>90</v>
      </c>
      <c r="L1043" s="16" t="s">
        <v>13</v>
      </c>
    </row>
    <row r="1044" spans="1:12" x14ac:dyDescent="0.35">
      <c r="A1044" t="s">
        <v>8</v>
      </c>
      <c r="B1044" t="s">
        <v>21</v>
      </c>
      <c r="C1044" t="s">
        <v>85</v>
      </c>
      <c r="D1044" t="s">
        <v>13</v>
      </c>
      <c r="E1044" t="s">
        <v>12</v>
      </c>
      <c r="F1044" s="7">
        <v>45423</v>
      </c>
      <c r="G1044" s="1">
        <v>45292</v>
      </c>
      <c r="H1044" s="14">
        <v>11893.582205999999</v>
      </c>
      <c r="I1044">
        <v>3403755</v>
      </c>
      <c r="J1044" t="s">
        <v>88</v>
      </c>
      <c r="K1044" t="s">
        <v>90</v>
      </c>
      <c r="L1044" s="16" t="s">
        <v>12</v>
      </c>
    </row>
    <row r="1045" spans="1:12" x14ac:dyDescent="0.35">
      <c r="A1045" t="s">
        <v>8</v>
      </c>
      <c r="B1045" t="s">
        <v>92</v>
      </c>
      <c r="C1045" t="s">
        <v>93</v>
      </c>
      <c r="D1045" t="s">
        <v>10</v>
      </c>
      <c r="E1045" t="s">
        <v>10</v>
      </c>
      <c r="F1045" s="7">
        <v>45423</v>
      </c>
      <c r="G1045" s="1">
        <v>45292</v>
      </c>
      <c r="H1045" s="14">
        <v>6432.1991000000007</v>
      </c>
      <c r="I1045">
        <v>1474459</v>
      </c>
      <c r="J1045" t="s">
        <v>88</v>
      </c>
      <c r="K1045" t="s">
        <v>94</v>
      </c>
      <c r="L1045" s="16" t="s">
        <v>10</v>
      </c>
    </row>
    <row r="1046" spans="1:12" x14ac:dyDescent="0.35">
      <c r="A1046" t="s">
        <v>8</v>
      </c>
      <c r="B1046" t="s">
        <v>92</v>
      </c>
      <c r="C1046" t="s">
        <v>95</v>
      </c>
      <c r="D1046" t="s">
        <v>10</v>
      </c>
      <c r="E1046" t="s">
        <v>10</v>
      </c>
      <c r="F1046" s="7">
        <v>45423</v>
      </c>
      <c r="G1046" s="1">
        <v>45292</v>
      </c>
      <c r="H1046" s="14">
        <v>5711.8300000000008</v>
      </c>
      <c r="I1046">
        <v>1207781</v>
      </c>
      <c r="J1046" t="s">
        <v>88</v>
      </c>
      <c r="K1046" t="s">
        <v>96</v>
      </c>
      <c r="L1046" s="16" t="s">
        <v>10</v>
      </c>
    </row>
    <row r="1047" spans="1:12" x14ac:dyDescent="0.35">
      <c r="A1047" t="s">
        <v>8</v>
      </c>
      <c r="B1047" t="s">
        <v>84</v>
      </c>
      <c r="C1047" t="s">
        <v>93</v>
      </c>
      <c r="D1047" t="s">
        <v>10</v>
      </c>
      <c r="E1047" t="s">
        <v>10</v>
      </c>
      <c r="F1047" s="7">
        <v>45423</v>
      </c>
      <c r="G1047" s="1">
        <v>45292</v>
      </c>
      <c r="H1047" s="14">
        <v>1775.6202000000003</v>
      </c>
      <c r="I1047">
        <v>117085</v>
      </c>
      <c r="J1047" t="s">
        <v>88</v>
      </c>
      <c r="K1047" t="s">
        <v>94</v>
      </c>
      <c r="L1047" s="16" t="s">
        <v>10</v>
      </c>
    </row>
    <row r="1048" spans="1:12" x14ac:dyDescent="0.35">
      <c r="A1048" t="s">
        <v>8</v>
      </c>
      <c r="B1048" t="s">
        <v>84</v>
      </c>
      <c r="C1048" t="s">
        <v>95</v>
      </c>
      <c r="D1048" t="s">
        <v>10</v>
      </c>
      <c r="E1048" t="s">
        <v>10</v>
      </c>
      <c r="F1048" s="7">
        <v>45423</v>
      </c>
      <c r="G1048" s="1">
        <v>45292</v>
      </c>
      <c r="H1048" s="14">
        <v>10371.069999999998</v>
      </c>
      <c r="I1048">
        <v>1936143</v>
      </c>
      <c r="J1048" t="s">
        <v>88</v>
      </c>
      <c r="K1048" t="s">
        <v>96</v>
      </c>
      <c r="L1048" s="16" t="s">
        <v>10</v>
      </c>
    </row>
    <row r="1049" spans="1:12" x14ac:dyDescent="0.35">
      <c r="A1049" t="s">
        <v>8</v>
      </c>
      <c r="B1049" t="s">
        <v>17</v>
      </c>
      <c r="C1049" t="s">
        <v>93</v>
      </c>
      <c r="D1049" t="s">
        <v>10</v>
      </c>
      <c r="E1049" t="s">
        <v>10</v>
      </c>
      <c r="F1049" s="7">
        <v>45423</v>
      </c>
      <c r="G1049" s="1">
        <v>45292</v>
      </c>
      <c r="H1049" s="14">
        <v>7437.2620000000052</v>
      </c>
      <c r="I1049">
        <v>1240242</v>
      </c>
      <c r="J1049" t="s">
        <v>88</v>
      </c>
      <c r="K1049" t="s">
        <v>94</v>
      </c>
      <c r="L1049" s="16" t="s">
        <v>10</v>
      </c>
    </row>
    <row r="1050" spans="1:12" x14ac:dyDescent="0.35">
      <c r="A1050" t="s">
        <v>8</v>
      </c>
      <c r="B1050" t="s">
        <v>17</v>
      </c>
      <c r="C1050" t="s">
        <v>95</v>
      </c>
      <c r="D1050" t="s">
        <v>10</v>
      </c>
      <c r="E1050" t="s">
        <v>10</v>
      </c>
      <c r="F1050" s="7">
        <v>45423</v>
      </c>
      <c r="G1050" s="1">
        <v>45292</v>
      </c>
      <c r="H1050" s="14">
        <v>12529.640000000003</v>
      </c>
      <c r="I1050">
        <v>3519964</v>
      </c>
      <c r="J1050" t="s">
        <v>88</v>
      </c>
      <c r="K1050" t="s">
        <v>96</v>
      </c>
      <c r="L1050" s="16" t="s">
        <v>10</v>
      </c>
    </row>
    <row r="1051" spans="1:12" x14ac:dyDescent="0.35">
      <c r="A1051" t="s">
        <v>8</v>
      </c>
      <c r="B1051" t="s">
        <v>99</v>
      </c>
      <c r="C1051" t="s">
        <v>93</v>
      </c>
      <c r="D1051" t="s">
        <v>10</v>
      </c>
      <c r="E1051" t="s">
        <v>10</v>
      </c>
      <c r="F1051" s="7">
        <v>45423</v>
      </c>
      <c r="G1051" s="1">
        <v>45292</v>
      </c>
      <c r="H1051" s="14">
        <v>5077.7660999999989</v>
      </c>
      <c r="I1051">
        <v>770550</v>
      </c>
      <c r="J1051" t="s">
        <v>88</v>
      </c>
      <c r="K1051" t="s">
        <v>94</v>
      </c>
      <c r="L1051" s="16" t="s">
        <v>10</v>
      </c>
    </row>
    <row r="1052" spans="1:12" x14ac:dyDescent="0.35">
      <c r="A1052" t="s">
        <v>8</v>
      </c>
      <c r="B1052" t="s">
        <v>99</v>
      </c>
      <c r="C1052" t="s">
        <v>95</v>
      </c>
      <c r="D1052" t="s">
        <v>10</v>
      </c>
      <c r="E1052" t="s">
        <v>10</v>
      </c>
      <c r="F1052" s="7">
        <v>45423</v>
      </c>
      <c r="G1052" s="1">
        <v>45292</v>
      </c>
      <c r="H1052" s="14">
        <v>14041.000000000005</v>
      </c>
      <c r="I1052">
        <v>2804773</v>
      </c>
      <c r="J1052" t="s">
        <v>88</v>
      </c>
      <c r="K1052" t="s">
        <v>96</v>
      </c>
      <c r="L1052" s="16" t="s">
        <v>10</v>
      </c>
    </row>
    <row r="1053" spans="1:12" x14ac:dyDescent="0.35">
      <c r="A1053" t="s">
        <v>8</v>
      </c>
      <c r="B1053" t="s">
        <v>100</v>
      </c>
      <c r="C1053" t="s">
        <v>93</v>
      </c>
      <c r="D1053" t="s">
        <v>10</v>
      </c>
      <c r="E1053" t="s">
        <v>10</v>
      </c>
      <c r="F1053" s="7">
        <v>45423</v>
      </c>
      <c r="G1053" s="1">
        <v>45292</v>
      </c>
      <c r="H1053" s="14">
        <v>5626.529300000002</v>
      </c>
      <c r="I1053">
        <v>1621307</v>
      </c>
      <c r="J1053" t="s">
        <v>88</v>
      </c>
      <c r="K1053" t="s">
        <v>94</v>
      </c>
      <c r="L1053" s="16" t="s">
        <v>10</v>
      </c>
    </row>
    <row r="1054" spans="1:12" x14ac:dyDescent="0.35">
      <c r="A1054" t="s">
        <v>8</v>
      </c>
      <c r="B1054" t="s">
        <v>100</v>
      </c>
      <c r="C1054" t="s">
        <v>95</v>
      </c>
      <c r="D1054" t="s">
        <v>10</v>
      </c>
      <c r="E1054" t="s">
        <v>10</v>
      </c>
      <c r="F1054" s="7">
        <v>45423</v>
      </c>
      <c r="G1054" s="1">
        <v>45292</v>
      </c>
      <c r="H1054" s="14">
        <v>4683.7299999999977</v>
      </c>
      <c r="I1054">
        <v>1522065</v>
      </c>
      <c r="J1054" t="s">
        <v>88</v>
      </c>
      <c r="K1054" t="s">
        <v>96</v>
      </c>
      <c r="L1054" s="16" t="s">
        <v>10</v>
      </c>
    </row>
    <row r="1055" spans="1:12" x14ac:dyDescent="0.35">
      <c r="A1055" t="s">
        <v>8</v>
      </c>
      <c r="B1055" t="s">
        <v>21</v>
      </c>
      <c r="C1055" t="s">
        <v>93</v>
      </c>
      <c r="D1055" t="s">
        <v>10</v>
      </c>
      <c r="E1055" t="s">
        <v>10</v>
      </c>
      <c r="F1055" s="7">
        <v>45423</v>
      </c>
      <c r="G1055" s="1">
        <v>45292</v>
      </c>
      <c r="H1055" s="14">
        <v>5121.5629999999974</v>
      </c>
      <c r="I1055">
        <v>1598545</v>
      </c>
      <c r="J1055" t="s">
        <v>88</v>
      </c>
      <c r="K1055" t="s">
        <v>94</v>
      </c>
      <c r="L1055" s="16" t="s">
        <v>10</v>
      </c>
    </row>
    <row r="1056" spans="1:12" x14ac:dyDescent="0.35">
      <c r="A1056" t="s">
        <v>8</v>
      </c>
      <c r="B1056" t="s">
        <v>21</v>
      </c>
      <c r="C1056" t="s">
        <v>95</v>
      </c>
      <c r="D1056" t="s">
        <v>10</v>
      </c>
      <c r="E1056" t="s">
        <v>10</v>
      </c>
      <c r="F1056" s="7">
        <v>45423</v>
      </c>
      <c r="G1056" s="1">
        <v>45292</v>
      </c>
      <c r="H1056" s="14">
        <v>6758.97</v>
      </c>
      <c r="I1056">
        <v>933182</v>
      </c>
      <c r="J1056" t="s">
        <v>88</v>
      </c>
      <c r="K1056" t="s">
        <v>96</v>
      </c>
      <c r="L1056" s="16" t="s">
        <v>10</v>
      </c>
    </row>
    <row r="1057" spans="1:12" x14ac:dyDescent="0.35">
      <c r="A1057" t="s">
        <v>8</v>
      </c>
      <c r="B1057" t="s">
        <v>101</v>
      </c>
      <c r="C1057" t="s">
        <v>93</v>
      </c>
      <c r="D1057" t="s">
        <v>10</v>
      </c>
      <c r="E1057" t="s">
        <v>10</v>
      </c>
      <c r="F1057" s="7">
        <v>45423</v>
      </c>
      <c r="G1057" s="1">
        <v>45292</v>
      </c>
      <c r="H1057" s="14">
        <v>3074.0080999999996</v>
      </c>
      <c r="I1057">
        <v>909045</v>
      </c>
      <c r="J1057" t="s">
        <v>88</v>
      </c>
      <c r="K1057" t="s">
        <v>94</v>
      </c>
      <c r="L1057" s="16" t="s">
        <v>10</v>
      </c>
    </row>
    <row r="1058" spans="1:12" x14ac:dyDescent="0.35">
      <c r="A1058" t="s">
        <v>8</v>
      </c>
      <c r="B1058" t="s">
        <v>101</v>
      </c>
      <c r="C1058" t="s">
        <v>95</v>
      </c>
      <c r="D1058" t="s">
        <v>10</v>
      </c>
      <c r="E1058" t="s">
        <v>10</v>
      </c>
      <c r="F1058" s="7">
        <v>45423</v>
      </c>
      <c r="G1058" s="1">
        <v>45292</v>
      </c>
      <c r="H1058" s="14">
        <v>2152.96</v>
      </c>
      <c r="I1058">
        <v>715702</v>
      </c>
      <c r="J1058" t="s">
        <v>88</v>
      </c>
      <c r="K1058" t="s">
        <v>96</v>
      </c>
      <c r="L1058" s="16" t="s">
        <v>10</v>
      </c>
    </row>
    <row r="1059" spans="1:12" x14ac:dyDescent="0.35">
      <c r="A1059" t="s">
        <v>8</v>
      </c>
      <c r="B1059" t="s">
        <v>102</v>
      </c>
      <c r="C1059" t="s">
        <v>95</v>
      </c>
      <c r="D1059" t="s">
        <v>10</v>
      </c>
      <c r="E1059" t="s">
        <v>10</v>
      </c>
      <c r="F1059" s="7">
        <v>45423</v>
      </c>
      <c r="G1059" s="1">
        <v>45292</v>
      </c>
      <c r="H1059" s="14">
        <v>1.1099999999999999</v>
      </c>
      <c r="I1059">
        <v>760</v>
      </c>
      <c r="J1059" t="s">
        <v>88</v>
      </c>
      <c r="K1059" t="s">
        <v>96</v>
      </c>
      <c r="L1059" s="16" t="s">
        <v>10</v>
      </c>
    </row>
    <row r="1060" spans="1:12" x14ac:dyDescent="0.35">
      <c r="A1060" t="s">
        <v>8</v>
      </c>
      <c r="B1060" t="s">
        <v>103</v>
      </c>
      <c r="C1060" t="s">
        <v>95</v>
      </c>
      <c r="D1060" t="s">
        <v>104</v>
      </c>
      <c r="E1060" t="s">
        <v>8</v>
      </c>
      <c r="F1060" s="7">
        <v>45423</v>
      </c>
      <c r="G1060" s="1">
        <v>45292</v>
      </c>
      <c r="H1060" s="14">
        <v>87.11</v>
      </c>
      <c r="I1060">
        <v>373</v>
      </c>
      <c r="J1060" t="s">
        <v>88</v>
      </c>
      <c r="K1060" t="s">
        <v>105</v>
      </c>
      <c r="L1060" s="16" t="s">
        <v>95</v>
      </c>
    </row>
    <row r="1061" spans="1:12" x14ac:dyDescent="0.35">
      <c r="A1061" t="s">
        <v>8</v>
      </c>
      <c r="B1061" t="s">
        <v>16</v>
      </c>
      <c r="C1061" t="s">
        <v>95</v>
      </c>
      <c r="D1061" t="s">
        <v>104</v>
      </c>
      <c r="E1061" t="s">
        <v>8</v>
      </c>
      <c r="F1061" s="7">
        <v>45423</v>
      </c>
      <c r="G1061" s="1">
        <v>45292</v>
      </c>
      <c r="H1061" s="14">
        <v>47.24</v>
      </c>
      <c r="I1061">
        <v>217</v>
      </c>
      <c r="J1061" t="s">
        <v>88</v>
      </c>
      <c r="K1061" t="s">
        <v>105</v>
      </c>
      <c r="L1061" s="16" t="s">
        <v>95</v>
      </c>
    </row>
    <row r="1062" spans="1:12" x14ac:dyDescent="0.35">
      <c r="A1062" t="s">
        <v>8</v>
      </c>
      <c r="B1062" t="s">
        <v>84</v>
      </c>
      <c r="C1062" t="s">
        <v>95</v>
      </c>
      <c r="D1062" t="s">
        <v>104</v>
      </c>
      <c r="E1062" t="s">
        <v>8</v>
      </c>
      <c r="F1062" s="7">
        <v>45423</v>
      </c>
      <c r="G1062" s="1">
        <v>45292</v>
      </c>
      <c r="H1062" s="14">
        <v>7276.1032540000006</v>
      </c>
      <c r="I1062">
        <v>28780</v>
      </c>
      <c r="J1062" t="s">
        <v>88</v>
      </c>
      <c r="K1062" t="s">
        <v>105</v>
      </c>
      <c r="L1062" s="16" t="s">
        <v>95</v>
      </c>
    </row>
    <row r="1063" spans="1:12" x14ac:dyDescent="0.35">
      <c r="A1063" t="s">
        <v>8</v>
      </c>
      <c r="B1063" t="s">
        <v>17</v>
      </c>
      <c r="C1063" t="s">
        <v>95</v>
      </c>
      <c r="D1063" t="s">
        <v>104</v>
      </c>
      <c r="E1063" t="s">
        <v>8</v>
      </c>
      <c r="F1063" s="7">
        <v>45423</v>
      </c>
      <c r="G1063" s="1">
        <v>45292</v>
      </c>
      <c r="H1063" s="14">
        <v>96.050000000000011</v>
      </c>
      <c r="I1063">
        <v>889</v>
      </c>
      <c r="J1063" t="s">
        <v>88</v>
      </c>
      <c r="K1063" t="s">
        <v>105</v>
      </c>
      <c r="L1063" s="16" t="s">
        <v>95</v>
      </c>
    </row>
    <row r="1064" spans="1:12" x14ac:dyDescent="0.35">
      <c r="A1064" t="s">
        <v>8</v>
      </c>
      <c r="B1064" t="s">
        <v>106</v>
      </c>
      <c r="C1064" t="s">
        <v>95</v>
      </c>
      <c r="D1064" t="s">
        <v>104</v>
      </c>
      <c r="E1064" t="s">
        <v>8</v>
      </c>
      <c r="F1064" s="7">
        <v>45423</v>
      </c>
      <c r="G1064" s="1">
        <v>45292</v>
      </c>
      <c r="H1064" s="14">
        <v>160.833035</v>
      </c>
      <c r="I1064">
        <v>361</v>
      </c>
      <c r="J1064" t="s">
        <v>88</v>
      </c>
      <c r="K1064" t="s">
        <v>105</v>
      </c>
      <c r="L1064" s="16" t="s">
        <v>95</v>
      </c>
    </row>
    <row r="1065" spans="1:12" x14ac:dyDescent="0.35">
      <c r="A1065" t="s">
        <v>8</v>
      </c>
      <c r="B1065" t="s">
        <v>92</v>
      </c>
      <c r="C1065" t="s">
        <v>95</v>
      </c>
      <c r="D1065" t="s">
        <v>104</v>
      </c>
      <c r="E1065" t="s">
        <v>8</v>
      </c>
      <c r="F1065" s="7">
        <v>45423</v>
      </c>
      <c r="G1065" s="1">
        <v>45292</v>
      </c>
      <c r="H1065" s="14">
        <v>324.72999999999996</v>
      </c>
      <c r="I1065">
        <v>2079</v>
      </c>
      <c r="J1065" t="s">
        <v>88</v>
      </c>
      <c r="K1065" t="s">
        <v>105</v>
      </c>
      <c r="L1065" s="16" t="s">
        <v>95</v>
      </c>
    </row>
    <row r="1066" spans="1:12" x14ac:dyDescent="0.35">
      <c r="A1066" t="s">
        <v>8</v>
      </c>
      <c r="B1066" t="s">
        <v>21</v>
      </c>
      <c r="C1066" t="s">
        <v>95</v>
      </c>
      <c r="D1066" t="s">
        <v>104</v>
      </c>
      <c r="E1066" t="s">
        <v>8</v>
      </c>
      <c r="F1066" s="7">
        <v>45423</v>
      </c>
      <c r="G1066" s="1">
        <v>45292</v>
      </c>
      <c r="H1066" s="14">
        <v>312.11999999999995</v>
      </c>
      <c r="I1066">
        <v>2108</v>
      </c>
      <c r="J1066" t="s">
        <v>88</v>
      </c>
      <c r="K1066" t="s">
        <v>105</v>
      </c>
      <c r="L1066" s="16" t="s">
        <v>95</v>
      </c>
    </row>
    <row r="1067" spans="1:12" x14ac:dyDescent="0.35">
      <c r="A1067" t="s">
        <v>8</v>
      </c>
      <c r="B1067" t="s">
        <v>101</v>
      </c>
      <c r="C1067" t="s">
        <v>95</v>
      </c>
      <c r="D1067" t="s">
        <v>104</v>
      </c>
      <c r="E1067" t="s">
        <v>8</v>
      </c>
      <c r="F1067" s="7">
        <v>45423</v>
      </c>
      <c r="G1067" s="1">
        <v>45292</v>
      </c>
      <c r="H1067" s="14">
        <v>83.49</v>
      </c>
      <c r="I1067">
        <v>556</v>
      </c>
      <c r="J1067" t="s">
        <v>88</v>
      </c>
      <c r="K1067" t="s">
        <v>105</v>
      </c>
      <c r="L1067" s="16" t="s">
        <v>95</v>
      </c>
    </row>
    <row r="1068" spans="1:12" x14ac:dyDescent="0.35">
      <c r="A1068" t="s">
        <v>8</v>
      </c>
      <c r="B1068" t="s">
        <v>99</v>
      </c>
      <c r="C1068" t="s">
        <v>95</v>
      </c>
      <c r="D1068" t="s">
        <v>104</v>
      </c>
      <c r="E1068" t="s">
        <v>8</v>
      </c>
      <c r="F1068" s="7">
        <v>45423</v>
      </c>
      <c r="G1068" s="1">
        <v>45292</v>
      </c>
      <c r="H1068" s="14">
        <v>107.26</v>
      </c>
      <c r="I1068">
        <v>594</v>
      </c>
      <c r="J1068" t="s">
        <v>88</v>
      </c>
      <c r="K1068" t="s">
        <v>105</v>
      </c>
      <c r="L1068" s="16" t="s">
        <v>95</v>
      </c>
    </row>
    <row r="1069" spans="1:12" x14ac:dyDescent="0.35">
      <c r="A1069" t="s">
        <v>8</v>
      </c>
      <c r="B1069" t="s">
        <v>102</v>
      </c>
      <c r="C1069" t="s">
        <v>95</v>
      </c>
      <c r="D1069" t="s">
        <v>104</v>
      </c>
      <c r="E1069" t="s">
        <v>8</v>
      </c>
      <c r="F1069" s="7">
        <v>45423</v>
      </c>
      <c r="G1069" s="1">
        <v>45292</v>
      </c>
      <c r="H1069" s="14">
        <v>95.74027199999999</v>
      </c>
      <c r="I1069">
        <v>626</v>
      </c>
      <c r="J1069" t="s">
        <v>88</v>
      </c>
      <c r="K1069" t="s">
        <v>105</v>
      </c>
      <c r="L1069" s="16" t="s">
        <v>95</v>
      </c>
    </row>
    <row r="1070" spans="1:12" x14ac:dyDescent="0.35">
      <c r="A1070" t="s">
        <v>8</v>
      </c>
      <c r="B1070" t="s">
        <v>100</v>
      </c>
      <c r="C1070" t="s">
        <v>95</v>
      </c>
      <c r="D1070" t="s">
        <v>104</v>
      </c>
      <c r="E1070" t="s">
        <v>8</v>
      </c>
      <c r="F1070" s="7">
        <v>45423</v>
      </c>
      <c r="G1070" s="1">
        <v>45292</v>
      </c>
      <c r="H1070" s="14">
        <v>106.59</v>
      </c>
      <c r="I1070">
        <v>837</v>
      </c>
      <c r="J1070" t="s">
        <v>88</v>
      </c>
      <c r="K1070" t="s">
        <v>105</v>
      </c>
      <c r="L1070" s="16" t="s">
        <v>95</v>
      </c>
    </row>
    <row r="1071" spans="1:12" x14ac:dyDescent="0.35">
      <c r="A1071" t="s">
        <v>8</v>
      </c>
      <c r="B1071" t="s">
        <v>21</v>
      </c>
      <c r="C1071" t="s">
        <v>85</v>
      </c>
      <c r="D1071" t="s">
        <v>13</v>
      </c>
      <c r="E1071" t="s">
        <v>11</v>
      </c>
      <c r="F1071" s="7">
        <v>45430</v>
      </c>
      <c r="G1071" s="1">
        <v>45292</v>
      </c>
      <c r="H1071" s="14">
        <v>23664.568042999999</v>
      </c>
      <c r="I1071">
        <v>10183373</v>
      </c>
      <c r="J1071" t="s">
        <v>88</v>
      </c>
      <c r="K1071" t="s">
        <v>90</v>
      </c>
      <c r="L1071" s="16" t="s">
        <v>13</v>
      </c>
    </row>
    <row r="1072" spans="1:12" x14ac:dyDescent="0.35">
      <c r="A1072" t="s">
        <v>8</v>
      </c>
      <c r="B1072" t="s">
        <v>21</v>
      </c>
      <c r="C1072" t="s">
        <v>85</v>
      </c>
      <c r="D1072" t="s">
        <v>13</v>
      </c>
      <c r="E1072" t="s">
        <v>12</v>
      </c>
      <c r="F1072" s="7">
        <v>45430</v>
      </c>
      <c r="G1072" s="1">
        <v>45292</v>
      </c>
      <c r="H1072" s="14">
        <v>11716.052162</v>
      </c>
      <c r="I1072">
        <v>3073467</v>
      </c>
      <c r="J1072" t="s">
        <v>88</v>
      </c>
      <c r="K1072" t="s">
        <v>90</v>
      </c>
      <c r="L1072" s="16" t="s">
        <v>12</v>
      </c>
    </row>
    <row r="1073" spans="1:12" x14ac:dyDescent="0.35">
      <c r="A1073" t="s">
        <v>8</v>
      </c>
      <c r="B1073" t="s">
        <v>92</v>
      </c>
      <c r="C1073" t="s">
        <v>93</v>
      </c>
      <c r="D1073" t="s">
        <v>10</v>
      </c>
      <c r="E1073" t="s">
        <v>10</v>
      </c>
      <c r="F1073" s="7">
        <v>45430</v>
      </c>
      <c r="G1073" s="1">
        <v>45292</v>
      </c>
      <c r="H1073" s="14">
        <v>6633.9854000000005</v>
      </c>
      <c r="I1073">
        <v>1081497</v>
      </c>
      <c r="J1073" t="s">
        <v>88</v>
      </c>
      <c r="K1073" t="s">
        <v>94</v>
      </c>
      <c r="L1073" s="16" t="s">
        <v>10</v>
      </c>
    </row>
    <row r="1074" spans="1:12" x14ac:dyDescent="0.35">
      <c r="A1074" t="s">
        <v>8</v>
      </c>
      <c r="B1074" t="s">
        <v>92</v>
      </c>
      <c r="C1074" t="s">
        <v>95</v>
      </c>
      <c r="D1074" t="s">
        <v>10</v>
      </c>
      <c r="E1074" t="s">
        <v>10</v>
      </c>
      <c r="F1074" s="7">
        <v>45430</v>
      </c>
      <c r="G1074" s="1">
        <v>45292</v>
      </c>
      <c r="H1074" s="14">
        <v>9561.2199999999993</v>
      </c>
      <c r="I1074">
        <v>1401663</v>
      </c>
      <c r="J1074" t="s">
        <v>88</v>
      </c>
      <c r="K1074" t="s">
        <v>96</v>
      </c>
      <c r="L1074" s="16" t="s">
        <v>10</v>
      </c>
    </row>
    <row r="1075" spans="1:12" x14ac:dyDescent="0.35">
      <c r="A1075" t="s">
        <v>8</v>
      </c>
      <c r="B1075" t="s">
        <v>84</v>
      </c>
      <c r="C1075" t="s">
        <v>93</v>
      </c>
      <c r="D1075" t="s">
        <v>10</v>
      </c>
      <c r="E1075" t="s">
        <v>10</v>
      </c>
      <c r="F1075" s="7">
        <v>45430</v>
      </c>
      <c r="G1075" s="1">
        <v>45292</v>
      </c>
      <c r="H1075" s="14">
        <v>1787.3392000000001</v>
      </c>
      <c r="I1075">
        <v>110977</v>
      </c>
      <c r="J1075" t="s">
        <v>88</v>
      </c>
      <c r="K1075" t="s">
        <v>94</v>
      </c>
      <c r="L1075" s="16" t="s">
        <v>10</v>
      </c>
    </row>
    <row r="1076" spans="1:12" x14ac:dyDescent="0.35">
      <c r="A1076" t="s">
        <v>8</v>
      </c>
      <c r="B1076" t="s">
        <v>84</v>
      </c>
      <c r="C1076" t="s">
        <v>95</v>
      </c>
      <c r="D1076" t="s">
        <v>10</v>
      </c>
      <c r="E1076" t="s">
        <v>10</v>
      </c>
      <c r="F1076" s="7">
        <v>45430</v>
      </c>
      <c r="G1076" s="1">
        <v>45292</v>
      </c>
      <c r="H1076" s="14">
        <v>11032.830000000002</v>
      </c>
      <c r="I1076">
        <v>1896406</v>
      </c>
      <c r="J1076" t="s">
        <v>88</v>
      </c>
      <c r="K1076" t="s">
        <v>96</v>
      </c>
      <c r="L1076" s="16" t="s">
        <v>10</v>
      </c>
    </row>
    <row r="1077" spans="1:12" x14ac:dyDescent="0.35">
      <c r="A1077" t="s">
        <v>8</v>
      </c>
      <c r="B1077" t="s">
        <v>17</v>
      </c>
      <c r="C1077" t="s">
        <v>93</v>
      </c>
      <c r="D1077" t="s">
        <v>10</v>
      </c>
      <c r="E1077" t="s">
        <v>10</v>
      </c>
      <c r="F1077" s="7">
        <v>45430</v>
      </c>
      <c r="G1077" s="1">
        <v>45292</v>
      </c>
      <c r="H1077" s="14">
        <v>7011.0145999999986</v>
      </c>
      <c r="I1077">
        <v>1064484</v>
      </c>
      <c r="J1077" t="s">
        <v>88</v>
      </c>
      <c r="K1077" t="s">
        <v>94</v>
      </c>
      <c r="L1077" s="16" t="s">
        <v>10</v>
      </c>
    </row>
    <row r="1078" spans="1:12" x14ac:dyDescent="0.35">
      <c r="A1078" t="s">
        <v>8</v>
      </c>
      <c r="B1078" t="s">
        <v>17</v>
      </c>
      <c r="C1078" t="s">
        <v>95</v>
      </c>
      <c r="D1078" t="s">
        <v>10</v>
      </c>
      <c r="E1078" t="s">
        <v>10</v>
      </c>
      <c r="F1078" s="7">
        <v>45430</v>
      </c>
      <c r="G1078" s="1">
        <v>45292</v>
      </c>
      <c r="H1078" s="14">
        <v>11375.900000000007</v>
      </c>
      <c r="I1078">
        <v>3187719</v>
      </c>
      <c r="J1078" t="s">
        <v>88</v>
      </c>
      <c r="K1078" t="s">
        <v>96</v>
      </c>
      <c r="L1078" s="16" t="s">
        <v>10</v>
      </c>
    </row>
    <row r="1079" spans="1:12" x14ac:dyDescent="0.35">
      <c r="A1079" t="s">
        <v>8</v>
      </c>
      <c r="B1079" t="s">
        <v>99</v>
      </c>
      <c r="C1079" t="s">
        <v>93</v>
      </c>
      <c r="D1079" t="s">
        <v>10</v>
      </c>
      <c r="E1079" t="s">
        <v>10</v>
      </c>
      <c r="F1079" s="7">
        <v>45430</v>
      </c>
      <c r="G1079" s="1">
        <v>45292</v>
      </c>
      <c r="H1079" s="14">
        <v>4879.5247999999983</v>
      </c>
      <c r="I1079">
        <v>612402</v>
      </c>
      <c r="J1079" t="s">
        <v>88</v>
      </c>
      <c r="K1079" t="s">
        <v>94</v>
      </c>
      <c r="L1079" s="16" t="s">
        <v>10</v>
      </c>
    </row>
    <row r="1080" spans="1:12" x14ac:dyDescent="0.35">
      <c r="A1080" t="s">
        <v>8</v>
      </c>
      <c r="B1080" t="s">
        <v>99</v>
      </c>
      <c r="C1080" t="s">
        <v>95</v>
      </c>
      <c r="D1080" t="s">
        <v>10</v>
      </c>
      <c r="E1080" t="s">
        <v>10</v>
      </c>
      <c r="F1080" s="7">
        <v>45430</v>
      </c>
      <c r="G1080" s="1">
        <v>45292</v>
      </c>
      <c r="H1080" s="14">
        <v>9946.6500000000033</v>
      </c>
      <c r="I1080">
        <v>1972140</v>
      </c>
      <c r="J1080" t="s">
        <v>88</v>
      </c>
      <c r="K1080" t="s">
        <v>96</v>
      </c>
      <c r="L1080" s="16" t="s">
        <v>10</v>
      </c>
    </row>
    <row r="1081" spans="1:12" x14ac:dyDescent="0.35">
      <c r="A1081" t="s">
        <v>8</v>
      </c>
      <c r="B1081" t="s">
        <v>100</v>
      </c>
      <c r="C1081" t="s">
        <v>93</v>
      </c>
      <c r="D1081" t="s">
        <v>10</v>
      </c>
      <c r="E1081" t="s">
        <v>10</v>
      </c>
      <c r="F1081" s="7">
        <v>45430</v>
      </c>
      <c r="G1081" s="1">
        <v>45292</v>
      </c>
      <c r="H1081" s="14">
        <v>5677.1150000000016</v>
      </c>
      <c r="I1081">
        <v>1278134</v>
      </c>
      <c r="J1081" t="s">
        <v>88</v>
      </c>
      <c r="K1081" t="s">
        <v>94</v>
      </c>
      <c r="L1081" s="16" t="s">
        <v>10</v>
      </c>
    </row>
    <row r="1082" spans="1:12" x14ac:dyDescent="0.35">
      <c r="A1082" t="s">
        <v>8</v>
      </c>
      <c r="B1082" t="s">
        <v>100</v>
      </c>
      <c r="C1082" t="s">
        <v>95</v>
      </c>
      <c r="D1082" t="s">
        <v>10</v>
      </c>
      <c r="E1082" t="s">
        <v>10</v>
      </c>
      <c r="F1082" s="7">
        <v>45430</v>
      </c>
      <c r="G1082" s="1">
        <v>45292</v>
      </c>
      <c r="H1082" s="14">
        <v>9328.31</v>
      </c>
      <c r="I1082">
        <v>3019010</v>
      </c>
      <c r="J1082" t="s">
        <v>88</v>
      </c>
      <c r="K1082" t="s">
        <v>96</v>
      </c>
      <c r="L1082" s="16" t="s">
        <v>10</v>
      </c>
    </row>
    <row r="1083" spans="1:12" x14ac:dyDescent="0.35">
      <c r="A1083" t="s">
        <v>8</v>
      </c>
      <c r="B1083" t="s">
        <v>21</v>
      </c>
      <c r="C1083" t="s">
        <v>93</v>
      </c>
      <c r="D1083" t="s">
        <v>10</v>
      </c>
      <c r="E1083" t="s">
        <v>10</v>
      </c>
      <c r="F1083" s="7">
        <v>45430</v>
      </c>
      <c r="G1083" s="1">
        <v>45292</v>
      </c>
      <c r="H1083" s="14">
        <v>4257.7149000000009</v>
      </c>
      <c r="I1083">
        <v>1006942</v>
      </c>
      <c r="J1083" t="s">
        <v>88</v>
      </c>
      <c r="K1083" t="s">
        <v>94</v>
      </c>
      <c r="L1083" s="16" t="s">
        <v>10</v>
      </c>
    </row>
    <row r="1084" spans="1:12" x14ac:dyDescent="0.35">
      <c r="A1084" t="s">
        <v>8</v>
      </c>
      <c r="B1084" t="s">
        <v>21</v>
      </c>
      <c r="C1084" t="s">
        <v>95</v>
      </c>
      <c r="D1084" t="s">
        <v>10</v>
      </c>
      <c r="E1084" t="s">
        <v>10</v>
      </c>
      <c r="F1084" s="7">
        <v>45430</v>
      </c>
      <c r="G1084" s="1">
        <v>45292</v>
      </c>
      <c r="H1084" s="14">
        <v>6920.71</v>
      </c>
      <c r="I1084">
        <v>1002736</v>
      </c>
      <c r="J1084" t="s">
        <v>88</v>
      </c>
      <c r="K1084" t="s">
        <v>96</v>
      </c>
      <c r="L1084" s="16" t="s">
        <v>10</v>
      </c>
    </row>
    <row r="1085" spans="1:12" x14ac:dyDescent="0.35">
      <c r="A1085" t="s">
        <v>8</v>
      </c>
      <c r="B1085" t="s">
        <v>101</v>
      </c>
      <c r="C1085" t="s">
        <v>93</v>
      </c>
      <c r="D1085" t="s">
        <v>10</v>
      </c>
      <c r="E1085" t="s">
        <v>10</v>
      </c>
      <c r="F1085" s="7">
        <v>45430</v>
      </c>
      <c r="G1085" s="1">
        <v>45292</v>
      </c>
      <c r="H1085" s="14">
        <v>2959.0874000000003</v>
      </c>
      <c r="I1085">
        <v>800880</v>
      </c>
      <c r="J1085" t="s">
        <v>88</v>
      </c>
      <c r="K1085" t="s">
        <v>94</v>
      </c>
      <c r="L1085" s="16" t="s">
        <v>10</v>
      </c>
    </row>
    <row r="1086" spans="1:12" x14ac:dyDescent="0.35">
      <c r="A1086" t="s">
        <v>8</v>
      </c>
      <c r="B1086" t="s">
        <v>101</v>
      </c>
      <c r="C1086" t="s">
        <v>95</v>
      </c>
      <c r="D1086" t="s">
        <v>10</v>
      </c>
      <c r="E1086" t="s">
        <v>10</v>
      </c>
      <c r="F1086" s="7">
        <v>45430</v>
      </c>
      <c r="G1086" s="1">
        <v>45292</v>
      </c>
      <c r="H1086" s="14">
        <v>3255.8899999999994</v>
      </c>
      <c r="I1086">
        <v>745288</v>
      </c>
      <c r="J1086" t="s">
        <v>88</v>
      </c>
      <c r="K1086" t="s">
        <v>96</v>
      </c>
      <c r="L1086" s="16" t="s">
        <v>10</v>
      </c>
    </row>
    <row r="1087" spans="1:12" x14ac:dyDescent="0.35">
      <c r="A1087" t="s">
        <v>8</v>
      </c>
      <c r="B1087" t="s">
        <v>103</v>
      </c>
      <c r="C1087" t="s">
        <v>95</v>
      </c>
      <c r="D1087" t="s">
        <v>104</v>
      </c>
      <c r="E1087" t="s">
        <v>8</v>
      </c>
      <c r="F1087" s="7">
        <v>45430</v>
      </c>
      <c r="G1087" s="1">
        <v>45292</v>
      </c>
      <c r="H1087" s="14">
        <v>84.06</v>
      </c>
      <c r="I1087">
        <v>389</v>
      </c>
      <c r="J1087" t="s">
        <v>88</v>
      </c>
      <c r="K1087" t="s">
        <v>105</v>
      </c>
      <c r="L1087" s="16" t="s">
        <v>95</v>
      </c>
    </row>
    <row r="1088" spans="1:12" x14ac:dyDescent="0.35">
      <c r="A1088" t="s">
        <v>8</v>
      </c>
      <c r="B1088" t="s">
        <v>16</v>
      </c>
      <c r="C1088" t="s">
        <v>95</v>
      </c>
      <c r="D1088" t="s">
        <v>104</v>
      </c>
      <c r="E1088" t="s">
        <v>8</v>
      </c>
      <c r="F1088" s="7">
        <v>45430</v>
      </c>
      <c r="G1088" s="1">
        <v>45292</v>
      </c>
      <c r="H1088" s="14">
        <v>48.15</v>
      </c>
      <c r="I1088">
        <v>236</v>
      </c>
      <c r="J1088" t="s">
        <v>88</v>
      </c>
      <c r="K1088" t="s">
        <v>105</v>
      </c>
      <c r="L1088" s="16" t="s">
        <v>95</v>
      </c>
    </row>
    <row r="1089" spans="1:12" x14ac:dyDescent="0.35">
      <c r="A1089" t="s">
        <v>8</v>
      </c>
      <c r="B1089" t="s">
        <v>84</v>
      </c>
      <c r="C1089" t="s">
        <v>95</v>
      </c>
      <c r="D1089" t="s">
        <v>104</v>
      </c>
      <c r="E1089" t="s">
        <v>8</v>
      </c>
      <c r="F1089" s="7">
        <v>45430</v>
      </c>
      <c r="G1089" s="1">
        <v>45292</v>
      </c>
      <c r="H1089" s="14">
        <v>7417.0357950000007</v>
      </c>
      <c r="I1089">
        <v>28131</v>
      </c>
      <c r="J1089" t="s">
        <v>88</v>
      </c>
      <c r="K1089" t="s">
        <v>105</v>
      </c>
      <c r="L1089" s="16" t="s">
        <v>95</v>
      </c>
    </row>
    <row r="1090" spans="1:12" x14ac:dyDescent="0.35">
      <c r="A1090" t="s">
        <v>8</v>
      </c>
      <c r="B1090" t="s">
        <v>17</v>
      </c>
      <c r="C1090" t="s">
        <v>95</v>
      </c>
      <c r="D1090" t="s">
        <v>104</v>
      </c>
      <c r="E1090" t="s">
        <v>8</v>
      </c>
      <c r="F1090" s="7">
        <v>45430</v>
      </c>
      <c r="G1090" s="1">
        <v>45292</v>
      </c>
      <c r="H1090" s="14">
        <v>128.62</v>
      </c>
      <c r="I1090">
        <v>890</v>
      </c>
      <c r="J1090" t="s">
        <v>88</v>
      </c>
      <c r="K1090" t="s">
        <v>105</v>
      </c>
      <c r="L1090" s="16" t="s">
        <v>95</v>
      </c>
    </row>
    <row r="1091" spans="1:12" x14ac:dyDescent="0.35">
      <c r="A1091" t="s">
        <v>8</v>
      </c>
      <c r="B1091" t="s">
        <v>106</v>
      </c>
      <c r="C1091" t="s">
        <v>95</v>
      </c>
      <c r="D1091" t="s">
        <v>104</v>
      </c>
      <c r="E1091" t="s">
        <v>8</v>
      </c>
      <c r="F1091" s="7">
        <v>45430</v>
      </c>
      <c r="G1091" s="1">
        <v>45292</v>
      </c>
      <c r="H1091" s="14">
        <v>73.709859000000009</v>
      </c>
      <c r="I1091">
        <v>176</v>
      </c>
      <c r="J1091" t="s">
        <v>88</v>
      </c>
      <c r="K1091" t="s">
        <v>105</v>
      </c>
      <c r="L1091" s="16" t="s">
        <v>95</v>
      </c>
    </row>
    <row r="1092" spans="1:12" x14ac:dyDescent="0.35">
      <c r="A1092" t="s">
        <v>8</v>
      </c>
      <c r="B1092" t="s">
        <v>92</v>
      </c>
      <c r="C1092" t="s">
        <v>95</v>
      </c>
      <c r="D1092" t="s">
        <v>104</v>
      </c>
      <c r="E1092" t="s">
        <v>8</v>
      </c>
      <c r="F1092" s="7">
        <v>45430</v>
      </c>
      <c r="G1092" s="1">
        <v>45292</v>
      </c>
      <c r="H1092" s="14">
        <v>336.73058000000003</v>
      </c>
      <c r="I1092">
        <v>2027</v>
      </c>
      <c r="J1092" t="s">
        <v>88</v>
      </c>
      <c r="K1092" t="s">
        <v>105</v>
      </c>
      <c r="L1092" s="16" t="s">
        <v>95</v>
      </c>
    </row>
    <row r="1093" spans="1:12" x14ac:dyDescent="0.35">
      <c r="A1093" t="s">
        <v>8</v>
      </c>
      <c r="B1093" t="s">
        <v>21</v>
      </c>
      <c r="C1093" t="s">
        <v>95</v>
      </c>
      <c r="D1093" t="s">
        <v>104</v>
      </c>
      <c r="E1093" t="s">
        <v>8</v>
      </c>
      <c r="F1093" s="7">
        <v>45430</v>
      </c>
      <c r="G1093" s="1">
        <v>45292</v>
      </c>
      <c r="H1093" s="14">
        <v>327.36949100000004</v>
      </c>
      <c r="I1093">
        <v>1964</v>
      </c>
      <c r="J1093" t="s">
        <v>88</v>
      </c>
      <c r="K1093" t="s">
        <v>105</v>
      </c>
      <c r="L1093" s="16" t="s">
        <v>95</v>
      </c>
    </row>
    <row r="1094" spans="1:12" x14ac:dyDescent="0.35">
      <c r="A1094" t="s">
        <v>8</v>
      </c>
      <c r="B1094" t="s">
        <v>101</v>
      </c>
      <c r="C1094" t="s">
        <v>95</v>
      </c>
      <c r="D1094" t="s">
        <v>104</v>
      </c>
      <c r="E1094" t="s">
        <v>8</v>
      </c>
      <c r="F1094" s="7">
        <v>45430</v>
      </c>
      <c r="G1094" s="1">
        <v>45292</v>
      </c>
      <c r="H1094" s="14">
        <v>79.27000000000001</v>
      </c>
      <c r="I1094">
        <v>568</v>
      </c>
      <c r="J1094" t="s">
        <v>88</v>
      </c>
      <c r="K1094" t="s">
        <v>105</v>
      </c>
      <c r="L1094" s="16" t="s">
        <v>95</v>
      </c>
    </row>
    <row r="1095" spans="1:12" x14ac:dyDescent="0.35">
      <c r="A1095" t="s">
        <v>8</v>
      </c>
      <c r="B1095" t="s">
        <v>99</v>
      </c>
      <c r="C1095" t="s">
        <v>95</v>
      </c>
      <c r="D1095" t="s">
        <v>104</v>
      </c>
      <c r="E1095" t="s">
        <v>8</v>
      </c>
      <c r="F1095" s="7">
        <v>45430</v>
      </c>
      <c r="G1095" s="1">
        <v>45292</v>
      </c>
      <c r="H1095" s="14">
        <v>88.28</v>
      </c>
      <c r="I1095">
        <v>562</v>
      </c>
      <c r="J1095" t="s">
        <v>88</v>
      </c>
      <c r="K1095" t="s">
        <v>105</v>
      </c>
      <c r="L1095" s="16" t="s">
        <v>95</v>
      </c>
    </row>
    <row r="1096" spans="1:12" x14ac:dyDescent="0.35">
      <c r="A1096" t="s">
        <v>8</v>
      </c>
      <c r="B1096" t="s">
        <v>102</v>
      </c>
      <c r="C1096" t="s">
        <v>95</v>
      </c>
      <c r="D1096" t="s">
        <v>104</v>
      </c>
      <c r="E1096" t="s">
        <v>8</v>
      </c>
      <c r="F1096" s="7">
        <v>45430</v>
      </c>
      <c r="G1096" s="1">
        <v>45292</v>
      </c>
      <c r="H1096" s="14">
        <v>113.72000000000001</v>
      </c>
      <c r="I1096">
        <v>621</v>
      </c>
      <c r="J1096" t="s">
        <v>88</v>
      </c>
      <c r="K1096" t="s">
        <v>105</v>
      </c>
      <c r="L1096" s="16" t="s">
        <v>95</v>
      </c>
    </row>
    <row r="1097" spans="1:12" x14ac:dyDescent="0.35">
      <c r="A1097" t="s">
        <v>8</v>
      </c>
      <c r="B1097" t="s">
        <v>100</v>
      </c>
      <c r="C1097" t="s">
        <v>95</v>
      </c>
      <c r="D1097" t="s">
        <v>104</v>
      </c>
      <c r="E1097" t="s">
        <v>8</v>
      </c>
      <c r="F1097" s="7">
        <v>45430</v>
      </c>
      <c r="G1097" s="1">
        <v>45292</v>
      </c>
      <c r="H1097" s="14">
        <v>137.11000000000001</v>
      </c>
      <c r="I1097">
        <v>844</v>
      </c>
      <c r="J1097" t="s">
        <v>88</v>
      </c>
      <c r="K1097" t="s">
        <v>105</v>
      </c>
      <c r="L1097" s="16" t="s">
        <v>95</v>
      </c>
    </row>
    <row r="1098" spans="1:12" x14ac:dyDescent="0.35">
      <c r="A1098" t="s">
        <v>8</v>
      </c>
      <c r="B1098" t="s">
        <v>21</v>
      </c>
      <c r="C1098" t="s">
        <v>85</v>
      </c>
      <c r="D1098" t="s">
        <v>13</v>
      </c>
      <c r="E1098" t="s">
        <v>11</v>
      </c>
      <c r="F1098" s="7">
        <v>45437</v>
      </c>
      <c r="G1098" s="1">
        <v>45292</v>
      </c>
      <c r="H1098" s="14">
        <v>23503.562337000003</v>
      </c>
      <c r="I1098">
        <v>9584341</v>
      </c>
      <c r="J1098" t="s">
        <v>88</v>
      </c>
      <c r="K1098" t="s">
        <v>90</v>
      </c>
      <c r="L1098" s="16" t="s">
        <v>13</v>
      </c>
    </row>
    <row r="1099" spans="1:12" x14ac:dyDescent="0.35">
      <c r="A1099" t="s">
        <v>8</v>
      </c>
      <c r="B1099" t="s">
        <v>21</v>
      </c>
      <c r="C1099" t="s">
        <v>85</v>
      </c>
      <c r="D1099" t="s">
        <v>13</v>
      </c>
      <c r="E1099" t="s">
        <v>12</v>
      </c>
      <c r="F1099" s="7">
        <v>45437</v>
      </c>
      <c r="G1099" s="1">
        <v>45292</v>
      </c>
      <c r="H1099" s="14">
        <v>11536.083415999999</v>
      </c>
      <c r="I1099">
        <v>2860742</v>
      </c>
      <c r="J1099" t="s">
        <v>88</v>
      </c>
      <c r="K1099" t="s">
        <v>90</v>
      </c>
      <c r="L1099" s="16" t="s">
        <v>12</v>
      </c>
    </row>
    <row r="1100" spans="1:12" x14ac:dyDescent="0.35">
      <c r="A1100" t="s">
        <v>8</v>
      </c>
      <c r="B1100" t="s">
        <v>92</v>
      </c>
      <c r="C1100" t="s">
        <v>93</v>
      </c>
      <c r="D1100" t="s">
        <v>10</v>
      </c>
      <c r="E1100" t="s">
        <v>10</v>
      </c>
      <c r="F1100" s="7">
        <v>45437</v>
      </c>
      <c r="G1100" s="1">
        <v>45292</v>
      </c>
      <c r="H1100" s="14">
        <v>8318.6617000000006</v>
      </c>
      <c r="I1100">
        <v>1622629</v>
      </c>
      <c r="J1100" t="s">
        <v>88</v>
      </c>
      <c r="K1100" t="s">
        <v>94</v>
      </c>
      <c r="L1100" s="16" t="s">
        <v>10</v>
      </c>
    </row>
    <row r="1101" spans="1:12" x14ac:dyDescent="0.35">
      <c r="A1101" t="s">
        <v>8</v>
      </c>
      <c r="B1101" t="s">
        <v>92</v>
      </c>
      <c r="C1101" t="s">
        <v>95</v>
      </c>
      <c r="D1101" t="s">
        <v>10</v>
      </c>
      <c r="E1101" t="s">
        <v>10</v>
      </c>
      <c r="F1101" s="7">
        <v>45437</v>
      </c>
      <c r="G1101" s="1">
        <v>45292</v>
      </c>
      <c r="H1101" s="14">
        <v>11819.949999999995</v>
      </c>
      <c r="I1101">
        <v>1584926</v>
      </c>
      <c r="J1101" t="s">
        <v>88</v>
      </c>
      <c r="K1101" t="s">
        <v>96</v>
      </c>
      <c r="L1101" s="16" t="s">
        <v>10</v>
      </c>
    </row>
    <row r="1102" spans="1:12" x14ac:dyDescent="0.35">
      <c r="A1102" t="s">
        <v>8</v>
      </c>
      <c r="B1102" t="s">
        <v>84</v>
      </c>
      <c r="C1102" t="s">
        <v>93</v>
      </c>
      <c r="D1102" t="s">
        <v>10</v>
      </c>
      <c r="E1102" t="s">
        <v>10</v>
      </c>
      <c r="F1102" s="7">
        <v>45437</v>
      </c>
      <c r="G1102" s="1">
        <v>45292</v>
      </c>
      <c r="H1102" s="14">
        <v>1788.3779</v>
      </c>
      <c r="I1102">
        <v>132855</v>
      </c>
      <c r="J1102" t="s">
        <v>88</v>
      </c>
      <c r="K1102" t="s">
        <v>94</v>
      </c>
      <c r="L1102" s="16" t="s">
        <v>10</v>
      </c>
    </row>
    <row r="1103" spans="1:12" x14ac:dyDescent="0.35">
      <c r="A1103" t="s">
        <v>8</v>
      </c>
      <c r="B1103" t="s">
        <v>84</v>
      </c>
      <c r="C1103" t="s">
        <v>95</v>
      </c>
      <c r="D1103" t="s">
        <v>10</v>
      </c>
      <c r="E1103" t="s">
        <v>10</v>
      </c>
      <c r="F1103" s="7">
        <v>45437</v>
      </c>
      <c r="G1103" s="1">
        <v>45292</v>
      </c>
      <c r="H1103" s="14">
        <v>10230.150000000001</v>
      </c>
      <c r="I1103">
        <v>1760422</v>
      </c>
      <c r="J1103" t="s">
        <v>88</v>
      </c>
      <c r="K1103" t="s">
        <v>96</v>
      </c>
      <c r="L1103" s="16" t="s">
        <v>10</v>
      </c>
    </row>
    <row r="1104" spans="1:12" x14ac:dyDescent="0.35">
      <c r="A1104" t="s">
        <v>8</v>
      </c>
      <c r="B1104" t="s">
        <v>17</v>
      </c>
      <c r="C1104" t="s">
        <v>93</v>
      </c>
      <c r="D1104" t="s">
        <v>10</v>
      </c>
      <c r="E1104" t="s">
        <v>10</v>
      </c>
      <c r="F1104" s="7">
        <v>45437</v>
      </c>
      <c r="G1104" s="1">
        <v>45292</v>
      </c>
      <c r="H1104" s="14">
        <v>7299.7984999999981</v>
      </c>
      <c r="I1104">
        <v>1339265</v>
      </c>
      <c r="J1104" t="s">
        <v>88</v>
      </c>
      <c r="K1104" t="s">
        <v>94</v>
      </c>
      <c r="L1104" s="16" t="s">
        <v>10</v>
      </c>
    </row>
    <row r="1105" spans="1:12" x14ac:dyDescent="0.35">
      <c r="A1105" t="s">
        <v>8</v>
      </c>
      <c r="B1105" t="s">
        <v>17</v>
      </c>
      <c r="C1105" t="s">
        <v>95</v>
      </c>
      <c r="D1105" t="s">
        <v>10</v>
      </c>
      <c r="E1105" t="s">
        <v>10</v>
      </c>
      <c r="F1105" s="7">
        <v>45437</v>
      </c>
      <c r="G1105" s="1">
        <v>45292</v>
      </c>
      <c r="H1105" s="14">
        <v>10666.44</v>
      </c>
      <c r="I1105">
        <v>2668502</v>
      </c>
      <c r="J1105" t="s">
        <v>88</v>
      </c>
      <c r="K1105" t="s">
        <v>96</v>
      </c>
      <c r="L1105" s="16" t="s">
        <v>10</v>
      </c>
    </row>
    <row r="1106" spans="1:12" x14ac:dyDescent="0.35">
      <c r="A1106" t="s">
        <v>8</v>
      </c>
      <c r="B1106" t="s">
        <v>99</v>
      </c>
      <c r="C1106" t="s">
        <v>93</v>
      </c>
      <c r="D1106" t="s">
        <v>10</v>
      </c>
      <c r="E1106" t="s">
        <v>10</v>
      </c>
      <c r="F1106" s="7">
        <v>45437</v>
      </c>
      <c r="G1106" s="1">
        <v>45292</v>
      </c>
      <c r="H1106" s="14">
        <v>5004.9694000000027</v>
      </c>
      <c r="I1106">
        <v>532733</v>
      </c>
      <c r="J1106" t="s">
        <v>88</v>
      </c>
      <c r="K1106" t="s">
        <v>94</v>
      </c>
      <c r="L1106" s="16" t="s">
        <v>10</v>
      </c>
    </row>
    <row r="1107" spans="1:12" x14ac:dyDescent="0.35">
      <c r="A1107" t="s">
        <v>8</v>
      </c>
      <c r="B1107" t="s">
        <v>99</v>
      </c>
      <c r="C1107" t="s">
        <v>95</v>
      </c>
      <c r="D1107" t="s">
        <v>10</v>
      </c>
      <c r="E1107" t="s">
        <v>10</v>
      </c>
      <c r="F1107" s="7">
        <v>45437</v>
      </c>
      <c r="G1107" s="1">
        <v>45292</v>
      </c>
      <c r="H1107" s="14">
        <v>7359.6599999999971</v>
      </c>
      <c r="I1107">
        <v>1702387</v>
      </c>
      <c r="J1107" t="s">
        <v>88</v>
      </c>
      <c r="K1107" t="s">
        <v>96</v>
      </c>
      <c r="L1107" s="16" t="s">
        <v>10</v>
      </c>
    </row>
    <row r="1108" spans="1:12" x14ac:dyDescent="0.35">
      <c r="A1108" t="s">
        <v>8</v>
      </c>
      <c r="B1108" t="s">
        <v>100</v>
      </c>
      <c r="C1108" t="s">
        <v>93</v>
      </c>
      <c r="D1108" t="s">
        <v>10</v>
      </c>
      <c r="E1108" t="s">
        <v>10</v>
      </c>
      <c r="F1108" s="7">
        <v>45437</v>
      </c>
      <c r="G1108" s="1">
        <v>45292</v>
      </c>
      <c r="H1108" s="14">
        <v>6194.6886000000031</v>
      </c>
      <c r="I1108">
        <v>1297820</v>
      </c>
      <c r="J1108" t="s">
        <v>88</v>
      </c>
      <c r="K1108" t="s">
        <v>94</v>
      </c>
      <c r="L1108" s="16" t="s">
        <v>10</v>
      </c>
    </row>
    <row r="1109" spans="1:12" x14ac:dyDescent="0.35">
      <c r="A1109" t="s">
        <v>8</v>
      </c>
      <c r="B1109" t="s">
        <v>100</v>
      </c>
      <c r="C1109" t="s">
        <v>95</v>
      </c>
      <c r="D1109" t="s">
        <v>10</v>
      </c>
      <c r="E1109" t="s">
        <v>10</v>
      </c>
      <c r="F1109" s="7">
        <v>45437</v>
      </c>
      <c r="G1109" s="1">
        <v>45292</v>
      </c>
      <c r="H1109" s="14">
        <v>8773.1</v>
      </c>
      <c r="I1109">
        <v>2937948</v>
      </c>
      <c r="J1109" t="s">
        <v>88</v>
      </c>
      <c r="K1109" t="s">
        <v>96</v>
      </c>
      <c r="L1109" s="16" t="s">
        <v>10</v>
      </c>
    </row>
    <row r="1110" spans="1:12" x14ac:dyDescent="0.35">
      <c r="A1110" t="s">
        <v>8</v>
      </c>
      <c r="B1110" t="s">
        <v>21</v>
      </c>
      <c r="C1110" t="s">
        <v>93</v>
      </c>
      <c r="D1110" t="s">
        <v>10</v>
      </c>
      <c r="E1110" t="s">
        <v>10</v>
      </c>
      <c r="F1110" s="7">
        <v>45437</v>
      </c>
      <c r="G1110" s="1">
        <v>45292</v>
      </c>
      <c r="H1110" s="14">
        <v>3548.3088000000002</v>
      </c>
      <c r="I1110">
        <v>1152268</v>
      </c>
      <c r="J1110" t="s">
        <v>88</v>
      </c>
      <c r="K1110" t="s">
        <v>94</v>
      </c>
      <c r="L1110" s="16" t="s">
        <v>10</v>
      </c>
    </row>
    <row r="1111" spans="1:12" x14ac:dyDescent="0.35">
      <c r="A1111" t="s">
        <v>8</v>
      </c>
      <c r="B1111" t="s">
        <v>21</v>
      </c>
      <c r="C1111" t="s">
        <v>95</v>
      </c>
      <c r="D1111" t="s">
        <v>10</v>
      </c>
      <c r="E1111" t="s">
        <v>10</v>
      </c>
      <c r="F1111" s="7">
        <v>45437</v>
      </c>
      <c r="G1111" s="1">
        <v>45292</v>
      </c>
      <c r="H1111" s="14">
        <v>6829.7499999999991</v>
      </c>
      <c r="I1111">
        <v>1087076</v>
      </c>
      <c r="J1111" t="s">
        <v>88</v>
      </c>
      <c r="K1111" t="s">
        <v>96</v>
      </c>
      <c r="L1111" s="16" t="s">
        <v>10</v>
      </c>
    </row>
    <row r="1112" spans="1:12" x14ac:dyDescent="0.35">
      <c r="A1112" t="s">
        <v>8</v>
      </c>
      <c r="B1112" t="s">
        <v>101</v>
      </c>
      <c r="C1112" t="s">
        <v>93</v>
      </c>
      <c r="D1112" t="s">
        <v>10</v>
      </c>
      <c r="E1112" t="s">
        <v>10</v>
      </c>
      <c r="F1112" s="7">
        <v>45437</v>
      </c>
      <c r="G1112" s="1">
        <v>45292</v>
      </c>
      <c r="H1112" s="14">
        <v>3054.2692000000006</v>
      </c>
      <c r="I1112">
        <v>762287</v>
      </c>
      <c r="J1112" t="s">
        <v>88</v>
      </c>
      <c r="K1112" t="s">
        <v>94</v>
      </c>
      <c r="L1112" s="16" t="s">
        <v>10</v>
      </c>
    </row>
    <row r="1113" spans="1:12" x14ac:dyDescent="0.35">
      <c r="A1113" t="s">
        <v>8</v>
      </c>
      <c r="B1113" t="s">
        <v>101</v>
      </c>
      <c r="C1113" t="s">
        <v>95</v>
      </c>
      <c r="D1113" t="s">
        <v>10</v>
      </c>
      <c r="E1113" t="s">
        <v>10</v>
      </c>
      <c r="F1113" s="7">
        <v>45437</v>
      </c>
      <c r="G1113" s="1">
        <v>45292</v>
      </c>
      <c r="H1113" s="14">
        <v>3858.7699999999995</v>
      </c>
      <c r="I1113">
        <v>621288</v>
      </c>
      <c r="J1113" t="s">
        <v>88</v>
      </c>
      <c r="K1113" t="s">
        <v>96</v>
      </c>
      <c r="L1113" s="16" t="s">
        <v>10</v>
      </c>
    </row>
    <row r="1114" spans="1:12" x14ac:dyDescent="0.35">
      <c r="A1114" t="s">
        <v>8</v>
      </c>
      <c r="B1114" t="s">
        <v>103</v>
      </c>
      <c r="C1114" t="s">
        <v>95</v>
      </c>
      <c r="D1114" t="s">
        <v>104</v>
      </c>
      <c r="E1114" t="s">
        <v>8</v>
      </c>
      <c r="F1114" s="7">
        <v>45437</v>
      </c>
      <c r="G1114" s="1">
        <v>45292</v>
      </c>
      <c r="H1114" s="14">
        <v>104.11999999999999</v>
      </c>
      <c r="I1114">
        <v>377</v>
      </c>
      <c r="J1114" t="s">
        <v>88</v>
      </c>
      <c r="K1114" t="s">
        <v>105</v>
      </c>
      <c r="L1114" s="16" t="s">
        <v>95</v>
      </c>
    </row>
    <row r="1115" spans="1:12" x14ac:dyDescent="0.35">
      <c r="A1115" t="s">
        <v>8</v>
      </c>
      <c r="B1115" t="s">
        <v>16</v>
      </c>
      <c r="C1115" t="s">
        <v>95</v>
      </c>
      <c r="D1115" t="s">
        <v>104</v>
      </c>
      <c r="E1115" t="s">
        <v>8</v>
      </c>
      <c r="F1115" s="7">
        <v>45437</v>
      </c>
      <c r="G1115" s="1">
        <v>45292</v>
      </c>
      <c r="H1115" s="14">
        <v>50.089999999999996</v>
      </c>
      <c r="I1115">
        <v>215</v>
      </c>
      <c r="J1115" t="s">
        <v>88</v>
      </c>
      <c r="K1115" t="s">
        <v>105</v>
      </c>
      <c r="L1115" s="16" t="s">
        <v>95</v>
      </c>
    </row>
    <row r="1116" spans="1:12" x14ac:dyDescent="0.35">
      <c r="A1116" t="s">
        <v>8</v>
      </c>
      <c r="B1116" t="s">
        <v>84</v>
      </c>
      <c r="C1116" t="s">
        <v>95</v>
      </c>
      <c r="D1116" t="s">
        <v>104</v>
      </c>
      <c r="E1116" t="s">
        <v>8</v>
      </c>
      <c r="F1116" s="7">
        <v>45437</v>
      </c>
      <c r="G1116" s="1">
        <v>45292</v>
      </c>
      <c r="H1116" s="14">
        <v>7676.6573399999997</v>
      </c>
      <c r="I1116">
        <v>28716</v>
      </c>
      <c r="J1116" t="s">
        <v>88</v>
      </c>
      <c r="K1116" t="s">
        <v>105</v>
      </c>
      <c r="L1116" s="16" t="s">
        <v>95</v>
      </c>
    </row>
    <row r="1117" spans="1:12" x14ac:dyDescent="0.35">
      <c r="A1117" t="s">
        <v>8</v>
      </c>
      <c r="B1117" t="s">
        <v>17</v>
      </c>
      <c r="C1117" t="s">
        <v>95</v>
      </c>
      <c r="D1117" t="s">
        <v>104</v>
      </c>
      <c r="E1117" t="s">
        <v>8</v>
      </c>
      <c r="F1117" s="7">
        <v>45437</v>
      </c>
      <c r="G1117" s="1">
        <v>45292</v>
      </c>
      <c r="H1117" s="14">
        <v>83.481572999999997</v>
      </c>
      <c r="I1117">
        <v>852</v>
      </c>
      <c r="J1117" t="s">
        <v>88</v>
      </c>
      <c r="K1117" t="s">
        <v>105</v>
      </c>
      <c r="L1117" s="16" t="s">
        <v>95</v>
      </c>
    </row>
    <row r="1118" spans="1:12" x14ac:dyDescent="0.35">
      <c r="A1118" t="s">
        <v>8</v>
      </c>
      <c r="B1118" t="s">
        <v>106</v>
      </c>
      <c r="C1118" t="s">
        <v>95</v>
      </c>
      <c r="D1118" t="s">
        <v>104</v>
      </c>
      <c r="E1118" t="s">
        <v>8</v>
      </c>
      <c r="F1118" s="7">
        <v>45437</v>
      </c>
      <c r="G1118" s="1">
        <v>45292</v>
      </c>
      <c r="H1118" s="14">
        <v>70.27</v>
      </c>
      <c r="I1118">
        <v>162</v>
      </c>
      <c r="J1118" t="s">
        <v>88</v>
      </c>
      <c r="K1118" t="s">
        <v>105</v>
      </c>
      <c r="L1118" s="16" t="s">
        <v>95</v>
      </c>
    </row>
    <row r="1119" spans="1:12" x14ac:dyDescent="0.35">
      <c r="A1119" t="s">
        <v>8</v>
      </c>
      <c r="B1119" t="s">
        <v>92</v>
      </c>
      <c r="C1119" t="s">
        <v>95</v>
      </c>
      <c r="D1119" t="s">
        <v>104</v>
      </c>
      <c r="E1119" t="s">
        <v>8</v>
      </c>
      <c r="F1119" s="7">
        <v>45437</v>
      </c>
      <c r="G1119" s="1">
        <v>45292</v>
      </c>
      <c r="H1119" s="14">
        <v>313.89256699999999</v>
      </c>
      <c r="I1119">
        <v>2193</v>
      </c>
      <c r="J1119" t="s">
        <v>88</v>
      </c>
      <c r="K1119" t="s">
        <v>105</v>
      </c>
      <c r="L1119" s="16" t="s">
        <v>95</v>
      </c>
    </row>
    <row r="1120" spans="1:12" x14ac:dyDescent="0.35">
      <c r="A1120" t="s">
        <v>8</v>
      </c>
      <c r="B1120" t="s">
        <v>21</v>
      </c>
      <c r="C1120" t="s">
        <v>95</v>
      </c>
      <c r="D1120" t="s">
        <v>104</v>
      </c>
      <c r="E1120" t="s">
        <v>8</v>
      </c>
      <c r="F1120" s="7">
        <v>45437</v>
      </c>
      <c r="G1120" s="1">
        <v>45292</v>
      </c>
      <c r="H1120" s="14">
        <v>295</v>
      </c>
      <c r="I1120">
        <v>1918</v>
      </c>
      <c r="J1120" t="s">
        <v>88</v>
      </c>
      <c r="K1120" t="s">
        <v>105</v>
      </c>
      <c r="L1120" s="16" t="s">
        <v>95</v>
      </c>
    </row>
    <row r="1121" spans="1:12" x14ac:dyDescent="0.35">
      <c r="A1121" t="s">
        <v>8</v>
      </c>
      <c r="B1121" t="s">
        <v>101</v>
      </c>
      <c r="C1121" t="s">
        <v>95</v>
      </c>
      <c r="D1121" t="s">
        <v>104</v>
      </c>
      <c r="E1121" t="s">
        <v>8</v>
      </c>
      <c r="F1121" s="7">
        <v>45437</v>
      </c>
      <c r="G1121" s="1">
        <v>45292</v>
      </c>
      <c r="H1121" s="14">
        <v>95.85</v>
      </c>
      <c r="I1121">
        <v>602</v>
      </c>
      <c r="J1121" t="s">
        <v>88</v>
      </c>
      <c r="K1121" t="s">
        <v>105</v>
      </c>
      <c r="L1121" s="16" t="s">
        <v>95</v>
      </c>
    </row>
    <row r="1122" spans="1:12" x14ac:dyDescent="0.35">
      <c r="A1122" t="s">
        <v>8</v>
      </c>
      <c r="B1122" t="s">
        <v>99</v>
      </c>
      <c r="C1122" t="s">
        <v>95</v>
      </c>
      <c r="D1122" t="s">
        <v>104</v>
      </c>
      <c r="E1122" t="s">
        <v>8</v>
      </c>
      <c r="F1122" s="7">
        <v>45437</v>
      </c>
      <c r="G1122" s="1">
        <v>45292</v>
      </c>
      <c r="H1122" s="14">
        <v>75.52</v>
      </c>
      <c r="I1122">
        <v>500</v>
      </c>
      <c r="J1122" t="s">
        <v>88</v>
      </c>
      <c r="K1122" t="s">
        <v>105</v>
      </c>
      <c r="L1122" s="16" t="s">
        <v>95</v>
      </c>
    </row>
    <row r="1123" spans="1:12" x14ac:dyDescent="0.35">
      <c r="A1123" t="s">
        <v>8</v>
      </c>
      <c r="B1123" t="s">
        <v>102</v>
      </c>
      <c r="C1123" t="s">
        <v>95</v>
      </c>
      <c r="D1123" t="s">
        <v>104</v>
      </c>
      <c r="E1123" t="s">
        <v>8</v>
      </c>
      <c r="F1123" s="7">
        <v>45437</v>
      </c>
      <c r="G1123" s="1">
        <v>45292</v>
      </c>
      <c r="H1123" s="14">
        <v>120.21</v>
      </c>
      <c r="I1123">
        <v>649</v>
      </c>
      <c r="J1123" t="s">
        <v>88</v>
      </c>
      <c r="K1123" t="s">
        <v>105</v>
      </c>
      <c r="L1123" s="16" t="s">
        <v>95</v>
      </c>
    </row>
    <row r="1124" spans="1:12" x14ac:dyDescent="0.35">
      <c r="A1124" t="s">
        <v>8</v>
      </c>
      <c r="B1124" t="s">
        <v>100</v>
      </c>
      <c r="C1124" t="s">
        <v>95</v>
      </c>
      <c r="D1124" t="s">
        <v>104</v>
      </c>
      <c r="E1124" t="s">
        <v>8</v>
      </c>
      <c r="F1124" s="7">
        <v>45437</v>
      </c>
      <c r="G1124" s="1">
        <v>45292</v>
      </c>
      <c r="H1124" s="14">
        <v>116.38000000000001</v>
      </c>
      <c r="I1124">
        <v>821</v>
      </c>
      <c r="J1124" t="s">
        <v>88</v>
      </c>
      <c r="K1124" t="s">
        <v>105</v>
      </c>
      <c r="L1124" s="16" t="s">
        <v>95</v>
      </c>
    </row>
    <row r="1125" spans="1:12" x14ac:dyDescent="0.35">
      <c r="A1125" t="s">
        <v>8</v>
      </c>
      <c r="B1125" t="s">
        <v>21</v>
      </c>
      <c r="C1125" t="s">
        <v>85</v>
      </c>
      <c r="D1125" t="s">
        <v>13</v>
      </c>
      <c r="E1125" t="s">
        <v>11</v>
      </c>
      <c r="F1125" s="7">
        <v>45444</v>
      </c>
      <c r="G1125" s="1">
        <v>45292</v>
      </c>
      <c r="H1125" s="14">
        <v>19884.604219000001</v>
      </c>
      <c r="I1125">
        <v>7777600</v>
      </c>
      <c r="J1125" t="s">
        <v>88</v>
      </c>
      <c r="K1125" t="s">
        <v>90</v>
      </c>
      <c r="L1125" s="16" t="s">
        <v>13</v>
      </c>
    </row>
    <row r="1126" spans="1:12" x14ac:dyDescent="0.35">
      <c r="A1126" t="s">
        <v>8</v>
      </c>
      <c r="B1126" t="s">
        <v>21</v>
      </c>
      <c r="C1126" t="s">
        <v>85</v>
      </c>
      <c r="D1126" t="s">
        <v>13</v>
      </c>
      <c r="E1126" t="s">
        <v>12</v>
      </c>
      <c r="F1126" s="7">
        <v>45444</v>
      </c>
      <c r="G1126" s="1">
        <v>45292</v>
      </c>
      <c r="H1126" s="14">
        <v>9641.2184180000004</v>
      </c>
      <c r="I1126">
        <v>2486671</v>
      </c>
      <c r="J1126" t="s">
        <v>88</v>
      </c>
      <c r="K1126" t="s">
        <v>90</v>
      </c>
      <c r="L1126" s="16" t="s">
        <v>12</v>
      </c>
    </row>
    <row r="1127" spans="1:12" x14ac:dyDescent="0.35">
      <c r="A1127" t="s">
        <v>8</v>
      </c>
      <c r="B1127" t="s">
        <v>92</v>
      </c>
      <c r="C1127" t="s">
        <v>93</v>
      </c>
      <c r="D1127" t="s">
        <v>10</v>
      </c>
      <c r="E1127" t="s">
        <v>10</v>
      </c>
      <c r="F1127" s="7">
        <v>45444</v>
      </c>
      <c r="G1127" s="1">
        <v>45292</v>
      </c>
      <c r="H1127" s="14">
        <v>8283.4269999999979</v>
      </c>
      <c r="I1127">
        <v>1788108</v>
      </c>
      <c r="J1127" t="s">
        <v>88</v>
      </c>
      <c r="K1127" t="s">
        <v>94</v>
      </c>
      <c r="L1127" s="16" t="s">
        <v>10</v>
      </c>
    </row>
    <row r="1128" spans="1:12" x14ac:dyDescent="0.35">
      <c r="A1128" t="s">
        <v>8</v>
      </c>
      <c r="B1128" t="s">
        <v>92</v>
      </c>
      <c r="C1128" t="s">
        <v>95</v>
      </c>
      <c r="D1128" t="s">
        <v>10</v>
      </c>
      <c r="E1128" t="s">
        <v>10</v>
      </c>
      <c r="F1128" s="7">
        <v>45444</v>
      </c>
      <c r="G1128" s="1">
        <v>45292</v>
      </c>
      <c r="H1128" s="14">
        <v>7542.2699999999995</v>
      </c>
      <c r="I1128">
        <v>1091596</v>
      </c>
      <c r="J1128" t="s">
        <v>88</v>
      </c>
      <c r="K1128" t="s">
        <v>96</v>
      </c>
      <c r="L1128" s="16" t="s">
        <v>10</v>
      </c>
    </row>
    <row r="1129" spans="1:12" x14ac:dyDescent="0.35">
      <c r="A1129" t="s">
        <v>8</v>
      </c>
      <c r="B1129" t="s">
        <v>84</v>
      </c>
      <c r="C1129" t="s">
        <v>93</v>
      </c>
      <c r="D1129" t="s">
        <v>10</v>
      </c>
      <c r="E1129" t="s">
        <v>10</v>
      </c>
      <c r="F1129" s="7">
        <v>45444</v>
      </c>
      <c r="G1129" s="1">
        <v>45292</v>
      </c>
      <c r="H1129" s="14">
        <v>3736.6814999999997</v>
      </c>
      <c r="I1129">
        <v>414969</v>
      </c>
      <c r="J1129" t="s">
        <v>88</v>
      </c>
      <c r="K1129" t="s">
        <v>94</v>
      </c>
      <c r="L1129" s="16" t="s">
        <v>10</v>
      </c>
    </row>
    <row r="1130" spans="1:12" x14ac:dyDescent="0.35">
      <c r="A1130" t="s">
        <v>8</v>
      </c>
      <c r="B1130" t="s">
        <v>84</v>
      </c>
      <c r="C1130" t="s">
        <v>95</v>
      </c>
      <c r="D1130" t="s">
        <v>10</v>
      </c>
      <c r="E1130" t="s">
        <v>10</v>
      </c>
      <c r="F1130" s="7">
        <v>45444</v>
      </c>
      <c r="G1130" s="1">
        <v>45292</v>
      </c>
      <c r="H1130" s="14">
        <v>8302.31</v>
      </c>
      <c r="I1130">
        <v>1397277</v>
      </c>
      <c r="J1130" t="s">
        <v>88</v>
      </c>
      <c r="K1130" t="s">
        <v>96</v>
      </c>
      <c r="L1130" s="16" t="s">
        <v>10</v>
      </c>
    </row>
    <row r="1131" spans="1:12" x14ac:dyDescent="0.35">
      <c r="A1131" t="s">
        <v>8</v>
      </c>
      <c r="B1131" t="s">
        <v>17</v>
      </c>
      <c r="C1131" t="s">
        <v>93</v>
      </c>
      <c r="D1131" t="s">
        <v>10</v>
      </c>
      <c r="E1131" t="s">
        <v>10</v>
      </c>
      <c r="F1131" s="7">
        <v>45444</v>
      </c>
      <c r="G1131" s="1">
        <v>45292</v>
      </c>
      <c r="H1131" s="14">
        <v>7096.5883999999951</v>
      </c>
      <c r="I1131">
        <v>1509675</v>
      </c>
      <c r="J1131" t="s">
        <v>88</v>
      </c>
      <c r="K1131" t="s">
        <v>94</v>
      </c>
      <c r="L1131" s="16" t="s">
        <v>10</v>
      </c>
    </row>
    <row r="1132" spans="1:12" x14ac:dyDescent="0.35">
      <c r="A1132" t="s">
        <v>8</v>
      </c>
      <c r="B1132" t="s">
        <v>17</v>
      </c>
      <c r="C1132" t="s">
        <v>95</v>
      </c>
      <c r="D1132" t="s">
        <v>10</v>
      </c>
      <c r="E1132" t="s">
        <v>10</v>
      </c>
      <c r="F1132" s="7">
        <v>45444</v>
      </c>
      <c r="G1132" s="1">
        <v>45292</v>
      </c>
      <c r="H1132" s="14">
        <v>8255.7599999999984</v>
      </c>
      <c r="I1132">
        <v>1682349</v>
      </c>
      <c r="J1132" t="s">
        <v>88</v>
      </c>
      <c r="K1132" t="s">
        <v>96</v>
      </c>
      <c r="L1132" s="16" t="s">
        <v>10</v>
      </c>
    </row>
    <row r="1133" spans="1:12" x14ac:dyDescent="0.35">
      <c r="A1133" t="s">
        <v>8</v>
      </c>
      <c r="B1133" t="s">
        <v>99</v>
      </c>
      <c r="C1133" t="s">
        <v>93</v>
      </c>
      <c r="D1133" t="s">
        <v>10</v>
      </c>
      <c r="E1133" t="s">
        <v>10</v>
      </c>
      <c r="F1133" s="7">
        <v>45444</v>
      </c>
      <c r="G1133" s="1">
        <v>45292</v>
      </c>
      <c r="H1133" s="14">
        <v>4825.0331999999999</v>
      </c>
      <c r="I1133">
        <v>451209</v>
      </c>
      <c r="J1133" t="s">
        <v>88</v>
      </c>
      <c r="K1133" t="s">
        <v>94</v>
      </c>
      <c r="L1133" s="16" t="s">
        <v>10</v>
      </c>
    </row>
    <row r="1134" spans="1:12" x14ac:dyDescent="0.35">
      <c r="A1134" t="s">
        <v>8</v>
      </c>
      <c r="B1134" t="s">
        <v>99</v>
      </c>
      <c r="C1134" t="s">
        <v>95</v>
      </c>
      <c r="D1134" t="s">
        <v>10</v>
      </c>
      <c r="E1134" t="s">
        <v>10</v>
      </c>
      <c r="F1134" s="7">
        <v>45444</v>
      </c>
      <c r="G1134" s="1">
        <v>45292</v>
      </c>
      <c r="H1134" s="14">
        <v>4014.0199999999991</v>
      </c>
      <c r="I1134">
        <v>1053647</v>
      </c>
      <c r="J1134" t="s">
        <v>88</v>
      </c>
      <c r="K1134" t="s">
        <v>96</v>
      </c>
      <c r="L1134" s="16" t="s">
        <v>10</v>
      </c>
    </row>
    <row r="1135" spans="1:12" x14ac:dyDescent="0.35">
      <c r="A1135" t="s">
        <v>8</v>
      </c>
      <c r="B1135" t="s">
        <v>100</v>
      </c>
      <c r="C1135" t="s">
        <v>93</v>
      </c>
      <c r="D1135" t="s">
        <v>10</v>
      </c>
      <c r="E1135" t="s">
        <v>10</v>
      </c>
      <c r="F1135" s="7">
        <v>45444</v>
      </c>
      <c r="G1135" s="1">
        <v>45292</v>
      </c>
      <c r="H1135" s="14">
        <v>5699.2451999999994</v>
      </c>
      <c r="I1135">
        <v>1418429</v>
      </c>
      <c r="J1135" t="s">
        <v>88</v>
      </c>
      <c r="K1135" t="s">
        <v>94</v>
      </c>
      <c r="L1135" s="16" t="s">
        <v>10</v>
      </c>
    </row>
    <row r="1136" spans="1:12" x14ac:dyDescent="0.35">
      <c r="A1136" t="s">
        <v>8</v>
      </c>
      <c r="B1136" t="s">
        <v>100</v>
      </c>
      <c r="C1136" t="s">
        <v>95</v>
      </c>
      <c r="D1136" t="s">
        <v>10</v>
      </c>
      <c r="E1136" t="s">
        <v>10</v>
      </c>
      <c r="F1136" s="7">
        <v>45444</v>
      </c>
      <c r="G1136" s="1">
        <v>45292</v>
      </c>
      <c r="H1136" s="14">
        <v>7167.0100000000011</v>
      </c>
      <c r="I1136">
        <v>2387037</v>
      </c>
      <c r="J1136" t="s">
        <v>88</v>
      </c>
      <c r="K1136" t="s">
        <v>96</v>
      </c>
      <c r="L1136" s="16" t="s">
        <v>10</v>
      </c>
    </row>
    <row r="1137" spans="1:12" x14ac:dyDescent="0.35">
      <c r="A1137" t="s">
        <v>8</v>
      </c>
      <c r="B1137" t="s">
        <v>21</v>
      </c>
      <c r="C1137" t="s">
        <v>93</v>
      </c>
      <c r="D1137" t="s">
        <v>10</v>
      </c>
      <c r="E1137" t="s">
        <v>10</v>
      </c>
      <c r="F1137" s="7">
        <v>45444</v>
      </c>
      <c r="G1137" s="1">
        <v>45292</v>
      </c>
      <c r="H1137" s="14">
        <v>4475.6559000000016</v>
      </c>
      <c r="I1137">
        <v>1602845</v>
      </c>
      <c r="J1137" t="s">
        <v>88</v>
      </c>
      <c r="K1137" t="s">
        <v>94</v>
      </c>
      <c r="L1137" s="16" t="s">
        <v>10</v>
      </c>
    </row>
    <row r="1138" spans="1:12" x14ac:dyDescent="0.35">
      <c r="A1138" t="s">
        <v>8</v>
      </c>
      <c r="B1138" t="s">
        <v>21</v>
      </c>
      <c r="C1138" t="s">
        <v>95</v>
      </c>
      <c r="D1138" t="s">
        <v>10</v>
      </c>
      <c r="E1138" t="s">
        <v>10</v>
      </c>
      <c r="F1138" s="7">
        <v>45444</v>
      </c>
      <c r="G1138" s="1">
        <v>45292</v>
      </c>
      <c r="H1138" s="14">
        <v>5670.5800000000008</v>
      </c>
      <c r="I1138">
        <v>1004577</v>
      </c>
      <c r="J1138" t="s">
        <v>88</v>
      </c>
      <c r="K1138" t="s">
        <v>96</v>
      </c>
      <c r="L1138" s="16" t="s">
        <v>10</v>
      </c>
    </row>
    <row r="1139" spans="1:12" x14ac:dyDescent="0.35">
      <c r="A1139" t="s">
        <v>8</v>
      </c>
      <c r="B1139" t="s">
        <v>101</v>
      </c>
      <c r="C1139" t="s">
        <v>93</v>
      </c>
      <c r="D1139" t="s">
        <v>10</v>
      </c>
      <c r="E1139" t="s">
        <v>10</v>
      </c>
      <c r="F1139" s="7">
        <v>45444</v>
      </c>
      <c r="G1139" s="1">
        <v>45292</v>
      </c>
      <c r="H1139" s="14">
        <v>2861.6305000000011</v>
      </c>
      <c r="I1139">
        <v>819812</v>
      </c>
      <c r="J1139" t="s">
        <v>88</v>
      </c>
      <c r="K1139" t="s">
        <v>94</v>
      </c>
      <c r="L1139" s="16" t="s">
        <v>10</v>
      </c>
    </row>
    <row r="1140" spans="1:12" x14ac:dyDescent="0.35">
      <c r="A1140" t="s">
        <v>8</v>
      </c>
      <c r="B1140" t="s">
        <v>101</v>
      </c>
      <c r="C1140" t="s">
        <v>95</v>
      </c>
      <c r="D1140" t="s">
        <v>10</v>
      </c>
      <c r="E1140" t="s">
        <v>10</v>
      </c>
      <c r="F1140" s="7">
        <v>45444</v>
      </c>
      <c r="G1140" s="1">
        <v>45292</v>
      </c>
      <c r="H1140" s="14">
        <v>3279.5999999999995</v>
      </c>
      <c r="I1140">
        <v>740847</v>
      </c>
      <c r="J1140" t="s">
        <v>88</v>
      </c>
      <c r="K1140" t="s">
        <v>96</v>
      </c>
      <c r="L1140" s="16" t="s">
        <v>10</v>
      </c>
    </row>
    <row r="1141" spans="1:12" x14ac:dyDescent="0.35">
      <c r="A1141" t="s">
        <v>8</v>
      </c>
      <c r="B1141" t="s">
        <v>102</v>
      </c>
      <c r="C1141" t="s">
        <v>95</v>
      </c>
      <c r="D1141" t="s">
        <v>10</v>
      </c>
      <c r="E1141" t="s">
        <v>10</v>
      </c>
      <c r="F1141" s="7">
        <v>45444</v>
      </c>
      <c r="G1141" s="1">
        <v>45292</v>
      </c>
      <c r="H1141" s="14">
        <v>0.37</v>
      </c>
      <c r="I1141">
        <v>1797</v>
      </c>
      <c r="J1141" t="s">
        <v>88</v>
      </c>
      <c r="K1141" t="s">
        <v>96</v>
      </c>
      <c r="L1141" s="16" t="s">
        <v>10</v>
      </c>
    </row>
    <row r="1142" spans="1:12" x14ac:dyDescent="0.35">
      <c r="A1142" t="s">
        <v>8</v>
      </c>
      <c r="B1142" t="s">
        <v>103</v>
      </c>
      <c r="C1142" t="s">
        <v>95</v>
      </c>
      <c r="D1142" t="s">
        <v>104</v>
      </c>
      <c r="E1142" t="s">
        <v>8</v>
      </c>
      <c r="F1142" s="7">
        <v>45444</v>
      </c>
      <c r="G1142" s="1">
        <v>45292</v>
      </c>
      <c r="H1142" s="14">
        <v>91.31</v>
      </c>
      <c r="I1142">
        <v>384</v>
      </c>
      <c r="J1142" t="s">
        <v>88</v>
      </c>
      <c r="K1142" t="s">
        <v>105</v>
      </c>
      <c r="L1142" s="16" t="s">
        <v>95</v>
      </c>
    </row>
    <row r="1143" spans="1:12" x14ac:dyDescent="0.35">
      <c r="A1143" t="s">
        <v>8</v>
      </c>
      <c r="B1143" t="s">
        <v>16</v>
      </c>
      <c r="C1143" t="s">
        <v>95</v>
      </c>
      <c r="D1143" t="s">
        <v>104</v>
      </c>
      <c r="E1143" t="s">
        <v>8</v>
      </c>
      <c r="F1143" s="7">
        <v>45444</v>
      </c>
      <c r="G1143" s="1">
        <v>45292</v>
      </c>
      <c r="H1143" s="14">
        <v>51.63000000000001</v>
      </c>
      <c r="I1143">
        <v>218</v>
      </c>
      <c r="J1143" t="s">
        <v>88</v>
      </c>
      <c r="K1143" t="s">
        <v>105</v>
      </c>
      <c r="L1143" s="16" t="s">
        <v>95</v>
      </c>
    </row>
    <row r="1144" spans="1:12" x14ac:dyDescent="0.35">
      <c r="A1144" t="s">
        <v>8</v>
      </c>
      <c r="B1144" t="s">
        <v>84</v>
      </c>
      <c r="C1144" t="s">
        <v>95</v>
      </c>
      <c r="D1144" t="s">
        <v>104</v>
      </c>
      <c r="E1144" t="s">
        <v>8</v>
      </c>
      <c r="F1144" s="7">
        <v>45444</v>
      </c>
      <c r="G1144" s="1">
        <v>45292</v>
      </c>
      <c r="H1144" s="14">
        <v>7090.7125310000019</v>
      </c>
      <c r="I1144">
        <v>27124</v>
      </c>
      <c r="J1144" t="s">
        <v>88</v>
      </c>
      <c r="K1144" t="s">
        <v>105</v>
      </c>
      <c r="L1144" s="16" t="s">
        <v>95</v>
      </c>
    </row>
    <row r="1145" spans="1:12" x14ac:dyDescent="0.35">
      <c r="A1145" t="s">
        <v>8</v>
      </c>
      <c r="B1145" t="s">
        <v>17</v>
      </c>
      <c r="C1145" t="s">
        <v>95</v>
      </c>
      <c r="D1145" t="s">
        <v>104</v>
      </c>
      <c r="E1145" t="s">
        <v>8</v>
      </c>
      <c r="F1145" s="7">
        <v>45444</v>
      </c>
      <c r="G1145" s="1">
        <v>45292</v>
      </c>
      <c r="H1145" s="14">
        <v>101.01</v>
      </c>
      <c r="I1145">
        <v>896</v>
      </c>
      <c r="J1145" t="s">
        <v>88</v>
      </c>
      <c r="K1145" t="s">
        <v>105</v>
      </c>
      <c r="L1145" s="16" t="s">
        <v>95</v>
      </c>
    </row>
    <row r="1146" spans="1:12" x14ac:dyDescent="0.35">
      <c r="A1146" t="s">
        <v>8</v>
      </c>
      <c r="B1146" t="s">
        <v>106</v>
      </c>
      <c r="C1146" t="s">
        <v>95</v>
      </c>
      <c r="D1146" t="s">
        <v>104</v>
      </c>
      <c r="E1146" t="s">
        <v>8</v>
      </c>
      <c r="F1146" s="7">
        <v>45444</v>
      </c>
      <c r="G1146" s="1">
        <v>45292</v>
      </c>
      <c r="H1146" s="14">
        <v>60.43</v>
      </c>
      <c r="I1146">
        <v>166</v>
      </c>
      <c r="J1146" t="s">
        <v>88</v>
      </c>
      <c r="K1146" t="s">
        <v>105</v>
      </c>
      <c r="L1146" s="16" t="s">
        <v>95</v>
      </c>
    </row>
    <row r="1147" spans="1:12" x14ac:dyDescent="0.35">
      <c r="A1147" t="s">
        <v>8</v>
      </c>
      <c r="B1147" t="s">
        <v>92</v>
      </c>
      <c r="C1147" t="s">
        <v>95</v>
      </c>
      <c r="D1147" t="s">
        <v>104</v>
      </c>
      <c r="E1147" t="s">
        <v>8</v>
      </c>
      <c r="F1147" s="7">
        <v>45444</v>
      </c>
      <c r="G1147" s="1">
        <v>45292</v>
      </c>
      <c r="H1147" s="14">
        <v>287.28968100000003</v>
      </c>
      <c r="I1147">
        <v>2159</v>
      </c>
      <c r="J1147" t="s">
        <v>88</v>
      </c>
      <c r="K1147" t="s">
        <v>105</v>
      </c>
      <c r="L1147" s="16" t="s">
        <v>95</v>
      </c>
    </row>
    <row r="1148" spans="1:12" x14ac:dyDescent="0.35">
      <c r="A1148" t="s">
        <v>8</v>
      </c>
      <c r="B1148" t="s">
        <v>21</v>
      </c>
      <c r="C1148" t="s">
        <v>95</v>
      </c>
      <c r="D1148" t="s">
        <v>104</v>
      </c>
      <c r="E1148" t="s">
        <v>8</v>
      </c>
      <c r="F1148" s="7">
        <v>45444</v>
      </c>
      <c r="G1148" s="1">
        <v>45292</v>
      </c>
      <c r="H1148" s="14">
        <v>232.47</v>
      </c>
      <c r="I1148">
        <v>1836</v>
      </c>
      <c r="J1148" t="s">
        <v>88</v>
      </c>
      <c r="K1148" t="s">
        <v>105</v>
      </c>
      <c r="L1148" s="16" t="s">
        <v>95</v>
      </c>
    </row>
    <row r="1149" spans="1:12" x14ac:dyDescent="0.35">
      <c r="A1149" t="s">
        <v>8</v>
      </c>
      <c r="B1149" t="s">
        <v>101</v>
      </c>
      <c r="C1149" t="s">
        <v>95</v>
      </c>
      <c r="D1149" t="s">
        <v>104</v>
      </c>
      <c r="E1149" t="s">
        <v>8</v>
      </c>
      <c r="F1149" s="7">
        <v>45444</v>
      </c>
      <c r="G1149" s="1">
        <v>45292</v>
      </c>
      <c r="H1149" s="14">
        <v>114.80000000000001</v>
      </c>
      <c r="I1149">
        <v>536</v>
      </c>
      <c r="J1149" t="s">
        <v>88</v>
      </c>
      <c r="K1149" t="s">
        <v>105</v>
      </c>
      <c r="L1149" s="16" t="s">
        <v>95</v>
      </c>
    </row>
    <row r="1150" spans="1:12" x14ac:dyDescent="0.35">
      <c r="A1150" t="s">
        <v>8</v>
      </c>
      <c r="B1150" t="s">
        <v>99</v>
      </c>
      <c r="C1150" t="s">
        <v>95</v>
      </c>
      <c r="D1150" t="s">
        <v>104</v>
      </c>
      <c r="E1150" t="s">
        <v>8</v>
      </c>
      <c r="F1150" s="7">
        <v>45444</v>
      </c>
      <c r="G1150" s="1">
        <v>45292</v>
      </c>
      <c r="H1150" s="14">
        <v>73.41</v>
      </c>
      <c r="I1150">
        <v>470</v>
      </c>
      <c r="J1150" t="s">
        <v>88</v>
      </c>
      <c r="K1150" t="s">
        <v>105</v>
      </c>
      <c r="L1150" s="16" t="s">
        <v>95</v>
      </c>
    </row>
    <row r="1151" spans="1:12" x14ac:dyDescent="0.35">
      <c r="A1151" t="s">
        <v>8</v>
      </c>
      <c r="B1151" t="s">
        <v>102</v>
      </c>
      <c r="C1151" t="s">
        <v>95</v>
      </c>
      <c r="D1151" t="s">
        <v>104</v>
      </c>
      <c r="E1151" t="s">
        <v>8</v>
      </c>
      <c r="F1151" s="7">
        <v>45444</v>
      </c>
      <c r="G1151" s="1">
        <v>45292</v>
      </c>
      <c r="H1151" s="14">
        <v>107.99654</v>
      </c>
      <c r="I1151">
        <v>597</v>
      </c>
      <c r="J1151" t="s">
        <v>88</v>
      </c>
      <c r="K1151" t="s">
        <v>105</v>
      </c>
      <c r="L1151" s="16" t="s">
        <v>95</v>
      </c>
    </row>
    <row r="1152" spans="1:12" x14ac:dyDescent="0.35">
      <c r="A1152" t="s">
        <v>8</v>
      </c>
      <c r="B1152" t="s">
        <v>100</v>
      </c>
      <c r="C1152" t="s">
        <v>95</v>
      </c>
      <c r="D1152" t="s">
        <v>104</v>
      </c>
      <c r="E1152" t="s">
        <v>8</v>
      </c>
      <c r="F1152" s="7">
        <v>45444</v>
      </c>
      <c r="G1152" s="1">
        <v>45292</v>
      </c>
      <c r="H1152" s="14">
        <v>137.17000000000002</v>
      </c>
      <c r="I1152">
        <v>825</v>
      </c>
      <c r="J1152" t="s">
        <v>88</v>
      </c>
      <c r="K1152" t="s">
        <v>105</v>
      </c>
      <c r="L1152" s="16" t="s">
        <v>95</v>
      </c>
    </row>
    <row r="1153" spans="1:12" x14ac:dyDescent="0.35">
      <c r="A1153" t="s">
        <v>8</v>
      </c>
      <c r="B1153" t="s">
        <v>92</v>
      </c>
      <c r="C1153" t="s">
        <v>93</v>
      </c>
      <c r="D1153" t="s">
        <v>10</v>
      </c>
      <c r="E1153" t="s">
        <v>10</v>
      </c>
      <c r="F1153" s="7">
        <v>45451</v>
      </c>
      <c r="G1153" s="1">
        <v>45292</v>
      </c>
      <c r="H1153" s="14">
        <v>7026.718499999999</v>
      </c>
      <c r="I1153">
        <v>1446564</v>
      </c>
      <c r="J1153" t="s">
        <v>88</v>
      </c>
      <c r="K1153" t="s">
        <v>94</v>
      </c>
      <c r="L1153" s="16" t="s">
        <v>10</v>
      </c>
    </row>
    <row r="1154" spans="1:12" x14ac:dyDescent="0.35">
      <c r="A1154" t="s">
        <v>8</v>
      </c>
      <c r="B1154" t="s">
        <v>92</v>
      </c>
      <c r="C1154" t="s">
        <v>95</v>
      </c>
      <c r="D1154" t="s">
        <v>10</v>
      </c>
      <c r="E1154" t="s">
        <v>10</v>
      </c>
      <c r="F1154" s="7">
        <v>45451</v>
      </c>
      <c r="G1154" s="1">
        <v>45292</v>
      </c>
      <c r="H1154" s="14">
        <v>7408.23</v>
      </c>
      <c r="I1154">
        <v>1103279</v>
      </c>
      <c r="J1154" t="s">
        <v>88</v>
      </c>
      <c r="K1154" t="s">
        <v>96</v>
      </c>
      <c r="L1154" s="16" t="s">
        <v>10</v>
      </c>
    </row>
    <row r="1155" spans="1:12" x14ac:dyDescent="0.35">
      <c r="A1155" t="s">
        <v>8</v>
      </c>
      <c r="B1155" t="s">
        <v>84</v>
      </c>
      <c r="C1155" t="s">
        <v>93</v>
      </c>
      <c r="D1155" t="s">
        <v>10</v>
      </c>
      <c r="E1155" t="s">
        <v>10</v>
      </c>
      <c r="F1155" s="7">
        <v>45451</v>
      </c>
      <c r="G1155" s="1">
        <v>45292</v>
      </c>
      <c r="H1155" s="14">
        <v>16401.866100000003</v>
      </c>
      <c r="I1155">
        <v>2936276</v>
      </c>
      <c r="J1155" t="s">
        <v>88</v>
      </c>
      <c r="K1155" t="s">
        <v>94</v>
      </c>
      <c r="L1155" s="16" t="s">
        <v>10</v>
      </c>
    </row>
    <row r="1156" spans="1:12" x14ac:dyDescent="0.35">
      <c r="A1156" t="s">
        <v>8</v>
      </c>
      <c r="B1156" t="s">
        <v>84</v>
      </c>
      <c r="C1156" t="s">
        <v>95</v>
      </c>
      <c r="D1156" t="s">
        <v>10</v>
      </c>
      <c r="E1156" t="s">
        <v>10</v>
      </c>
      <c r="F1156" s="7">
        <v>45451</v>
      </c>
      <c r="G1156" s="1">
        <v>45292</v>
      </c>
      <c r="H1156" s="14">
        <v>9289.6399999999976</v>
      </c>
      <c r="I1156">
        <v>1592835</v>
      </c>
      <c r="J1156" t="s">
        <v>88</v>
      </c>
      <c r="K1156" t="s">
        <v>96</v>
      </c>
      <c r="L1156" s="16" t="s">
        <v>10</v>
      </c>
    </row>
    <row r="1157" spans="1:12" x14ac:dyDescent="0.35">
      <c r="A1157" t="s">
        <v>8</v>
      </c>
      <c r="B1157" t="s">
        <v>17</v>
      </c>
      <c r="C1157" t="s">
        <v>93</v>
      </c>
      <c r="D1157" t="s">
        <v>10</v>
      </c>
      <c r="E1157" t="s">
        <v>10</v>
      </c>
      <c r="F1157" s="7">
        <v>45451</v>
      </c>
      <c r="G1157" s="1">
        <v>45292</v>
      </c>
      <c r="H1157" s="14">
        <v>12454.006200000013</v>
      </c>
      <c r="I1157">
        <v>2656124</v>
      </c>
      <c r="J1157" t="s">
        <v>88</v>
      </c>
      <c r="K1157" t="s">
        <v>94</v>
      </c>
      <c r="L1157" s="16" t="s">
        <v>10</v>
      </c>
    </row>
    <row r="1158" spans="1:12" x14ac:dyDescent="0.35">
      <c r="A1158" t="s">
        <v>8</v>
      </c>
      <c r="B1158" t="s">
        <v>17</v>
      </c>
      <c r="C1158" t="s">
        <v>95</v>
      </c>
      <c r="D1158" t="s">
        <v>10</v>
      </c>
      <c r="E1158" t="s">
        <v>10</v>
      </c>
      <c r="F1158" s="7">
        <v>45451</v>
      </c>
      <c r="G1158" s="1">
        <v>45292</v>
      </c>
      <c r="H1158" s="14">
        <v>9942.159999999998</v>
      </c>
      <c r="I1158">
        <v>2122421</v>
      </c>
      <c r="J1158" t="s">
        <v>88</v>
      </c>
      <c r="K1158" t="s">
        <v>96</v>
      </c>
      <c r="L1158" s="16" t="s">
        <v>10</v>
      </c>
    </row>
    <row r="1159" spans="1:12" x14ac:dyDescent="0.35">
      <c r="A1159" t="s">
        <v>8</v>
      </c>
      <c r="B1159" t="s">
        <v>99</v>
      </c>
      <c r="C1159" t="s">
        <v>93</v>
      </c>
      <c r="D1159" t="s">
        <v>10</v>
      </c>
      <c r="E1159" t="s">
        <v>10</v>
      </c>
      <c r="F1159" s="7">
        <v>45451</v>
      </c>
      <c r="G1159" s="1">
        <v>45292</v>
      </c>
      <c r="H1159" s="14">
        <v>4343.7521000000006</v>
      </c>
      <c r="I1159">
        <v>407698</v>
      </c>
      <c r="J1159" t="s">
        <v>88</v>
      </c>
      <c r="K1159" t="s">
        <v>94</v>
      </c>
      <c r="L1159" s="16" t="s">
        <v>10</v>
      </c>
    </row>
    <row r="1160" spans="1:12" x14ac:dyDescent="0.35">
      <c r="A1160" t="s">
        <v>8</v>
      </c>
      <c r="B1160" t="s">
        <v>99</v>
      </c>
      <c r="C1160" t="s">
        <v>95</v>
      </c>
      <c r="D1160" t="s">
        <v>10</v>
      </c>
      <c r="E1160" t="s">
        <v>10</v>
      </c>
      <c r="F1160" s="7">
        <v>45451</v>
      </c>
      <c r="G1160" s="1">
        <v>45292</v>
      </c>
      <c r="H1160" s="14">
        <v>6085.869999999999</v>
      </c>
      <c r="I1160">
        <v>1311079</v>
      </c>
      <c r="J1160" t="s">
        <v>88</v>
      </c>
      <c r="K1160" t="s">
        <v>96</v>
      </c>
      <c r="L1160" s="16" t="s">
        <v>10</v>
      </c>
    </row>
    <row r="1161" spans="1:12" x14ac:dyDescent="0.35">
      <c r="A1161" t="s">
        <v>8</v>
      </c>
      <c r="B1161" t="s">
        <v>100</v>
      </c>
      <c r="C1161" t="s">
        <v>93</v>
      </c>
      <c r="D1161" t="s">
        <v>10</v>
      </c>
      <c r="E1161" t="s">
        <v>10</v>
      </c>
      <c r="F1161" s="7">
        <v>45451</v>
      </c>
      <c r="G1161" s="1">
        <v>45292</v>
      </c>
      <c r="H1161" s="14">
        <v>5115.6659000000027</v>
      </c>
      <c r="I1161">
        <v>1292080</v>
      </c>
      <c r="J1161" t="s">
        <v>88</v>
      </c>
      <c r="K1161" t="s">
        <v>94</v>
      </c>
      <c r="L1161" s="16" t="s">
        <v>10</v>
      </c>
    </row>
    <row r="1162" spans="1:12" x14ac:dyDescent="0.35">
      <c r="A1162" t="s">
        <v>8</v>
      </c>
      <c r="B1162" t="s">
        <v>100</v>
      </c>
      <c r="C1162" t="s">
        <v>95</v>
      </c>
      <c r="D1162" t="s">
        <v>10</v>
      </c>
      <c r="E1162" t="s">
        <v>10</v>
      </c>
      <c r="F1162" s="7">
        <v>45451</v>
      </c>
      <c r="G1162" s="1">
        <v>45292</v>
      </c>
      <c r="H1162" s="14">
        <v>6891.57</v>
      </c>
      <c r="I1162">
        <v>1642643</v>
      </c>
      <c r="J1162" t="s">
        <v>88</v>
      </c>
      <c r="K1162" t="s">
        <v>96</v>
      </c>
      <c r="L1162" s="16" t="s">
        <v>10</v>
      </c>
    </row>
    <row r="1163" spans="1:12" x14ac:dyDescent="0.35">
      <c r="A1163" t="s">
        <v>8</v>
      </c>
      <c r="B1163" t="s">
        <v>21</v>
      </c>
      <c r="C1163" t="s">
        <v>93</v>
      </c>
      <c r="D1163" t="s">
        <v>10</v>
      </c>
      <c r="E1163" t="s">
        <v>10</v>
      </c>
      <c r="F1163" s="7">
        <v>45451</v>
      </c>
      <c r="G1163" s="1">
        <v>45292</v>
      </c>
      <c r="H1163" s="14">
        <v>3512.6432999999997</v>
      </c>
      <c r="I1163">
        <v>1314883</v>
      </c>
      <c r="J1163" t="s">
        <v>88</v>
      </c>
      <c r="K1163" t="s">
        <v>94</v>
      </c>
      <c r="L1163" s="16" t="s">
        <v>10</v>
      </c>
    </row>
    <row r="1164" spans="1:12" x14ac:dyDescent="0.35">
      <c r="A1164" t="s">
        <v>8</v>
      </c>
      <c r="B1164" t="s">
        <v>21</v>
      </c>
      <c r="C1164" t="s">
        <v>95</v>
      </c>
      <c r="D1164" t="s">
        <v>10</v>
      </c>
      <c r="E1164" t="s">
        <v>10</v>
      </c>
      <c r="F1164" s="7">
        <v>45451</v>
      </c>
      <c r="G1164" s="1">
        <v>45292</v>
      </c>
      <c r="H1164" s="14">
        <v>5022.3199999999988</v>
      </c>
      <c r="I1164">
        <v>933871</v>
      </c>
      <c r="J1164" t="s">
        <v>88</v>
      </c>
      <c r="K1164" t="s">
        <v>96</v>
      </c>
      <c r="L1164" s="16" t="s">
        <v>10</v>
      </c>
    </row>
    <row r="1165" spans="1:12" x14ac:dyDescent="0.35">
      <c r="A1165" t="s">
        <v>8</v>
      </c>
      <c r="B1165" t="s">
        <v>101</v>
      </c>
      <c r="C1165" t="s">
        <v>93</v>
      </c>
      <c r="D1165" t="s">
        <v>10</v>
      </c>
      <c r="E1165" t="s">
        <v>10</v>
      </c>
      <c r="F1165" s="7">
        <v>45451</v>
      </c>
      <c r="G1165" s="1">
        <v>45292</v>
      </c>
      <c r="H1165" s="14">
        <v>2746.2931000000008</v>
      </c>
      <c r="I1165">
        <v>830174</v>
      </c>
      <c r="J1165" t="s">
        <v>88</v>
      </c>
      <c r="K1165" t="s">
        <v>94</v>
      </c>
      <c r="L1165" s="16" t="s">
        <v>10</v>
      </c>
    </row>
    <row r="1166" spans="1:12" x14ac:dyDescent="0.35">
      <c r="A1166" t="s">
        <v>8</v>
      </c>
      <c r="B1166" t="s">
        <v>101</v>
      </c>
      <c r="C1166" t="s">
        <v>95</v>
      </c>
      <c r="D1166" t="s">
        <v>10</v>
      </c>
      <c r="E1166" t="s">
        <v>10</v>
      </c>
      <c r="F1166" s="7">
        <v>45451</v>
      </c>
      <c r="G1166" s="1">
        <v>45292</v>
      </c>
      <c r="H1166" s="14">
        <v>3180.4</v>
      </c>
      <c r="I1166">
        <v>765209</v>
      </c>
      <c r="J1166" t="s">
        <v>88</v>
      </c>
      <c r="K1166" t="s">
        <v>96</v>
      </c>
      <c r="L1166" s="16" t="s">
        <v>10</v>
      </c>
    </row>
    <row r="1167" spans="1:12" x14ac:dyDescent="0.35">
      <c r="A1167" t="s">
        <v>8</v>
      </c>
      <c r="B1167" t="s">
        <v>102</v>
      </c>
      <c r="C1167" t="s">
        <v>95</v>
      </c>
      <c r="D1167" t="s">
        <v>10</v>
      </c>
      <c r="E1167" t="s">
        <v>10</v>
      </c>
      <c r="F1167" s="7">
        <v>45451</v>
      </c>
      <c r="G1167" s="1">
        <v>45292</v>
      </c>
      <c r="H1167" s="14">
        <v>0.37</v>
      </c>
      <c r="I1167">
        <v>2199</v>
      </c>
      <c r="J1167" t="s">
        <v>88</v>
      </c>
      <c r="K1167" t="s">
        <v>96</v>
      </c>
      <c r="L1167" s="16" t="s">
        <v>10</v>
      </c>
    </row>
    <row r="1168" spans="1:12" x14ac:dyDescent="0.35">
      <c r="A1168" t="s">
        <v>8</v>
      </c>
      <c r="B1168" t="s">
        <v>103</v>
      </c>
      <c r="C1168" t="s">
        <v>95</v>
      </c>
      <c r="D1168" t="s">
        <v>104</v>
      </c>
      <c r="E1168" t="s">
        <v>8</v>
      </c>
      <c r="F1168" s="7">
        <v>45451</v>
      </c>
      <c r="G1168" s="1">
        <v>45292</v>
      </c>
      <c r="H1168" s="14">
        <v>65.91</v>
      </c>
      <c r="I1168">
        <v>397</v>
      </c>
      <c r="J1168" t="s">
        <v>88</v>
      </c>
      <c r="K1168" t="s">
        <v>105</v>
      </c>
      <c r="L1168" s="16" t="s">
        <v>95</v>
      </c>
    </row>
    <row r="1169" spans="1:12" x14ac:dyDescent="0.35">
      <c r="A1169" t="s">
        <v>8</v>
      </c>
      <c r="B1169" t="s">
        <v>16</v>
      </c>
      <c r="C1169" t="s">
        <v>95</v>
      </c>
      <c r="D1169" t="s">
        <v>104</v>
      </c>
      <c r="E1169" t="s">
        <v>8</v>
      </c>
      <c r="F1169" s="7">
        <v>45451</v>
      </c>
      <c r="G1169" s="1">
        <v>45292</v>
      </c>
      <c r="H1169" s="14">
        <v>26.209999999999997</v>
      </c>
      <c r="I1169">
        <v>117</v>
      </c>
      <c r="J1169" t="s">
        <v>88</v>
      </c>
      <c r="K1169" t="s">
        <v>105</v>
      </c>
      <c r="L1169" s="16" t="s">
        <v>95</v>
      </c>
    </row>
    <row r="1170" spans="1:12" x14ac:dyDescent="0.35">
      <c r="A1170" t="s">
        <v>8</v>
      </c>
      <c r="B1170" t="s">
        <v>84</v>
      </c>
      <c r="C1170" t="s">
        <v>95</v>
      </c>
      <c r="D1170" t="s">
        <v>104</v>
      </c>
      <c r="E1170" t="s">
        <v>8</v>
      </c>
      <c r="F1170" s="7">
        <v>45451</v>
      </c>
      <c r="G1170" s="1">
        <v>45292</v>
      </c>
      <c r="H1170" s="14">
        <v>7568.6398499999968</v>
      </c>
      <c r="I1170">
        <v>29159</v>
      </c>
      <c r="J1170" t="s">
        <v>88</v>
      </c>
      <c r="K1170" t="s">
        <v>105</v>
      </c>
      <c r="L1170" s="16" t="s">
        <v>95</v>
      </c>
    </row>
    <row r="1171" spans="1:12" x14ac:dyDescent="0.35">
      <c r="A1171" t="s">
        <v>8</v>
      </c>
      <c r="B1171" t="s">
        <v>17</v>
      </c>
      <c r="C1171" t="s">
        <v>95</v>
      </c>
      <c r="D1171" t="s">
        <v>104</v>
      </c>
      <c r="E1171" t="s">
        <v>8</v>
      </c>
      <c r="F1171" s="7">
        <v>45451</v>
      </c>
      <c r="G1171" s="1">
        <v>45292</v>
      </c>
      <c r="H1171" s="14">
        <v>111.30999999999999</v>
      </c>
      <c r="I1171">
        <v>922</v>
      </c>
      <c r="J1171" t="s">
        <v>88</v>
      </c>
      <c r="K1171" t="s">
        <v>105</v>
      </c>
      <c r="L1171" s="16" t="s">
        <v>95</v>
      </c>
    </row>
    <row r="1172" spans="1:12" x14ac:dyDescent="0.35">
      <c r="A1172" t="s">
        <v>8</v>
      </c>
      <c r="B1172" t="s">
        <v>106</v>
      </c>
      <c r="C1172" t="s">
        <v>95</v>
      </c>
      <c r="D1172" t="s">
        <v>104</v>
      </c>
      <c r="E1172" t="s">
        <v>8</v>
      </c>
      <c r="F1172" s="7">
        <v>45451</v>
      </c>
      <c r="G1172" s="1">
        <v>45292</v>
      </c>
      <c r="H1172" s="14">
        <v>181.3</v>
      </c>
      <c r="I1172">
        <v>434</v>
      </c>
      <c r="J1172" t="s">
        <v>88</v>
      </c>
      <c r="K1172" t="s">
        <v>105</v>
      </c>
      <c r="L1172" s="16" t="s">
        <v>95</v>
      </c>
    </row>
    <row r="1173" spans="1:12" x14ac:dyDescent="0.35">
      <c r="A1173" t="s">
        <v>8</v>
      </c>
      <c r="B1173" t="s">
        <v>92</v>
      </c>
      <c r="C1173" t="s">
        <v>95</v>
      </c>
      <c r="D1173" t="s">
        <v>104</v>
      </c>
      <c r="E1173" t="s">
        <v>8</v>
      </c>
      <c r="F1173" s="7">
        <v>45451</v>
      </c>
      <c r="G1173" s="1">
        <v>45292</v>
      </c>
      <c r="H1173" s="14">
        <v>421.96999999999991</v>
      </c>
      <c r="I1173">
        <v>2496</v>
      </c>
      <c r="J1173" t="s">
        <v>88</v>
      </c>
      <c r="K1173" t="s">
        <v>105</v>
      </c>
      <c r="L1173" s="16" t="s">
        <v>95</v>
      </c>
    </row>
    <row r="1174" spans="1:12" x14ac:dyDescent="0.35">
      <c r="A1174" t="s">
        <v>8</v>
      </c>
      <c r="B1174" t="s">
        <v>21</v>
      </c>
      <c r="C1174" t="s">
        <v>95</v>
      </c>
      <c r="D1174" t="s">
        <v>104</v>
      </c>
      <c r="E1174" t="s">
        <v>8</v>
      </c>
      <c r="F1174" s="7">
        <v>45451</v>
      </c>
      <c r="G1174" s="1">
        <v>45292</v>
      </c>
      <c r="H1174" s="14">
        <v>228.45</v>
      </c>
      <c r="I1174">
        <v>1653</v>
      </c>
      <c r="J1174" t="s">
        <v>88</v>
      </c>
      <c r="K1174" t="s">
        <v>105</v>
      </c>
      <c r="L1174" s="16" t="s">
        <v>95</v>
      </c>
    </row>
    <row r="1175" spans="1:12" x14ac:dyDescent="0.35">
      <c r="A1175" t="s">
        <v>8</v>
      </c>
      <c r="B1175" t="s">
        <v>101</v>
      </c>
      <c r="C1175" t="s">
        <v>95</v>
      </c>
      <c r="D1175" t="s">
        <v>104</v>
      </c>
      <c r="E1175" t="s">
        <v>8</v>
      </c>
      <c r="F1175" s="7">
        <v>45451</v>
      </c>
      <c r="G1175" s="1">
        <v>45292</v>
      </c>
      <c r="H1175" s="14">
        <v>124.88</v>
      </c>
      <c r="I1175">
        <v>564</v>
      </c>
      <c r="J1175" t="s">
        <v>88</v>
      </c>
      <c r="K1175" t="s">
        <v>105</v>
      </c>
      <c r="L1175" s="16" t="s">
        <v>95</v>
      </c>
    </row>
    <row r="1176" spans="1:12" x14ac:dyDescent="0.35">
      <c r="A1176" t="s">
        <v>8</v>
      </c>
      <c r="B1176" t="s">
        <v>99</v>
      </c>
      <c r="C1176" t="s">
        <v>95</v>
      </c>
      <c r="D1176" t="s">
        <v>104</v>
      </c>
      <c r="E1176" t="s">
        <v>8</v>
      </c>
      <c r="F1176" s="7">
        <v>45451</v>
      </c>
      <c r="G1176" s="1">
        <v>45292</v>
      </c>
      <c r="H1176" s="14">
        <v>109.86</v>
      </c>
      <c r="I1176">
        <v>619</v>
      </c>
      <c r="J1176" t="s">
        <v>88</v>
      </c>
      <c r="K1176" t="s">
        <v>105</v>
      </c>
      <c r="L1176" s="16" t="s">
        <v>95</v>
      </c>
    </row>
    <row r="1177" spans="1:12" x14ac:dyDescent="0.35">
      <c r="A1177" t="s">
        <v>8</v>
      </c>
      <c r="B1177" t="s">
        <v>102</v>
      </c>
      <c r="C1177" t="s">
        <v>95</v>
      </c>
      <c r="D1177" t="s">
        <v>104</v>
      </c>
      <c r="E1177" t="s">
        <v>8</v>
      </c>
      <c r="F1177" s="7">
        <v>45451</v>
      </c>
      <c r="G1177" s="1">
        <v>45292</v>
      </c>
      <c r="H1177" s="14">
        <v>100.96</v>
      </c>
      <c r="I1177">
        <v>697</v>
      </c>
      <c r="J1177" t="s">
        <v>88</v>
      </c>
      <c r="K1177" t="s">
        <v>105</v>
      </c>
      <c r="L1177" s="16" t="s">
        <v>95</v>
      </c>
    </row>
    <row r="1178" spans="1:12" x14ac:dyDescent="0.35">
      <c r="A1178" t="s">
        <v>8</v>
      </c>
      <c r="B1178" t="s">
        <v>100</v>
      </c>
      <c r="C1178" t="s">
        <v>95</v>
      </c>
      <c r="D1178" t="s">
        <v>104</v>
      </c>
      <c r="E1178" t="s">
        <v>8</v>
      </c>
      <c r="F1178" s="7">
        <v>45451</v>
      </c>
      <c r="G1178" s="1">
        <v>45292</v>
      </c>
      <c r="H1178" s="14">
        <v>130.71</v>
      </c>
      <c r="I1178">
        <v>784</v>
      </c>
      <c r="J1178" t="s">
        <v>88</v>
      </c>
      <c r="K1178" t="s">
        <v>105</v>
      </c>
      <c r="L1178" s="16" t="s">
        <v>95</v>
      </c>
    </row>
    <row r="1179" spans="1:12" x14ac:dyDescent="0.35">
      <c r="A1179" t="s">
        <v>8</v>
      </c>
      <c r="B1179" t="s">
        <v>92</v>
      </c>
      <c r="C1179" t="s">
        <v>93</v>
      </c>
      <c r="D1179" t="s">
        <v>10</v>
      </c>
      <c r="E1179" t="s">
        <v>10</v>
      </c>
      <c r="F1179" s="7">
        <v>45458</v>
      </c>
      <c r="G1179" s="1">
        <v>45292</v>
      </c>
      <c r="H1179" s="14">
        <v>7275.8719999999976</v>
      </c>
      <c r="I1179">
        <v>1653869</v>
      </c>
      <c r="J1179" t="s">
        <v>88</v>
      </c>
      <c r="K1179" t="s">
        <v>94</v>
      </c>
      <c r="L1179" s="16" t="s">
        <v>10</v>
      </c>
    </row>
    <row r="1180" spans="1:12" x14ac:dyDescent="0.35">
      <c r="A1180" t="s">
        <v>8</v>
      </c>
      <c r="B1180" t="s">
        <v>92</v>
      </c>
      <c r="C1180" t="s">
        <v>95</v>
      </c>
      <c r="D1180" t="s">
        <v>10</v>
      </c>
      <c r="E1180" t="s">
        <v>10</v>
      </c>
      <c r="F1180" s="7">
        <v>45458</v>
      </c>
      <c r="G1180" s="1">
        <v>45292</v>
      </c>
      <c r="H1180" s="14">
        <v>7746.2</v>
      </c>
      <c r="I1180">
        <v>1047379</v>
      </c>
      <c r="J1180" t="s">
        <v>88</v>
      </c>
      <c r="K1180" t="s">
        <v>96</v>
      </c>
      <c r="L1180" s="16" t="s">
        <v>10</v>
      </c>
    </row>
    <row r="1181" spans="1:12" x14ac:dyDescent="0.35">
      <c r="A1181" t="s">
        <v>8</v>
      </c>
      <c r="B1181" t="s">
        <v>84</v>
      </c>
      <c r="C1181" t="s">
        <v>93</v>
      </c>
      <c r="D1181" t="s">
        <v>10</v>
      </c>
      <c r="E1181" t="s">
        <v>10</v>
      </c>
      <c r="F1181" s="7">
        <v>45458</v>
      </c>
      <c r="G1181" s="1">
        <v>45292</v>
      </c>
      <c r="H1181" s="14">
        <v>16643.962999999996</v>
      </c>
      <c r="I1181">
        <v>3944269</v>
      </c>
      <c r="J1181" t="s">
        <v>88</v>
      </c>
      <c r="K1181" t="s">
        <v>94</v>
      </c>
      <c r="L1181" s="16" t="s">
        <v>10</v>
      </c>
    </row>
    <row r="1182" spans="1:12" x14ac:dyDescent="0.35">
      <c r="A1182" t="s">
        <v>8</v>
      </c>
      <c r="B1182" t="s">
        <v>84</v>
      </c>
      <c r="C1182" t="s">
        <v>97</v>
      </c>
      <c r="D1182" t="s">
        <v>10</v>
      </c>
      <c r="E1182" t="s">
        <v>10</v>
      </c>
      <c r="F1182" s="7">
        <v>45458</v>
      </c>
      <c r="G1182" s="1">
        <v>45292</v>
      </c>
      <c r="H1182" s="14">
        <v>273.60270000000003</v>
      </c>
      <c r="I1182">
        <v>89824</v>
      </c>
      <c r="J1182" t="s">
        <v>88</v>
      </c>
      <c r="K1182" t="s">
        <v>98</v>
      </c>
      <c r="L1182" s="16" t="s">
        <v>10</v>
      </c>
    </row>
    <row r="1183" spans="1:12" x14ac:dyDescent="0.35">
      <c r="A1183" t="s">
        <v>8</v>
      </c>
      <c r="B1183" t="s">
        <v>84</v>
      </c>
      <c r="C1183" t="s">
        <v>95</v>
      </c>
      <c r="D1183" t="s">
        <v>10</v>
      </c>
      <c r="E1183" t="s">
        <v>10</v>
      </c>
      <c r="F1183" s="7">
        <v>45458</v>
      </c>
      <c r="G1183" s="1">
        <v>45292</v>
      </c>
      <c r="H1183" s="14">
        <v>9192.380000000001</v>
      </c>
      <c r="I1183">
        <v>1480291</v>
      </c>
      <c r="J1183" t="s">
        <v>88</v>
      </c>
      <c r="K1183" t="s">
        <v>96</v>
      </c>
      <c r="L1183" s="16" t="s">
        <v>10</v>
      </c>
    </row>
    <row r="1184" spans="1:12" x14ac:dyDescent="0.35">
      <c r="A1184" t="s">
        <v>8</v>
      </c>
      <c r="B1184" t="s">
        <v>17</v>
      </c>
      <c r="C1184" t="s">
        <v>93</v>
      </c>
      <c r="D1184" t="s">
        <v>10</v>
      </c>
      <c r="E1184" t="s">
        <v>10</v>
      </c>
      <c r="F1184" s="7">
        <v>45458</v>
      </c>
      <c r="G1184" s="1">
        <v>45292</v>
      </c>
      <c r="H1184" s="14">
        <v>15719.700500000004</v>
      </c>
      <c r="I1184">
        <v>3315977</v>
      </c>
      <c r="J1184" t="s">
        <v>88</v>
      </c>
      <c r="K1184" t="s">
        <v>94</v>
      </c>
      <c r="L1184" s="16" t="s">
        <v>10</v>
      </c>
    </row>
    <row r="1185" spans="1:12" x14ac:dyDescent="0.35">
      <c r="A1185" t="s">
        <v>8</v>
      </c>
      <c r="B1185" t="s">
        <v>17</v>
      </c>
      <c r="C1185" t="s">
        <v>95</v>
      </c>
      <c r="D1185" t="s">
        <v>10</v>
      </c>
      <c r="E1185" t="s">
        <v>10</v>
      </c>
      <c r="F1185" s="7">
        <v>45458</v>
      </c>
      <c r="G1185" s="1">
        <v>45292</v>
      </c>
      <c r="H1185" s="14">
        <v>9987.7000000000007</v>
      </c>
      <c r="I1185">
        <v>2584708</v>
      </c>
      <c r="J1185" t="s">
        <v>88</v>
      </c>
      <c r="K1185" t="s">
        <v>96</v>
      </c>
      <c r="L1185" s="16" t="s">
        <v>10</v>
      </c>
    </row>
    <row r="1186" spans="1:12" x14ac:dyDescent="0.35">
      <c r="A1186" t="s">
        <v>8</v>
      </c>
      <c r="B1186" t="s">
        <v>99</v>
      </c>
      <c r="C1186" t="s">
        <v>93</v>
      </c>
      <c r="D1186" t="s">
        <v>10</v>
      </c>
      <c r="E1186" t="s">
        <v>10</v>
      </c>
      <c r="F1186" s="7">
        <v>45458</v>
      </c>
      <c r="G1186" s="1">
        <v>45292</v>
      </c>
      <c r="H1186" s="14">
        <v>4872.1052</v>
      </c>
      <c r="I1186">
        <v>400325</v>
      </c>
      <c r="J1186" t="s">
        <v>88</v>
      </c>
      <c r="K1186" t="s">
        <v>94</v>
      </c>
      <c r="L1186" s="16" t="s">
        <v>10</v>
      </c>
    </row>
    <row r="1187" spans="1:12" x14ac:dyDescent="0.35">
      <c r="A1187" t="s">
        <v>8</v>
      </c>
      <c r="B1187" t="s">
        <v>99</v>
      </c>
      <c r="C1187" t="s">
        <v>95</v>
      </c>
      <c r="D1187" t="s">
        <v>10</v>
      </c>
      <c r="E1187" t="s">
        <v>10</v>
      </c>
      <c r="F1187" s="7">
        <v>45458</v>
      </c>
      <c r="G1187" s="1">
        <v>45292</v>
      </c>
      <c r="H1187" s="14">
        <v>12008.620000000004</v>
      </c>
      <c r="I1187">
        <v>2352520</v>
      </c>
      <c r="J1187" t="s">
        <v>88</v>
      </c>
      <c r="K1187" t="s">
        <v>96</v>
      </c>
      <c r="L1187" s="16" t="s">
        <v>10</v>
      </c>
    </row>
    <row r="1188" spans="1:12" x14ac:dyDescent="0.35">
      <c r="A1188" t="s">
        <v>8</v>
      </c>
      <c r="B1188" t="s">
        <v>100</v>
      </c>
      <c r="C1188" t="s">
        <v>93</v>
      </c>
      <c r="D1188" t="s">
        <v>10</v>
      </c>
      <c r="E1188" t="s">
        <v>10</v>
      </c>
      <c r="F1188" s="7">
        <v>45458</v>
      </c>
      <c r="G1188" s="1">
        <v>45292</v>
      </c>
      <c r="H1188" s="14">
        <v>5133.7747999999974</v>
      </c>
      <c r="I1188">
        <v>1397267</v>
      </c>
      <c r="J1188" t="s">
        <v>88</v>
      </c>
      <c r="K1188" t="s">
        <v>94</v>
      </c>
      <c r="L1188" s="16" t="s">
        <v>10</v>
      </c>
    </row>
    <row r="1189" spans="1:12" x14ac:dyDescent="0.35">
      <c r="A1189" t="s">
        <v>8</v>
      </c>
      <c r="B1189" t="s">
        <v>100</v>
      </c>
      <c r="C1189" t="s">
        <v>95</v>
      </c>
      <c r="D1189" t="s">
        <v>10</v>
      </c>
      <c r="E1189" t="s">
        <v>10</v>
      </c>
      <c r="F1189" s="7">
        <v>45458</v>
      </c>
      <c r="G1189" s="1">
        <v>45292</v>
      </c>
      <c r="H1189" s="14">
        <v>6025.04</v>
      </c>
      <c r="I1189">
        <v>1460313</v>
      </c>
      <c r="J1189" t="s">
        <v>88</v>
      </c>
      <c r="K1189" t="s">
        <v>96</v>
      </c>
      <c r="L1189" s="16" t="s">
        <v>10</v>
      </c>
    </row>
    <row r="1190" spans="1:12" x14ac:dyDescent="0.35">
      <c r="A1190" t="s">
        <v>8</v>
      </c>
      <c r="B1190" t="s">
        <v>21</v>
      </c>
      <c r="C1190" t="s">
        <v>93</v>
      </c>
      <c r="D1190" t="s">
        <v>10</v>
      </c>
      <c r="E1190" t="s">
        <v>10</v>
      </c>
      <c r="F1190" s="7">
        <v>45458</v>
      </c>
      <c r="G1190" s="1">
        <v>45292</v>
      </c>
      <c r="H1190" s="14">
        <v>3298.7966000000001</v>
      </c>
      <c r="I1190">
        <v>1170804</v>
      </c>
      <c r="J1190" t="s">
        <v>88</v>
      </c>
      <c r="K1190" t="s">
        <v>94</v>
      </c>
      <c r="L1190" s="16" t="s">
        <v>10</v>
      </c>
    </row>
    <row r="1191" spans="1:12" x14ac:dyDescent="0.35">
      <c r="A1191" t="s">
        <v>8</v>
      </c>
      <c r="B1191" t="s">
        <v>21</v>
      </c>
      <c r="C1191" t="s">
        <v>97</v>
      </c>
      <c r="D1191" t="s">
        <v>10</v>
      </c>
      <c r="E1191" t="s">
        <v>10</v>
      </c>
      <c r="F1191" s="7">
        <v>45458</v>
      </c>
      <c r="G1191" s="1">
        <v>45292</v>
      </c>
      <c r="H1191" s="14">
        <v>1145.9955</v>
      </c>
      <c r="I1191">
        <v>134823</v>
      </c>
      <c r="J1191" t="s">
        <v>88</v>
      </c>
      <c r="K1191" t="s">
        <v>98</v>
      </c>
      <c r="L1191" s="16" t="s">
        <v>10</v>
      </c>
    </row>
    <row r="1192" spans="1:12" x14ac:dyDescent="0.35">
      <c r="A1192" t="s">
        <v>8</v>
      </c>
      <c r="B1192" t="s">
        <v>21</v>
      </c>
      <c r="C1192" t="s">
        <v>95</v>
      </c>
      <c r="D1192" t="s">
        <v>10</v>
      </c>
      <c r="E1192" t="s">
        <v>10</v>
      </c>
      <c r="F1192" s="7">
        <v>45458</v>
      </c>
      <c r="G1192" s="1">
        <v>45292</v>
      </c>
      <c r="H1192" s="14">
        <v>5112.46</v>
      </c>
      <c r="I1192">
        <v>905616</v>
      </c>
      <c r="J1192" t="s">
        <v>88</v>
      </c>
      <c r="K1192" t="s">
        <v>96</v>
      </c>
      <c r="L1192" s="16" t="s">
        <v>10</v>
      </c>
    </row>
    <row r="1193" spans="1:12" x14ac:dyDescent="0.35">
      <c r="A1193" t="s">
        <v>8</v>
      </c>
      <c r="B1193" t="s">
        <v>101</v>
      </c>
      <c r="C1193" t="s">
        <v>93</v>
      </c>
      <c r="D1193" t="s">
        <v>10</v>
      </c>
      <c r="E1193" t="s">
        <v>10</v>
      </c>
      <c r="F1193" s="7">
        <v>45458</v>
      </c>
      <c r="G1193" s="1">
        <v>45292</v>
      </c>
      <c r="H1193" s="14">
        <v>2781.3281999999986</v>
      </c>
      <c r="I1193">
        <v>871949</v>
      </c>
      <c r="J1193" t="s">
        <v>88</v>
      </c>
      <c r="K1193" t="s">
        <v>94</v>
      </c>
      <c r="L1193" s="16" t="s">
        <v>10</v>
      </c>
    </row>
    <row r="1194" spans="1:12" x14ac:dyDescent="0.35">
      <c r="A1194" t="s">
        <v>8</v>
      </c>
      <c r="B1194" t="s">
        <v>101</v>
      </c>
      <c r="C1194" t="s">
        <v>95</v>
      </c>
      <c r="D1194" t="s">
        <v>10</v>
      </c>
      <c r="E1194" t="s">
        <v>10</v>
      </c>
      <c r="F1194" s="7">
        <v>45458</v>
      </c>
      <c r="G1194" s="1">
        <v>45292</v>
      </c>
      <c r="H1194" s="14">
        <v>3285.2799999999997</v>
      </c>
      <c r="I1194">
        <v>741637</v>
      </c>
      <c r="J1194" t="s">
        <v>88</v>
      </c>
      <c r="K1194" t="s">
        <v>96</v>
      </c>
      <c r="L1194" s="16" t="s">
        <v>10</v>
      </c>
    </row>
    <row r="1195" spans="1:12" x14ac:dyDescent="0.35">
      <c r="A1195" t="s">
        <v>8</v>
      </c>
      <c r="B1195" t="s">
        <v>102</v>
      </c>
      <c r="C1195" t="s">
        <v>95</v>
      </c>
      <c r="D1195" t="s">
        <v>10</v>
      </c>
      <c r="E1195" t="s">
        <v>10</v>
      </c>
      <c r="F1195" s="7">
        <v>45458</v>
      </c>
      <c r="G1195" s="1">
        <v>45292</v>
      </c>
      <c r="H1195" s="14">
        <v>0.37</v>
      </c>
      <c r="I1195">
        <v>428</v>
      </c>
      <c r="J1195" t="s">
        <v>88</v>
      </c>
      <c r="K1195" t="s">
        <v>96</v>
      </c>
      <c r="L1195" s="16" t="s">
        <v>10</v>
      </c>
    </row>
    <row r="1196" spans="1:12" x14ac:dyDescent="0.35">
      <c r="A1196" t="s">
        <v>8</v>
      </c>
      <c r="B1196" t="s">
        <v>103</v>
      </c>
      <c r="C1196" t="s">
        <v>95</v>
      </c>
      <c r="D1196" t="s">
        <v>104</v>
      </c>
      <c r="E1196" t="s">
        <v>8</v>
      </c>
      <c r="F1196" s="7">
        <v>45458</v>
      </c>
      <c r="G1196" s="1">
        <v>45292</v>
      </c>
      <c r="H1196" s="14">
        <v>90.35</v>
      </c>
      <c r="I1196">
        <v>420</v>
      </c>
      <c r="J1196" t="s">
        <v>88</v>
      </c>
      <c r="K1196" t="s">
        <v>105</v>
      </c>
      <c r="L1196" s="16" t="s">
        <v>95</v>
      </c>
    </row>
    <row r="1197" spans="1:12" x14ac:dyDescent="0.35">
      <c r="A1197" t="s">
        <v>8</v>
      </c>
      <c r="B1197" t="s">
        <v>16</v>
      </c>
      <c r="C1197" t="s">
        <v>95</v>
      </c>
      <c r="D1197" t="s">
        <v>104</v>
      </c>
      <c r="E1197" t="s">
        <v>8</v>
      </c>
      <c r="F1197" s="7">
        <v>45458</v>
      </c>
      <c r="G1197" s="1">
        <v>45292</v>
      </c>
      <c r="H1197" s="14">
        <v>22.130000000000003</v>
      </c>
      <c r="I1197">
        <v>120</v>
      </c>
      <c r="J1197" t="s">
        <v>88</v>
      </c>
      <c r="K1197" t="s">
        <v>105</v>
      </c>
      <c r="L1197" s="16" t="s">
        <v>95</v>
      </c>
    </row>
    <row r="1198" spans="1:12" x14ac:dyDescent="0.35">
      <c r="A1198" t="s">
        <v>8</v>
      </c>
      <c r="B1198" t="s">
        <v>84</v>
      </c>
      <c r="C1198" t="s">
        <v>95</v>
      </c>
      <c r="D1198" t="s">
        <v>104</v>
      </c>
      <c r="E1198" t="s">
        <v>8</v>
      </c>
      <c r="F1198" s="7">
        <v>45458</v>
      </c>
      <c r="G1198" s="1">
        <v>45292</v>
      </c>
      <c r="H1198" s="14">
        <v>7170.3243610000036</v>
      </c>
      <c r="I1198">
        <v>28180</v>
      </c>
      <c r="J1198" t="s">
        <v>88</v>
      </c>
      <c r="K1198" t="s">
        <v>105</v>
      </c>
      <c r="L1198" s="16" t="s">
        <v>95</v>
      </c>
    </row>
    <row r="1199" spans="1:12" x14ac:dyDescent="0.35">
      <c r="A1199" t="s">
        <v>8</v>
      </c>
      <c r="B1199" t="s">
        <v>17</v>
      </c>
      <c r="C1199" t="s">
        <v>95</v>
      </c>
      <c r="D1199" t="s">
        <v>104</v>
      </c>
      <c r="E1199" t="s">
        <v>8</v>
      </c>
      <c r="F1199" s="7">
        <v>45458</v>
      </c>
      <c r="G1199" s="1">
        <v>45292</v>
      </c>
      <c r="H1199" s="14">
        <v>106.74</v>
      </c>
      <c r="I1199">
        <v>981</v>
      </c>
      <c r="J1199" t="s">
        <v>88</v>
      </c>
      <c r="K1199" t="s">
        <v>105</v>
      </c>
      <c r="L1199" s="16" t="s">
        <v>95</v>
      </c>
    </row>
    <row r="1200" spans="1:12" x14ac:dyDescent="0.35">
      <c r="A1200" t="s">
        <v>8</v>
      </c>
      <c r="B1200" t="s">
        <v>106</v>
      </c>
      <c r="C1200" t="s">
        <v>95</v>
      </c>
      <c r="D1200" t="s">
        <v>104</v>
      </c>
      <c r="E1200" t="s">
        <v>8</v>
      </c>
      <c r="F1200" s="7">
        <v>45458</v>
      </c>
      <c r="G1200" s="1">
        <v>45292</v>
      </c>
      <c r="H1200" s="14">
        <v>209.37258299999999</v>
      </c>
      <c r="I1200">
        <v>472</v>
      </c>
      <c r="J1200" t="s">
        <v>88</v>
      </c>
      <c r="K1200" t="s">
        <v>105</v>
      </c>
      <c r="L1200" s="16" t="s">
        <v>95</v>
      </c>
    </row>
    <row r="1201" spans="1:12" x14ac:dyDescent="0.35">
      <c r="A1201" t="s">
        <v>8</v>
      </c>
      <c r="B1201" t="s">
        <v>92</v>
      </c>
      <c r="C1201" t="s">
        <v>95</v>
      </c>
      <c r="D1201" t="s">
        <v>104</v>
      </c>
      <c r="E1201" t="s">
        <v>8</v>
      </c>
      <c r="F1201" s="7">
        <v>45458</v>
      </c>
      <c r="G1201" s="1">
        <v>45292</v>
      </c>
      <c r="H1201" s="14">
        <v>342.05000000000007</v>
      </c>
      <c r="I1201">
        <v>2338</v>
      </c>
      <c r="J1201" t="s">
        <v>88</v>
      </c>
      <c r="K1201" t="s">
        <v>105</v>
      </c>
      <c r="L1201" s="16" t="s">
        <v>95</v>
      </c>
    </row>
    <row r="1202" spans="1:12" x14ac:dyDescent="0.35">
      <c r="A1202" t="s">
        <v>8</v>
      </c>
      <c r="B1202" t="s">
        <v>21</v>
      </c>
      <c r="C1202" t="s">
        <v>95</v>
      </c>
      <c r="D1202" t="s">
        <v>104</v>
      </c>
      <c r="E1202" t="s">
        <v>8</v>
      </c>
      <c r="F1202" s="7">
        <v>45458</v>
      </c>
      <c r="G1202" s="1">
        <v>45292</v>
      </c>
      <c r="H1202" s="14">
        <v>222.14933900000003</v>
      </c>
      <c r="I1202">
        <v>1811</v>
      </c>
      <c r="J1202" t="s">
        <v>88</v>
      </c>
      <c r="K1202" t="s">
        <v>105</v>
      </c>
      <c r="L1202" s="16" t="s">
        <v>95</v>
      </c>
    </row>
    <row r="1203" spans="1:12" x14ac:dyDescent="0.35">
      <c r="A1203" t="s">
        <v>8</v>
      </c>
      <c r="B1203" t="s">
        <v>101</v>
      </c>
      <c r="C1203" t="s">
        <v>95</v>
      </c>
      <c r="D1203" t="s">
        <v>104</v>
      </c>
      <c r="E1203" t="s">
        <v>8</v>
      </c>
      <c r="F1203" s="7">
        <v>45458</v>
      </c>
      <c r="G1203" s="1">
        <v>45292</v>
      </c>
      <c r="H1203" s="14">
        <v>94.82</v>
      </c>
      <c r="I1203">
        <v>587</v>
      </c>
      <c r="J1203" t="s">
        <v>88</v>
      </c>
      <c r="K1203" t="s">
        <v>105</v>
      </c>
      <c r="L1203" s="16" t="s">
        <v>95</v>
      </c>
    </row>
    <row r="1204" spans="1:12" x14ac:dyDescent="0.35">
      <c r="A1204" t="s">
        <v>8</v>
      </c>
      <c r="B1204" t="s">
        <v>99</v>
      </c>
      <c r="C1204" t="s">
        <v>95</v>
      </c>
      <c r="D1204" t="s">
        <v>104</v>
      </c>
      <c r="E1204" t="s">
        <v>8</v>
      </c>
      <c r="F1204" s="7">
        <v>45458</v>
      </c>
      <c r="G1204" s="1">
        <v>45292</v>
      </c>
      <c r="H1204" s="14">
        <v>80.709999999999994</v>
      </c>
      <c r="I1204">
        <v>465</v>
      </c>
      <c r="J1204" t="s">
        <v>88</v>
      </c>
      <c r="K1204" t="s">
        <v>105</v>
      </c>
      <c r="L1204" s="16" t="s">
        <v>95</v>
      </c>
    </row>
    <row r="1205" spans="1:12" x14ac:dyDescent="0.35">
      <c r="A1205" t="s">
        <v>8</v>
      </c>
      <c r="B1205" t="s">
        <v>102</v>
      </c>
      <c r="C1205" t="s">
        <v>95</v>
      </c>
      <c r="D1205" t="s">
        <v>104</v>
      </c>
      <c r="E1205" t="s">
        <v>8</v>
      </c>
      <c r="F1205" s="7">
        <v>45458</v>
      </c>
      <c r="G1205" s="1">
        <v>45292</v>
      </c>
      <c r="H1205" s="14">
        <v>95.86999999999999</v>
      </c>
      <c r="I1205">
        <v>657</v>
      </c>
      <c r="J1205" t="s">
        <v>88</v>
      </c>
      <c r="K1205" t="s">
        <v>105</v>
      </c>
      <c r="L1205" s="16" t="s">
        <v>95</v>
      </c>
    </row>
    <row r="1206" spans="1:12" x14ac:dyDescent="0.35">
      <c r="A1206" t="s">
        <v>8</v>
      </c>
      <c r="B1206" t="s">
        <v>100</v>
      </c>
      <c r="C1206" t="s">
        <v>95</v>
      </c>
      <c r="D1206" t="s">
        <v>104</v>
      </c>
      <c r="E1206" t="s">
        <v>8</v>
      </c>
      <c r="F1206" s="7">
        <v>45458</v>
      </c>
      <c r="G1206" s="1">
        <v>45292</v>
      </c>
      <c r="H1206" s="14">
        <v>119.698694</v>
      </c>
      <c r="I1206">
        <v>836</v>
      </c>
      <c r="J1206" t="s">
        <v>88</v>
      </c>
      <c r="K1206" t="s">
        <v>105</v>
      </c>
      <c r="L1206" s="16" t="s">
        <v>95</v>
      </c>
    </row>
    <row r="1207" spans="1:12" x14ac:dyDescent="0.35">
      <c r="A1207" t="s">
        <v>8</v>
      </c>
      <c r="B1207" t="s">
        <v>92</v>
      </c>
      <c r="C1207" t="s">
        <v>93</v>
      </c>
      <c r="D1207" t="s">
        <v>10</v>
      </c>
      <c r="E1207" t="s">
        <v>10</v>
      </c>
      <c r="F1207" s="7">
        <v>45465</v>
      </c>
      <c r="G1207" s="1">
        <v>45292</v>
      </c>
      <c r="H1207" s="14">
        <v>7773.7899000000043</v>
      </c>
      <c r="I1207">
        <v>1838849</v>
      </c>
      <c r="J1207" t="s">
        <v>88</v>
      </c>
      <c r="K1207" t="s">
        <v>94</v>
      </c>
      <c r="L1207" s="16" t="s">
        <v>10</v>
      </c>
    </row>
    <row r="1208" spans="1:12" x14ac:dyDescent="0.35">
      <c r="A1208" t="s">
        <v>8</v>
      </c>
      <c r="B1208" t="s">
        <v>92</v>
      </c>
      <c r="C1208" t="s">
        <v>95</v>
      </c>
      <c r="D1208" t="s">
        <v>10</v>
      </c>
      <c r="E1208" t="s">
        <v>10</v>
      </c>
      <c r="F1208" s="7">
        <v>45465</v>
      </c>
      <c r="G1208" s="1">
        <v>45292</v>
      </c>
      <c r="H1208" s="14">
        <v>9306.75</v>
      </c>
      <c r="I1208">
        <v>1055038</v>
      </c>
      <c r="J1208" t="s">
        <v>88</v>
      </c>
      <c r="K1208" t="s">
        <v>96</v>
      </c>
      <c r="L1208" s="16" t="s">
        <v>10</v>
      </c>
    </row>
    <row r="1209" spans="1:12" x14ac:dyDescent="0.35">
      <c r="A1209" t="s">
        <v>8</v>
      </c>
      <c r="B1209" t="s">
        <v>84</v>
      </c>
      <c r="C1209" t="s">
        <v>93</v>
      </c>
      <c r="D1209" t="s">
        <v>10</v>
      </c>
      <c r="E1209" t="s">
        <v>10</v>
      </c>
      <c r="F1209" s="7">
        <v>45465</v>
      </c>
      <c r="G1209" s="1">
        <v>45292</v>
      </c>
      <c r="H1209" s="14">
        <v>16734.409200000002</v>
      </c>
      <c r="I1209">
        <v>4310264</v>
      </c>
      <c r="J1209" t="s">
        <v>88</v>
      </c>
      <c r="K1209" t="s">
        <v>94</v>
      </c>
      <c r="L1209" s="16" t="s">
        <v>10</v>
      </c>
    </row>
    <row r="1210" spans="1:12" x14ac:dyDescent="0.35">
      <c r="A1210" t="s">
        <v>8</v>
      </c>
      <c r="B1210" t="s">
        <v>84</v>
      </c>
      <c r="C1210" t="s">
        <v>97</v>
      </c>
      <c r="D1210" t="s">
        <v>10</v>
      </c>
      <c r="E1210" t="s">
        <v>10</v>
      </c>
      <c r="F1210" s="7">
        <v>45465</v>
      </c>
      <c r="G1210" s="1">
        <v>45292</v>
      </c>
      <c r="H1210" s="14">
        <v>1784.9059999999999</v>
      </c>
      <c r="I1210">
        <v>585831</v>
      </c>
      <c r="J1210" t="s">
        <v>88</v>
      </c>
      <c r="K1210" t="s">
        <v>98</v>
      </c>
      <c r="L1210" s="16" t="s">
        <v>10</v>
      </c>
    </row>
    <row r="1211" spans="1:12" x14ac:dyDescent="0.35">
      <c r="A1211" t="s">
        <v>8</v>
      </c>
      <c r="B1211" t="s">
        <v>84</v>
      </c>
      <c r="C1211" t="s">
        <v>95</v>
      </c>
      <c r="D1211" t="s">
        <v>10</v>
      </c>
      <c r="E1211" t="s">
        <v>10</v>
      </c>
      <c r="F1211" s="7">
        <v>45465</v>
      </c>
      <c r="G1211" s="1">
        <v>45292</v>
      </c>
      <c r="H1211" s="14">
        <v>9450.9</v>
      </c>
      <c r="I1211">
        <v>1495320</v>
      </c>
      <c r="J1211" t="s">
        <v>88</v>
      </c>
      <c r="K1211" t="s">
        <v>96</v>
      </c>
      <c r="L1211" s="16" t="s">
        <v>10</v>
      </c>
    </row>
    <row r="1212" spans="1:12" x14ac:dyDescent="0.35">
      <c r="A1212" t="s">
        <v>8</v>
      </c>
      <c r="B1212" t="s">
        <v>17</v>
      </c>
      <c r="C1212" t="s">
        <v>93</v>
      </c>
      <c r="D1212" t="s">
        <v>10</v>
      </c>
      <c r="E1212" t="s">
        <v>10</v>
      </c>
      <c r="F1212" s="7">
        <v>45465</v>
      </c>
      <c r="G1212" s="1">
        <v>45292</v>
      </c>
      <c r="H1212" s="14">
        <v>14335.960600000008</v>
      </c>
      <c r="I1212">
        <v>3005367</v>
      </c>
      <c r="J1212" t="s">
        <v>88</v>
      </c>
      <c r="K1212" t="s">
        <v>94</v>
      </c>
      <c r="L1212" s="16" t="s">
        <v>10</v>
      </c>
    </row>
    <row r="1213" spans="1:12" x14ac:dyDescent="0.35">
      <c r="A1213" t="s">
        <v>8</v>
      </c>
      <c r="B1213" t="s">
        <v>17</v>
      </c>
      <c r="C1213" t="s">
        <v>95</v>
      </c>
      <c r="D1213" t="s">
        <v>10</v>
      </c>
      <c r="E1213" t="s">
        <v>10</v>
      </c>
      <c r="F1213" s="7">
        <v>45465</v>
      </c>
      <c r="G1213" s="1">
        <v>45292</v>
      </c>
      <c r="H1213" s="14">
        <v>11078.639999999996</v>
      </c>
      <c r="I1213">
        <v>2790583</v>
      </c>
      <c r="J1213" t="s">
        <v>88</v>
      </c>
      <c r="K1213" t="s">
        <v>96</v>
      </c>
      <c r="L1213" s="16" t="s">
        <v>10</v>
      </c>
    </row>
    <row r="1214" spans="1:12" x14ac:dyDescent="0.35">
      <c r="A1214" t="s">
        <v>8</v>
      </c>
      <c r="B1214" t="s">
        <v>99</v>
      </c>
      <c r="C1214" t="s">
        <v>93</v>
      </c>
      <c r="D1214" t="s">
        <v>10</v>
      </c>
      <c r="E1214" t="s">
        <v>10</v>
      </c>
      <c r="F1214" s="7">
        <v>45465</v>
      </c>
      <c r="G1214" s="1">
        <v>45292</v>
      </c>
      <c r="H1214" s="14">
        <v>4945.9644000000017</v>
      </c>
      <c r="I1214">
        <v>378190</v>
      </c>
      <c r="J1214" t="s">
        <v>88</v>
      </c>
      <c r="K1214" t="s">
        <v>94</v>
      </c>
      <c r="L1214" s="16" t="s">
        <v>10</v>
      </c>
    </row>
    <row r="1215" spans="1:12" x14ac:dyDescent="0.35">
      <c r="A1215" t="s">
        <v>8</v>
      </c>
      <c r="B1215" t="s">
        <v>99</v>
      </c>
      <c r="C1215" t="s">
        <v>95</v>
      </c>
      <c r="D1215" t="s">
        <v>10</v>
      </c>
      <c r="E1215" t="s">
        <v>10</v>
      </c>
      <c r="F1215" s="7">
        <v>45465</v>
      </c>
      <c r="G1215" s="1">
        <v>45292</v>
      </c>
      <c r="H1215" s="14">
        <v>13801.55</v>
      </c>
      <c r="I1215">
        <v>2467356</v>
      </c>
      <c r="J1215" t="s">
        <v>88</v>
      </c>
      <c r="K1215" t="s">
        <v>96</v>
      </c>
      <c r="L1215" s="16" t="s">
        <v>10</v>
      </c>
    </row>
    <row r="1216" spans="1:12" x14ac:dyDescent="0.35">
      <c r="A1216" t="s">
        <v>8</v>
      </c>
      <c r="B1216" t="s">
        <v>100</v>
      </c>
      <c r="C1216" t="s">
        <v>93</v>
      </c>
      <c r="D1216" t="s">
        <v>10</v>
      </c>
      <c r="E1216" t="s">
        <v>10</v>
      </c>
      <c r="F1216" s="7">
        <v>45465</v>
      </c>
      <c r="G1216" s="1">
        <v>45292</v>
      </c>
      <c r="H1216" s="14">
        <v>5288.122800000001</v>
      </c>
      <c r="I1216">
        <v>993546</v>
      </c>
      <c r="J1216" t="s">
        <v>88</v>
      </c>
      <c r="K1216" t="s">
        <v>94</v>
      </c>
      <c r="L1216" s="16" t="s">
        <v>10</v>
      </c>
    </row>
    <row r="1217" spans="1:12" x14ac:dyDescent="0.35">
      <c r="A1217" t="s">
        <v>8</v>
      </c>
      <c r="B1217" t="s">
        <v>100</v>
      </c>
      <c r="C1217" t="s">
        <v>95</v>
      </c>
      <c r="D1217" t="s">
        <v>10</v>
      </c>
      <c r="E1217" t="s">
        <v>10</v>
      </c>
      <c r="F1217" s="7">
        <v>45465</v>
      </c>
      <c r="G1217" s="1">
        <v>45292</v>
      </c>
      <c r="H1217" s="14">
        <v>6784.2300000000032</v>
      </c>
      <c r="I1217">
        <v>1470743</v>
      </c>
      <c r="J1217" t="s">
        <v>88</v>
      </c>
      <c r="K1217" t="s">
        <v>96</v>
      </c>
      <c r="L1217" s="16" t="s">
        <v>10</v>
      </c>
    </row>
    <row r="1218" spans="1:12" x14ac:dyDescent="0.35">
      <c r="A1218" t="s">
        <v>8</v>
      </c>
      <c r="B1218" t="s">
        <v>21</v>
      </c>
      <c r="C1218" t="s">
        <v>93</v>
      </c>
      <c r="D1218" t="s">
        <v>10</v>
      </c>
      <c r="E1218" t="s">
        <v>10</v>
      </c>
      <c r="F1218" s="7">
        <v>45465</v>
      </c>
      <c r="G1218" s="1">
        <v>45292</v>
      </c>
      <c r="H1218" s="14">
        <v>3829.0717000000009</v>
      </c>
      <c r="I1218">
        <v>1238798</v>
      </c>
      <c r="J1218" t="s">
        <v>88</v>
      </c>
      <c r="K1218" t="s">
        <v>94</v>
      </c>
      <c r="L1218" s="16" t="s">
        <v>10</v>
      </c>
    </row>
    <row r="1219" spans="1:12" x14ac:dyDescent="0.35">
      <c r="A1219" t="s">
        <v>8</v>
      </c>
      <c r="B1219" t="s">
        <v>21</v>
      </c>
      <c r="C1219" t="s">
        <v>97</v>
      </c>
      <c r="D1219" t="s">
        <v>10</v>
      </c>
      <c r="E1219" t="s">
        <v>10</v>
      </c>
      <c r="F1219" s="7">
        <v>45465</v>
      </c>
      <c r="G1219" s="1">
        <v>45292</v>
      </c>
      <c r="H1219" s="14">
        <v>9252.5305000000008</v>
      </c>
      <c r="I1219">
        <v>1088533</v>
      </c>
      <c r="J1219" t="s">
        <v>88</v>
      </c>
      <c r="K1219" t="s">
        <v>98</v>
      </c>
      <c r="L1219" s="16" t="s">
        <v>10</v>
      </c>
    </row>
    <row r="1220" spans="1:12" x14ac:dyDescent="0.35">
      <c r="A1220" t="s">
        <v>8</v>
      </c>
      <c r="B1220" t="s">
        <v>21</v>
      </c>
      <c r="C1220" t="s">
        <v>95</v>
      </c>
      <c r="D1220" t="s">
        <v>10</v>
      </c>
      <c r="E1220" t="s">
        <v>10</v>
      </c>
      <c r="F1220" s="7">
        <v>45465</v>
      </c>
      <c r="G1220" s="1">
        <v>45292</v>
      </c>
      <c r="H1220" s="14">
        <v>7463.21</v>
      </c>
      <c r="I1220">
        <v>893473</v>
      </c>
      <c r="J1220" t="s">
        <v>88</v>
      </c>
      <c r="K1220" t="s">
        <v>96</v>
      </c>
      <c r="L1220" s="16" t="s">
        <v>10</v>
      </c>
    </row>
    <row r="1221" spans="1:12" x14ac:dyDescent="0.35">
      <c r="A1221" t="s">
        <v>8</v>
      </c>
      <c r="B1221" t="s">
        <v>101</v>
      </c>
      <c r="C1221" t="s">
        <v>93</v>
      </c>
      <c r="D1221" t="s">
        <v>10</v>
      </c>
      <c r="E1221" t="s">
        <v>10</v>
      </c>
      <c r="F1221" s="7">
        <v>45465</v>
      </c>
      <c r="G1221" s="1">
        <v>45292</v>
      </c>
      <c r="H1221" s="14">
        <v>2760.5767000000014</v>
      </c>
      <c r="I1221">
        <v>768774</v>
      </c>
      <c r="J1221" t="s">
        <v>88</v>
      </c>
      <c r="K1221" t="s">
        <v>94</v>
      </c>
      <c r="L1221" s="16" t="s">
        <v>10</v>
      </c>
    </row>
    <row r="1222" spans="1:12" x14ac:dyDescent="0.35">
      <c r="A1222" t="s">
        <v>8</v>
      </c>
      <c r="B1222" t="s">
        <v>101</v>
      </c>
      <c r="C1222" t="s">
        <v>95</v>
      </c>
      <c r="D1222" t="s">
        <v>10</v>
      </c>
      <c r="E1222" t="s">
        <v>10</v>
      </c>
      <c r="F1222" s="7">
        <v>45465</v>
      </c>
      <c r="G1222" s="1">
        <v>45292</v>
      </c>
      <c r="H1222" s="14">
        <v>3462.05</v>
      </c>
      <c r="I1222">
        <v>612956</v>
      </c>
      <c r="J1222" t="s">
        <v>88</v>
      </c>
      <c r="K1222" t="s">
        <v>96</v>
      </c>
      <c r="L1222" s="16" t="s">
        <v>10</v>
      </c>
    </row>
    <row r="1223" spans="1:12" x14ac:dyDescent="0.35">
      <c r="A1223" t="s">
        <v>8</v>
      </c>
      <c r="B1223" t="s">
        <v>103</v>
      </c>
      <c r="C1223" t="s">
        <v>95</v>
      </c>
      <c r="D1223" t="s">
        <v>104</v>
      </c>
      <c r="E1223" t="s">
        <v>8</v>
      </c>
      <c r="F1223" s="7">
        <v>45465</v>
      </c>
      <c r="G1223" s="1">
        <v>45292</v>
      </c>
      <c r="H1223" s="14">
        <v>83.34</v>
      </c>
      <c r="I1223">
        <v>437</v>
      </c>
      <c r="J1223" t="s">
        <v>88</v>
      </c>
      <c r="K1223" t="s">
        <v>105</v>
      </c>
      <c r="L1223" s="16" t="s">
        <v>95</v>
      </c>
    </row>
    <row r="1224" spans="1:12" x14ac:dyDescent="0.35">
      <c r="A1224" t="s">
        <v>8</v>
      </c>
      <c r="B1224" t="s">
        <v>16</v>
      </c>
      <c r="C1224" t="s">
        <v>95</v>
      </c>
      <c r="D1224" t="s">
        <v>104</v>
      </c>
      <c r="E1224" t="s">
        <v>8</v>
      </c>
      <c r="F1224" s="7">
        <v>45465</v>
      </c>
      <c r="G1224" s="1">
        <v>45292</v>
      </c>
      <c r="H1224" s="14">
        <v>43.59</v>
      </c>
      <c r="I1224">
        <v>221</v>
      </c>
      <c r="J1224" t="s">
        <v>88</v>
      </c>
      <c r="K1224" t="s">
        <v>105</v>
      </c>
      <c r="L1224" s="16" t="s">
        <v>95</v>
      </c>
    </row>
    <row r="1225" spans="1:12" x14ac:dyDescent="0.35">
      <c r="A1225" t="s">
        <v>8</v>
      </c>
      <c r="B1225" t="s">
        <v>84</v>
      </c>
      <c r="C1225" t="s">
        <v>95</v>
      </c>
      <c r="D1225" t="s">
        <v>104</v>
      </c>
      <c r="E1225" t="s">
        <v>8</v>
      </c>
      <c r="F1225" s="7">
        <v>45465</v>
      </c>
      <c r="G1225" s="1">
        <v>45292</v>
      </c>
      <c r="H1225" s="14">
        <v>7559.404070999999</v>
      </c>
      <c r="I1225">
        <v>30597</v>
      </c>
      <c r="J1225" t="s">
        <v>88</v>
      </c>
      <c r="K1225" t="s">
        <v>105</v>
      </c>
      <c r="L1225" s="16" t="s">
        <v>95</v>
      </c>
    </row>
    <row r="1226" spans="1:12" x14ac:dyDescent="0.35">
      <c r="A1226" t="s">
        <v>8</v>
      </c>
      <c r="B1226" t="s">
        <v>17</v>
      </c>
      <c r="C1226" t="s">
        <v>95</v>
      </c>
      <c r="D1226" t="s">
        <v>104</v>
      </c>
      <c r="E1226" t="s">
        <v>8</v>
      </c>
      <c r="F1226" s="7">
        <v>45465</v>
      </c>
      <c r="G1226" s="1">
        <v>45292</v>
      </c>
      <c r="H1226" s="14">
        <v>136.72999999999999</v>
      </c>
      <c r="I1226">
        <v>996</v>
      </c>
      <c r="J1226" t="s">
        <v>88</v>
      </c>
      <c r="K1226" t="s">
        <v>105</v>
      </c>
      <c r="L1226" s="16" t="s">
        <v>95</v>
      </c>
    </row>
    <row r="1227" spans="1:12" x14ac:dyDescent="0.35">
      <c r="A1227" t="s">
        <v>8</v>
      </c>
      <c r="B1227" t="s">
        <v>106</v>
      </c>
      <c r="C1227" t="s">
        <v>95</v>
      </c>
      <c r="D1227" t="s">
        <v>104</v>
      </c>
      <c r="E1227" t="s">
        <v>8</v>
      </c>
      <c r="F1227" s="7">
        <v>45465</v>
      </c>
      <c r="G1227" s="1">
        <v>45292</v>
      </c>
      <c r="H1227" s="14">
        <v>155.60000000000002</v>
      </c>
      <c r="I1227">
        <v>280</v>
      </c>
      <c r="J1227" t="s">
        <v>88</v>
      </c>
      <c r="K1227" t="s">
        <v>105</v>
      </c>
      <c r="L1227" s="16" t="s">
        <v>95</v>
      </c>
    </row>
    <row r="1228" spans="1:12" x14ac:dyDescent="0.35">
      <c r="A1228" t="s">
        <v>8</v>
      </c>
      <c r="B1228" t="s">
        <v>92</v>
      </c>
      <c r="C1228" t="s">
        <v>95</v>
      </c>
      <c r="D1228" t="s">
        <v>104</v>
      </c>
      <c r="E1228" t="s">
        <v>8</v>
      </c>
      <c r="F1228" s="7">
        <v>45465</v>
      </c>
      <c r="G1228" s="1">
        <v>45292</v>
      </c>
      <c r="H1228" s="14">
        <v>401.50379299999997</v>
      </c>
      <c r="I1228">
        <v>2432</v>
      </c>
      <c r="J1228" t="s">
        <v>88</v>
      </c>
      <c r="K1228" t="s">
        <v>105</v>
      </c>
      <c r="L1228" s="16" t="s">
        <v>95</v>
      </c>
    </row>
    <row r="1229" spans="1:12" x14ac:dyDescent="0.35">
      <c r="A1229" t="s">
        <v>8</v>
      </c>
      <c r="B1229" t="s">
        <v>21</v>
      </c>
      <c r="C1229" t="s">
        <v>95</v>
      </c>
      <c r="D1229" t="s">
        <v>104</v>
      </c>
      <c r="E1229" t="s">
        <v>8</v>
      </c>
      <c r="F1229" s="7">
        <v>45465</v>
      </c>
      <c r="G1229" s="1">
        <v>45292</v>
      </c>
      <c r="H1229" s="14">
        <v>217.37</v>
      </c>
      <c r="I1229">
        <v>2053</v>
      </c>
      <c r="J1229" t="s">
        <v>88</v>
      </c>
      <c r="K1229" t="s">
        <v>105</v>
      </c>
      <c r="L1229" s="16" t="s">
        <v>95</v>
      </c>
    </row>
    <row r="1230" spans="1:12" x14ac:dyDescent="0.35">
      <c r="A1230" t="s">
        <v>8</v>
      </c>
      <c r="B1230" t="s">
        <v>101</v>
      </c>
      <c r="C1230" t="s">
        <v>95</v>
      </c>
      <c r="D1230" t="s">
        <v>104</v>
      </c>
      <c r="E1230" t="s">
        <v>8</v>
      </c>
      <c r="F1230" s="7">
        <v>45465</v>
      </c>
      <c r="G1230" s="1">
        <v>45292</v>
      </c>
      <c r="H1230" s="14">
        <v>100.22</v>
      </c>
      <c r="I1230">
        <v>571</v>
      </c>
      <c r="J1230" t="s">
        <v>88</v>
      </c>
      <c r="K1230" t="s">
        <v>105</v>
      </c>
      <c r="L1230" s="16" t="s">
        <v>95</v>
      </c>
    </row>
    <row r="1231" spans="1:12" x14ac:dyDescent="0.35">
      <c r="A1231" t="s">
        <v>8</v>
      </c>
      <c r="B1231" t="s">
        <v>99</v>
      </c>
      <c r="C1231" t="s">
        <v>95</v>
      </c>
      <c r="D1231" t="s">
        <v>104</v>
      </c>
      <c r="E1231" t="s">
        <v>8</v>
      </c>
      <c r="F1231" s="7">
        <v>45465</v>
      </c>
      <c r="G1231" s="1">
        <v>45292</v>
      </c>
      <c r="H1231" s="14">
        <v>76.8</v>
      </c>
      <c r="I1231">
        <v>471</v>
      </c>
      <c r="J1231" t="s">
        <v>88</v>
      </c>
      <c r="K1231" t="s">
        <v>105</v>
      </c>
      <c r="L1231" s="16" t="s">
        <v>95</v>
      </c>
    </row>
    <row r="1232" spans="1:12" x14ac:dyDescent="0.35">
      <c r="A1232" t="s">
        <v>8</v>
      </c>
      <c r="B1232" t="s">
        <v>102</v>
      </c>
      <c r="C1232" t="s">
        <v>95</v>
      </c>
      <c r="D1232" t="s">
        <v>104</v>
      </c>
      <c r="E1232" t="s">
        <v>8</v>
      </c>
      <c r="F1232" s="7">
        <v>45465</v>
      </c>
      <c r="G1232" s="1">
        <v>45292</v>
      </c>
      <c r="H1232" s="14">
        <v>139.34999999999997</v>
      </c>
      <c r="I1232">
        <v>719</v>
      </c>
      <c r="J1232" t="s">
        <v>88</v>
      </c>
      <c r="K1232" t="s">
        <v>105</v>
      </c>
      <c r="L1232" s="16" t="s">
        <v>95</v>
      </c>
    </row>
    <row r="1233" spans="1:12" x14ac:dyDescent="0.35">
      <c r="A1233" t="s">
        <v>8</v>
      </c>
      <c r="B1233" t="s">
        <v>100</v>
      </c>
      <c r="C1233" t="s">
        <v>95</v>
      </c>
      <c r="D1233" t="s">
        <v>104</v>
      </c>
      <c r="E1233" t="s">
        <v>8</v>
      </c>
      <c r="F1233" s="7">
        <v>45465</v>
      </c>
      <c r="G1233" s="1">
        <v>45292</v>
      </c>
      <c r="H1233" s="14">
        <v>196.89</v>
      </c>
      <c r="I1233">
        <v>1145</v>
      </c>
      <c r="J1233" t="s">
        <v>88</v>
      </c>
      <c r="K1233" t="s">
        <v>105</v>
      </c>
      <c r="L1233" s="16" t="s">
        <v>95</v>
      </c>
    </row>
    <row r="1234" spans="1:12" x14ac:dyDescent="0.35">
      <c r="A1234" t="s">
        <v>8</v>
      </c>
      <c r="B1234" t="s">
        <v>92</v>
      </c>
      <c r="C1234" t="s">
        <v>93</v>
      </c>
      <c r="D1234" t="s">
        <v>10</v>
      </c>
      <c r="E1234" t="s">
        <v>10</v>
      </c>
      <c r="F1234" s="7">
        <v>45472</v>
      </c>
      <c r="G1234" s="1">
        <v>45292</v>
      </c>
      <c r="H1234" s="14">
        <v>6970.948699999999</v>
      </c>
      <c r="I1234">
        <v>1389758</v>
      </c>
      <c r="J1234" t="s">
        <v>88</v>
      </c>
      <c r="K1234" t="s">
        <v>94</v>
      </c>
      <c r="L1234" s="16" t="s">
        <v>10</v>
      </c>
    </row>
    <row r="1235" spans="1:12" x14ac:dyDescent="0.35">
      <c r="A1235" t="s">
        <v>8</v>
      </c>
      <c r="B1235" t="s">
        <v>92</v>
      </c>
      <c r="C1235" t="s">
        <v>95</v>
      </c>
      <c r="D1235" t="s">
        <v>10</v>
      </c>
      <c r="E1235" t="s">
        <v>10</v>
      </c>
      <c r="F1235" s="7">
        <v>45472</v>
      </c>
      <c r="G1235" s="1">
        <v>45292</v>
      </c>
      <c r="H1235" s="14">
        <v>10691.380000000001</v>
      </c>
      <c r="I1235">
        <v>1645806</v>
      </c>
      <c r="J1235" t="s">
        <v>88</v>
      </c>
      <c r="K1235" t="s">
        <v>96</v>
      </c>
      <c r="L1235" s="16" t="s">
        <v>10</v>
      </c>
    </row>
    <row r="1236" spans="1:12" x14ac:dyDescent="0.35">
      <c r="A1236" t="s">
        <v>8</v>
      </c>
      <c r="B1236" t="s">
        <v>84</v>
      </c>
      <c r="C1236" t="s">
        <v>93</v>
      </c>
      <c r="D1236" t="s">
        <v>10</v>
      </c>
      <c r="E1236" t="s">
        <v>10</v>
      </c>
      <c r="F1236" s="7">
        <v>45472</v>
      </c>
      <c r="G1236" s="1">
        <v>45292</v>
      </c>
      <c r="H1236" s="14">
        <v>15599.232</v>
      </c>
      <c r="I1236">
        <v>3554503</v>
      </c>
      <c r="J1236" t="s">
        <v>88</v>
      </c>
      <c r="K1236" t="s">
        <v>94</v>
      </c>
      <c r="L1236" s="16" t="s">
        <v>10</v>
      </c>
    </row>
    <row r="1237" spans="1:12" x14ac:dyDescent="0.35">
      <c r="A1237" t="s">
        <v>8</v>
      </c>
      <c r="B1237" t="s">
        <v>84</v>
      </c>
      <c r="C1237" t="s">
        <v>97</v>
      </c>
      <c r="D1237" t="s">
        <v>10</v>
      </c>
      <c r="E1237" t="s">
        <v>10</v>
      </c>
      <c r="F1237" s="7">
        <v>45472</v>
      </c>
      <c r="G1237" s="1">
        <v>45292</v>
      </c>
      <c r="H1237" s="14">
        <v>1749.7381</v>
      </c>
      <c r="I1237">
        <v>575098</v>
      </c>
      <c r="J1237" t="s">
        <v>88</v>
      </c>
      <c r="K1237" t="s">
        <v>98</v>
      </c>
      <c r="L1237" s="16" t="s">
        <v>10</v>
      </c>
    </row>
    <row r="1238" spans="1:12" x14ac:dyDescent="0.35">
      <c r="A1238" t="s">
        <v>8</v>
      </c>
      <c r="B1238" t="s">
        <v>84</v>
      </c>
      <c r="C1238" t="s">
        <v>95</v>
      </c>
      <c r="D1238" t="s">
        <v>10</v>
      </c>
      <c r="E1238" t="s">
        <v>10</v>
      </c>
      <c r="F1238" s="7">
        <v>45472</v>
      </c>
      <c r="G1238" s="1">
        <v>45292</v>
      </c>
      <c r="H1238" s="14">
        <v>17439.609999999997</v>
      </c>
      <c r="I1238">
        <v>2023848</v>
      </c>
      <c r="J1238" t="s">
        <v>88</v>
      </c>
      <c r="K1238" t="s">
        <v>96</v>
      </c>
      <c r="L1238" s="16" t="s">
        <v>10</v>
      </c>
    </row>
    <row r="1239" spans="1:12" x14ac:dyDescent="0.35">
      <c r="A1239" t="s">
        <v>8</v>
      </c>
      <c r="B1239" t="s">
        <v>17</v>
      </c>
      <c r="C1239" t="s">
        <v>93</v>
      </c>
      <c r="D1239" t="s">
        <v>10</v>
      </c>
      <c r="E1239" t="s">
        <v>10</v>
      </c>
      <c r="F1239" s="7">
        <v>45472</v>
      </c>
      <c r="G1239" s="1">
        <v>45292</v>
      </c>
      <c r="H1239" s="14">
        <v>13608.718099999995</v>
      </c>
      <c r="I1239">
        <v>2762164</v>
      </c>
      <c r="J1239" t="s">
        <v>88</v>
      </c>
      <c r="K1239" t="s">
        <v>94</v>
      </c>
      <c r="L1239" s="16" t="s">
        <v>10</v>
      </c>
    </row>
    <row r="1240" spans="1:12" x14ac:dyDescent="0.35">
      <c r="A1240" t="s">
        <v>8</v>
      </c>
      <c r="B1240" t="s">
        <v>17</v>
      </c>
      <c r="C1240" t="s">
        <v>95</v>
      </c>
      <c r="D1240" t="s">
        <v>10</v>
      </c>
      <c r="E1240" t="s">
        <v>10</v>
      </c>
      <c r="F1240" s="7">
        <v>45472</v>
      </c>
      <c r="G1240" s="1">
        <v>45292</v>
      </c>
      <c r="H1240" s="14">
        <v>18048.659999999996</v>
      </c>
      <c r="I1240">
        <v>4382522</v>
      </c>
      <c r="J1240" t="s">
        <v>88</v>
      </c>
      <c r="K1240" t="s">
        <v>96</v>
      </c>
      <c r="L1240" s="16" t="s">
        <v>10</v>
      </c>
    </row>
    <row r="1241" spans="1:12" x14ac:dyDescent="0.35">
      <c r="A1241" t="s">
        <v>8</v>
      </c>
      <c r="B1241" t="s">
        <v>99</v>
      </c>
      <c r="C1241" t="s">
        <v>93</v>
      </c>
      <c r="D1241" t="s">
        <v>10</v>
      </c>
      <c r="E1241" t="s">
        <v>10</v>
      </c>
      <c r="F1241" s="7">
        <v>45472</v>
      </c>
      <c r="G1241" s="1">
        <v>45292</v>
      </c>
      <c r="H1241" s="14">
        <v>4556.9813999999997</v>
      </c>
      <c r="I1241">
        <v>331957</v>
      </c>
      <c r="J1241" t="s">
        <v>88</v>
      </c>
      <c r="K1241" t="s">
        <v>94</v>
      </c>
      <c r="L1241" s="16" t="s">
        <v>10</v>
      </c>
    </row>
    <row r="1242" spans="1:12" x14ac:dyDescent="0.35">
      <c r="A1242" t="s">
        <v>8</v>
      </c>
      <c r="B1242" t="s">
        <v>99</v>
      </c>
      <c r="C1242" t="s">
        <v>95</v>
      </c>
      <c r="D1242" t="s">
        <v>10</v>
      </c>
      <c r="E1242" t="s">
        <v>10</v>
      </c>
      <c r="F1242" s="7">
        <v>45472</v>
      </c>
      <c r="G1242" s="1">
        <v>45292</v>
      </c>
      <c r="H1242" s="14">
        <v>14100.420000000004</v>
      </c>
      <c r="I1242">
        <v>2888116</v>
      </c>
      <c r="J1242" t="s">
        <v>88</v>
      </c>
      <c r="K1242" t="s">
        <v>96</v>
      </c>
      <c r="L1242" s="16" t="s">
        <v>10</v>
      </c>
    </row>
    <row r="1243" spans="1:12" x14ac:dyDescent="0.35">
      <c r="A1243" t="s">
        <v>8</v>
      </c>
      <c r="B1243" t="s">
        <v>100</v>
      </c>
      <c r="C1243" t="s">
        <v>93</v>
      </c>
      <c r="D1243" t="s">
        <v>10</v>
      </c>
      <c r="E1243" t="s">
        <v>10</v>
      </c>
      <c r="F1243" s="7">
        <v>45472</v>
      </c>
      <c r="G1243" s="1">
        <v>45292</v>
      </c>
      <c r="H1243" s="14">
        <v>5009.6037000000015</v>
      </c>
      <c r="I1243">
        <v>1014080</v>
      </c>
      <c r="J1243" t="s">
        <v>88</v>
      </c>
      <c r="K1243" t="s">
        <v>94</v>
      </c>
      <c r="L1243" s="16" t="s">
        <v>10</v>
      </c>
    </row>
    <row r="1244" spans="1:12" x14ac:dyDescent="0.35">
      <c r="A1244" t="s">
        <v>8</v>
      </c>
      <c r="B1244" t="s">
        <v>100</v>
      </c>
      <c r="C1244" t="s">
        <v>95</v>
      </c>
      <c r="D1244" t="s">
        <v>10</v>
      </c>
      <c r="E1244" t="s">
        <v>10</v>
      </c>
      <c r="F1244" s="7">
        <v>45472</v>
      </c>
      <c r="G1244" s="1">
        <v>45292</v>
      </c>
      <c r="H1244" s="14">
        <v>11151.809999999998</v>
      </c>
      <c r="I1244">
        <v>2019016</v>
      </c>
      <c r="J1244" t="s">
        <v>88</v>
      </c>
      <c r="K1244" t="s">
        <v>96</v>
      </c>
      <c r="L1244" s="16" t="s">
        <v>10</v>
      </c>
    </row>
    <row r="1245" spans="1:12" x14ac:dyDescent="0.35">
      <c r="A1245" t="s">
        <v>8</v>
      </c>
      <c r="B1245" t="s">
        <v>21</v>
      </c>
      <c r="C1245" t="s">
        <v>93</v>
      </c>
      <c r="D1245" t="s">
        <v>10</v>
      </c>
      <c r="E1245" t="s">
        <v>10</v>
      </c>
      <c r="F1245" s="7">
        <v>45472</v>
      </c>
      <c r="G1245" s="1">
        <v>45292</v>
      </c>
      <c r="H1245" s="14">
        <v>4193.6985000000004</v>
      </c>
      <c r="I1245">
        <v>1258506</v>
      </c>
      <c r="J1245" t="s">
        <v>88</v>
      </c>
      <c r="K1245" t="s">
        <v>94</v>
      </c>
      <c r="L1245" s="16" t="s">
        <v>10</v>
      </c>
    </row>
    <row r="1246" spans="1:12" x14ac:dyDescent="0.35">
      <c r="A1246" t="s">
        <v>8</v>
      </c>
      <c r="B1246" t="s">
        <v>21</v>
      </c>
      <c r="C1246" t="s">
        <v>97</v>
      </c>
      <c r="D1246" t="s">
        <v>10</v>
      </c>
      <c r="E1246" t="s">
        <v>10</v>
      </c>
      <c r="F1246" s="7">
        <v>45472</v>
      </c>
      <c r="G1246" s="1">
        <v>45292</v>
      </c>
      <c r="H1246" s="14">
        <v>9142.0049999999992</v>
      </c>
      <c r="I1246">
        <v>1075530</v>
      </c>
      <c r="J1246" t="s">
        <v>88</v>
      </c>
      <c r="K1246" t="s">
        <v>98</v>
      </c>
      <c r="L1246" s="16" t="s">
        <v>10</v>
      </c>
    </row>
    <row r="1247" spans="1:12" x14ac:dyDescent="0.35">
      <c r="A1247" t="s">
        <v>8</v>
      </c>
      <c r="B1247" t="s">
        <v>21</v>
      </c>
      <c r="C1247" t="s">
        <v>95</v>
      </c>
      <c r="D1247" t="s">
        <v>10</v>
      </c>
      <c r="E1247" t="s">
        <v>10</v>
      </c>
      <c r="F1247" s="7">
        <v>45472</v>
      </c>
      <c r="G1247" s="1">
        <v>45292</v>
      </c>
      <c r="H1247" s="14">
        <v>6932.7299999999968</v>
      </c>
      <c r="I1247">
        <v>965223</v>
      </c>
      <c r="J1247" t="s">
        <v>88</v>
      </c>
      <c r="K1247" t="s">
        <v>96</v>
      </c>
      <c r="L1247" s="16" t="s">
        <v>10</v>
      </c>
    </row>
    <row r="1248" spans="1:12" x14ac:dyDescent="0.35">
      <c r="A1248" t="s">
        <v>8</v>
      </c>
      <c r="B1248" t="s">
        <v>101</v>
      </c>
      <c r="C1248" t="s">
        <v>93</v>
      </c>
      <c r="D1248" t="s">
        <v>10</v>
      </c>
      <c r="E1248" t="s">
        <v>10</v>
      </c>
      <c r="F1248" s="7">
        <v>45472</v>
      </c>
      <c r="G1248" s="1">
        <v>45292</v>
      </c>
      <c r="H1248" s="14">
        <v>2651.1025000000009</v>
      </c>
      <c r="I1248">
        <v>731691</v>
      </c>
      <c r="J1248" t="s">
        <v>88</v>
      </c>
      <c r="K1248" t="s">
        <v>94</v>
      </c>
      <c r="L1248" s="16" t="s">
        <v>10</v>
      </c>
    </row>
    <row r="1249" spans="1:12" x14ac:dyDescent="0.35">
      <c r="A1249" t="s">
        <v>8</v>
      </c>
      <c r="B1249" t="s">
        <v>101</v>
      </c>
      <c r="C1249" t="s">
        <v>95</v>
      </c>
      <c r="D1249" t="s">
        <v>10</v>
      </c>
      <c r="E1249" t="s">
        <v>10</v>
      </c>
      <c r="F1249" s="7">
        <v>45472</v>
      </c>
      <c r="G1249" s="1">
        <v>45292</v>
      </c>
      <c r="H1249" s="14">
        <v>3965.1499999999992</v>
      </c>
      <c r="I1249">
        <v>627005</v>
      </c>
      <c r="J1249" t="s">
        <v>88</v>
      </c>
      <c r="K1249" t="s">
        <v>96</v>
      </c>
      <c r="L1249" s="16" t="s">
        <v>10</v>
      </c>
    </row>
    <row r="1250" spans="1:12" x14ac:dyDescent="0.35">
      <c r="A1250" t="s">
        <v>8</v>
      </c>
      <c r="B1250" t="s">
        <v>103</v>
      </c>
      <c r="C1250" t="s">
        <v>95</v>
      </c>
      <c r="D1250" t="s">
        <v>104</v>
      </c>
      <c r="E1250" t="s">
        <v>8</v>
      </c>
      <c r="F1250" s="7">
        <v>45472</v>
      </c>
      <c r="G1250" s="1">
        <v>45292</v>
      </c>
      <c r="H1250" s="14">
        <v>92.91</v>
      </c>
      <c r="I1250">
        <v>386</v>
      </c>
      <c r="J1250" t="s">
        <v>88</v>
      </c>
      <c r="K1250" t="s">
        <v>105</v>
      </c>
      <c r="L1250" s="16" t="s">
        <v>95</v>
      </c>
    </row>
    <row r="1251" spans="1:12" x14ac:dyDescent="0.35">
      <c r="A1251" t="s">
        <v>8</v>
      </c>
      <c r="B1251" t="s">
        <v>16</v>
      </c>
      <c r="C1251" t="s">
        <v>95</v>
      </c>
      <c r="D1251" t="s">
        <v>104</v>
      </c>
      <c r="E1251" t="s">
        <v>8</v>
      </c>
      <c r="F1251" s="7">
        <v>45472</v>
      </c>
      <c r="G1251" s="1">
        <v>45292</v>
      </c>
      <c r="H1251" s="14">
        <v>28.740000000000002</v>
      </c>
      <c r="I1251">
        <v>246</v>
      </c>
      <c r="J1251" t="s">
        <v>88</v>
      </c>
      <c r="K1251" t="s">
        <v>105</v>
      </c>
      <c r="L1251" s="16" t="s">
        <v>95</v>
      </c>
    </row>
    <row r="1252" spans="1:12" x14ac:dyDescent="0.35">
      <c r="A1252" t="s">
        <v>8</v>
      </c>
      <c r="B1252" t="s">
        <v>84</v>
      </c>
      <c r="C1252" t="s">
        <v>95</v>
      </c>
      <c r="D1252" t="s">
        <v>104</v>
      </c>
      <c r="E1252" t="s">
        <v>8</v>
      </c>
      <c r="F1252" s="7">
        <v>45472</v>
      </c>
      <c r="G1252" s="1">
        <v>45292</v>
      </c>
      <c r="H1252" s="14">
        <v>8182.6840920000004</v>
      </c>
      <c r="I1252">
        <v>32600</v>
      </c>
      <c r="J1252" t="s">
        <v>88</v>
      </c>
      <c r="K1252" t="s">
        <v>105</v>
      </c>
      <c r="L1252" s="16" t="s">
        <v>95</v>
      </c>
    </row>
    <row r="1253" spans="1:12" x14ac:dyDescent="0.35">
      <c r="A1253" t="s">
        <v>8</v>
      </c>
      <c r="B1253" t="s">
        <v>17</v>
      </c>
      <c r="C1253" t="s">
        <v>95</v>
      </c>
      <c r="D1253" t="s">
        <v>104</v>
      </c>
      <c r="E1253" t="s">
        <v>8</v>
      </c>
      <c r="F1253" s="7">
        <v>45472</v>
      </c>
      <c r="G1253" s="1">
        <v>45292</v>
      </c>
      <c r="H1253" s="14">
        <v>130.30000000000001</v>
      </c>
      <c r="I1253">
        <v>1111</v>
      </c>
      <c r="J1253" t="s">
        <v>88</v>
      </c>
      <c r="K1253" t="s">
        <v>105</v>
      </c>
      <c r="L1253" s="16" t="s">
        <v>95</v>
      </c>
    </row>
    <row r="1254" spans="1:12" x14ac:dyDescent="0.35">
      <c r="A1254" t="s">
        <v>8</v>
      </c>
      <c r="B1254" t="s">
        <v>106</v>
      </c>
      <c r="C1254" t="s">
        <v>95</v>
      </c>
      <c r="D1254" t="s">
        <v>104</v>
      </c>
      <c r="E1254" t="s">
        <v>8</v>
      </c>
      <c r="F1254" s="7">
        <v>45472</v>
      </c>
      <c r="G1254" s="1">
        <v>45292</v>
      </c>
      <c r="H1254" s="14">
        <v>190.91000000000003</v>
      </c>
      <c r="I1254">
        <v>383</v>
      </c>
      <c r="J1254" t="s">
        <v>88</v>
      </c>
      <c r="K1254" t="s">
        <v>105</v>
      </c>
      <c r="L1254" s="16" t="s">
        <v>95</v>
      </c>
    </row>
    <row r="1255" spans="1:12" x14ac:dyDescent="0.35">
      <c r="A1255" t="s">
        <v>8</v>
      </c>
      <c r="B1255" t="s">
        <v>92</v>
      </c>
      <c r="C1255" t="s">
        <v>95</v>
      </c>
      <c r="D1255" t="s">
        <v>104</v>
      </c>
      <c r="E1255" t="s">
        <v>8</v>
      </c>
      <c r="F1255" s="7">
        <v>45472</v>
      </c>
      <c r="G1255" s="1">
        <v>45292</v>
      </c>
      <c r="H1255" s="14">
        <v>330.78000000000003</v>
      </c>
      <c r="I1255">
        <v>2503</v>
      </c>
      <c r="J1255" t="s">
        <v>88</v>
      </c>
      <c r="K1255" t="s">
        <v>105</v>
      </c>
      <c r="L1255" s="16" t="s">
        <v>95</v>
      </c>
    </row>
    <row r="1256" spans="1:12" x14ac:dyDescent="0.35">
      <c r="A1256" t="s">
        <v>8</v>
      </c>
      <c r="B1256" t="s">
        <v>21</v>
      </c>
      <c r="C1256" t="s">
        <v>95</v>
      </c>
      <c r="D1256" t="s">
        <v>104</v>
      </c>
      <c r="E1256" t="s">
        <v>8</v>
      </c>
      <c r="F1256" s="7">
        <v>45472</v>
      </c>
      <c r="G1256" s="1">
        <v>45292</v>
      </c>
      <c r="H1256" s="14">
        <v>242.77266599999996</v>
      </c>
      <c r="I1256">
        <v>1793</v>
      </c>
      <c r="J1256" t="s">
        <v>88</v>
      </c>
      <c r="K1256" t="s">
        <v>105</v>
      </c>
      <c r="L1256" s="16" t="s">
        <v>95</v>
      </c>
    </row>
    <row r="1257" spans="1:12" x14ac:dyDescent="0.35">
      <c r="A1257" t="s">
        <v>8</v>
      </c>
      <c r="B1257" t="s">
        <v>101</v>
      </c>
      <c r="C1257" t="s">
        <v>95</v>
      </c>
      <c r="D1257" t="s">
        <v>104</v>
      </c>
      <c r="E1257" t="s">
        <v>8</v>
      </c>
      <c r="F1257" s="7">
        <v>45472</v>
      </c>
      <c r="G1257" s="1">
        <v>45292</v>
      </c>
      <c r="H1257" s="14">
        <v>119.99000000000001</v>
      </c>
      <c r="I1257">
        <v>710</v>
      </c>
      <c r="J1257" t="s">
        <v>88</v>
      </c>
      <c r="K1257" t="s">
        <v>105</v>
      </c>
      <c r="L1257" s="16" t="s">
        <v>95</v>
      </c>
    </row>
    <row r="1258" spans="1:12" x14ac:dyDescent="0.35">
      <c r="A1258" t="s">
        <v>8</v>
      </c>
      <c r="B1258" t="s">
        <v>99</v>
      </c>
      <c r="C1258" t="s">
        <v>95</v>
      </c>
      <c r="D1258" t="s">
        <v>104</v>
      </c>
      <c r="E1258" t="s">
        <v>8</v>
      </c>
      <c r="F1258" s="7">
        <v>45472</v>
      </c>
      <c r="G1258" s="1">
        <v>45292</v>
      </c>
      <c r="H1258" s="14">
        <v>74.44</v>
      </c>
      <c r="I1258">
        <v>540</v>
      </c>
      <c r="J1258" t="s">
        <v>88</v>
      </c>
      <c r="K1258" t="s">
        <v>105</v>
      </c>
      <c r="L1258" s="16" t="s">
        <v>95</v>
      </c>
    </row>
    <row r="1259" spans="1:12" x14ac:dyDescent="0.35">
      <c r="A1259" t="s">
        <v>8</v>
      </c>
      <c r="B1259" t="s">
        <v>102</v>
      </c>
      <c r="C1259" t="s">
        <v>95</v>
      </c>
      <c r="D1259" t="s">
        <v>104</v>
      </c>
      <c r="E1259" t="s">
        <v>8</v>
      </c>
      <c r="F1259" s="7">
        <v>45472</v>
      </c>
      <c r="G1259" s="1">
        <v>45292</v>
      </c>
      <c r="H1259" s="14">
        <v>114.33000000000003</v>
      </c>
      <c r="I1259">
        <v>791</v>
      </c>
      <c r="J1259" t="s">
        <v>88</v>
      </c>
      <c r="K1259" t="s">
        <v>105</v>
      </c>
      <c r="L1259" s="16" t="s">
        <v>95</v>
      </c>
    </row>
    <row r="1260" spans="1:12" x14ac:dyDescent="0.35">
      <c r="A1260" t="s">
        <v>8</v>
      </c>
      <c r="B1260" t="s">
        <v>100</v>
      </c>
      <c r="C1260" t="s">
        <v>95</v>
      </c>
      <c r="D1260" t="s">
        <v>104</v>
      </c>
      <c r="E1260" t="s">
        <v>8</v>
      </c>
      <c r="F1260" s="7">
        <v>45472</v>
      </c>
      <c r="G1260" s="1">
        <v>45292</v>
      </c>
      <c r="H1260" s="14">
        <v>159.55000000000004</v>
      </c>
      <c r="I1260">
        <v>969</v>
      </c>
      <c r="J1260" t="s">
        <v>88</v>
      </c>
      <c r="K1260" t="s">
        <v>105</v>
      </c>
      <c r="L1260" s="16" t="s">
        <v>95</v>
      </c>
    </row>
    <row r="1261" spans="1:12" x14ac:dyDescent="0.35">
      <c r="A1261" t="s">
        <v>8</v>
      </c>
      <c r="B1261" t="s">
        <v>20</v>
      </c>
      <c r="C1261" t="s">
        <v>85</v>
      </c>
      <c r="D1261" t="s">
        <v>9</v>
      </c>
      <c r="E1261" t="s">
        <v>10</v>
      </c>
      <c r="F1261" s="7">
        <v>45479</v>
      </c>
      <c r="G1261" s="1">
        <v>45292</v>
      </c>
      <c r="H1261" s="14">
        <v>24424.720026999996</v>
      </c>
      <c r="I1261">
        <v>3392096</v>
      </c>
      <c r="J1261" t="s">
        <v>88</v>
      </c>
      <c r="K1261" t="s">
        <v>87</v>
      </c>
      <c r="L1261" s="16" t="s">
        <v>9</v>
      </c>
    </row>
    <row r="1262" spans="1:12" x14ac:dyDescent="0.35">
      <c r="A1262" t="s">
        <v>8</v>
      </c>
      <c r="B1262" t="s">
        <v>92</v>
      </c>
      <c r="C1262" t="s">
        <v>93</v>
      </c>
      <c r="D1262" t="s">
        <v>10</v>
      </c>
      <c r="E1262" t="s">
        <v>10</v>
      </c>
      <c r="F1262" s="7">
        <v>45479</v>
      </c>
      <c r="G1262" s="1">
        <v>45292</v>
      </c>
      <c r="H1262" s="14">
        <v>5848.8713000000043</v>
      </c>
      <c r="I1262">
        <v>1840713</v>
      </c>
      <c r="J1262" t="s">
        <v>88</v>
      </c>
      <c r="K1262" t="s">
        <v>94</v>
      </c>
      <c r="L1262" s="16" t="s">
        <v>10</v>
      </c>
    </row>
    <row r="1263" spans="1:12" x14ac:dyDescent="0.35">
      <c r="A1263" t="s">
        <v>8</v>
      </c>
      <c r="B1263" t="s">
        <v>92</v>
      </c>
      <c r="C1263" t="s">
        <v>95</v>
      </c>
      <c r="D1263" t="s">
        <v>10</v>
      </c>
      <c r="E1263" t="s">
        <v>10</v>
      </c>
      <c r="F1263" s="7">
        <v>45479</v>
      </c>
      <c r="G1263" s="1">
        <v>45292</v>
      </c>
      <c r="H1263" s="14">
        <v>11837.810000000009</v>
      </c>
      <c r="I1263">
        <v>1813029</v>
      </c>
      <c r="J1263" t="s">
        <v>88</v>
      </c>
      <c r="K1263" t="s">
        <v>96</v>
      </c>
      <c r="L1263" s="16" t="s">
        <v>10</v>
      </c>
    </row>
    <row r="1264" spans="1:12" x14ac:dyDescent="0.35">
      <c r="A1264" t="s">
        <v>8</v>
      </c>
      <c r="B1264" t="s">
        <v>84</v>
      </c>
      <c r="C1264" t="s">
        <v>93</v>
      </c>
      <c r="D1264" t="s">
        <v>10</v>
      </c>
      <c r="E1264" t="s">
        <v>10</v>
      </c>
      <c r="F1264" s="7">
        <v>45479</v>
      </c>
      <c r="G1264" s="1">
        <v>45292</v>
      </c>
      <c r="H1264" s="14">
        <v>18503.618600000009</v>
      </c>
      <c r="I1264">
        <v>4473512</v>
      </c>
      <c r="J1264" t="s">
        <v>88</v>
      </c>
      <c r="K1264" t="s">
        <v>94</v>
      </c>
      <c r="L1264" s="16" t="s">
        <v>10</v>
      </c>
    </row>
    <row r="1265" spans="1:12" x14ac:dyDescent="0.35">
      <c r="A1265" t="s">
        <v>8</v>
      </c>
      <c r="B1265" t="s">
        <v>84</v>
      </c>
      <c r="C1265" t="s">
        <v>97</v>
      </c>
      <c r="D1265" t="s">
        <v>10</v>
      </c>
      <c r="E1265" t="s">
        <v>10</v>
      </c>
      <c r="F1265" s="7">
        <v>45479</v>
      </c>
      <c r="G1265" s="1">
        <v>45292</v>
      </c>
      <c r="H1265" s="14">
        <v>1723.3786000000002</v>
      </c>
      <c r="I1265">
        <v>566050</v>
      </c>
      <c r="J1265" t="s">
        <v>88</v>
      </c>
      <c r="K1265" t="s">
        <v>98</v>
      </c>
      <c r="L1265" s="16" t="s">
        <v>10</v>
      </c>
    </row>
    <row r="1266" spans="1:12" x14ac:dyDescent="0.35">
      <c r="A1266" t="s">
        <v>8</v>
      </c>
      <c r="B1266" t="s">
        <v>84</v>
      </c>
      <c r="C1266" t="s">
        <v>95</v>
      </c>
      <c r="D1266" t="s">
        <v>10</v>
      </c>
      <c r="E1266" t="s">
        <v>10</v>
      </c>
      <c r="F1266" s="7">
        <v>45479</v>
      </c>
      <c r="G1266" s="1">
        <v>45292</v>
      </c>
      <c r="H1266" s="14">
        <v>16232.81</v>
      </c>
      <c r="I1266">
        <v>1965678</v>
      </c>
      <c r="J1266" t="s">
        <v>88</v>
      </c>
      <c r="K1266" t="s">
        <v>96</v>
      </c>
      <c r="L1266" s="16" t="s">
        <v>10</v>
      </c>
    </row>
    <row r="1267" spans="1:12" x14ac:dyDescent="0.35">
      <c r="A1267" t="s">
        <v>8</v>
      </c>
      <c r="B1267" t="s">
        <v>17</v>
      </c>
      <c r="C1267" t="s">
        <v>93</v>
      </c>
      <c r="D1267" t="s">
        <v>10</v>
      </c>
      <c r="E1267" t="s">
        <v>10</v>
      </c>
      <c r="F1267" s="7">
        <v>45479</v>
      </c>
      <c r="G1267" s="1">
        <v>45292</v>
      </c>
      <c r="H1267" s="14">
        <v>6419.6618999999973</v>
      </c>
      <c r="I1267">
        <v>1798709</v>
      </c>
      <c r="J1267" t="s">
        <v>88</v>
      </c>
      <c r="K1267" t="s">
        <v>94</v>
      </c>
      <c r="L1267" s="16" t="s">
        <v>10</v>
      </c>
    </row>
    <row r="1268" spans="1:12" x14ac:dyDescent="0.35">
      <c r="A1268" t="s">
        <v>8</v>
      </c>
      <c r="B1268" t="s">
        <v>17</v>
      </c>
      <c r="C1268" t="s">
        <v>95</v>
      </c>
      <c r="D1268" t="s">
        <v>10</v>
      </c>
      <c r="E1268" t="s">
        <v>10</v>
      </c>
      <c r="F1268" s="7">
        <v>45479</v>
      </c>
      <c r="G1268" s="1">
        <v>45292</v>
      </c>
      <c r="H1268" s="14">
        <v>18641.490000000009</v>
      </c>
      <c r="I1268">
        <v>3898367</v>
      </c>
      <c r="J1268" t="s">
        <v>88</v>
      </c>
      <c r="K1268" t="s">
        <v>96</v>
      </c>
      <c r="L1268" s="16" t="s">
        <v>10</v>
      </c>
    </row>
    <row r="1269" spans="1:12" x14ac:dyDescent="0.35">
      <c r="A1269" t="s">
        <v>8</v>
      </c>
      <c r="B1269" t="s">
        <v>99</v>
      </c>
      <c r="C1269" t="s">
        <v>93</v>
      </c>
      <c r="D1269" t="s">
        <v>10</v>
      </c>
      <c r="E1269" t="s">
        <v>10</v>
      </c>
      <c r="F1269" s="7">
        <v>45479</v>
      </c>
      <c r="G1269" s="1">
        <v>45292</v>
      </c>
      <c r="H1269" s="14">
        <v>3781.5192000000029</v>
      </c>
      <c r="I1269">
        <v>390041</v>
      </c>
      <c r="J1269" t="s">
        <v>88</v>
      </c>
      <c r="K1269" t="s">
        <v>94</v>
      </c>
      <c r="L1269" s="16" t="s">
        <v>10</v>
      </c>
    </row>
    <row r="1270" spans="1:12" x14ac:dyDescent="0.35">
      <c r="A1270" t="s">
        <v>8</v>
      </c>
      <c r="B1270" t="s">
        <v>99</v>
      </c>
      <c r="C1270" t="s">
        <v>95</v>
      </c>
      <c r="D1270" t="s">
        <v>10</v>
      </c>
      <c r="E1270" t="s">
        <v>10</v>
      </c>
      <c r="F1270" s="7">
        <v>45479</v>
      </c>
      <c r="G1270" s="1">
        <v>45292</v>
      </c>
      <c r="H1270" s="14">
        <v>12565.890000000003</v>
      </c>
      <c r="I1270">
        <v>2615513</v>
      </c>
      <c r="J1270" t="s">
        <v>88</v>
      </c>
      <c r="K1270" t="s">
        <v>96</v>
      </c>
      <c r="L1270" s="16" t="s">
        <v>10</v>
      </c>
    </row>
    <row r="1271" spans="1:12" x14ac:dyDescent="0.35">
      <c r="A1271" t="s">
        <v>8</v>
      </c>
      <c r="B1271" t="s">
        <v>100</v>
      </c>
      <c r="C1271" t="s">
        <v>93</v>
      </c>
      <c r="D1271" t="s">
        <v>10</v>
      </c>
      <c r="E1271" t="s">
        <v>10</v>
      </c>
      <c r="F1271" s="7">
        <v>45479</v>
      </c>
      <c r="G1271" s="1">
        <v>45292</v>
      </c>
      <c r="H1271" s="14">
        <v>4243.3991000000005</v>
      </c>
      <c r="I1271">
        <v>1341897</v>
      </c>
      <c r="J1271" t="s">
        <v>88</v>
      </c>
      <c r="K1271" t="s">
        <v>94</v>
      </c>
      <c r="L1271" s="16" t="s">
        <v>10</v>
      </c>
    </row>
    <row r="1272" spans="1:12" x14ac:dyDescent="0.35">
      <c r="A1272" t="s">
        <v>8</v>
      </c>
      <c r="B1272" t="s">
        <v>100</v>
      </c>
      <c r="C1272" t="s">
        <v>95</v>
      </c>
      <c r="D1272" t="s">
        <v>10</v>
      </c>
      <c r="E1272" t="s">
        <v>10</v>
      </c>
      <c r="F1272" s="7">
        <v>45479</v>
      </c>
      <c r="G1272" s="1">
        <v>45292</v>
      </c>
      <c r="H1272" s="14">
        <v>9182.5099999999966</v>
      </c>
      <c r="I1272">
        <v>1674567</v>
      </c>
      <c r="J1272" t="s">
        <v>88</v>
      </c>
      <c r="K1272" t="s">
        <v>96</v>
      </c>
      <c r="L1272" s="16" t="s">
        <v>10</v>
      </c>
    </row>
    <row r="1273" spans="1:12" x14ac:dyDescent="0.35">
      <c r="A1273" t="s">
        <v>8</v>
      </c>
      <c r="B1273" t="s">
        <v>21</v>
      </c>
      <c r="C1273" t="s">
        <v>93</v>
      </c>
      <c r="D1273" t="s">
        <v>10</v>
      </c>
      <c r="E1273" t="s">
        <v>10</v>
      </c>
      <c r="F1273" s="7">
        <v>45479</v>
      </c>
      <c r="G1273" s="1">
        <v>45292</v>
      </c>
      <c r="H1273" s="14">
        <v>3390.5334999999991</v>
      </c>
      <c r="I1273">
        <v>1091897</v>
      </c>
      <c r="J1273" t="s">
        <v>88</v>
      </c>
      <c r="K1273" t="s">
        <v>94</v>
      </c>
      <c r="L1273" s="16" t="s">
        <v>10</v>
      </c>
    </row>
    <row r="1274" spans="1:12" x14ac:dyDescent="0.35">
      <c r="A1274" t="s">
        <v>8</v>
      </c>
      <c r="B1274" t="s">
        <v>21</v>
      </c>
      <c r="C1274" t="s">
        <v>97</v>
      </c>
      <c r="D1274" t="s">
        <v>10</v>
      </c>
      <c r="E1274" t="s">
        <v>10</v>
      </c>
      <c r="F1274" s="7">
        <v>45479</v>
      </c>
      <c r="G1274" s="1">
        <v>45292</v>
      </c>
      <c r="H1274" s="14">
        <v>9097.1504999999997</v>
      </c>
      <c r="I1274">
        <v>1070253</v>
      </c>
      <c r="J1274" t="s">
        <v>88</v>
      </c>
      <c r="K1274" t="s">
        <v>98</v>
      </c>
      <c r="L1274" s="16" t="s">
        <v>10</v>
      </c>
    </row>
    <row r="1275" spans="1:12" x14ac:dyDescent="0.35">
      <c r="A1275" t="s">
        <v>8</v>
      </c>
      <c r="B1275" t="s">
        <v>21</v>
      </c>
      <c r="C1275" t="s">
        <v>95</v>
      </c>
      <c r="D1275" t="s">
        <v>10</v>
      </c>
      <c r="E1275" t="s">
        <v>10</v>
      </c>
      <c r="F1275" s="7">
        <v>45479</v>
      </c>
      <c r="G1275" s="1">
        <v>45292</v>
      </c>
      <c r="H1275" s="14">
        <v>5869.0500000000011</v>
      </c>
      <c r="I1275">
        <v>819212</v>
      </c>
      <c r="J1275" t="s">
        <v>88</v>
      </c>
      <c r="K1275" t="s">
        <v>96</v>
      </c>
      <c r="L1275" s="16" t="s">
        <v>10</v>
      </c>
    </row>
    <row r="1276" spans="1:12" x14ac:dyDescent="0.35">
      <c r="A1276" t="s">
        <v>8</v>
      </c>
      <c r="B1276" t="s">
        <v>101</v>
      </c>
      <c r="C1276" t="s">
        <v>93</v>
      </c>
      <c r="D1276" t="s">
        <v>10</v>
      </c>
      <c r="E1276" t="s">
        <v>10</v>
      </c>
      <c r="F1276" s="7">
        <v>45479</v>
      </c>
      <c r="G1276" s="1">
        <v>45292</v>
      </c>
      <c r="H1276" s="14">
        <v>2202.7001999999998</v>
      </c>
      <c r="I1276">
        <v>769107</v>
      </c>
      <c r="J1276" t="s">
        <v>88</v>
      </c>
      <c r="K1276" t="s">
        <v>94</v>
      </c>
      <c r="L1276" s="16" t="s">
        <v>10</v>
      </c>
    </row>
    <row r="1277" spans="1:12" x14ac:dyDescent="0.35">
      <c r="A1277" t="s">
        <v>8</v>
      </c>
      <c r="B1277" t="s">
        <v>101</v>
      </c>
      <c r="C1277" t="s">
        <v>95</v>
      </c>
      <c r="D1277" t="s">
        <v>10</v>
      </c>
      <c r="E1277" t="s">
        <v>10</v>
      </c>
      <c r="F1277" s="7">
        <v>45479</v>
      </c>
      <c r="G1277" s="1">
        <v>45292</v>
      </c>
      <c r="H1277" s="14">
        <v>4526.9799999999996</v>
      </c>
      <c r="I1277">
        <v>640468</v>
      </c>
      <c r="J1277" t="s">
        <v>88</v>
      </c>
      <c r="K1277" t="s">
        <v>96</v>
      </c>
      <c r="L1277" s="16" t="s">
        <v>10</v>
      </c>
    </row>
    <row r="1278" spans="1:12" x14ac:dyDescent="0.35">
      <c r="A1278" t="s">
        <v>8</v>
      </c>
      <c r="B1278" t="s">
        <v>103</v>
      </c>
      <c r="C1278" t="s">
        <v>95</v>
      </c>
      <c r="D1278" t="s">
        <v>104</v>
      </c>
      <c r="E1278" t="s">
        <v>8</v>
      </c>
      <c r="F1278" s="7">
        <v>45479</v>
      </c>
      <c r="G1278" s="1">
        <v>45292</v>
      </c>
      <c r="H1278" s="14">
        <v>91.100000000000009</v>
      </c>
      <c r="I1278">
        <v>395</v>
      </c>
      <c r="J1278" t="s">
        <v>88</v>
      </c>
      <c r="K1278" t="s">
        <v>105</v>
      </c>
      <c r="L1278" s="16" t="s">
        <v>95</v>
      </c>
    </row>
    <row r="1279" spans="1:12" x14ac:dyDescent="0.35">
      <c r="A1279" t="s">
        <v>8</v>
      </c>
      <c r="B1279" t="s">
        <v>16</v>
      </c>
      <c r="C1279" t="s">
        <v>95</v>
      </c>
      <c r="D1279" t="s">
        <v>104</v>
      </c>
      <c r="E1279" t="s">
        <v>8</v>
      </c>
      <c r="F1279" s="7">
        <v>45479</v>
      </c>
      <c r="G1279" s="1">
        <v>45292</v>
      </c>
      <c r="H1279" s="14">
        <v>42.28</v>
      </c>
      <c r="I1279">
        <v>238</v>
      </c>
      <c r="J1279" t="s">
        <v>88</v>
      </c>
      <c r="K1279" t="s">
        <v>105</v>
      </c>
      <c r="L1279" s="16" t="s">
        <v>95</v>
      </c>
    </row>
    <row r="1280" spans="1:12" x14ac:dyDescent="0.35">
      <c r="A1280" t="s">
        <v>8</v>
      </c>
      <c r="B1280" t="s">
        <v>84</v>
      </c>
      <c r="C1280" t="s">
        <v>95</v>
      </c>
      <c r="D1280" t="s">
        <v>104</v>
      </c>
      <c r="E1280" t="s">
        <v>8</v>
      </c>
      <c r="F1280" s="7">
        <v>45479</v>
      </c>
      <c r="G1280" s="1">
        <v>45292</v>
      </c>
      <c r="H1280" s="14">
        <v>7285.5753510000022</v>
      </c>
      <c r="I1280">
        <v>29725</v>
      </c>
      <c r="J1280" t="s">
        <v>88</v>
      </c>
      <c r="K1280" t="s">
        <v>105</v>
      </c>
      <c r="L1280" s="16" t="s">
        <v>95</v>
      </c>
    </row>
    <row r="1281" spans="1:12" x14ac:dyDescent="0.35">
      <c r="A1281" t="s">
        <v>8</v>
      </c>
      <c r="B1281" t="s">
        <v>17</v>
      </c>
      <c r="C1281" t="s">
        <v>95</v>
      </c>
      <c r="D1281" t="s">
        <v>104</v>
      </c>
      <c r="E1281" t="s">
        <v>8</v>
      </c>
      <c r="F1281" s="7">
        <v>45479</v>
      </c>
      <c r="G1281" s="1">
        <v>45292</v>
      </c>
      <c r="H1281" s="14">
        <v>130.28297800000001</v>
      </c>
      <c r="I1281">
        <v>962</v>
      </c>
      <c r="J1281" t="s">
        <v>88</v>
      </c>
      <c r="K1281" t="s">
        <v>105</v>
      </c>
      <c r="L1281" s="16" t="s">
        <v>95</v>
      </c>
    </row>
    <row r="1282" spans="1:12" x14ac:dyDescent="0.35">
      <c r="A1282" t="s">
        <v>8</v>
      </c>
      <c r="B1282" t="s">
        <v>106</v>
      </c>
      <c r="C1282" t="s">
        <v>95</v>
      </c>
      <c r="D1282" t="s">
        <v>104</v>
      </c>
      <c r="E1282" t="s">
        <v>8</v>
      </c>
      <c r="F1282" s="7">
        <v>45479</v>
      </c>
      <c r="G1282" s="1">
        <v>45292</v>
      </c>
      <c r="H1282" s="14">
        <v>160.31211399999998</v>
      </c>
      <c r="I1282">
        <v>383</v>
      </c>
      <c r="J1282" t="s">
        <v>88</v>
      </c>
      <c r="K1282" t="s">
        <v>105</v>
      </c>
      <c r="L1282" s="16" t="s">
        <v>95</v>
      </c>
    </row>
    <row r="1283" spans="1:12" x14ac:dyDescent="0.35">
      <c r="A1283" t="s">
        <v>8</v>
      </c>
      <c r="B1283" t="s">
        <v>92</v>
      </c>
      <c r="C1283" t="s">
        <v>95</v>
      </c>
      <c r="D1283" t="s">
        <v>104</v>
      </c>
      <c r="E1283" t="s">
        <v>8</v>
      </c>
      <c r="F1283" s="7">
        <v>45479</v>
      </c>
      <c r="G1283" s="1">
        <v>45292</v>
      </c>
      <c r="H1283" s="14">
        <v>349.07157699999999</v>
      </c>
      <c r="I1283">
        <v>2323</v>
      </c>
      <c r="J1283" t="s">
        <v>88</v>
      </c>
      <c r="K1283" t="s">
        <v>105</v>
      </c>
      <c r="L1283" s="16" t="s">
        <v>95</v>
      </c>
    </row>
    <row r="1284" spans="1:12" x14ac:dyDescent="0.35">
      <c r="A1284" t="s">
        <v>8</v>
      </c>
      <c r="B1284" t="s">
        <v>21</v>
      </c>
      <c r="C1284" t="s">
        <v>95</v>
      </c>
      <c r="D1284" t="s">
        <v>104</v>
      </c>
      <c r="E1284" t="s">
        <v>8</v>
      </c>
      <c r="F1284" s="7">
        <v>45479</v>
      </c>
      <c r="G1284" s="1">
        <v>45292</v>
      </c>
      <c r="H1284" s="14">
        <v>206.07000000000002</v>
      </c>
      <c r="I1284">
        <v>1544</v>
      </c>
      <c r="J1284" t="s">
        <v>88</v>
      </c>
      <c r="K1284" t="s">
        <v>105</v>
      </c>
      <c r="L1284" s="16" t="s">
        <v>95</v>
      </c>
    </row>
    <row r="1285" spans="1:12" x14ac:dyDescent="0.35">
      <c r="A1285" t="s">
        <v>8</v>
      </c>
      <c r="B1285" t="s">
        <v>101</v>
      </c>
      <c r="C1285" t="s">
        <v>95</v>
      </c>
      <c r="D1285" t="s">
        <v>104</v>
      </c>
      <c r="E1285" t="s">
        <v>8</v>
      </c>
      <c r="F1285" s="7">
        <v>45479</v>
      </c>
      <c r="G1285" s="1">
        <v>45292</v>
      </c>
      <c r="H1285" s="14">
        <v>108.89000000000001</v>
      </c>
      <c r="I1285">
        <v>615</v>
      </c>
      <c r="J1285" t="s">
        <v>88</v>
      </c>
      <c r="K1285" t="s">
        <v>105</v>
      </c>
      <c r="L1285" s="16" t="s">
        <v>95</v>
      </c>
    </row>
    <row r="1286" spans="1:12" x14ac:dyDescent="0.35">
      <c r="A1286" t="s">
        <v>8</v>
      </c>
      <c r="B1286" t="s">
        <v>99</v>
      </c>
      <c r="C1286" t="s">
        <v>95</v>
      </c>
      <c r="D1286" t="s">
        <v>104</v>
      </c>
      <c r="E1286" t="s">
        <v>8</v>
      </c>
      <c r="F1286" s="7">
        <v>45479</v>
      </c>
      <c r="G1286" s="1">
        <v>45292</v>
      </c>
      <c r="H1286" s="14">
        <v>72.955839999999995</v>
      </c>
      <c r="I1286">
        <v>538</v>
      </c>
      <c r="J1286" t="s">
        <v>88</v>
      </c>
      <c r="K1286" t="s">
        <v>105</v>
      </c>
      <c r="L1286" s="16" t="s">
        <v>95</v>
      </c>
    </row>
    <row r="1287" spans="1:12" x14ac:dyDescent="0.35">
      <c r="A1287" t="s">
        <v>8</v>
      </c>
      <c r="B1287" t="s">
        <v>102</v>
      </c>
      <c r="C1287" t="s">
        <v>95</v>
      </c>
      <c r="D1287" t="s">
        <v>104</v>
      </c>
      <c r="E1287" t="s">
        <v>8</v>
      </c>
      <c r="F1287" s="7">
        <v>45479</v>
      </c>
      <c r="G1287" s="1">
        <v>45292</v>
      </c>
      <c r="H1287" s="14">
        <v>116.52</v>
      </c>
      <c r="I1287">
        <v>789</v>
      </c>
      <c r="J1287" t="s">
        <v>88</v>
      </c>
      <c r="K1287" t="s">
        <v>105</v>
      </c>
      <c r="L1287" s="16" t="s">
        <v>95</v>
      </c>
    </row>
    <row r="1288" spans="1:12" x14ac:dyDescent="0.35">
      <c r="A1288" t="s">
        <v>8</v>
      </c>
      <c r="B1288" t="s">
        <v>100</v>
      </c>
      <c r="C1288" t="s">
        <v>95</v>
      </c>
      <c r="D1288" t="s">
        <v>104</v>
      </c>
      <c r="E1288" t="s">
        <v>8</v>
      </c>
      <c r="F1288" s="7">
        <v>45479</v>
      </c>
      <c r="G1288" s="1">
        <v>45292</v>
      </c>
      <c r="H1288" s="14">
        <v>124.72999999999999</v>
      </c>
      <c r="I1288">
        <v>878</v>
      </c>
      <c r="J1288" t="s">
        <v>88</v>
      </c>
      <c r="K1288" t="s">
        <v>105</v>
      </c>
      <c r="L1288" s="16" t="s">
        <v>95</v>
      </c>
    </row>
    <row r="1289" spans="1:12" x14ac:dyDescent="0.35">
      <c r="A1289" t="s">
        <v>8</v>
      </c>
      <c r="B1289" t="s">
        <v>20</v>
      </c>
      <c r="C1289" t="s">
        <v>85</v>
      </c>
      <c r="D1289" t="s">
        <v>9</v>
      </c>
      <c r="E1289" t="s">
        <v>10</v>
      </c>
      <c r="F1289" s="7">
        <v>45486</v>
      </c>
      <c r="G1289" s="1">
        <v>45292</v>
      </c>
      <c r="H1289" s="14">
        <v>81965.99004400002</v>
      </c>
      <c r="I1289">
        <v>11050292</v>
      </c>
      <c r="J1289" t="s">
        <v>86</v>
      </c>
      <c r="K1289" t="s">
        <v>87</v>
      </c>
      <c r="L1289" s="16" t="s">
        <v>9</v>
      </c>
    </row>
    <row r="1290" spans="1:12" x14ac:dyDescent="0.35">
      <c r="A1290" t="s">
        <v>8</v>
      </c>
      <c r="B1290" t="s">
        <v>20</v>
      </c>
      <c r="C1290" t="s">
        <v>85</v>
      </c>
      <c r="D1290" t="s">
        <v>9</v>
      </c>
      <c r="E1290" t="s">
        <v>11</v>
      </c>
      <c r="F1290" s="7">
        <v>45486</v>
      </c>
      <c r="G1290" s="1">
        <v>45292</v>
      </c>
      <c r="H1290" s="14">
        <v>30159.660002000001</v>
      </c>
      <c r="I1290">
        <v>3064494</v>
      </c>
      <c r="J1290" t="s">
        <v>86</v>
      </c>
      <c r="K1290" t="s">
        <v>87</v>
      </c>
      <c r="L1290" s="16" t="s">
        <v>9</v>
      </c>
    </row>
    <row r="1291" spans="1:12" x14ac:dyDescent="0.35">
      <c r="A1291" t="s">
        <v>8</v>
      </c>
      <c r="B1291" t="s">
        <v>92</v>
      </c>
      <c r="C1291" t="s">
        <v>93</v>
      </c>
      <c r="D1291" t="s">
        <v>10</v>
      </c>
      <c r="E1291" t="s">
        <v>10</v>
      </c>
      <c r="F1291" s="7">
        <v>45486</v>
      </c>
      <c r="G1291" s="1">
        <v>45292</v>
      </c>
      <c r="H1291" s="14">
        <v>5896.5947000000024</v>
      </c>
      <c r="I1291">
        <v>2043111</v>
      </c>
      <c r="J1291" t="s">
        <v>86</v>
      </c>
      <c r="K1291" t="s">
        <v>94</v>
      </c>
      <c r="L1291" s="16" t="s">
        <v>10</v>
      </c>
    </row>
    <row r="1292" spans="1:12" x14ac:dyDescent="0.35">
      <c r="A1292" t="s">
        <v>8</v>
      </c>
      <c r="B1292" t="s">
        <v>92</v>
      </c>
      <c r="C1292" t="s">
        <v>95</v>
      </c>
      <c r="D1292" t="s">
        <v>10</v>
      </c>
      <c r="E1292" t="s">
        <v>10</v>
      </c>
      <c r="F1292" s="7">
        <v>45486</v>
      </c>
      <c r="G1292" s="1">
        <v>45292</v>
      </c>
      <c r="H1292" s="14">
        <v>11519.870000000003</v>
      </c>
      <c r="I1292">
        <v>1555250</v>
      </c>
      <c r="J1292" t="s">
        <v>86</v>
      </c>
      <c r="K1292" t="s">
        <v>96</v>
      </c>
      <c r="L1292" s="16" t="s">
        <v>10</v>
      </c>
    </row>
    <row r="1293" spans="1:12" x14ac:dyDescent="0.35">
      <c r="A1293" t="s">
        <v>8</v>
      </c>
      <c r="B1293" t="s">
        <v>84</v>
      </c>
      <c r="C1293" t="s">
        <v>93</v>
      </c>
      <c r="D1293" t="s">
        <v>10</v>
      </c>
      <c r="E1293" t="s">
        <v>10</v>
      </c>
      <c r="F1293" s="7">
        <v>45486</v>
      </c>
      <c r="G1293" s="1">
        <v>45292</v>
      </c>
      <c r="H1293" s="14">
        <v>19340.006600000012</v>
      </c>
      <c r="I1293">
        <v>4631748</v>
      </c>
      <c r="J1293" t="s">
        <v>86</v>
      </c>
      <c r="K1293" t="s">
        <v>94</v>
      </c>
      <c r="L1293" s="16" t="s">
        <v>10</v>
      </c>
    </row>
    <row r="1294" spans="1:12" x14ac:dyDescent="0.35">
      <c r="A1294" t="s">
        <v>8</v>
      </c>
      <c r="B1294" t="s">
        <v>84</v>
      </c>
      <c r="C1294" t="s">
        <v>97</v>
      </c>
      <c r="D1294" t="s">
        <v>10</v>
      </c>
      <c r="E1294" t="s">
        <v>10</v>
      </c>
      <c r="F1294" s="7">
        <v>45486</v>
      </c>
      <c r="G1294" s="1">
        <v>45292</v>
      </c>
      <c r="H1294" s="14">
        <v>1774.6779000000001</v>
      </c>
      <c r="I1294">
        <v>583104</v>
      </c>
      <c r="J1294" t="s">
        <v>86</v>
      </c>
      <c r="K1294" t="s">
        <v>98</v>
      </c>
      <c r="L1294" s="16" t="s">
        <v>10</v>
      </c>
    </row>
    <row r="1295" spans="1:12" x14ac:dyDescent="0.35">
      <c r="A1295" t="s">
        <v>8</v>
      </c>
      <c r="B1295" t="s">
        <v>84</v>
      </c>
      <c r="C1295" t="s">
        <v>95</v>
      </c>
      <c r="D1295" t="s">
        <v>10</v>
      </c>
      <c r="E1295" t="s">
        <v>10</v>
      </c>
      <c r="F1295" s="7">
        <v>45486</v>
      </c>
      <c r="G1295" s="1">
        <v>45292</v>
      </c>
      <c r="H1295" s="14">
        <v>16456.060000000005</v>
      </c>
      <c r="I1295">
        <v>2007962</v>
      </c>
      <c r="J1295" t="s">
        <v>86</v>
      </c>
      <c r="K1295" t="s">
        <v>96</v>
      </c>
      <c r="L1295" s="16" t="s">
        <v>10</v>
      </c>
    </row>
    <row r="1296" spans="1:12" x14ac:dyDescent="0.35">
      <c r="A1296" t="s">
        <v>8</v>
      </c>
      <c r="B1296" t="s">
        <v>17</v>
      </c>
      <c r="C1296" t="s">
        <v>93</v>
      </c>
      <c r="D1296" t="s">
        <v>10</v>
      </c>
      <c r="E1296" t="s">
        <v>10</v>
      </c>
      <c r="F1296" s="7">
        <v>45486</v>
      </c>
      <c r="G1296" s="1">
        <v>45292</v>
      </c>
      <c r="H1296" s="14">
        <v>5462.6431999999977</v>
      </c>
      <c r="I1296">
        <v>1527595</v>
      </c>
      <c r="J1296" t="s">
        <v>86</v>
      </c>
      <c r="K1296" t="s">
        <v>94</v>
      </c>
      <c r="L1296" s="16" t="s">
        <v>10</v>
      </c>
    </row>
    <row r="1297" spans="1:12" x14ac:dyDescent="0.35">
      <c r="A1297" t="s">
        <v>8</v>
      </c>
      <c r="B1297" t="s">
        <v>17</v>
      </c>
      <c r="C1297" t="s">
        <v>95</v>
      </c>
      <c r="D1297" t="s">
        <v>10</v>
      </c>
      <c r="E1297" t="s">
        <v>10</v>
      </c>
      <c r="F1297" s="7">
        <v>45486</v>
      </c>
      <c r="G1297" s="1">
        <v>45292</v>
      </c>
      <c r="H1297" s="14">
        <v>18644.260000000006</v>
      </c>
      <c r="I1297">
        <v>3344353</v>
      </c>
      <c r="J1297" t="s">
        <v>86</v>
      </c>
      <c r="K1297" t="s">
        <v>96</v>
      </c>
      <c r="L1297" s="16" t="s">
        <v>10</v>
      </c>
    </row>
    <row r="1298" spans="1:12" x14ac:dyDescent="0.35">
      <c r="A1298" t="s">
        <v>8</v>
      </c>
      <c r="B1298" t="s">
        <v>99</v>
      </c>
      <c r="C1298" t="s">
        <v>93</v>
      </c>
      <c r="D1298" t="s">
        <v>10</v>
      </c>
      <c r="E1298" t="s">
        <v>10</v>
      </c>
      <c r="F1298" s="7">
        <v>45486</v>
      </c>
      <c r="G1298" s="1">
        <v>45292</v>
      </c>
      <c r="H1298" s="14">
        <v>3797.8841999999986</v>
      </c>
      <c r="I1298">
        <v>409674</v>
      </c>
      <c r="J1298" t="s">
        <v>86</v>
      </c>
      <c r="K1298" t="s">
        <v>94</v>
      </c>
      <c r="L1298" s="16" t="s">
        <v>10</v>
      </c>
    </row>
    <row r="1299" spans="1:12" x14ac:dyDescent="0.35">
      <c r="A1299" t="s">
        <v>8</v>
      </c>
      <c r="B1299" t="s">
        <v>99</v>
      </c>
      <c r="C1299" t="s">
        <v>95</v>
      </c>
      <c r="D1299" t="s">
        <v>10</v>
      </c>
      <c r="E1299" t="s">
        <v>10</v>
      </c>
      <c r="F1299" s="7">
        <v>45486</v>
      </c>
      <c r="G1299" s="1">
        <v>45292</v>
      </c>
      <c r="H1299" s="14">
        <v>13158.420000000007</v>
      </c>
      <c r="I1299">
        <v>2437396</v>
      </c>
      <c r="J1299" t="s">
        <v>86</v>
      </c>
      <c r="K1299" t="s">
        <v>96</v>
      </c>
      <c r="L1299" s="16" t="s">
        <v>10</v>
      </c>
    </row>
    <row r="1300" spans="1:12" x14ac:dyDescent="0.35">
      <c r="A1300" t="s">
        <v>8</v>
      </c>
      <c r="B1300" t="s">
        <v>100</v>
      </c>
      <c r="C1300" t="s">
        <v>93</v>
      </c>
      <c r="D1300" t="s">
        <v>10</v>
      </c>
      <c r="E1300" t="s">
        <v>10</v>
      </c>
      <c r="F1300" s="7">
        <v>45486</v>
      </c>
      <c r="G1300" s="1">
        <v>45292</v>
      </c>
      <c r="H1300" s="14">
        <v>4239.3718999999992</v>
      </c>
      <c r="I1300">
        <v>1599537</v>
      </c>
      <c r="J1300" t="s">
        <v>86</v>
      </c>
      <c r="K1300" t="s">
        <v>94</v>
      </c>
      <c r="L1300" s="16" t="s">
        <v>10</v>
      </c>
    </row>
    <row r="1301" spans="1:12" x14ac:dyDescent="0.35">
      <c r="A1301" t="s">
        <v>8</v>
      </c>
      <c r="B1301" t="s">
        <v>100</v>
      </c>
      <c r="C1301" t="s">
        <v>95</v>
      </c>
      <c r="D1301" t="s">
        <v>10</v>
      </c>
      <c r="E1301" t="s">
        <v>10</v>
      </c>
      <c r="F1301" s="7">
        <v>45486</v>
      </c>
      <c r="G1301" s="1">
        <v>45292</v>
      </c>
      <c r="H1301" s="14">
        <v>7462.8800000000019</v>
      </c>
      <c r="I1301">
        <v>1499788</v>
      </c>
      <c r="J1301" t="s">
        <v>86</v>
      </c>
      <c r="K1301" t="s">
        <v>96</v>
      </c>
      <c r="L1301" s="16" t="s">
        <v>10</v>
      </c>
    </row>
    <row r="1302" spans="1:12" x14ac:dyDescent="0.35">
      <c r="A1302" t="s">
        <v>8</v>
      </c>
      <c r="B1302" t="s">
        <v>21</v>
      </c>
      <c r="C1302" t="s">
        <v>93</v>
      </c>
      <c r="D1302" t="s">
        <v>10</v>
      </c>
      <c r="E1302" t="s">
        <v>10</v>
      </c>
      <c r="F1302" s="7">
        <v>45486</v>
      </c>
      <c r="G1302" s="1">
        <v>45292</v>
      </c>
      <c r="H1302" s="14">
        <v>3508.3649</v>
      </c>
      <c r="I1302">
        <v>1100044</v>
      </c>
      <c r="J1302" t="s">
        <v>86</v>
      </c>
      <c r="K1302" t="s">
        <v>94</v>
      </c>
      <c r="L1302" s="16" t="s">
        <v>10</v>
      </c>
    </row>
    <row r="1303" spans="1:12" x14ac:dyDescent="0.35">
      <c r="A1303" t="s">
        <v>8</v>
      </c>
      <c r="B1303" t="s">
        <v>21</v>
      </c>
      <c r="C1303" t="s">
        <v>97</v>
      </c>
      <c r="D1303" t="s">
        <v>10</v>
      </c>
      <c r="E1303" t="s">
        <v>10</v>
      </c>
      <c r="F1303" s="7">
        <v>45486</v>
      </c>
      <c r="G1303" s="1">
        <v>45292</v>
      </c>
      <c r="H1303" s="14">
        <v>8831.6785</v>
      </c>
      <c r="I1303">
        <v>1039021</v>
      </c>
      <c r="J1303" t="s">
        <v>86</v>
      </c>
      <c r="K1303" t="s">
        <v>98</v>
      </c>
      <c r="L1303" s="16" t="s">
        <v>10</v>
      </c>
    </row>
    <row r="1304" spans="1:12" x14ac:dyDescent="0.35">
      <c r="A1304" t="s">
        <v>8</v>
      </c>
      <c r="B1304" t="s">
        <v>21</v>
      </c>
      <c r="C1304" t="s">
        <v>95</v>
      </c>
      <c r="D1304" t="s">
        <v>10</v>
      </c>
      <c r="E1304" t="s">
        <v>10</v>
      </c>
      <c r="F1304" s="7">
        <v>45486</v>
      </c>
      <c r="G1304" s="1">
        <v>45292</v>
      </c>
      <c r="H1304" s="14">
        <v>6438.6699999999973</v>
      </c>
      <c r="I1304">
        <v>966813</v>
      </c>
      <c r="J1304" t="s">
        <v>86</v>
      </c>
      <c r="K1304" t="s">
        <v>96</v>
      </c>
      <c r="L1304" s="16" t="s">
        <v>10</v>
      </c>
    </row>
    <row r="1305" spans="1:12" x14ac:dyDescent="0.35">
      <c r="A1305" t="s">
        <v>8</v>
      </c>
      <c r="B1305" t="s">
        <v>101</v>
      </c>
      <c r="C1305" t="s">
        <v>93</v>
      </c>
      <c r="D1305" t="s">
        <v>10</v>
      </c>
      <c r="E1305" t="s">
        <v>10</v>
      </c>
      <c r="F1305" s="7">
        <v>45486</v>
      </c>
      <c r="G1305" s="1">
        <v>45292</v>
      </c>
      <c r="H1305" s="14">
        <v>2265.7084000000004</v>
      </c>
      <c r="I1305">
        <v>712468</v>
      </c>
      <c r="J1305" t="s">
        <v>86</v>
      </c>
      <c r="K1305" t="s">
        <v>94</v>
      </c>
      <c r="L1305" s="16" t="s">
        <v>10</v>
      </c>
    </row>
    <row r="1306" spans="1:12" x14ac:dyDescent="0.35">
      <c r="A1306" t="s">
        <v>8</v>
      </c>
      <c r="B1306" t="s">
        <v>101</v>
      </c>
      <c r="C1306" t="s">
        <v>95</v>
      </c>
      <c r="D1306" t="s">
        <v>10</v>
      </c>
      <c r="E1306" t="s">
        <v>10</v>
      </c>
      <c r="F1306" s="7">
        <v>45486</v>
      </c>
      <c r="G1306" s="1">
        <v>45292</v>
      </c>
      <c r="H1306" s="14">
        <v>4142.4400000000014</v>
      </c>
      <c r="I1306">
        <v>568981</v>
      </c>
      <c r="J1306" t="s">
        <v>86</v>
      </c>
      <c r="K1306" t="s">
        <v>96</v>
      </c>
      <c r="L1306" s="16" t="s">
        <v>10</v>
      </c>
    </row>
    <row r="1307" spans="1:12" x14ac:dyDescent="0.35">
      <c r="A1307" t="s">
        <v>8</v>
      </c>
      <c r="B1307" t="s">
        <v>103</v>
      </c>
      <c r="C1307" t="s">
        <v>95</v>
      </c>
      <c r="D1307" t="s">
        <v>104</v>
      </c>
      <c r="E1307" t="s">
        <v>8</v>
      </c>
      <c r="F1307" s="7">
        <v>45486</v>
      </c>
      <c r="G1307" s="1">
        <v>45292</v>
      </c>
      <c r="H1307" s="14">
        <v>105.24838699999999</v>
      </c>
      <c r="I1307">
        <v>476</v>
      </c>
      <c r="J1307" t="s">
        <v>86</v>
      </c>
      <c r="K1307" t="s">
        <v>105</v>
      </c>
      <c r="L1307" s="16" t="s">
        <v>95</v>
      </c>
    </row>
    <row r="1308" spans="1:12" x14ac:dyDescent="0.35">
      <c r="A1308" t="s">
        <v>8</v>
      </c>
      <c r="B1308" t="s">
        <v>16</v>
      </c>
      <c r="C1308" t="s">
        <v>95</v>
      </c>
      <c r="D1308" t="s">
        <v>104</v>
      </c>
      <c r="E1308" t="s">
        <v>8</v>
      </c>
      <c r="F1308" s="7">
        <v>45486</v>
      </c>
      <c r="G1308" s="1">
        <v>45292</v>
      </c>
      <c r="H1308" s="14">
        <v>52.083331999999992</v>
      </c>
      <c r="I1308">
        <v>282</v>
      </c>
      <c r="J1308" t="s">
        <v>86</v>
      </c>
      <c r="K1308" t="s">
        <v>105</v>
      </c>
      <c r="L1308" s="16" t="s">
        <v>95</v>
      </c>
    </row>
    <row r="1309" spans="1:12" x14ac:dyDescent="0.35">
      <c r="A1309" t="s">
        <v>8</v>
      </c>
      <c r="B1309" t="s">
        <v>84</v>
      </c>
      <c r="C1309" t="s">
        <v>95</v>
      </c>
      <c r="D1309" t="s">
        <v>104</v>
      </c>
      <c r="E1309" t="s">
        <v>8</v>
      </c>
      <c r="F1309" s="7">
        <v>45486</v>
      </c>
      <c r="G1309" s="1">
        <v>45292</v>
      </c>
      <c r="H1309" s="14">
        <v>8017.4743689999987</v>
      </c>
      <c r="I1309">
        <v>31157</v>
      </c>
      <c r="J1309" t="s">
        <v>86</v>
      </c>
      <c r="K1309" t="s">
        <v>105</v>
      </c>
      <c r="L1309" s="16" t="s">
        <v>95</v>
      </c>
    </row>
    <row r="1310" spans="1:12" x14ac:dyDescent="0.35">
      <c r="A1310" t="s">
        <v>8</v>
      </c>
      <c r="B1310" t="s">
        <v>17</v>
      </c>
      <c r="C1310" t="s">
        <v>95</v>
      </c>
      <c r="D1310" t="s">
        <v>104</v>
      </c>
      <c r="E1310" t="s">
        <v>8</v>
      </c>
      <c r="F1310" s="7">
        <v>45486</v>
      </c>
      <c r="G1310" s="1">
        <v>45292</v>
      </c>
      <c r="H1310" s="14">
        <v>119.52000000000001</v>
      </c>
      <c r="I1310">
        <v>960</v>
      </c>
      <c r="J1310" t="s">
        <v>86</v>
      </c>
      <c r="K1310" t="s">
        <v>105</v>
      </c>
      <c r="L1310" s="16" t="s">
        <v>95</v>
      </c>
    </row>
    <row r="1311" spans="1:12" x14ac:dyDescent="0.35">
      <c r="A1311" t="s">
        <v>8</v>
      </c>
      <c r="B1311" t="s">
        <v>106</v>
      </c>
      <c r="C1311" t="s">
        <v>95</v>
      </c>
      <c r="D1311" t="s">
        <v>104</v>
      </c>
      <c r="E1311" t="s">
        <v>8</v>
      </c>
      <c r="F1311" s="7">
        <v>45486</v>
      </c>
      <c r="G1311" s="1">
        <v>45292</v>
      </c>
      <c r="H1311" s="14">
        <v>316.50627500000002</v>
      </c>
      <c r="I1311">
        <v>734</v>
      </c>
      <c r="J1311" t="s">
        <v>86</v>
      </c>
      <c r="K1311" t="s">
        <v>105</v>
      </c>
      <c r="L1311" s="16" t="s">
        <v>95</v>
      </c>
    </row>
    <row r="1312" spans="1:12" x14ac:dyDescent="0.35">
      <c r="A1312" t="s">
        <v>8</v>
      </c>
      <c r="B1312" t="s">
        <v>92</v>
      </c>
      <c r="C1312" t="s">
        <v>95</v>
      </c>
      <c r="D1312" t="s">
        <v>104</v>
      </c>
      <c r="E1312" t="s">
        <v>8</v>
      </c>
      <c r="F1312" s="7">
        <v>45486</v>
      </c>
      <c r="G1312" s="1">
        <v>45292</v>
      </c>
      <c r="H1312" s="14">
        <v>355</v>
      </c>
      <c r="I1312">
        <v>2502</v>
      </c>
      <c r="J1312" t="s">
        <v>86</v>
      </c>
      <c r="K1312" t="s">
        <v>105</v>
      </c>
      <c r="L1312" s="16" t="s">
        <v>95</v>
      </c>
    </row>
    <row r="1313" spans="1:12" x14ac:dyDescent="0.35">
      <c r="A1313" t="s">
        <v>8</v>
      </c>
      <c r="B1313" t="s">
        <v>21</v>
      </c>
      <c r="C1313" t="s">
        <v>95</v>
      </c>
      <c r="D1313" t="s">
        <v>104</v>
      </c>
      <c r="E1313" t="s">
        <v>8</v>
      </c>
      <c r="F1313" s="7">
        <v>45486</v>
      </c>
      <c r="G1313" s="1">
        <v>45292</v>
      </c>
      <c r="H1313" s="14">
        <v>260.88</v>
      </c>
      <c r="I1313">
        <v>1946</v>
      </c>
      <c r="J1313" t="s">
        <v>86</v>
      </c>
      <c r="K1313" t="s">
        <v>105</v>
      </c>
      <c r="L1313" s="16" t="s">
        <v>95</v>
      </c>
    </row>
    <row r="1314" spans="1:12" x14ac:dyDescent="0.35">
      <c r="A1314" t="s">
        <v>8</v>
      </c>
      <c r="B1314" t="s">
        <v>101</v>
      </c>
      <c r="C1314" t="s">
        <v>95</v>
      </c>
      <c r="D1314" t="s">
        <v>104</v>
      </c>
      <c r="E1314" t="s">
        <v>8</v>
      </c>
      <c r="F1314" s="7">
        <v>45486</v>
      </c>
      <c r="G1314" s="1">
        <v>45292</v>
      </c>
      <c r="H1314" s="14">
        <v>139.88</v>
      </c>
      <c r="I1314">
        <v>677</v>
      </c>
      <c r="J1314" t="s">
        <v>86</v>
      </c>
      <c r="K1314" t="s">
        <v>105</v>
      </c>
      <c r="L1314" s="16" t="s">
        <v>95</v>
      </c>
    </row>
    <row r="1315" spans="1:12" x14ac:dyDescent="0.35">
      <c r="A1315" t="s">
        <v>8</v>
      </c>
      <c r="B1315" t="s">
        <v>99</v>
      </c>
      <c r="C1315" t="s">
        <v>95</v>
      </c>
      <c r="D1315" t="s">
        <v>104</v>
      </c>
      <c r="E1315" t="s">
        <v>8</v>
      </c>
      <c r="F1315" s="7">
        <v>45486</v>
      </c>
      <c r="G1315" s="1">
        <v>45292</v>
      </c>
      <c r="H1315" s="14">
        <v>76.45</v>
      </c>
      <c r="I1315">
        <v>610</v>
      </c>
      <c r="J1315" t="s">
        <v>86</v>
      </c>
      <c r="K1315" t="s">
        <v>105</v>
      </c>
      <c r="L1315" s="16" t="s">
        <v>95</v>
      </c>
    </row>
    <row r="1316" spans="1:12" x14ac:dyDescent="0.35">
      <c r="A1316" t="s">
        <v>8</v>
      </c>
      <c r="B1316" t="s">
        <v>102</v>
      </c>
      <c r="C1316" t="s">
        <v>95</v>
      </c>
      <c r="D1316" t="s">
        <v>104</v>
      </c>
      <c r="E1316" t="s">
        <v>8</v>
      </c>
      <c r="F1316" s="7">
        <v>45486</v>
      </c>
      <c r="G1316" s="1">
        <v>45292</v>
      </c>
      <c r="H1316" s="14">
        <v>176.42</v>
      </c>
      <c r="I1316">
        <v>961</v>
      </c>
      <c r="J1316" t="s">
        <v>86</v>
      </c>
      <c r="K1316" t="s">
        <v>105</v>
      </c>
      <c r="L1316" s="16" t="s">
        <v>95</v>
      </c>
    </row>
    <row r="1317" spans="1:12" x14ac:dyDescent="0.35">
      <c r="A1317" t="s">
        <v>8</v>
      </c>
      <c r="B1317" t="s">
        <v>100</v>
      </c>
      <c r="C1317" t="s">
        <v>95</v>
      </c>
      <c r="D1317" t="s">
        <v>104</v>
      </c>
      <c r="E1317" t="s">
        <v>8</v>
      </c>
      <c r="F1317" s="7">
        <v>45486</v>
      </c>
      <c r="G1317" s="1">
        <v>45292</v>
      </c>
      <c r="H1317" s="14">
        <v>156.41</v>
      </c>
      <c r="I1317">
        <v>1032</v>
      </c>
      <c r="J1317" t="s">
        <v>86</v>
      </c>
      <c r="K1317" t="s">
        <v>105</v>
      </c>
      <c r="L1317" s="16" t="s">
        <v>95</v>
      </c>
    </row>
    <row r="1318" spans="1:12" x14ac:dyDescent="0.35">
      <c r="A1318" t="s">
        <v>8</v>
      </c>
      <c r="B1318" t="s">
        <v>20</v>
      </c>
      <c r="C1318" t="s">
        <v>85</v>
      </c>
      <c r="D1318" t="s">
        <v>9</v>
      </c>
      <c r="E1318" t="s">
        <v>10</v>
      </c>
      <c r="F1318" s="7">
        <v>45493</v>
      </c>
      <c r="G1318" s="1">
        <v>45292</v>
      </c>
      <c r="H1318" s="14">
        <v>63609.289988000004</v>
      </c>
      <c r="I1318">
        <v>9444788</v>
      </c>
      <c r="J1318" t="s">
        <v>86</v>
      </c>
      <c r="K1318" t="s">
        <v>87</v>
      </c>
      <c r="L1318" s="16" t="s">
        <v>9</v>
      </c>
    </row>
    <row r="1319" spans="1:12" x14ac:dyDescent="0.35">
      <c r="A1319" t="s">
        <v>8</v>
      </c>
      <c r="B1319" t="s">
        <v>20</v>
      </c>
      <c r="C1319" t="s">
        <v>85</v>
      </c>
      <c r="D1319" t="s">
        <v>9</v>
      </c>
      <c r="E1319" t="s">
        <v>11</v>
      </c>
      <c r="F1319" s="7">
        <v>45493</v>
      </c>
      <c r="G1319" s="1">
        <v>45292</v>
      </c>
      <c r="H1319" s="14">
        <v>19835.46</v>
      </c>
      <c r="I1319">
        <v>2067453</v>
      </c>
      <c r="J1319" t="s">
        <v>86</v>
      </c>
      <c r="K1319" t="s">
        <v>87</v>
      </c>
      <c r="L1319" s="16" t="s">
        <v>9</v>
      </c>
    </row>
    <row r="1320" spans="1:12" x14ac:dyDescent="0.35">
      <c r="A1320" t="s">
        <v>8</v>
      </c>
      <c r="B1320" t="s">
        <v>92</v>
      </c>
      <c r="C1320" t="s">
        <v>93</v>
      </c>
      <c r="D1320" t="s">
        <v>10</v>
      </c>
      <c r="E1320" t="s">
        <v>10</v>
      </c>
      <c r="F1320" s="7">
        <v>45493</v>
      </c>
      <c r="G1320" s="1">
        <v>45292</v>
      </c>
      <c r="H1320" s="14">
        <v>4188.5794999999998</v>
      </c>
      <c r="I1320">
        <v>952207</v>
      </c>
      <c r="J1320" t="s">
        <v>86</v>
      </c>
      <c r="K1320" t="s">
        <v>94</v>
      </c>
      <c r="L1320" s="16" t="s">
        <v>10</v>
      </c>
    </row>
    <row r="1321" spans="1:12" x14ac:dyDescent="0.35">
      <c r="A1321" t="s">
        <v>8</v>
      </c>
      <c r="B1321" t="s">
        <v>92</v>
      </c>
      <c r="C1321" t="s">
        <v>95</v>
      </c>
      <c r="D1321" t="s">
        <v>10</v>
      </c>
      <c r="E1321" t="s">
        <v>10</v>
      </c>
      <c r="F1321" s="7">
        <v>45493</v>
      </c>
      <c r="G1321" s="1">
        <v>45292</v>
      </c>
      <c r="H1321" s="14">
        <v>41172.98000000001</v>
      </c>
      <c r="I1321">
        <v>2973413</v>
      </c>
      <c r="J1321" t="s">
        <v>86</v>
      </c>
      <c r="K1321" t="s">
        <v>96</v>
      </c>
      <c r="L1321" s="16" t="s">
        <v>10</v>
      </c>
    </row>
    <row r="1322" spans="1:12" x14ac:dyDescent="0.35">
      <c r="A1322" t="s">
        <v>8</v>
      </c>
      <c r="B1322" t="s">
        <v>84</v>
      </c>
      <c r="C1322" t="s">
        <v>93</v>
      </c>
      <c r="D1322" t="s">
        <v>10</v>
      </c>
      <c r="E1322" t="s">
        <v>10</v>
      </c>
      <c r="F1322" s="7">
        <v>45493</v>
      </c>
      <c r="G1322" s="1">
        <v>45292</v>
      </c>
      <c r="H1322" s="14">
        <v>40342.340600000003</v>
      </c>
      <c r="I1322">
        <v>8721859</v>
      </c>
      <c r="J1322" t="s">
        <v>86</v>
      </c>
      <c r="K1322" t="s">
        <v>94</v>
      </c>
      <c r="L1322" s="16" t="s">
        <v>10</v>
      </c>
    </row>
    <row r="1323" spans="1:12" x14ac:dyDescent="0.35">
      <c r="A1323" t="s">
        <v>8</v>
      </c>
      <c r="B1323" t="s">
        <v>84</v>
      </c>
      <c r="C1323" t="s">
        <v>97</v>
      </c>
      <c r="D1323" t="s">
        <v>10</v>
      </c>
      <c r="E1323" t="s">
        <v>10</v>
      </c>
      <c r="F1323" s="7">
        <v>45493</v>
      </c>
      <c r="G1323" s="1">
        <v>45292</v>
      </c>
      <c r="H1323" s="14">
        <v>1821.8292000000001</v>
      </c>
      <c r="I1323">
        <v>591250</v>
      </c>
      <c r="J1323" t="s">
        <v>86</v>
      </c>
      <c r="K1323" t="s">
        <v>98</v>
      </c>
      <c r="L1323" s="16" t="s">
        <v>10</v>
      </c>
    </row>
    <row r="1324" spans="1:12" x14ac:dyDescent="0.35">
      <c r="A1324" t="s">
        <v>8</v>
      </c>
      <c r="B1324" t="s">
        <v>84</v>
      </c>
      <c r="C1324" t="s">
        <v>95</v>
      </c>
      <c r="D1324" t="s">
        <v>10</v>
      </c>
      <c r="E1324" t="s">
        <v>10</v>
      </c>
      <c r="F1324" s="7">
        <v>45493</v>
      </c>
      <c r="G1324" s="1">
        <v>45292</v>
      </c>
      <c r="H1324" s="14">
        <v>51930.590000000011</v>
      </c>
      <c r="I1324">
        <v>3148777</v>
      </c>
      <c r="J1324" t="s">
        <v>86</v>
      </c>
      <c r="K1324" t="s">
        <v>96</v>
      </c>
      <c r="L1324" s="16" t="s">
        <v>10</v>
      </c>
    </row>
    <row r="1325" spans="1:12" x14ac:dyDescent="0.35">
      <c r="A1325" t="s">
        <v>8</v>
      </c>
      <c r="B1325" t="s">
        <v>17</v>
      </c>
      <c r="C1325" t="s">
        <v>93</v>
      </c>
      <c r="D1325" t="s">
        <v>10</v>
      </c>
      <c r="E1325" t="s">
        <v>10</v>
      </c>
      <c r="F1325" s="7">
        <v>45493</v>
      </c>
      <c r="G1325" s="1">
        <v>45292</v>
      </c>
      <c r="H1325" s="14">
        <v>3985.3638000000019</v>
      </c>
      <c r="I1325">
        <v>927020</v>
      </c>
      <c r="J1325" t="s">
        <v>86</v>
      </c>
      <c r="K1325" t="s">
        <v>94</v>
      </c>
      <c r="L1325" s="16" t="s">
        <v>10</v>
      </c>
    </row>
    <row r="1326" spans="1:12" x14ac:dyDescent="0.35">
      <c r="A1326" t="s">
        <v>8</v>
      </c>
      <c r="B1326" t="s">
        <v>17</v>
      </c>
      <c r="C1326" t="s">
        <v>95</v>
      </c>
      <c r="D1326" t="s">
        <v>10</v>
      </c>
      <c r="E1326" t="s">
        <v>10</v>
      </c>
      <c r="F1326" s="7">
        <v>45493</v>
      </c>
      <c r="G1326" s="1">
        <v>45292</v>
      </c>
      <c r="H1326" s="14">
        <v>119138.89999999997</v>
      </c>
      <c r="I1326">
        <v>10577276</v>
      </c>
      <c r="J1326" t="s">
        <v>86</v>
      </c>
      <c r="K1326" t="s">
        <v>96</v>
      </c>
      <c r="L1326" s="16" t="s">
        <v>10</v>
      </c>
    </row>
    <row r="1327" spans="1:12" x14ac:dyDescent="0.35">
      <c r="A1327" t="s">
        <v>8</v>
      </c>
      <c r="B1327" t="s">
        <v>99</v>
      </c>
      <c r="C1327" t="s">
        <v>93</v>
      </c>
      <c r="D1327" t="s">
        <v>10</v>
      </c>
      <c r="E1327" t="s">
        <v>10</v>
      </c>
      <c r="F1327" s="7">
        <v>45493</v>
      </c>
      <c r="G1327" s="1">
        <v>45292</v>
      </c>
      <c r="H1327" s="14">
        <v>2709.2779</v>
      </c>
      <c r="I1327">
        <v>224649</v>
      </c>
      <c r="J1327" t="s">
        <v>86</v>
      </c>
      <c r="K1327" t="s">
        <v>94</v>
      </c>
      <c r="L1327" s="16" t="s">
        <v>10</v>
      </c>
    </row>
    <row r="1328" spans="1:12" x14ac:dyDescent="0.35">
      <c r="A1328" t="s">
        <v>8</v>
      </c>
      <c r="B1328" t="s">
        <v>99</v>
      </c>
      <c r="C1328" t="s">
        <v>95</v>
      </c>
      <c r="D1328" t="s">
        <v>10</v>
      </c>
      <c r="E1328" t="s">
        <v>10</v>
      </c>
      <c r="F1328" s="7">
        <v>45493</v>
      </c>
      <c r="G1328" s="1">
        <v>45292</v>
      </c>
      <c r="H1328" s="14">
        <v>44521.04</v>
      </c>
      <c r="I1328">
        <v>6767775</v>
      </c>
      <c r="J1328" t="s">
        <v>86</v>
      </c>
      <c r="K1328" t="s">
        <v>96</v>
      </c>
      <c r="L1328" s="16" t="s">
        <v>10</v>
      </c>
    </row>
    <row r="1329" spans="1:12" x14ac:dyDescent="0.35">
      <c r="A1329" t="s">
        <v>8</v>
      </c>
      <c r="B1329" t="s">
        <v>100</v>
      </c>
      <c r="C1329" t="s">
        <v>93</v>
      </c>
      <c r="D1329" t="s">
        <v>10</v>
      </c>
      <c r="E1329" t="s">
        <v>10</v>
      </c>
      <c r="F1329" s="7">
        <v>45493</v>
      </c>
      <c r="G1329" s="1">
        <v>45292</v>
      </c>
      <c r="H1329" s="14">
        <v>3059.0468000000001</v>
      </c>
      <c r="I1329">
        <v>917642</v>
      </c>
      <c r="J1329" t="s">
        <v>86</v>
      </c>
      <c r="K1329" t="s">
        <v>94</v>
      </c>
      <c r="L1329" s="16" t="s">
        <v>10</v>
      </c>
    </row>
    <row r="1330" spans="1:12" x14ac:dyDescent="0.35">
      <c r="A1330" t="s">
        <v>8</v>
      </c>
      <c r="B1330" t="s">
        <v>100</v>
      </c>
      <c r="C1330" t="s">
        <v>95</v>
      </c>
      <c r="D1330" t="s">
        <v>10</v>
      </c>
      <c r="E1330" t="s">
        <v>10</v>
      </c>
      <c r="F1330" s="7">
        <v>45493</v>
      </c>
      <c r="G1330" s="1">
        <v>45292</v>
      </c>
      <c r="H1330" s="14">
        <v>7504.079999999999</v>
      </c>
      <c r="I1330">
        <v>2222193</v>
      </c>
      <c r="J1330" t="s">
        <v>86</v>
      </c>
      <c r="K1330" t="s">
        <v>96</v>
      </c>
      <c r="L1330" s="16" t="s">
        <v>10</v>
      </c>
    </row>
    <row r="1331" spans="1:12" x14ac:dyDescent="0.35">
      <c r="A1331" t="s">
        <v>8</v>
      </c>
      <c r="B1331" t="s">
        <v>21</v>
      </c>
      <c r="C1331" t="s">
        <v>93</v>
      </c>
      <c r="D1331" t="s">
        <v>10</v>
      </c>
      <c r="E1331" t="s">
        <v>10</v>
      </c>
      <c r="F1331" s="7">
        <v>45493</v>
      </c>
      <c r="G1331" s="1">
        <v>45292</v>
      </c>
      <c r="H1331" s="14">
        <v>2499.0062000000003</v>
      </c>
      <c r="I1331">
        <v>741311</v>
      </c>
      <c r="J1331" t="s">
        <v>86</v>
      </c>
      <c r="K1331" t="s">
        <v>94</v>
      </c>
      <c r="L1331" s="16" t="s">
        <v>10</v>
      </c>
    </row>
    <row r="1332" spans="1:12" x14ac:dyDescent="0.35">
      <c r="A1332" t="s">
        <v>8</v>
      </c>
      <c r="B1332" t="s">
        <v>21</v>
      </c>
      <c r="C1332" t="s">
        <v>97</v>
      </c>
      <c r="D1332" t="s">
        <v>10</v>
      </c>
      <c r="E1332" t="s">
        <v>10</v>
      </c>
      <c r="F1332" s="7">
        <v>45493</v>
      </c>
      <c r="G1332" s="1">
        <v>45292</v>
      </c>
      <c r="H1332" s="14">
        <v>8527.2424999999985</v>
      </c>
      <c r="I1332">
        <v>1003205</v>
      </c>
      <c r="J1332" t="s">
        <v>86</v>
      </c>
      <c r="K1332" t="s">
        <v>98</v>
      </c>
      <c r="L1332" s="16" t="s">
        <v>10</v>
      </c>
    </row>
    <row r="1333" spans="1:12" x14ac:dyDescent="0.35">
      <c r="A1333" t="s">
        <v>8</v>
      </c>
      <c r="B1333" t="s">
        <v>21</v>
      </c>
      <c r="C1333" t="s">
        <v>95</v>
      </c>
      <c r="D1333" t="s">
        <v>10</v>
      </c>
      <c r="E1333" t="s">
        <v>10</v>
      </c>
      <c r="F1333" s="7">
        <v>45493</v>
      </c>
      <c r="G1333" s="1">
        <v>45292</v>
      </c>
      <c r="H1333" s="14">
        <v>30519.24</v>
      </c>
      <c r="I1333">
        <v>2059122</v>
      </c>
      <c r="J1333" t="s">
        <v>86</v>
      </c>
      <c r="K1333" t="s">
        <v>96</v>
      </c>
      <c r="L1333" s="16" t="s">
        <v>10</v>
      </c>
    </row>
    <row r="1334" spans="1:12" x14ac:dyDescent="0.35">
      <c r="A1334" t="s">
        <v>8</v>
      </c>
      <c r="B1334" t="s">
        <v>101</v>
      </c>
      <c r="C1334" t="s">
        <v>93</v>
      </c>
      <c r="D1334" t="s">
        <v>10</v>
      </c>
      <c r="E1334" t="s">
        <v>10</v>
      </c>
      <c r="F1334" s="7">
        <v>45493</v>
      </c>
      <c r="G1334" s="1">
        <v>45292</v>
      </c>
      <c r="H1334" s="14">
        <v>1556.7872999999997</v>
      </c>
      <c r="I1334">
        <v>381910</v>
      </c>
      <c r="J1334" t="s">
        <v>86</v>
      </c>
      <c r="K1334" t="s">
        <v>94</v>
      </c>
      <c r="L1334" s="16" t="s">
        <v>10</v>
      </c>
    </row>
    <row r="1335" spans="1:12" x14ac:dyDescent="0.35">
      <c r="A1335" t="s">
        <v>8</v>
      </c>
      <c r="B1335" t="s">
        <v>101</v>
      </c>
      <c r="C1335" t="s">
        <v>95</v>
      </c>
      <c r="D1335" t="s">
        <v>10</v>
      </c>
      <c r="E1335" t="s">
        <v>10</v>
      </c>
      <c r="F1335" s="7">
        <v>45493</v>
      </c>
      <c r="G1335" s="1">
        <v>45292</v>
      </c>
      <c r="H1335" s="14">
        <v>4099.0800000000008</v>
      </c>
      <c r="I1335">
        <v>941940</v>
      </c>
      <c r="J1335" t="s">
        <v>86</v>
      </c>
      <c r="K1335" t="s">
        <v>96</v>
      </c>
      <c r="L1335" s="16" t="s">
        <v>10</v>
      </c>
    </row>
    <row r="1336" spans="1:12" x14ac:dyDescent="0.35">
      <c r="A1336" t="s">
        <v>8</v>
      </c>
      <c r="B1336" t="s">
        <v>102</v>
      </c>
      <c r="C1336" t="s">
        <v>95</v>
      </c>
      <c r="D1336" t="s">
        <v>10</v>
      </c>
      <c r="E1336" t="s">
        <v>10</v>
      </c>
      <c r="F1336" s="7">
        <v>45493</v>
      </c>
      <c r="G1336" s="1">
        <v>45292</v>
      </c>
      <c r="H1336" s="14">
        <v>0.74</v>
      </c>
      <c r="I1336">
        <v>730</v>
      </c>
      <c r="J1336" t="s">
        <v>86</v>
      </c>
      <c r="K1336" t="s">
        <v>96</v>
      </c>
      <c r="L1336" s="16" t="s">
        <v>10</v>
      </c>
    </row>
    <row r="1337" spans="1:12" x14ac:dyDescent="0.35">
      <c r="A1337" t="s">
        <v>8</v>
      </c>
      <c r="B1337" t="s">
        <v>103</v>
      </c>
      <c r="C1337" t="s">
        <v>95</v>
      </c>
      <c r="D1337" t="s">
        <v>104</v>
      </c>
      <c r="E1337" t="s">
        <v>8</v>
      </c>
      <c r="F1337" s="7">
        <v>45493</v>
      </c>
      <c r="G1337" s="1">
        <v>45292</v>
      </c>
      <c r="H1337" s="14">
        <v>68.720000000000013</v>
      </c>
      <c r="I1337">
        <v>360</v>
      </c>
      <c r="J1337" t="s">
        <v>86</v>
      </c>
      <c r="K1337" t="s">
        <v>105</v>
      </c>
      <c r="L1337" s="16" t="s">
        <v>95</v>
      </c>
    </row>
    <row r="1338" spans="1:12" x14ac:dyDescent="0.35">
      <c r="A1338" t="s">
        <v>8</v>
      </c>
      <c r="B1338" t="s">
        <v>16</v>
      </c>
      <c r="C1338" t="s">
        <v>95</v>
      </c>
      <c r="D1338" t="s">
        <v>104</v>
      </c>
      <c r="E1338" t="s">
        <v>8</v>
      </c>
      <c r="F1338" s="7">
        <v>45493</v>
      </c>
      <c r="G1338" s="1">
        <v>45292</v>
      </c>
      <c r="H1338" s="14">
        <v>45.66</v>
      </c>
      <c r="I1338">
        <v>217</v>
      </c>
      <c r="J1338" t="s">
        <v>86</v>
      </c>
      <c r="K1338" t="s">
        <v>105</v>
      </c>
      <c r="L1338" s="16" t="s">
        <v>95</v>
      </c>
    </row>
    <row r="1339" spans="1:12" x14ac:dyDescent="0.35">
      <c r="A1339" t="s">
        <v>8</v>
      </c>
      <c r="B1339" t="s">
        <v>84</v>
      </c>
      <c r="C1339" t="s">
        <v>95</v>
      </c>
      <c r="D1339" t="s">
        <v>104</v>
      </c>
      <c r="E1339" t="s">
        <v>8</v>
      </c>
      <c r="F1339" s="7">
        <v>45493</v>
      </c>
      <c r="G1339" s="1">
        <v>45292</v>
      </c>
      <c r="H1339" s="14">
        <v>8550.2894309999992</v>
      </c>
      <c r="I1339">
        <v>31677</v>
      </c>
      <c r="J1339" t="s">
        <v>86</v>
      </c>
      <c r="K1339" t="s">
        <v>105</v>
      </c>
      <c r="L1339" s="16" t="s">
        <v>95</v>
      </c>
    </row>
    <row r="1340" spans="1:12" x14ac:dyDescent="0.35">
      <c r="A1340" t="s">
        <v>8</v>
      </c>
      <c r="B1340" t="s">
        <v>17</v>
      </c>
      <c r="C1340" t="s">
        <v>95</v>
      </c>
      <c r="D1340" t="s">
        <v>104</v>
      </c>
      <c r="E1340" t="s">
        <v>8</v>
      </c>
      <c r="F1340" s="7">
        <v>45493</v>
      </c>
      <c r="G1340" s="1">
        <v>45292</v>
      </c>
      <c r="H1340" s="14">
        <v>134.274237</v>
      </c>
      <c r="I1340">
        <v>928</v>
      </c>
      <c r="J1340" t="s">
        <v>86</v>
      </c>
      <c r="K1340" t="s">
        <v>105</v>
      </c>
      <c r="L1340" s="16" t="s">
        <v>95</v>
      </c>
    </row>
    <row r="1341" spans="1:12" x14ac:dyDescent="0.35">
      <c r="A1341" t="s">
        <v>8</v>
      </c>
      <c r="B1341" t="s">
        <v>106</v>
      </c>
      <c r="C1341" t="s">
        <v>95</v>
      </c>
      <c r="D1341" t="s">
        <v>104</v>
      </c>
      <c r="E1341" t="s">
        <v>8</v>
      </c>
      <c r="F1341" s="7">
        <v>45493</v>
      </c>
      <c r="G1341" s="1">
        <v>45292</v>
      </c>
      <c r="H1341" s="14">
        <v>93.72</v>
      </c>
      <c r="I1341">
        <v>289</v>
      </c>
      <c r="J1341" t="s">
        <v>86</v>
      </c>
      <c r="K1341" t="s">
        <v>105</v>
      </c>
      <c r="L1341" s="16" t="s">
        <v>95</v>
      </c>
    </row>
    <row r="1342" spans="1:12" x14ac:dyDescent="0.35">
      <c r="A1342" t="s">
        <v>8</v>
      </c>
      <c r="B1342" t="s">
        <v>92</v>
      </c>
      <c r="C1342" t="s">
        <v>95</v>
      </c>
      <c r="D1342" t="s">
        <v>104</v>
      </c>
      <c r="E1342" t="s">
        <v>8</v>
      </c>
      <c r="F1342" s="7">
        <v>45493</v>
      </c>
      <c r="G1342" s="1">
        <v>45292</v>
      </c>
      <c r="H1342" s="14">
        <v>355.05</v>
      </c>
      <c r="I1342">
        <v>2468</v>
      </c>
      <c r="J1342" t="s">
        <v>86</v>
      </c>
      <c r="K1342" t="s">
        <v>105</v>
      </c>
      <c r="L1342" s="16" t="s">
        <v>95</v>
      </c>
    </row>
    <row r="1343" spans="1:12" x14ac:dyDescent="0.35">
      <c r="A1343" t="s">
        <v>8</v>
      </c>
      <c r="B1343" t="s">
        <v>21</v>
      </c>
      <c r="C1343" t="s">
        <v>95</v>
      </c>
      <c r="D1343" t="s">
        <v>104</v>
      </c>
      <c r="E1343" t="s">
        <v>8</v>
      </c>
      <c r="F1343" s="7">
        <v>45493</v>
      </c>
      <c r="G1343" s="1">
        <v>45292</v>
      </c>
      <c r="H1343" s="14">
        <v>211.92</v>
      </c>
      <c r="I1343">
        <v>1605</v>
      </c>
      <c r="J1343" t="s">
        <v>86</v>
      </c>
      <c r="K1343" t="s">
        <v>105</v>
      </c>
      <c r="L1343" s="16" t="s">
        <v>95</v>
      </c>
    </row>
    <row r="1344" spans="1:12" x14ac:dyDescent="0.35">
      <c r="A1344" t="s">
        <v>8</v>
      </c>
      <c r="B1344" t="s">
        <v>101</v>
      </c>
      <c r="C1344" t="s">
        <v>95</v>
      </c>
      <c r="D1344" t="s">
        <v>104</v>
      </c>
      <c r="E1344" t="s">
        <v>8</v>
      </c>
      <c r="F1344" s="7">
        <v>45493</v>
      </c>
      <c r="G1344" s="1">
        <v>45292</v>
      </c>
      <c r="H1344" s="14">
        <v>89.74</v>
      </c>
      <c r="I1344">
        <v>584</v>
      </c>
      <c r="J1344" t="s">
        <v>86</v>
      </c>
      <c r="K1344" t="s">
        <v>105</v>
      </c>
      <c r="L1344" s="16" t="s">
        <v>95</v>
      </c>
    </row>
    <row r="1345" spans="1:12" x14ac:dyDescent="0.35">
      <c r="A1345" t="s">
        <v>8</v>
      </c>
      <c r="B1345" t="s">
        <v>99</v>
      </c>
      <c r="C1345" t="s">
        <v>95</v>
      </c>
      <c r="D1345" t="s">
        <v>104</v>
      </c>
      <c r="E1345" t="s">
        <v>8</v>
      </c>
      <c r="F1345" s="7">
        <v>45493</v>
      </c>
      <c r="G1345" s="1">
        <v>45292</v>
      </c>
      <c r="H1345" s="14">
        <v>95.04</v>
      </c>
      <c r="I1345">
        <v>577</v>
      </c>
      <c r="J1345" t="s">
        <v>86</v>
      </c>
      <c r="K1345" t="s">
        <v>105</v>
      </c>
      <c r="L1345" s="16" t="s">
        <v>95</v>
      </c>
    </row>
    <row r="1346" spans="1:12" x14ac:dyDescent="0.35">
      <c r="A1346" t="s">
        <v>8</v>
      </c>
      <c r="B1346" t="s">
        <v>102</v>
      </c>
      <c r="C1346" t="s">
        <v>95</v>
      </c>
      <c r="D1346" t="s">
        <v>104</v>
      </c>
      <c r="E1346" t="s">
        <v>8</v>
      </c>
      <c r="F1346" s="7">
        <v>45493</v>
      </c>
      <c r="G1346" s="1">
        <v>45292</v>
      </c>
      <c r="H1346" s="14">
        <v>124.46999999999997</v>
      </c>
      <c r="I1346">
        <v>897</v>
      </c>
      <c r="J1346" t="s">
        <v>86</v>
      </c>
      <c r="K1346" t="s">
        <v>105</v>
      </c>
      <c r="L1346" s="16" t="s">
        <v>95</v>
      </c>
    </row>
    <row r="1347" spans="1:12" x14ac:dyDescent="0.35">
      <c r="A1347" t="s">
        <v>8</v>
      </c>
      <c r="B1347" t="s">
        <v>100</v>
      </c>
      <c r="C1347" t="s">
        <v>95</v>
      </c>
      <c r="D1347" t="s">
        <v>104</v>
      </c>
      <c r="E1347" t="s">
        <v>8</v>
      </c>
      <c r="F1347" s="7">
        <v>45493</v>
      </c>
      <c r="G1347" s="1">
        <v>45292</v>
      </c>
      <c r="H1347" s="14">
        <v>146.55000000000001</v>
      </c>
      <c r="I1347">
        <v>990</v>
      </c>
      <c r="J1347" t="s">
        <v>86</v>
      </c>
      <c r="K1347" t="s">
        <v>105</v>
      </c>
      <c r="L1347" s="16" t="s">
        <v>95</v>
      </c>
    </row>
    <row r="1348" spans="1:12" x14ac:dyDescent="0.35">
      <c r="A1348" t="s">
        <v>8</v>
      </c>
      <c r="B1348" t="s">
        <v>92</v>
      </c>
      <c r="C1348" t="s">
        <v>93</v>
      </c>
      <c r="D1348" t="s">
        <v>10</v>
      </c>
      <c r="E1348" t="s">
        <v>10</v>
      </c>
      <c r="F1348" s="7">
        <v>45500</v>
      </c>
      <c r="G1348" s="1">
        <v>45292</v>
      </c>
      <c r="H1348" s="14">
        <v>6465.9066000000003</v>
      </c>
      <c r="I1348">
        <v>1884488</v>
      </c>
      <c r="J1348" t="s">
        <v>86</v>
      </c>
      <c r="K1348" t="s">
        <v>94</v>
      </c>
      <c r="L1348" s="16" t="s">
        <v>10</v>
      </c>
    </row>
    <row r="1349" spans="1:12" x14ac:dyDescent="0.35">
      <c r="A1349" t="s">
        <v>8</v>
      </c>
      <c r="B1349" t="s">
        <v>92</v>
      </c>
      <c r="C1349" t="s">
        <v>95</v>
      </c>
      <c r="D1349" t="s">
        <v>10</v>
      </c>
      <c r="E1349" t="s">
        <v>10</v>
      </c>
      <c r="F1349" s="7">
        <v>45500</v>
      </c>
      <c r="G1349" s="1">
        <v>45292</v>
      </c>
      <c r="H1349" s="14">
        <v>5564.21</v>
      </c>
      <c r="I1349">
        <v>740739</v>
      </c>
      <c r="J1349" t="s">
        <v>86</v>
      </c>
      <c r="K1349" t="s">
        <v>96</v>
      </c>
      <c r="L1349" s="16" t="s">
        <v>10</v>
      </c>
    </row>
    <row r="1350" spans="1:12" x14ac:dyDescent="0.35">
      <c r="A1350" t="s">
        <v>8</v>
      </c>
      <c r="B1350" t="s">
        <v>84</v>
      </c>
      <c r="C1350" t="s">
        <v>93</v>
      </c>
      <c r="D1350" t="s">
        <v>10</v>
      </c>
      <c r="E1350" t="s">
        <v>10</v>
      </c>
      <c r="F1350" s="7">
        <v>45500</v>
      </c>
      <c r="G1350" s="1">
        <v>45292</v>
      </c>
      <c r="H1350" s="14">
        <v>11731.0458</v>
      </c>
      <c r="I1350">
        <v>5503471</v>
      </c>
      <c r="J1350" t="s">
        <v>86</v>
      </c>
      <c r="K1350" t="s">
        <v>94</v>
      </c>
      <c r="L1350" s="16" t="s">
        <v>10</v>
      </c>
    </row>
    <row r="1351" spans="1:12" x14ac:dyDescent="0.35">
      <c r="A1351" t="s">
        <v>8</v>
      </c>
      <c r="B1351" t="s">
        <v>84</v>
      </c>
      <c r="C1351" t="s">
        <v>97</v>
      </c>
      <c r="D1351" t="s">
        <v>10</v>
      </c>
      <c r="E1351" t="s">
        <v>10</v>
      </c>
      <c r="F1351" s="7">
        <v>45500</v>
      </c>
      <c r="G1351" s="1">
        <v>45292</v>
      </c>
      <c r="H1351" s="14">
        <v>1789.8894</v>
      </c>
      <c r="I1351">
        <v>588605</v>
      </c>
      <c r="J1351" t="s">
        <v>86</v>
      </c>
      <c r="K1351" t="s">
        <v>98</v>
      </c>
      <c r="L1351" s="16" t="s">
        <v>10</v>
      </c>
    </row>
    <row r="1352" spans="1:12" x14ac:dyDescent="0.35">
      <c r="A1352" t="s">
        <v>8</v>
      </c>
      <c r="B1352" t="s">
        <v>84</v>
      </c>
      <c r="C1352" t="s">
        <v>95</v>
      </c>
      <c r="D1352" t="s">
        <v>10</v>
      </c>
      <c r="E1352" t="s">
        <v>10</v>
      </c>
      <c r="F1352" s="7">
        <v>45500</v>
      </c>
      <c r="G1352" s="1">
        <v>45292</v>
      </c>
      <c r="H1352" s="14">
        <v>6917.4900000000034</v>
      </c>
      <c r="I1352">
        <v>1010083</v>
      </c>
      <c r="J1352" t="s">
        <v>86</v>
      </c>
      <c r="K1352" t="s">
        <v>96</v>
      </c>
      <c r="L1352" s="16" t="s">
        <v>10</v>
      </c>
    </row>
    <row r="1353" spans="1:12" x14ac:dyDescent="0.35">
      <c r="A1353" t="s">
        <v>8</v>
      </c>
      <c r="B1353" t="s">
        <v>17</v>
      </c>
      <c r="C1353" t="s">
        <v>93</v>
      </c>
      <c r="D1353" t="s">
        <v>10</v>
      </c>
      <c r="E1353" t="s">
        <v>10</v>
      </c>
      <c r="F1353" s="7">
        <v>45500</v>
      </c>
      <c r="G1353" s="1">
        <v>45292</v>
      </c>
      <c r="H1353" s="14">
        <v>6544.4733000000006</v>
      </c>
      <c r="I1353">
        <v>1792984</v>
      </c>
      <c r="J1353" t="s">
        <v>86</v>
      </c>
      <c r="K1353" t="s">
        <v>94</v>
      </c>
      <c r="L1353" s="16" t="s">
        <v>10</v>
      </c>
    </row>
    <row r="1354" spans="1:12" x14ac:dyDescent="0.35">
      <c r="A1354" t="s">
        <v>8</v>
      </c>
      <c r="B1354" t="s">
        <v>17</v>
      </c>
      <c r="C1354" t="s">
        <v>95</v>
      </c>
      <c r="D1354" t="s">
        <v>10</v>
      </c>
      <c r="E1354" t="s">
        <v>10</v>
      </c>
      <c r="F1354" s="7">
        <v>45500</v>
      </c>
      <c r="G1354" s="1">
        <v>45292</v>
      </c>
      <c r="H1354" s="14">
        <v>12994.579999999998</v>
      </c>
      <c r="I1354">
        <v>1926591</v>
      </c>
      <c r="J1354" t="s">
        <v>86</v>
      </c>
      <c r="K1354" t="s">
        <v>96</v>
      </c>
      <c r="L1354" s="16" t="s">
        <v>10</v>
      </c>
    </row>
    <row r="1355" spans="1:12" x14ac:dyDescent="0.35">
      <c r="A1355" t="s">
        <v>8</v>
      </c>
      <c r="B1355" t="s">
        <v>99</v>
      </c>
      <c r="C1355" t="s">
        <v>93</v>
      </c>
      <c r="D1355" t="s">
        <v>10</v>
      </c>
      <c r="E1355" t="s">
        <v>10</v>
      </c>
      <c r="F1355" s="7">
        <v>45500</v>
      </c>
      <c r="G1355" s="1">
        <v>45292</v>
      </c>
      <c r="H1355" s="14">
        <v>4492.3219000000008</v>
      </c>
      <c r="I1355">
        <v>678716</v>
      </c>
      <c r="J1355" t="s">
        <v>86</v>
      </c>
      <c r="K1355" t="s">
        <v>94</v>
      </c>
      <c r="L1355" s="16" t="s">
        <v>10</v>
      </c>
    </row>
    <row r="1356" spans="1:12" x14ac:dyDescent="0.35">
      <c r="A1356" t="s">
        <v>8</v>
      </c>
      <c r="B1356" t="s">
        <v>99</v>
      </c>
      <c r="C1356" t="s">
        <v>95</v>
      </c>
      <c r="D1356" t="s">
        <v>10</v>
      </c>
      <c r="E1356" t="s">
        <v>10</v>
      </c>
      <c r="F1356" s="7">
        <v>45500</v>
      </c>
      <c r="G1356" s="1">
        <v>45292</v>
      </c>
      <c r="H1356" s="14">
        <v>6349.4299999999994</v>
      </c>
      <c r="I1356">
        <v>1517424</v>
      </c>
      <c r="J1356" t="s">
        <v>86</v>
      </c>
      <c r="K1356" t="s">
        <v>96</v>
      </c>
      <c r="L1356" s="16" t="s">
        <v>10</v>
      </c>
    </row>
    <row r="1357" spans="1:12" x14ac:dyDescent="0.35">
      <c r="A1357" t="s">
        <v>8</v>
      </c>
      <c r="B1357" t="s">
        <v>100</v>
      </c>
      <c r="C1357" t="s">
        <v>93</v>
      </c>
      <c r="D1357" t="s">
        <v>10</v>
      </c>
      <c r="E1357" t="s">
        <v>10</v>
      </c>
      <c r="F1357" s="7">
        <v>45500</v>
      </c>
      <c r="G1357" s="1">
        <v>45292</v>
      </c>
      <c r="H1357" s="14">
        <v>5106.9132</v>
      </c>
      <c r="I1357">
        <v>1919940</v>
      </c>
      <c r="J1357" t="s">
        <v>86</v>
      </c>
      <c r="K1357" t="s">
        <v>94</v>
      </c>
      <c r="L1357" s="16" t="s">
        <v>10</v>
      </c>
    </row>
    <row r="1358" spans="1:12" x14ac:dyDescent="0.35">
      <c r="A1358" t="s">
        <v>8</v>
      </c>
      <c r="B1358" t="s">
        <v>100</v>
      </c>
      <c r="C1358" t="s">
        <v>95</v>
      </c>
      <c r="D1358" t="s">
        <v>10</v>
      </c>
      <c r="E1358" t="s">
        <v>10</v>
      </c>
      <c r="F1358" s="7">
        <v>45500</v>
      </c>
      <c r="G1358" s="1">
        <v>45292</v>
      </c>
      <c r="H1358" s="14">
        <v>4627.78</v>
      </c>
      <c r="I1358">
        <v>1272916</v>
      </c>
      <c r="J1358" t="s">
        <v>86</v>
      </c>
      <c r="K1358" t="s">
        <v>96</v>
      </c>
      <c r="L1358" s="16" t="s">
        <v>10</v>
      </c>
    </row>
    <row r="1359" spans="1:12" x14ac:dyDescent="0.35">
      <c r="A1359" t="s">
        <v>8</v>
      </c>
      <c r="B1359" t="s">
        <v>21</v>
      </c>
      <c r="C1359" t="s">
        <v>93</v>
      </c>
      <c r="D1359" t="s">
        <v>10</v>
      </c>
      <c r="E1359" t="s">
        <v>10</v>
      </c>
      <c r="F1359" s="7">
        <v>45500</v>
      </c>
      <c r="G1359" s="1">
        <v>45292</v>
      </c>
      <c r="H1359" s="14">
        <v>4269.8576000000003</v>
      </c>
      <c r="I1359">
        <v>1120944</v>
      </c>
      <c r="J1359" t="s">
        <v>86</v>
      </c>
      <c r="K1359" t="s">
        <v>94</v>
      </c>
      <c r="L1359" s="16" t="s">
        <v>10</v>
      </c>
    </row>
    <row r="1360" spans="1:12" x14ac:dyDescent="0.35">
      <c r="A1360" t="s">
        <v>8</v>
      </c>
      <c r="B1360" t="s">
        <v>21</v>
      </c>
      <c r="C1360" t="s">
        <v>97</v>
      </c>
      <c r="D1360" t="s">
        <v>10</v>
      </c>
      <c r="E1360" t="s">
        <v>10</v>
      </c>
      <c r="F1360" s="7">
        <v>45500</v>
      </c>
      <c r="G1360" s="1">
        <v>45292</v>
      </c>
      <c r="H1360" s="14">
        <v>7994.8110000000006</v>
      </c>
      <c r="I1360">
        <v>940566</v>
      </c>
      <c r="J1360" t="s">
        <v>86</v>
      </c>
      <c r="K1360" t="s">
        <v>98</v>
      </c>
      <c r="L1360" s="16" t="s">
        <v>10</v>
      </c>
    </row>
    <row r="1361" spans="1:12" x14ac:dyDescent="0.35">
      <c r="A1361" t="s">
        <v>8</v>
      </c>
      <c r="B1361" t="s">
        <v>21</v>
      </c>
      <c r="C1361" t="s">
        <v>95</v>
      </c>
      <c r="D1361" t="s">
        <v>10</v>
      </c>
      <c r="E1361" t="s">
        <v>10</v>
      </c>
      <c r="F1361" s="7">
        <v>45500</v>
      </c>
      <c r="G1361" s="1">
        <v>45292</v>
      </c>
      <c r="H1361" s="14">
        <v>4945.88</v>
      </c>
      <c r="I1361">
        <v>481010</v>
      </c>
      <c r="J1361" t="s">
        <v>86</v>
      </c>
      <c r="K1361" t="s">
        <v>96</v>
      </c>
      <c r="L1361" s="16" t="s">
        <v>10</v>
      </c>
    </row>
    <row r="1362" spans="1:12" x14ac:dyDescent="0.35">
      <c r="A1362" t="s">
        <v>8</v>
      </c>
      <c r="B1362" t="s">
        <v>101</v>
      </c>
      <c r="C1362" t="s">
        <v>93</v>
      </c>
      <c r="D1362" t="s">
        <v>10</v>
      </c>
      <c r="E1362" t="s">
        <v>10</v>
      </c>
      <c r="F1362" s="7">
        <v>45500</v>
      </c>
      <c r="G1362" s="1">
        <v>45292</v>
      </c>
      <c r="H1362" s="14">
        <v>2646.5654000000009</v>
      </c>
      <c r="I1362">
        <v>690583</v>
      </c>
      <c r="J1362" t="s">
        <v>86</v>
      </c>
      <c r="K1362" t="s">
        <v>94</v>
      </c>
      <c r="L1362" s="16" t="s">
        <v>10</v>
      </c>
    </row>
    <row r="1363" spans="1:12" x14ac:dyDescent="0.35">
      <c r="A1363" t="s">
        <v>8</v>
      </c>
      <c r="B1363" t="s">
        <v>101</v>
      </c>
      <c r="C1363" t="s">
        <v>95</v>
      </c>
      <c r="D1363" t="s">
        <v>10</v>
      </c>
      <c r="E1363" t="s">
        <v>10</v>
      </c>
      <c r="F1363" s="7">
        <v>45500</v>
      </c>
      <c r="G1363" s="1">
        <v>45292</v>
      </c>
      <c r="H1363" s="14">
        <v>2149.37</v>
      </c>
      <c r="I1363">
        <v>335371</v>
      </c>
      <c r="J1363" t="s">
        <v>86</v>
      </c>
      <c r="K1363" t="s">
        <v>96</v>
      </c>
      <c r="L1363" s="16" t="s">
        <v>10</v>
      </c>
    </row>
    <row r="1364" spans="1:12" x14ac:dyDescent="0.35">
      <c r="A1364" t="s">
        <v>8</v>
      </c>
      <c r="B1364" t="s">
        <v>102</v>
      </c>
      <c r="C1364" t="s">
        <v>95</v>
      </c>
      <c r="D1364" t="s">
        <v>10</v>
      </c>
      <c r="E1364" t="s">
        <v>10</v>
      </c>
      <c r="F1364" s="7">
        <v>45500</v>
      </c>
      <c r="G1364" s="1">
        <v>45292</v>
      </c>
      <c r="H1364" s="14">
        <v>0.37</v>
      </c>
      <c r="I1364">
        <v>571</v>
      </c>
      <c r="J1364" t="s">
        <v>86</v>
      </c>
      <c r="K1364" t="s">
        <v>96</v>
      </c>
      <c r="L1364" s="16" t="s">
        <v>10</v>
      </c>
    </row>
    <row r="1365" spans="1:12" x14ac:dyDescent="0.35">
      <c r="A1365" t="s">
        <v>8</v>
      </c>
      <c r="B1365" t="s">
        <v>103</v>
      </c>
      <c r="C1365" t="s">
        <v>95</v>
      </c>
      <c r="D1365" t="s">
        <v>104</v>
      </c>
      <c r="E1365" t="s">
        <v>8</v>
      </c>
      <c r="F1365" s="7">
        <v>45500</v>
      </c>
      <c r="G1365" s="1">
        <v>45292</v>
      </c>
      <c r="H1365" s="14">
        <v>77.050000000000011</v>
      </c>
      <c r="I1365">
        <v>349</v>
      </c>
      <c r="J1365" t="s">
        <v>86</v>
      </c>
      <c r="K1365" t="s">
        <v>105</v>
      </c>
      <c r="L1365" s="16" t="s">
        <v>95</v>
      </c>
    </row>
    <row r="1366" spans="1:12" x14ac:dyDescent="0.35">
      <c r="A1366" t="s">
        <v>8</v>
      </c>
      <c r="B1366" t="s">
        <v>16</v>
      </c>
      <c r="C1366" t="s">
        <v>95</v>
      </c>
      <c r="D1366" t="s">
        <v>104</v>
      </c>
      <c r="E1366" t="s">
        <v>8</v>
      </c>
      <c r="F1366" s="7">
        <v>45500</v>
      </c>
      <c r="G1366" s="1">
        <v>45292</v>
      </c>
      <c r="H1366" s="14">
        <v>37.28</v>
      </c>
      <c r="I1366">
        <v>195</v>
      </c>
      <c r="J1366" t="s">
        <v>86</v>
      </c>
      <c r="K1366" t="s">
        <v>105</v>
      </c>
      <c r="L1366" s="16" t="s">
        <v>95</v>
      </c>
    </row>
    <row r="1367" spans="1:12" x14ac:dyDescent="0.35">
      <c r="A1367" t="s">
        <v>8</v>
      </c>
      <c r="B1367" t="s">
        <v>84</v>
      </c>
      <c r="C1367" t="s">
        <v>95</v>
      </c>
      <c r="D1367" t="s">
        <v>104</v>
      </c>
      <c r="E1367" t="s">
        <v>8</v>
      </c>
      <c r="F1367" s="7">
        <v>45500</v>
      </c>
      <c r="G1367" s="1">
        <v>45292</v>
      </c>
      <c r="H1367" s="14">
        <v>7946.35</v>
      </c>
      <c r="I1367">
        <v>28503</v>
      </c>
      <c r="J1367" t="s">
        <v>86</v>
      </c>
      <c r="K1367" t="s">
        <v>105</v>
      </c>
      <c r="L1367" s="16" t="s">
        <v>95</v>
      </c>
    </row>
    <row r="1368" spans="1:12" x14ac:dyDescent="0.35">
      <c r="A1368" t="s">
        <v>8</v>
      </c>
      <c r="B1368" t="s">
        <v>17</v>
      </c>
      <c r="C1368" t="s">
        <v>95</v>
      </c>
      <c r="D1368" t="s">
        <v>104</v>
      </c>
      <c r="E1368" t="s">
        <v>8</v>
      </c>
      <c r="F1368" s="7">
        <v>45500</v>
      </c>
      <c r="G1368" s="1">
        <v>45292</v>
      </c>
      <c r="H1368" s="14">
        <v>77.240000000000009</v>
      </c>
      <c r="I1368">
        <v>848</v>
      </c>
      <c r="J1368" t="s">
        <v>86</v>
      </c>
      <c r="K1368" t="s">
        <v>105</v>
      </c>
      <c r="L1368" s="16" t="s">
        <v>95</v>
      </c>
    </row>
    <row r="1369" spans="1:12" x14ac:dyDescent="0.35">
      <c r="A1369" t="s">
        <v>8</v>
      </c>
      <c r="B1369" t="s">
        <v>106</v>
      </c>
      <c r="C1369" t="s">
        <v>95</v>
      </c>
      <c r="D1369" t="s">
        <v>104</v>
      </c>
      <c r="E1369" t="s">
        <v>8</v>
      </c>
      <c r="F1369" s="7">
        <v>45500</v>
      </c>
      <c r="G1369" s="1">
        <v>45292</v>
      </c>
      <c r="H1369" s="14">
        <v>83.02</v>
      </c>
      <c r="I1369">
        <v>192</v>
      </c>
      <c r="J1369" t="s">
        <v>86</v>
      </c>
      <c r="K1369" t="s">
        <v>105</v>
      </c>
      <c r="L1369" s="16" t="s">
        <v>95</v>
      </c>
    </row>
    <row r="1370" spans="1:12" x14ac:dyDescent="0.35">
      <c r="A1370" t="s">
        <v>8</v>
      </c>
      <c r="B1370" t="s">
        <v>92</v>
      </c>
      <c r="C1370" t="s">
        <v>95</v>
      </c>
      <c r="D1370" t="s">
        <v>104</v>
      </c>
      <c r="E1370" t="s">
        <v>8</v>
      </c>
      <c r="F1370" s="7">
        <v>45500</v>
      </c>
      <c r="G1370" s="1">
        <v>45292</v>
      </c>
      <c r="H1370" s="14">
        <v>353.15</v>
      </c>
      <c r="I1370">
        <v>2137</v>
      </c>
      <c r="J1370" t="s">
        <v>86</v>
      </c>
      <c r="K1370" t="s">
        <v>105</v>
      </c>
      <c r="L1370" s="16" t="s">
        <v>95</v>
      </c>
    </row>
    <row r="1371" spans="1:12" x14ac:dyDescent="0.35">
      <c r="A1371" t="s">
        <v>8</v>
      </c>
      <c r="B1371" t="s">
        <v>21</v>
      </c>
      <c r="C1371" t="s">
        <v>95</v>
      </c>
      <c r="D1371" t="s">
        <v>104</v>
      </c>
      <c r="E1371" t="s">
        <v>8</v>
      </c>
      <c r="F1371" s="7">
        <v>45500</v>
      </c>
      <c r="G1371" s="1">
        <v>45292</v>
      </c>
      <c r="H1371" s="14">
        <v>176.07</v>
      </c>
      <c r="I1371">
        <v>1561</v>
      </c>
      <c r="J1371" t="s">
        <v>86</v>
      </c>
      <c r="K1371" t="s">
        <v>105</v>
      </c>
      <c r="L1371" s="16" t="s">
        <v>95</v>
      </c>
    </row>
    <row r="1372" spans="1:12" x14ac:dyDescent="0.35">
      <c r="A1372" t="s">
        <v>8</v>
      </c>
      <c r="B1372" t="s">
        <v>101</v>
      </c>
      <c r="C1372" t="s">
        <v>95</v>
      </c>
      <c r="D1372" t="s">
        <v>104</v>
      </c>
      <c r="E1372" t="s">
        <v>8</v>
      </c>
      <c r="F1372" s="7">
        <v>45500</v>
      </c>
      <c r="G1372" s="1">
        <v>45292</v>
      </c>
      <c r="H1372" s="14">
        <v>93.18</v>
      </c>
      <c r="I1372">
        <v>593</v>
      </c>
      <c r="J1372" t="s">
        <v>86</v>
      </c>
      <c r="K1372" t="s">
        <v>105</v>
      </c>
      <c r="L1372" s="16" t="s">
        <v>95</v>
      </c>
    </row>
    <row r="1373" spans="1:12" x14ac:dyDescent="0.35">
      <c r="A1373" t="s">
        <v>8</v>
      </c>
      <c r="B1373" t="s">
        <v>99</v>
      </c>
      <c r="C1373" t="s">
        <v>95</v>
      </c>
      <c r="D1373" t="s">
        <v>104</v>
      </c>
      <c r="E1373" t="s">
        <v>8</v>
      </c>
      <c r="F1373" s="7">
        <v>45500</v>
      </c>
      <c r="G1373" s="1">
        <v>45292</v>
      </c>
      <c r="H1373" s="14">
        <v>55.230000000000004</v>
      </c>
      <c r="I1373">
        <v>444</v>
      </c>
      <c r="J1373" t="s">
        <v>86</v>
      </c>
      <c r="K1373" t="s">
        <v>105</v>
      </c>
      <c r="L1373" s="16" t="s">
        <v>95</v>
      </c>
    </row>
    <row r="1374" spans="1:12" x14ac:dyDescent="0.35">
      <c r="A1374" t="s">
        <v>8</v>
      </c>
      <c r="B1374" t="s">
        <v>102</v>
      </c>
      <c r="C1374" t="s">
        <v>95</v>
      </c>
      <c r="D1374" t="s">
        <v>104</v>
      </c>
      <c r="E1374" t="s">
        <v>8</v>
      </c>
      <c r="F1374" s="7">
        <v>45500</v>
      </c>
      <c r="G1374" s="1">
        <v>45292</v>
      </c>
      <c r="H1374" s="14">
        <v>127.69999999999999</v>
      </c>
      <c r="I1374">
        <v>767</v>
      </c>
      <c r="J1374" t="s">
        <v>86</v>
      </c>
      <c r="K1374" t="s">
        <v>105</v>
      </c>
      <c r="L1374" s="16" t="s">
        <v>95</v>
      </c>
    </row>
    <row r="1375" spans="1:12" x14ac:dyDescent="0.35">
      <c r="A1375" t="s">
        <v>8</v>
      </c>
      <c r="B1375" t="s">
        <v>100</v>
      </c>
      <c r="C1375" t="s">
        <v>95</v>
      </c>
      <c r="D1375" t="s">
        <v>104</v>
      </c>
      <c r="E1375" t="s">
        <v>8</v>
      </c>
      <c r="F1375" s="7">
        <v>45500</v>
      </c>
      <c r="G1375" s="1">
        <v>45292</v>
      </c>
      <c r="H1375" s="14">
        <v>142.28</v>
      </c>
      <c r="I1375">
        <v>922</v>
      </c>
      <c r="J1375" t="s">
        <v>86</v>
      </c>
      <c r="K1375" t="s">
        <v>105</v>
      </c>
      <c r="L1375" s="16" t="s">
        <v>95</v>
      </c>
    </row>
    <row r="1376" spans="1:12" x14ac:dyDescent="0.35">
      <c r="A1376" t="s">
        <v>8</v>
      </c>
      <c r="B1376" t="s">
        <v>92</v>
      </c>
      <c r="C1376" t="s">
        <v>93</v>
      </c>
      <c r="D1376" t="s">
        <v>10</v>
      </c>
      <c r="E1376" t="s">
        <v>10</v>
      </c>
      <c r="F1376" s="7">
        <v>45507</v>
      </c>
      <c r="G1376" s="1">
        <v>45292</v>
      </c>
      <c r="H1376" s="14">
        <v>6421.3289999999988</v>
      </c>
      <c r="I1376">
        <v>1922848</v>
      </c>
      <c r="J1376" t="s">
        <v>86</v>
      </c>
      <c r="K1376" t="s">
        <v>94</v>
      </c>
      <c r="L1376" s="16" t="s">
        <v>10</v>
      </c>
    </row>
    <row r="1377" spans="1:12" x14ac:dyDescent="0.35">
      <c r="A1377" t="s">
        <v>8</v>
      </c>
      <c r="B1377" t="s">
        <v>92</v>
      </c>
      <c r="C1377" t="s">
        <v>95</v>
      </c>
      <c r="D1377" t="s">
        <v>10</v>
      </c>
      <c r="E1377" t="s">
        <v>10</v>
      </c>
      <c r="F1377" s="7">
        <v>45507</v>
      </c>
      <c r="G1377" s="1">
        <v>45292</v>
      </c>
      <c r="H1377" s="14">
        <v>4877.0999999999995</v>
      </c>
      <c r="I1377">
        <v>641809</v>
      </c>
      <c r="J1377" t="s">
        <v>86</v>
      </c>
      <c r="K1377" t="s">
        <v>96</v>
      </c>
      <c r="L1377" s="16" t="s">
        <v>10</v>
      </c>
    </row>
    <row r="1378" spans="1:12" x14ac:dyDescent="0.35">
      <c r="A1378" t="s">
        <v>8</v>
      </c>
      <c r="B1378" t="s">
        <v>84</v>
      </c>
      <c r="C1378" t="s">
        <v>93</v>
      </c>
      <c r="D1378" t="s">
        <v>10</v>
      </c>
      <c r="E1378" t="s">
        <v>10</v>
      </c>
      <c r="F1378" s="7">
        <v>45507</v>
      </c>
      <c r="G1378" s="1">
        <v>45292</v>
      </c>
      <c r="H1378" s="14">
        <v>9154.9514000000017</v>
      </c>
      <c r="I1378">
        <v>4964764</v>
      </c>
      <c r="J1378" t="s">
        <v>86</v>
      </c>
      <c r="K1378" t="s">
        <v>94</v>
      </c>
      <c r="L1378" s="16" t="s">
        <v>10</v>
      </c>
    </row>
    <row r="1379" spans="1:12" x14ac:dyDescent="0.35">
      <c r="A1379" t="s">
        <v>8</v>
      </c>
      <c r="B1379" t="s">
        <v>84</v>
      </c>
      <c r="C1379" t="s">
        <v>97</v>
      </c>
      <c r="D1379" t="s">
        <v>10</v>
      </c>
      <c r="E1379" t="s">
        <v>10</v>
      </c>
      <c r="F1379" s="7">
        <v>45507</v>
      </c>
      <c r="G1379" s="1">
        <v>45292</v>
      </c>
      <c r="H1379" s="14">
        <v>688.82029999999997</v>
      </c>
      <c r="I1379">
        <v>227086</v>
      </c>
      <c r="J1379" t="s">
        <v>86</v>
      </c>
      <c r="K1379" t="s">
        <v>98</v>
      </c>
      <c r="L1379" s="16" t="s">
        <v>10</v>
      </c>
    </row>
    <row r="1380" spans="1:12" x14ac:dyDescent="0.35">
      <c r="A1380" t="s">
        <v>8</v>
      </c>
      <c r="B1380" t="s">
        <v>84</v>
      </c>
      <c r="C1380" t="s">
        <v>95</v>
      </c>
      <c r="D1380" t="s">
        <v>10</v>
      </c>
      <c r="E1380" t="s">
        <v>10</v>
      </c>
      <c r="F1380" s="7">
        <v>45507</v>
      </c>
      <c r="G1380" s="1">
        <v>45292</v>
      </c>
      <c r="H1380" s="14">
        <v>7267.33</v>
      </c>
      <c r="I1380">
        <v>935657</v>
      </c>
      <c r="J1380" t="s">
        <v>86</v>
      </c>
      <c r="K1380" t="s">
        <v>96</v>
      </c>
      <c r="L1380" s="16" t="s">
        <v>10</v>
      </c>
    </row>
    <row r="1381" spans="1:12" x14ac:dyDescent="0.35">
      <c r="A1381" t="s">
        <v>8</v>
      </c>
      <c r="B1381" t="s">
        <v>17</v>
      </c>
      <c r="C1381" t="s">
        <v>93</v>
      </c>
      <c r="D1381" t="s">
        <v>10</v>
      </c>
      <c r="E1381" t="s">
        <v>10</v>
      </c>
      <c r="F1381" s="7">
        <v>45507</v>
      </c>
      <c r="G1381" s="1">
        <v>45292</v>
      </c>
      <c r="H1381" s="14">
        <v>5720.512000000007</v>
      </c>
      <c r="I1381">
        <v>1700850</v>
      </c>
      <c r="J1381" t="s">
        <v>86</v>
      </c>
      <c r="K1381" t="s">
        <v>94</v>
      </c>
      <c r="L1381" s="16" t="s">
        <v>10</v>
      </c>
    </row>
    <row r="1382" spans="1:12" x14ac:dyDescent="0.35">
      <c r="A1382" t="s">
        <v>8</v>
      </c>
      <c r="B1382" t="s">
        <v>17</v>
      </c>
      <c r="C1382" t="s">
        <v>95</v>
      </c>
      <c r="D1382" t="s">
        <v>10</v>
      </c>
      <c r="E1382" t="s">
        <v>10</v>
      </c>
      <c r="F1382" s="7">
        <v>45507</v>
      </c>
      <c r="G1382" s="1">
        <v>45292</v>
      </c>
      <c r="H1382" s="14">
        <v>10939.349999999997</v>
      </c>
      <c r="I1382">
        <v>1597468</v>
      </c>
      <c r="J1382" t="s">
        <v>86</v>
      </c>
      <c r="K1382" t="s">
        <v>96</v>
      </c>
      <c r="L1382" s="16" t="s">
        <v>10</v>
      </c>
    </row>
    <row r="1383" spans="1:12" x14ac:dyDescent="0.35">
      <c r="A1383" t="s">
        <v>8</v>
      </c>
      <c r="B1383" t="s">
        <v>99</v>
      </c>
      <c r="C1383" t="s">
        <v>93</v>
      </c>
      <c r="D1383" t="s">
        <v>10</v>
      </c>
      <c r="E1383" t="s">
        <v>10</v>
      </c>
      <c r="F1383" s="7">
        <v>45507</v>
      </c>
      <c r="G1383" s="1">
        <v>45292</v>
      </c>
      <c r="H1383" s="14">
        <v>3927.7318000000018</v>
      </c>
      <c r="I1383">
        <v>573244</v>
      </c>
      <c r="J1383" t="s">
        <v>86</v>
      </c>
      <c r="K1383" t="s">
        <v>94</v>
      </c>
      <c r="L1383" s="16" t="s">
        <v>10</v>
      </c>
    </row>
    <row r="1384" spans="1:12" x14ac:dyDescent="0.35">
      <c r="A1384" t="s">
        <v>8</v>
      </c>
      <c r="B1384" t="s">
        <v>99</v>
      </c>
      <c r="C1384" t="s">
        <v>95</v>
      </c>
      <c r="D1384" t="s">
        <v>10</v>
      </c>
      <c r="E1384" t="s">
        <v>10</v>
      </c>
      <c r="F1384" s="7">
        <v>45507</v>
      </c>
      <c r="G1384" s="1">
        <v>45292</v>
      </c>
      <c r="H1384" s="14">
        <v>5789.1799999999985</v>
      </c>
      <c r="I1384">
        <v>1224756</v>
      </c>
      <c r="J1384" t="s">
        <v>86</v>
      </c>
      <c r="K1384" t="s">
        <v>96</v>
      </c>
      <c r="L1384" s="16" t="s">
        <v>10</v>
      </c>
    </row>
    <row r="1385" spans="1:12" x14ac:dyDescent="0.35">
      <c r="A1385" t="s">
        <v>8</v>
      </c>
      <c r="B1385" t="s">
        <v>100</v>
      </c>
      <c r="C1385" t="s">
        <v>93</v>
      </c>
      <c r="D1385" t="s">
        <v>10</v>
      </c>
      <c r="E1385" t="s">
        <v>10</v>
      </c>
      <c r="F1385" s="7">
        <v>45507</v>
      </c>
      <c r="G1385" s="1">
        <v>45292</v>
      </c>
      <c r="H1385" s="14">
        <v>4489.3201000000017</v>
      </c>
      <c r="I1385">
        <v>1254008</v>
      </c>
      <c r="J1385" t="s">
        <v>86</v>
      </c>
      <c r="K1385" t="s">
        <v>94</v>
      </c>
      <c r="L1385" s="16" t="s">
        <v>10</v>
      </c>
    </row>
    <row r="1386" spans="1:12" x14ac:dyDescent="0.35">
      <c r="A1386" t="s">
        <v>8</v>
      </c>
      <c r="B1386" t="s">
        <v>100</v>
      </c>
      <c r="C1386" t="s">
        <v>95</v>
      </c>
      <c r="D1386" t="s">
        <v>10</v>
      </c>
      <c r="E1386" t="s">
        <v>10</v>
      </c>
      <c r="F1386" s="7">
        <v>45507</v>
      </c>
      <c r="G1386" s="1">
        <v>45292</v>
      </c>
      <c r="H1386" s="14">
        <v>4372.8599999999988</v>
      </c>
      <c r="I1386">
        <v>1185140</v>
      </c>
      <c r="J1386" t="s">
        <v>86</v>
      </c>
      <c r="K1386" t="s">
        <v>96</v>
      </c>
      <c r="L1386" s="16" t="s">
        <v>10</v>
      </c>
    </row>
    <row r="1387" spans="1:12" x14ac:dyDescent="0.35">
      <c r="A1387" t="s">
        <v>8</v>
      </c>
      <c r="B1387" t="s">
        <v>21</v>
      </c>
      <c r="C1387" t="s">
        <v>93</v>
      </c>
      <c r="D1387" t="s">
        <v>10</v>
      </c>
      <c r="E1387" t="s">
        <v>10</v>
      </c>
      <c r="F1387" s="7">
        <v>45507</v>
      </c>
      <c r="G1387" s="1">
        <v>45292</v>
      </c>
      <c r="H1387" s="14">
        <v>3838.9439999999995</v>
      </c>
      <c r="I1387">
        <v>939534</v>
      </c>
      <c r="J1387" t="s">
        <v>86</v>
      </c>
      <c r="K1387" t="s">
        <v>94</v>
      </c>
      <c r="L1387" s="16" t="s">
        <v>10</v>
      </c>
    </row>
    <row r="1388" spans="1:12" x14ac:dyDescent="0.35">
      <c r="A1388" t="s">
        <v>8</v>
      </c>
      <c r="B1388" t="s">
        <v>21</v>
      </c>
      <c r="C1388" t="s">
        <v>97</v>
      </c>
      <c r="D1388" t="s">
        <v>10</v>
      </c>
      <c r="E1388" t="s">
        <v>10</v>
      </c>
      <c r="F1388" s="7">
        <v>45507</v>
      </c>
      <c r="G1388" s="1">
        <v>45292</v>
      </c>
      <c r="H1388" s="14">
        <v>4125.3389999999999</v>
      </c>
      <c r="I1388">
        <v>485334</v>
      </c>
      <c r="J1388" t="s">
        <v>86</v>
      </c>
      <c r="K1388" t="s">
        <v>98</v>
      </c>
      <c r="L1388" s="16" t="s">
        <v>10</v>
      </c>
    </row>
    <row r="1389" spans="1:12" x14ac:dyDescent="0.35">
      <c r="A1389" t="s">
        <v>8</v>
      </c>
      <c r="B1389" t="s">
        <v>21</v>
      </c>
      <c r="C1389" t="s">
        <v>95</v>
      </c>
      <c r="D1389" t="s">
        <v>10</v>
      </c>
      <c r="E1389" t="s">
        <v>10</v>
      </c>
      <c r="F1389" s="7">
        <v>45507</v>
      </c>
      <c r="G1389" s="1">
        <v>45292</v>
      </c>
      <c r="H1389" s="14">
        <v>4503.3800000000028</v>
      </c>
      <c r="I1389">
        <v>562318</v>
      </c>
      <c r="J1389" t="s">
        <v>86</v>
      </c>
      <c r="K1389" t="s">
        <v>96</v>
      </c>
      <c r="L1389" s="16" t="s">
        <v>10</v>
      </c>
    </row>
    <row r="1390" spans="1:12" x14ac:dyDescent="0.35">
      <c r="A1390" t="s">
        <v>8</v>
      </c>
      <c r="B1390" t="s">
        <v>101</v>
      </c>
      <c r="C1390" t="s">
        <v>93</v>
      </c>
      <c r="D1390" t="s">
        <v>10</v>
      </c>
      <c r="E1390" t="s">
        <v>10</v>
      </c>
      <c r="F1390" s="7">
        <v>45507</v>
      </c>
      <c r="G1390" s="1">
        <v>45292</v>
      </c>
      <c r="H1390" s="14">
        <v>2501.0246000000002</v>
      </c>
      <c r="I1390">
        <v>780990</v>
      </c>
      <c r="J1390" t="s">
        <v>86</v>
      </c>
      <c r="K1390" t="s">
        <v>94</v>
      </c>
      <c r="L1390" s="16" t="s">
        <v>10</v>
      </c>
    </row>
    <row r="1391" spans="1:12" x14ac:dyDescent="0.35">
      <c r="A1391" t="s">
        <v>8</v>
      </c>
      <c r="B1391" t="s">
        <v>101</v>
      </c>
      <c r="C1391" t="s">
        <v>95</v>
      </c>
      <c r="D1391" t="s">
        <v>10</v>
      </c>
      <c r="E1391" t="s">
        <v>10</v>
      </c>
      <c r="F1391" s="7">
        <v>45507</v>
      </c>
      <c r="G1391" s="1">
        <v>45292</v>
      </c>
      <c r="H1391" s="14">
        <v>2473.4399999999996</v>
      </c>
      <c r="I1391">
        <v>299878</v>
      </c>
      <c r="J1391" t="s">
        <v>86</v>
      </c>
      <c r="K1391" t="s">
        <v>96</v>
      </c>
      <c r="L1391" s="16" t="s">
        <v>10</v>
      </c>
    </row>
    <row r="1392" spans="1:12" x14ac:dyDescent="0.35">
      <c r="A1392" t="s">
        <v>8</v>
      </c>
      <c r="B1392" t="s">
        <v>102</v>
      </c>
      <c r="C1392" t="s">
        <v>95</v>
      </c>
      <c r="D1392" t="s">
        <v>10</v>
      </c>
      <c r="E1392" t="s">
        <v>10</v>
      </c>
      <c r="F1392" s="7">
        <v>45507</v>
      </c>
      <c r="G1392" s="1">
        <v>45292</v>
      </c>
      <c r="H1392" s="14">
        <v>0.37</v>
      </c>
      <c r="I1392">
        <v>683</v>
      </c>
      <c r="J1392" t="s">
        <v>86</v>
      </c>
      <c r="K1392" t="s">
        <v>96</v>
      </c>
      <c r="L1392" s="16" t="s">
        <v>10</v>
      </c>
    </row>
    <row r="1393" spans="1:12" x14ac:dyDescent="0.35">
      <c r="A1393" t="s">
        <v>8</v>
      </c>
      <c r="B1393" t="s">
        <v>103</v>
      </c>
      <c r="C1393" t="s">
        <v>95</v>
      </c>
      <c r="D1393" t="s">
        <v>104</v>
      </c>
      <c r="E1393" t="s">
        <v>8</v>
      </c>
      <c r="F1393" s="7">
        <v>45507</v>
      </c>
      <c r="G1393" s="1">
        <v>45292</v>
      </c>
      <c r="H1393" s="14">
        <v>72.12</v>
      </c>
      <c r="I1393">
        <v>380</v>
      </c>
      <c r="J1393" t="s">
        <v>86</v>
      </c>
      <c r="K1393" t="s">
        <v>105</v>
      </c>
      <c r="L1393" s="16" t="s">
        <v>95</v>
      </c>
    </row>
    <row r="1394" spans="1:12" x14ac:dyDescent="0.35">
      <c r="A1394" t="s">
        <v>8</v>
      </c>
      <c r="B1394" t="s">
        <v>16</v>
      </c>
      <c r="C1394" t="s">
        <v>95</v>
      </c>
      <c r="D1394" t="s">
        <v>104</v>
      </c>
      <c r="E1394" t="s">
        <v>8</v>
      </c>
      <c r="F1394" s="7">
        <v>45507</v>
      </c>
      <c r="G1394" s="1">
        <v>45292</v>
      </c>
      <c r="H1394" s="14">
        <v>38.06</v>
      </c>
      <c r="I1394">
        <v>175</v>
      </c>
      <c r="J1394" t="s">
        <v>86</v>
      </c>
      <c r="K1394" t="s">
        <v>105</v>
      </c>
      <c r="L1394" s="16" t="s">
        <v>95</v>
      </c>
    </row>
    <row r="1395" spans="1:12" x14ac:dyDescent="0.35">
      <c r="A1395" t="s">
        <v>8</v>
      </c>
      <c r="B1395" t="s">
        <v>84</v>
      </c>
      <c r="C1395" t="s">
        <v>95</v>
      </c>
      <c r="D1395" t="s">
        <v>104</v>
      </c>
      <c r="E1395" t="s">
        <v>8</v>
      </c>
      <c r="F1395" s="7">
        <v>45507</v>
      </c>
      <c r="G1395" s="1">
        <v>45292</v>
      </c>
      <c r="H1395" s="14">
        <v>7854.9873459999981</v>
      </c>
      <c r="I1395">
        <v>28637</v>
      </c>
      <c r="J1395" t="s">
        <v>86</v>
      </c>
      <c r="K1395" t="s">
        <v>105</v>
      </c>
      <c r="L1395" s="16" t="s">
        <v>95</v>
      </c>
    </row>
    <row r="1396" spans="1:12" x14ac:dyDescent="0.35">
      <c r="A1396" t="s">
        <v>8</v>
      </c>
      <c r="B1396" t="s">
        <v>17</v>
      </c>
      <c r="C1396" t="s">
        <v>95</v>
      </c>
      <c r="D1396" t="s">
        <v>104</v>
      </c>
      <c r="E1396" t="s">
        <v>8</v>
      </c>
      <c r="F1396" s="7">
        <v>45507</v>
      </c>
      <c r="G1396" s="1">
        <v>45292</v>
      </c>
      <c r="H1396" s="14">
        <v>155.60999999999999</v>
      </c>
      <c r="I1396">
        <v>1035</v>
      </c>
      <c r="J1396" t="s">
        <v>86</v>
      </c>
      <c r="K1396" t="s">
        <v>105</v>
      </c>
      <c r="L1396" s="16" t="s">
        <v>95</v>
      </c>
    </row>
    <row r="1397" spans="1:12" x14ac:dyDescent="0.35">
      <c r="A1397" t="s">
        <v>8</v>
      </c>
      <c r="B1397" t="s">
        <v>106</v>
      </c>
      <c r="C1397" t="s">
        <v>95</v>
      </c>
      <c r="D1397" t="s">
        <v>104</v>
      </c>
      <c r="E1397" t="s">
        <v>8</v>
      </c>
      <c r="F1397" s="7">
        <v>45507</v>
      </c>
      <c r="G1397" s="1">
        <v>45292</v>
      </c>
      <c r="H1397" s="14">
        <v>50.860000000000007</v>
      </c>
      <c r="I1397">
        <v>102</v>
      </c>
      <c r="J1397" t="s">
        <v>86</v>
      </c>
      <c r="K1397" t="s">
        <v>105</v>
      </c>
      <c r="L1397" s="16" t="s">
        <v>95</v>
      </c>
    </row>
    <row r="1398" spans="1:12" x14ac:dyDescent="0.35">
      <c r="A1398" t="s">
        <v>8</v>
      </c>
      <c r="B1398" t="s">
        <v>92</v>
      </c>
      <c r="C1398" t="s">
        <v>95</v>
      </c>
      <c r="D1398" t="s">
        <v>104</v>
      </c>
      <c r="E1398" t="s">
        <v>8</v>
      </c>
      <c r="F1398" s="7">
        <v>45507</v>
      </c>
      <c r="G1398" s="1">
        <v>45292</v>
      </c>
      <c r="H1398" s="14">
        <v>291.97173399999997</v>
      </c>
      <c r="I1398">
        <v>2171</v>
      </c>
      <c r="J1398" t="s">
        <v>86</v>
      </c>
      <c r="K1398" t="s">
        <v>105</v>
      </c>
      <c r="L1398" s="16" t="s">
        <v>95</v>
      </c>
    </row>
    <row r="1399" spans="1:12" x14ac:dyDescent="0.35">
      <c r="A1399" t="s">
        <v>8</v>
      </c>
      <c r="B1399" t="s">
        <v>21</v>
      </c>
      <c r="C1399" t="s">
        <v>95</v>
      </c>
      <c r="D1399" t="s">
        <v>104</v>
      </c>
      <c r="E1399" t="s">
        <v>8</v>
      </c>
      <c r="F1399" s="7">
        <v>45507</v>
      </c>
      <c r="G1399" s="1">
        <v>45292</v>
      </c>
      <c r="H1399" s="14">
        <v>186.95999999999998</v>
      </c>
      <c r="I1399">
        <v>1542</v>
      </c>
      <c r="J1399" t="s">
        <v>86</v>
      </c>
      <c r="K1399" t="s">
        <v>105</v>
      </c>
      <c r="L1399" s="16" t="s">
        <v>95</v>
      </c>
    </row>
    <row r="1400" spans="1:12" x14ac:dyDescent="0.35">
      <c r="A1400" t="s">
        <v>8</v>
      </c>
      <c r="B1400" t="s">
        <v>101</v>
      </c>
      <c r="C1400" t="s">
        <v>95</v>
      </c>
      <c r="D1400" t="s">
        <v>104</v>
      </c>
      <c r="E1400" t="s">
        <v>8</v>
      </c>
      <c r="F1400" s="7">
        <v>45507</v>
      </c>
      <c r="G1400" s="1">
        <v>45292</v>
      </c>
      <c r="H1400" s="14">
        <v>109.94</v>
      </c>
      <c r="I1400">
        <v>627</v>
      </c>
      <c r="J1400" t="s">
        <v>86</v>
      </c>
      <c r="K1400" t="s">
        <v>105</v>
      </c>
      <c r="L1400" s="16" t="s">
        <v>95</v>
      </c>
    </row>
    <row r="1401" spans="1:12" x14ac:dyDescent="0.35">
      <c r="A1401" t="s">
        <v>8</v>
      </c>
      <c r="B1401" t="s">
        <v>99</v>
      </c>
      <c r="C1401" t="s">
        <v>95</v>
      </c>
      <c r="D1401" t="s">
        <v>104</v>
      </c>
      <c r="E1401" t="s">
        <v>8</v>
      </c>
      <c r="F1401" s="7">
        <v>45507</v>
      </c>
      <c r="G1401" s="1">
        <v>45292</v>
      </c>
      <c r="H1401" s="14">
        <v>60.89</v>
      </c>
      <c r="I1401">
        <v>442</v>
      </c>
      <c r="J1401" t="s">
        <v>86</v>
      </c>
      <c r="K1401" t="s">
        <v>105</v>
      </c>
      <c r="L1401" s="16" t="s">
        <v>95</v>
      </c>
    </row>
    <row r="1402" spans="1:12" x14ac:dyDescent="0.35">
      <c r="A1402" t="s">
        <v>8</v>
      </c>
      <c r="B1402" t="s">
        <v>102</v>
      </c>
      <c r="C1402" t="s">
        <v>95</v>
      </c>
      <c r="D1402" t="s">
        <v>104</v>
      </c>
      <c r="E1402" t="s">
        <v>8</v>
      </c>
      <c r="F1402" s="7">
        <v>45507</v>
      </c>
      <c r="G1402" s="1">
        <v>45292</v>
      </c>
      <c r="H1402" s="14">
        <v>115.59000000000002</v>
      </c>
      <c r="I1402">
        <v>784</v>
      </c>
      <c r="J1402" t="s">
        <v>86</v>
      </c>
      <c r="K1402" t="s">
        <v>105</v>
      </c>
      <c r="L1402" s="16" t="s">
        <v>95</v>
      </c>
    </row>
    <row r="1403" spans="1:12" x14ac:dyDescent="0.35">
      <c r="A1403" t="s">
        <v>8</v>
      </c>
      <c r="B1403" t="s">
        <v>100</v>
      </c>
      <c r="C1403" t="s">
        <v>95</v>
      </c>
      <c r="D1403" t="s">
        <v>104</v>
      </c>
      <c r="E1403" t="s">
        <v>8</v>
      </c>
      <c r="F1403" s="7">
        <v>45507</v>
      </c>
      <c r="G1403" s="1">
        <v>45292</v>
      </c>
      <c r="H1403" s="14">
        <v>131.35000000000002</v>
      </c>
      <c r="I1403">
        <v>893</v>
      </c>
      <c r="J1403" t="s">
        <v>86</v>
      </c>
      <c r="K1403" t="s">
        <v>105</v>
      </c>
      <c r="L1403" s="16" t="s">
        <v>95</v>
      </c>
    </row>
    <row r="1404" spans="1:12" x14ac:dyDescent="0.35">
      <c r="A1404" t="s">
        <v>8</v>
      </c>
      <c r="B1404" t="s">
        <v>92</v>
      </c>
      <c r="C1404" t="s">
        <v>93</v>
      </c>
      <c r="D1404" t="s">
        <v>10</v>
      </c>
      <c r="E1404" t="s">
        <v>10</v>
      </c>
      <c r="F1404" s="7">
        <v>45514</v>
      </c>
      <c r="G1404" s="1">
        <v>45292</v>
      </c>
      <c r="H1404" s="14">
        <v>5857.0210000000034</v>
      </c>
      <c r="I1404">
        <v>2118480</v>
      </c>
      <c r="J1404" t="s">
        <v>86</v>
      </c>
      <c r="K1404" t="s">
        <v>94</v>
      </c>
      <c r="L1404" s="16" t="s">
        <v>10</v>
      </c>
    </row>
    <row r="1405" spans="1:12" x14ac:dyDescent="0.35">
      <c r="A1405" t="s">
        <v>8</v>
      </c>
      <c r="B1405" t="s">
        <v>92</v>
      </c>
      <c r="C1405" t="s">
        <v>95</v>
      </c>
      <c r="D1405" t="s">
        <v>10</v>
      </c>
      <c r="E1405" t="s">
        <v>10</v>
      </c>
      <c r="F1405" s="7">
        <v>45514</v>
      </c>
      <c r="G1405" s="1">
        <v>45292</v>
      </c>
      <c r="H1405" s="14">
        <v>5867.3300000000008</v>
      </c>
      <c r="I1405">
        <v>788897</v>
      </c>
      <c r="J1405" t="s">
        <v>86</v>
      </c>
      <c r="K1405" t="s">
        <v>96</v>
      </c>
      <c r="L1405" s="16" t="s">
        <v>10</v>
      </c>
    </row>
    <row r="1406" spans="1:12" x14ac:dyDescent="0.35">
      <c r="A1406" t="s">
        <v>8</v>
      </c>
      <c r="B1406" t="s">
        <v>84</v>
      </c>
      <c r="C1406" t="s">
        <v>93</v>
      </c>
      <c r="D1406" t="s">
        <v>10</v>
      </c>
      <c r="E1406" t="s">
        <v>10</v>
      </c>
      <c r="F1406" s="7">
        <v>45514</v>
      </c>
      <c r="G1406" s="1">
        <v>45292</v>
      </c>
      <c r="H1406" s="14">
        <v>4549.4023000000016</v>
      </c>
      <c r="I1406">
        <v>2102950</v>
      </c>
      <c r="J1406" t="s">
        <v>86</v>
      </c>
      <c r="K1406" t="s">
        <v>94</v>
      </c>
      <c r="L1406" s="16" t="s">
        <v>10</v>
      </c>
    </row>
    <row r="1407" spans="1:12" x14ac:dyDescent="0.35">
      <c r="A1407" t="s">
        <v>8</v>
      </c>
      <c r="B1407" t="s">
        <v>84</v>
      </c>
      <c r="C1407" t="s">
        <v>95</v>
      </c>
      <c r="D1407" t="s">
        <v>10</v>
      </c>
      <c r="E1407" t="s">
        <v>10</v>
      </c>
      <c r="F1407" s="7">
        <v>45514</v>
      </c>
      <c r="G1407" s="1">
        <v>45292</v>
      </c>
      <c r="H1407" s="14">
        <v>8551.0799999999963</v>
      </c>
      <c r="I1407">
        <v>920244</v>
      </c>
      <c r="J1407" t="s">
        <v>86</v>
      </c>
      <c r="K1407" t="s">
        <v>96</v>
      </c>
      <c r="L1407" s="16" t="s">
        <v>10</v>
      </c>
    </row>
    <row r="1408" spans="1:12" x14ac:dyDescent="0.35">
      <c r="A1408" t="s">
        <v>8</v>
      </c>
      <c r="B1408" t="s">
        <v>17</v>
      </c>
      <c r="C1408" t="s">
        <v>93</v>
      </c>
      <c r="D1408" t="s">
        <v>10</v>
      </c>
      <c r="E1408" t="s">
        <v>10</v>
      </c>
      <c r="F1408" s="7">
        <v>45514</v>
      </c>
      <c r="G1408" s="1">
        <v>45292</v>
      </c>
      <c r="H1408" s="14">
        <v>5663.8552999999993</v>
      </c>
      <c r="I1408">
        <v>1790774</v>
      </c>
      <c r="J1408" t="s">
        <v>86</v>
      </c>
      <c r="K1408" t="s">
        <v>94</v>
      </c>
      <c r="L1408" s="16" t="s">
        <v>10</v>
      </c>
    </row>
    <row r="1409" spans="1:12" x14ac:dyDescent="0.35">
      <c r="A1409" t="s">
        <v>8</v>
      </c>
      <c r="B1409" t="s">
        <v>17</v>
      </c>
      <c r="C1409" t="s">
        <v>95</v>
      </c>
      <c r="D1409" t="s">
        <v>10</v>
      </c>
      <c r="E1409" t="s">
        <v>10</v>
      </c>
      <c r="F1409" s="7">
        <v>45514</v>
      </c>
      <c r="G1409" s="1">
        <v>45292</v>
      </c>
      <c r="H1409" s="14">
        <v>10800.960000000003</v>
      </c>
      <c r="I1409">
        <v>1605280</v>
      </c>
      <c r="J1409" t="s">
        <v>86</v>
      </c>
      <c r="K1409" t="s">
        <v>96</v>
      </c>
      <c r="L1409" s="16" t="s">
        <v>10</v>
      </c>
    </row>
    <row r="1410" spans="1:12" x14ac:dyDescent="0.35">
      <c r="A1410" t="s">
        <v>8</v>
      </c>
      <c r="B1410" t="s">
        <v>99</v>
      </c>
      <c r="C1410" t="s">
        <v>93</v>
      </c>
      <c r="D1410" t="s">
        <v>10</v>
      </c>
      <c r="E1410" t="s">
        <v>10</v>
      </c>
      <c r="F1410" s="7">
        <v>45514</v>
      </c>
      <c r="G1410" s="1">
        <v>45292</v>
      </c>
      <c r="H1410" s="14">
        <v>3875.8870999999999</v>
      </c>
      <c r="I1410">
        <v>381959</v>
      </c>
      <c r="J1410" t="s">
        <v>86</v>
      </c>
      <c r="K1410" t="s">
        <v>94</v>
      </c>
      <c r="L1410" s="16" t="s">
        <v>10</v>
      </c>
    </row>
    <row r="1411" spans="1:12" x14ac:dyDescent="0.35">
      <c r="A1411" t="s">
        <v>8</v>
      </c>
      <c r="B1411" t="s">
        <v>99</v>
      </c>
      <c r="C1411" t="s">
        <v>95</v>
      </c>
      <c r="D1411" t="s">
        <v>10</v>
      </c>
      <c r="E1411" t="s">
        <v>10</v>
      </c>
      <c r="F1411" s="7">
        <v>45514</v>
      </c>
      <c r="G1411" s="1">
        <v>45292</v>
      </c>
      <c r="H1411" s="14">
        <v>5695.7400000000016</v>
      </c>
      <c r="I1411">
        <v>1042083</v>
      </c>
      <c r="J1411" t="s">
        <v>86</v>
      </c>
      <c r="K1411" t="s">
        <v>96</v>
      </c>
      <c r="L1411" s="16" t="s">
        <v>10</v>
      </c>
    </row>
    <row r="1412" spans="1:12" x14ac:dyDescent="0.35">
      <c r="A1412" t="s">
        <v>8</v>
      </c>
      <c r="B1412" t="s">
        <v>100</v>
      </c>
      <c r="C1412" t="s">
        <v>93</v>
      </c>
      <c r="D1412" t="s">
        <v>10</v>
      </c>
      <c r="E1412" t="s">
        <v>10</v>
      </c>
      <c r="F1412" s="7">
        <v>45514</v>
      </c>
      <c r="G1412" s="1">
        <v>45292</v>
      </c>
      <c r="H1412" s="14">
        <v>4266.7728000000034</v>
      </c>
      <c r="I1412">
        <v>1232221</v>
      </c>
      <c r="J1412" t="s">
        <v>86</v>
      </c>
      <c r="K1412" t="s">
        <v>94</v>
      </c>
      <c r="L1412" s="16" t="s">
        <v>10</v>
      </c>
    </row>
    <row r="1413" spans="1:12" x14ac:dyDescent="0.35">
      <c r="A1413" t="s">
        <v>8</v>
      </c>
      <c r="B1413" t="s">
        <v>100</v>
      </c>
      <c r="C1413" t="s">
        <v>95</v>
      </c>
      <c r="D1413" t="s">
        <v>10</v>
      </c>
      <c r="E1413" t="s">
        <v>10</v>
      </c>
      <c r="F1413" s="7">
        <v>45514</v>
      </c>
      <c r="G1413" s="1">
        <v>45292</v>
      </c>
      <c r="H1413" s="14">
        <v>5085.5999999999958</v>
      </c>
      <c r="I1413">
        <v>1404284</v>
      </c>
      <c r="J1413" t="s">
        <v>86</v>
      </c>
      <c r="K1413" t="s">
        <v>96</v>
      </c>
      <c r="L1413" s="16" t="s">
        <v>10</v>
      </c>
    </row>
    <row r="1414" spans="1:12" x14ac:dyDescent="0.35">
      <c r="A1414" t="s">
        <v>8</v>
      </c>
      <c r="B1414" t="s">
        <v>21</v>
      </c>
      <c r="C1414" t="s">
        <v>93</v>
      </c>
      <c r="D1414" t="s">
        <v>10</v>
      </c>
      <c r="E1414" t="s">
        <v>10</v>
      </c>
      <c r="F1414" s="7">
        <v>45514</v>
      </c>
      <c r="G1414" s="1">
        <v>45292</v>
      </c>
      <c r="H1414" s="14">
        <v>3406.9060999999992</v>
      </c>
      <c r="I1414">
        <v>818180</v>
      </c>
      <c r="J1414" t="s">
        <v>86</v>
      </c>
      <c r="K1414" t="s">
        <v>94</v>
      </c>
      <c r="L1414" s="16" t="s">
        <v>10</v>
      </c>
    </row>
    <row r="1415" spans="1:12" x14ac:dyDescent="0.35">
      <c r="A1415" t="s">
        <v>8</v>
      </c>
      <c r="B1415" t="s">
        <v>21</v>
      </c>
      <c r="C1415" t="s">
        <v>95</v>
      </c>
      <c r="D1415" t="s">
        <v>10</v>
      </c>
      <c r="E1415" t="s">
        <v>10</v>
      </c>
      <c r="F1415" s="7">
        <v>45514</v>
      </c>
      <c r="G1415" s="1">
        <v>45292</v>
      </c>
      <c r="H1415" s="14">
        <v>4359.6099999999997</v>
      </c>
      <c r="I1415">
        <v>497694</v>
      </c>
      <c r="J1415" t="s">
        <v>86</v>
      </c>
      <c r="K1415" t="s">
        <v>96</v>
      </c>
      <c r="L1415" s="16" t="s">
        <v>10</v>
      </c>
    </row>
    <row r="1416" spans="1:12" x14ac:dyDescent="0.35">
      <c r="A1416" t="s">
        <v>8</v>
      </c>
      <c r="B1416" t="s">
        <v>101</v>
      </c>
      <c r="C1416" t="s">
        <v>93</v>
      </c>
      <c r="D1416" t="s">
        <v>10</v>
      </c>
      <c r="E1416" t="s">
        <v>10</v>
      </c>
      <c r="F1416" s="7">
        <v>45514</v>
      </c>
      <c r="G1416" s="1">
        <v>45292</v>
      </c>
      <c r="H1416" s="14">
        <v>2264.2832000000008</v>
      </c>
      <c r="I1416">
        <v>656603</v>
      </c>
      <c r="J1416" t="s">
        <v>86</v>
      </c>
      <c r="K1416" t="s">
        <v>94</v>
      </c>
      <c r="L1416" s="16" t="s">
        <v>10</v>
      </c>
    </row>
    <row r="1417" spans="1:12" x14ac:dyDescent="0.35">
      <c r="A1417" t="s">
        <v>8</v>
      </c>
      <c r="B1417" t="s">
        <v>101</v>
      </c>
      <c r="C1417" t="s">
        <v>95</v>
      </c>
      <c r="D1417" t="s">
        <v>10</v>
      </c>
      <c r="E1417" t="s">
        <v>10</v>
      </c>
      <c r="F1417" s="7">
        <v>45514</v>
      </c>
      <c r="G1417" s="1">
        <v>45292</v>
      </c>
      <c r="H1417" s="14">
        <v>2448.4599999999996</v>
      </c>
      <c r="I1417">
        <v>286686</v>
      </c>
      <c r="J1417" t="s">
        <v>86</v>
      </c>
      <c r="K1417" t="s">
        <v>96</v>
      </c>
      <c r="L1417" s="16" t="s">
        <v>10</v>
      </c>
    </row>
    <row r="1418" spans="1:12" x14ac:dyDescent="0.35">
      <c r="A1418" t="s">
        <v>8</v>
      </c>
      <c r="B1418" t="s">
        <v>103</v>
      </c>
      <c r="C1418" t="s">
        <v>95</v>
      </c>
      <c r="D1418" t="s">
        <v>104</v>
      </c>
      <c r="E1418" t="s">
        <v>8</v>
      </c>
      <c r="F1418" s="7">
        <v>45514</v>
      </c>
      <c r="G1418" s="1">
        <v>45292</v>
      </c>
      <c r="H1418" s="14">
        <v>61.610000000000007</v>
      </c>
      <c r="I1418">
        <v>315</v>
      </c>
      <c r="J1418" t="s">
        <v>86</v>
      </c>
      <c r="K1418" t="s">
        <v>105</v>
      </c>
      <c r="L1418" s="16" t="s">
        <v>95</v>
      </c>
    </row>
    <row r="1419" spans="1:12" x14ac:dyDescent="0.35">
      <c r="A1419" t="s">
        <v>8</v>
      </c>
      <c r="B1419" t="s">
        <v>16</v>
      </c>
      <c r="C1419" t="s">
        <v>95</v>
      </c>
      <c r="D1419" t="s">
        <v>104</v>
      </c>
      <c r="E1419" t="s">
        <v>8</v>
      </c>
      <c r="F1419" s="7">
        <v>45514</v>
      </c>
      <c r="G1419" s="1">
        <v>45292</v>
      </c>
      <c r="H1419" s="14">
        <v>31.65</v>
      </c>
      <c r="I1419">
        <v>133</v>
      </c>
      <c r="J1419" t="s">
        <v>86</v>
      </c>
      <c r="K1419" t="s">
        <v>105</v>
      </c>
      <c r="L1419" s="16" t="s">
        <v>95</v>
      </c>
    </row>
    <row r="1420" spans="1:12" x14ac:dyDescent="0.35">
      <c r="A1420" t="s">
        <v>8</v>
      </c>
      <c r="B1420" t="s">
        <v>84</v>
      </c>
      <c r="C1420" t="s">
        <v>95</v>
      </c>
      <c r="D1420" t="s">
        <v>104</v>
      </c>
      <c r="E1420" t="s">
        <v>8</v>
      </c>
      <c r="F1420" s="7">
        <v>45514</v>
      </c>
      <c r="G1420" s="1">
        <v>45292</v>
      </c>
      <c r="H1420" s="14">
        <v>8705.2033069999998</v>
      </c>
      <c r="I1420">
        <v>28461</v>
      </c>
      <c r="J1420" t="s">
        <v>86</v>
      </c>
      <c r="K1420" t="s">
        <v>105</v>
      </c>
      <c r="L1420" s="16" t="s">
        <v>95</v>
      </c>
    </row>
    <row r="1421" spans="1:12" x14ac:dyDescent="0.35">
      <c r="A1421" t="s">
        <v>8</v>
      </c>
      <c r="B1421" t="s">
        <v>17</v>
      </c>
      <c r="C1421" t="s">
        <v>95</v>
      </c>
      <c r="D1421" t="s">
        <v>104</v>
      </c>
      <c r="E1421" t="s">
        <v>8</v>
      </c>
      <c r="F1421" s="7">
        <v>45514</v>
      </c>
      <c r="G1421" s="1">
        <v>45292</v>
      </c>
      <c r="H1421" s="14">
        <v>74.52</v>
      </c>
      <c r="I1421">
        <v>772</v>
      </c>
      <c r="J1421" t="s">
        <v>86</v>
      </c>
      <c r="K1421" t="s">
        <v>105</v>
      </c>
      <c r="L1421" s="16" t="s">
        <v>95</v>
      </c>
    </row>
    <row r="1422" spans="1:12" x14ac:dyDescent="0.35">
      <c r="A1422" t="s">
        <v>8</v>
      </c>
      <c r="B1422" t="s">
        <v>106</v>
      </c>
      <c r="C1422" t="s">
        <v>95</v>
      </c>
      <c r="D1422" t="s">
        <v>104</v>
      </c>
      <c r="E1422" t="s">
        <v>8</v>
      </c>
      <c r="F1422" s="7">
        <v>45514</v>
      </c>
      <c r="G1422" s="1">
        <v>45292</v>
      </c>
      <c r="H1422" s="14">
        <v>165.457516</v>
      </c>
      <c r="I1422">
        <v>340</v>
      </c>
      <c r="J1422" t="s">
        <v>86</v>
      </c>
      <c r="K1422" t="s">
        <v>105</v>
      </c>
      <c r="L1422" s="16" t="s">
        <v>95</v>
      </c>
    </row>
    <row r="1423" spans="1:12" x14ac:dyDescent="0.35">
      <c r="A1423" t="s">
        <v>8</v>
      </c>
      <c r="B1423" t="s">
        <v>92</v>
      </c>
      <c r="C1423" t="s">
        <v>95</v>
      </c>
      <c r="D1423" t="s">
        <v>104</v>
      </c>
      <c r="E1423" t="s">
        <v>8</v>
      </c>
      <c r="F1423" s="7">
        <v>45514</v>
      </c>
      <c r="G1423" s="1">
        <v>45292</v>
      </c>
      <c r="H1423" s="14">
        <v>270.67</v>
      </c>
      <c r="I1423">
        <v>1863</v>
      </c>
      <c r="J1423" t="s">
        <v>86</v>
      </c>
      <c r="K1423" t="s">
        <v>105</v>
      </c>
      <c r="L1423" s="16" t="s">
        <v>95</v>
      </c>
    </row>
    <row r="1424" spans="1:12" x14ac:dyDescent="0.35">
      <c r="A1424" t="s">
        <v>8</v>
      </c>
      <c r="B1424" t="s">
        <v>21</v>
      </c>
      <c r="C1424" t="s">
        <v>95</v>
      </c>
      <c r="D1424" t="s">
        <v>104</v>
      </c>
      <c r="E1424" t="s">
        <v>8</v>
      </c>
      <c r="F1424" s="7">
        <v>45514</v>
      </c>
      <c r="G1424" s="1">
        <v>45292</v>
      </c>
      <c r="H1424" s="14">
        <v>184.2</v>
      </c>
      <c r="I1424">
        <v>1293</v>
      </c>
      <c r="J1424" t="s">
        <v>86</v>
      </c>
      <c r="K1424" t="s">
        <v>105</v>
      </c>
      <c r="L1424" s="16" t="s">
        <v>95</v>
      </c>
    </row>
    <row r="1425" spans="1:12" x14ac:dyDescent="0.35">
      <c r="A1425" t="s">
        <v>8</v>
      </c>
      <c r="B1425" t="s">
        <v>101</v>
      </c>
      <c r="C1425" t="s">
        <v>95</v>
      </c>
      <c r="D1425" t="s">
        <v>104</v>
      </c>
      <c r="E1425" t="s">
        <v>8</v>
      </c>
      <c r="F1425" s="7">
        <v>45514</v>
      </c>
      <c r="G1425" s="1">
        <v>45292</v>
      </c>
      <c r="H1425" s="14">
        <v>104.19</v>
      </c>
      <c r="I1425">
        <v>468</v>
      </c>
      <c r="J1425" t="s">
        <v>86</v>
      </c>
      <c r="K1425" t="s">
        <v>105</v>
      </c>
      <c r="L1425" s="16" t="s">
        <v>95</v>
      </c>
    </row>
    <row r="1426" spans="1:12" x14ac:dyDescent="0.35">
      <c r="A1426" t="s">
        <v>8</v>
      </c>
      <c r="B1426" t="s">
        <v>99</v>
      </c>
      <c r="C1426" t="s">
        <v>95</v>
      </c>
      <c r="D1426" t="s">
        <v>104</v>
      </c>
      <c r="E1426" t="s">
        <v>8</v>
      </c>
      <c r="F1426" s="7">
        <v>45514</v>
      </c>
      <c r="G1426" s="1">
        <v>45292</v>
      </c>
      <c r="H1426" s="14">
        <v>56.84</v>
      </c>
      <c r="I1426">
        <v>391</v>
      </c>
      <c r="J1426" t="s">
        <v>86</v>
      </c>
      <c r="K1426" t="s">
        <v>105</v>
      </c>
      <c r="L1426" s="16" t="s">
        <v>95</v>
      </c>
    </row>
    <row r="1427" spans="1:12" x14ac:dyDescent="0.35">
      <c r="A1427" t="s">
        <v>8</v>
      </c>
      <c r="B1427" t="s">
        <v>102</v>
      </c>
      <c r="C1427" t="s">
        <v>95</v>
      </c>
      <c r="D1427" t="s">
        <v>104</v>
      </c>
      <c r="E1427" t="s">
        <v>8</v>
      </c>
      <c r="F1427" s="7">
        <v>45514</v>
      </c>
      <c r="G1427" s="1">
        <v>45292</v>
      </c>
      <c r="H1427" s="14">
        <v>86.609999999999985</v>
      </c>
      <c r="I1427">
        <v>550</v>
      </c>
      <c r="J1427" t="s">
        <v>86</v>
      </c>
      <c r="K1427" t="s">
        <v>105</v>
      </c>
      <c r="L1427" s="16" t="s">
        <v>95</v>
      </c>
    </row>
    <row r="1428" spans="1:12" x14ac:dyDescent="0.35">
      <c r="A1428" t="s">
        <v>8</v>
      </c>
      <c r="B1428" t="s">
        <v>100</v>
      </c>
      <c r="C1428" t="s">
        <v>95</v>
      </c>
      <c r="D1428" t="s">
        <v>104</v>
      </c>
      <c r="E1428" t="s">
        <v>8</v>
      </c>
      <c r="F1428" s="7">
        <v>45514</v>
      </c>
      <c r="G1428" s="1">
        <v>45292</v>
      </c>
      <c r="H1428" s="14">
        <v>138.913816</v>
      </c>
      <c r="I1428">
        <v>789</v>
      </c>
      <c r="J1428" t="s">
        <v>86</v>
      </c>
      <c r="K1428" t="s">
        <v>105</v>
      </c>
      <c r="L1428" s="16" t="s">
        <v>95</v>
      </c>
    </row>
    <row r="1429" spans="1:12" x14ac:dyDescent="0.35">
      <c r="A1429" t="s">
        <v>8</v>
      </c>
      <c r="B1429" t="s">
        <v>92</v>
      </c>
      <c r="C1429" t="s">
        <v>93</v>
      </c>
      <c r="D1429" t="s">
        <v>10</v>
      </c>
      <c r="E1429" t="s">
        <v>10</v>
      </c>
      <c r="F1429" s="7">
        <v>45521</v>
      </c>
      <c r="G1429" s="1">
        <v>45292</v>
      </c>
      <c r="H1429" s="14">
        <v>5958.0917000000027</v>
      </c>
      <c r="I1429">
        <v>2064950</v>
      </c>
      <c r="J1429" t="s">
        <v>86</v>
      </c>
      <c r="K1429" t="s">
        <v>94</v>
      </c>
      <c r="L1429" s="16" t="s">
        <v>10</v>
      </c>
    </row>
    <row r="1430" spans="1:12" x14ac:dyDescent="0.35">
      <c r="A1430" t="s">
        <v>8</v>
      </c>
      <c r="B1430" t="s">
        <v>92</v>
      </c>
      <c r="C1430" t="s">
        <v>95</v>
      </c>
      <c r="D1430" t="s">
        <v>10</v>
      </c>
      <c r="E1430" t="s">
        <v>10</v>
      </c>
      <c r="F1430" s="7">
        <v>45521</v>
      </c>
      <c r="G1430" s="1">
        <v>45292</v>
      </c>
      <c r="H1430" s="14">
        <v>6577.1100000000006</v>
      </c>
      <c r="I1430">
        <v>620384</v>
      </c>
      <c r="J1430" t="s">
        <v>86</v>
      </c>
      <c r="K1430" t="s">
        <v>96</v>
      </c>
      <c r="L1430" s="16" t="s">
        <v>10</v>
      </c>
    </row>
    <row r="1431" spans="1:12" x14ac:dyDescent="0.35">
      <c r="A1431" t="s">
        <v>8</v>
      </c>
      <c r="B1431" t="s">
        <v>84</v>
      </c>
      <c r="C1431" t="s">
        <v>93</v>
      </c>
      <c r="D1431" t="s">
        <v>10</v>
      </c>
      <c r="E1431" t="s">
        <v>10</v>
      </c>
      <c r="F1431" s="7">
        <v>45521</v>
      </c>
      <c r="G1431" s="1">
        <v>45292</v>
      </c>
      <c r="H1431" s="14">
        <v>4461.0186999999987</v>
      </c>
      <c r="I1431">
        <v>2685435</v>
      </c>
      <c r="J1431" t="s">
        <v>86</v>
      </c>
      <c r="K1431" t="s">
        <v>94</v>
      </c>
      <c r="L1431" s="16" t="s">
        <v>10</v>
      </c>
    </row>
    <row r="1432" spans="1:12" x14ac:dyDescent="0.35">
      <c r="A1432" t="s">
        <v>8</v>
      </c>
      <c r="B1432" t="s">
        <v>84</v>
      </c>
      <c r="C1432" t="s">
        <v>95</v>
      </c>
      <c r="D1432" t="s">
        <v>10</v>
      </c>
      <c r="E1432" t="s">
        <v>10</v>
      </c>
      <c r="F1432" s="7">
        <v>45521</v>
      </c>
      <c r="G1432" s="1">
        <v>45292</v>
      </c>
      <c r="H1432" s="14">
        <v>7064.7000000000007</v>
      </c>
      <c r="I1432">
        <v>784636</v>
      </c>
      <c r="J1432" t="s">
        <v>86</v>
      </c>
      <c r="K1432" t="s">
        <v>96</v>
      </c>
      <c r="L1432" s="16" t="s">
        <v>10</v>
      </c>
    </row>
    <row r="1433" spans="1:12" x14ac:dyDescent="0.35">
      <c r="A1433" t="s">
        <v>8</v>
      </c>
      <c r="B1433" t="s">
        <v>17</v>
      </c>
      <c r="C1433" t="s">
        <v>93</v>
      </c>
      <c r="D1433" t="s">
        <v>10</v>
      </c>
      <c r="E1433" t="s">
        <v>10</v>
      </c>
      <c r="F1433" s="7">
        <v>45521</v>
      </c>
      <c r="G1433" s="1">
        <v>45292</v>
      </c>
      <c r="H1433" s="14">
        <v>5591.6180000000013</v>
      </c>
      <c r="I1433">
        <v>1633791</v>
      </c>
      <c r="J1433" t="s">
        <v>86</v>
      </c>
      <c r="K1433" t="s">
        <v>94</v>
      </c>
      <c r="L1433" s="16" t="s">
        <v>10</v>
      </c>
    </row>
    <row r="1434" spans="1:12" x14ac:dyDescent="0.35">
      <c r="A1434" t="s">
        <v>8</v>
      </c>
      <c r="B1434" t="s">
        <v>17</v>
      </c>
      <c r="C1434" t="s">
        <v>95</v>
      </c>
      <c r="D1434" t="s">
        <v>10</v>
      </c>
      <c r="E1434" t="s">
        <v>10</v>
      </c>
      <c r="F1434" s="7">
        <v>45521</v>
      </c>
      <c r="G1434" s="1">
        <v>45292</v>
      </c>
      <c r="H1434" s="14">
        <v>8216.369999999999</v>
      </c>
      <c r="I1434">
        <v>1041815</v>
      </c>
      <c r="J1434" t="s">
        <v>86</v>
      </c>
      <c r="K1434" t="s">
        <v>96</v>
      </c>
      <c r="L1434" s="16" t="s">
        <v>10</v>
      </c>
    </row>
    <row r="1435" spans="1:12" x14ac:dyDescent="0.35">
      <c r="A1435" t="s">
        <v>8</v>
      </c>
      <c r="B1435" t="s">
        <v>99</v>
      </c>
      <c r="C1435" t="s">
        <v>93</v>
      </c>
      <c r="D1435" t="s">
        <v>10</v>
      </c>
      <c r="E1435" t="s">
        <v>10</v>
      </c>
      <c r="F1435" s="7">
        <v>45521</v>
      </c>
      <c r="G1435" s="1">
        <v>45292</v>
      </c>
      <c r="H1435" s="14">
        <v>3808.0692000000004</v>
      </c>
      <c r="I1435">
        <v>271473</v>
      </c>
      <c r="J1435" t="s">
        <v>86</v>
      </c>
      <c r="K1435" t="s">
        <v>94</v>
      </c>
      <c r="L1435" s="16" t="s">
        <v>10</v>
      </c>
    </row>
    <row r="1436" spans="1:12" x14ac:dyDescent="0.35">
      <c r="A1436" t="s">
        <v>8</v>
      </c>
      <c r="B1436" t="s">
        <v>99</v>
      </c>
      <c r="C1436" t="s">
        <v>95</v>
      </c>
      <c r="D1436" t="s">
        <v>10</v>
      </c>
      <c r="E1436" t="s">
        <v>10</v>
      </c>
      <c r="F1436" s="7">
        <v>45521</v>
      </c>
      <c r="G1436" s="1">
        <v>45292</v>
      </c>
      <c r="H1436" s="14">
        <v>5590.8299999999981</v>
      </c>
      <c r="I1436">
        <v>1075691</v>
      </c>
      <c r="J1436" t="s">
        <v>86</v>
      </c>
      <c r="K1436" t="s">
        <v>96</v>
      </c>
      <c r="L1436" s="16" t="s">
        <v>10</v>
      </c>
    </row>
    <row r="1437" spans="1:12" x14ac:dyDescent="0.35">
      <c r="A1437" t="s">
        <v>8</v>
      </c>
      <c r="B1437" t="s">
        <v>100</v>
      </c>
      <c r="C1437" t="s">
        <v>93</v>
      </c>
      <c r="D1437" t="s">
        <v>10</v>
      </c>
      <c r="E1437" t="s">
        <v>10</v>
      </c>
      <c r="F1437" s="7">
        <v>45521</v>
      </c>
      <c r="G1437" s="1">
        <v>45292</v>
      </c>
      <c r="H1437" s="14">
        <v>4253.0930000000017</v>
      </c>
      <c r="I1437">
        <v>1234188</v>
      </c>
      <c r="J1437" t="s">
        <v>86</v>
      </c>
      <c r="K1437" t="s">
        <v>94</v>
      </c>
      <c r="L1437" s="16" t="s">
        <v>10</v>
      </c>
    </row>
    <row r="1438" spans="1:12" x14ac:dyDescent="0.35">
      <c r="A1438" t="s">
        <v>8</v>
      </c>
      <c r="B1438" t="s">
        <v>100</v>
      </c>
      <c r="C1438" t="s">
        <v>95</v>
      </c>
      <c r="D1438" t="s">
        <v>10</v>
      </c>
      <c r="E1438" t="s">
        <v>10</v>
      </c>
      <c r="F1438" s="7">
        <v>45521</v>
      </c>
      <c r="G1438" s="1">
        <v>45292</v>
      </c>
      <c r="H1438" s="14">
        <v>6777.92</v>
      </c>
      <c r="I1438">
        <v>1533777</v>
      </c>
      <c r="J1438" t="s">
        <v>86</v>
      </c>
      <c r="K1438" t="s">
        <v>96</v>
      </c>
      <c r="L1438" s="16" t="s">
        <v>10</v>
      </c>
    </row>
    <row r="1439" spans="1:12" x14ac:dyDescent="0.35">
      <c r="A1439" t="s">
        <v>8</v>
      </c>
      <c r="B1439" t="s">
        <v>21</v>
      </c>
      <c r="C1439" t="s">
        <v>93</v>
      </c>
      <c r="D1439" t="s">
        <v>10</v>
      </c>
      <c r="E1439" t="s">
        <v>10</v>
      </c>
      <c r="F1439" s="7">
        <v>45521</v>
      </c>
      <c r="G1439" s="1">
        <v>45292</v>
      </c>
      <c r="H1439" s="14">
        <v>3695.0268999999985</v>
      </c>
      <c r="I1439">
        <v>961822</v>
      </c>
      <c r="J1439" t="s">
        <v>86</v>
      </c>
      <c r="K1439" t="s">
        <v>94</v>
      </c>
      <c r="L1439" s="16" t="s">
        <v>10</v>
      </c>
    </row>
    <row r="1440" spans="1:12" x14ac:dyDescent="0.35">
      <c r="A1440" t="s">
        <v>8</v>
      </c>
      <c r="B1440" t="s">
        <v>21</v>
      </c>
      <c r="C1440" t="s">
        <v>95</v>
      </c>
      <c r="D1440" t="s">
        <v>10</v>
      </c>
      <c r="E1440" t="s">
        <v>10</v>
      </c>
      <c r="F1440" s="7">
        <v>45521</v>
      </c>
      <c r="G1440" s="1">
        <v>45292</v>
      </c>
      <c r="H1440" s="14">
        <v>4768.68</v>
      </c>
      <c r="I1440">
        <v>486479</v>
      </c>
      <c r="J1440" t="s">
        <v>86</v>
      </c>
      <c r="K1440" t="s">
        <v>96</v>
      </c>
      <c r="L1440" s="16" t="s">
        <v>10</v>
      </c>
    </row>
    <row r="1441" spans="1:12" x14ac:dyDescent="0.35">
      <c r="A1441" t="s">
        <v>8</v>
      </c>
      <c r="B1441" t="s">
        <v>101</v>
      </c>
      <c r="C1441" t="s">
        <v>93</v>
      </c>
      <c r="D1441" t="s">
        <v>10</v>
      </c>
      <c r="E1441" t="s">
        <v>10</v>
      </c>
      <c r="F1441" s="7">
        <v>45521</v>
      </c>
      <c r="G1441" s="1">
        <v>45292</v>
      </c>
      <c r="H1441" s="14">
        <v>2168.7584999999999</v>
      </c>
      <c r="I1441">
        <v>569411</v>
      </c>
      <c r="J1441" t="s">
        <v>86</v>
      </c>
      <c r="K1441" t="s">
        <v>94</v>
      </c>
      <c r="L1441" s="16" t="s">
        <v>10</v>
      </c>
    </row>
    <row r="1442" spans="1:12" x14ac:dyDescent="0.35">
      <c r="A1442" t="s">
        <v>8</v>
      </c>
      <c r="B1442" t="s">
        <v>101</v>
      </c>
      <c r="C1442" t="s">
        <v>95</v>
      </c>
      <c r="D1442" t="s">
        <v>10</v>
      </c>
      <c r="E1442" t="s">
        <v>10</v>
      </c>
      <c r="F1442" s="7">
        <v>45521</v>
      </c>
      <c r="G1442" s="1">
        <v>45292</v>
      </c>
      <c r="H1442" s="14">
        <v>1951.6999999999996</v>
      </c>
      <c r="I1442">
        <v>273564</v>
      </c>
      <c r="J1442" t="s">
        <v>86</v>
      </c>
      <c r="K1442" t="s">
        <v>96</v>
      </c>
      <c r="L1442" s="16" t="s">
        <v>10</v>
      </c>
    </row>
    <row r="1443" spans="1:12" x14ac:dyDescent="0.35">
      <c r="A1443" t="s">
        <v>8</v>
      </c>
      <c r="B1443" t="s">
        <v>103</v>
      </c>
      <c r="C1443" t="s">
        <v>95</v>
      </c>
      <c r="D1443" t="s">
        <v>104</v>
      </c>
      <c r="E1443" t="s">
        <v>8</v>
      </c>
      <c r="F1443" s="7">
        <v>45521</v>
      </c>
      <c r="G1443" s="1">
        <v>45292</v>
      </c>
      <c r="H1443" s="14">
        <v>55.86</v>
      </c>
      <c r="I1443">
        <v>317</v>
      </c>
      <c r="J1443" t="s">
        <v>86</v>
      </c>
      <c r="K1443" t="s">
        <v>105</v>
      </c>
      <c r="L1443" s="16" t="s">
        <v>95</v>
      </c>
    </row>
    <row r="1444" spans="1:12" x14ac:dyDescent="0.35">
      <c r="A1444" t="s">
        <v>8</v>
      </c>
      <c r="B1444" t="s">
        <v>16</v>
      </c>
      <c r="C1444" t="s">
        <v>95</v>
      </c>
      <c r="D1444" t="s">
        <v>104</v>
      </c>
      <c r="E1444" t="s">
        <v>8</v>
      </c>
      <c r="F1444" s="7">
        <v>45521</v>
      </c>
      <c r="G1444" s="1">
        <v>45292</v>
      </c>
      <c r="H1444" s="14">
        <v>41.949999999999996</v>
      </c>
      <c r="I1444">
        <v>225</v>
      </c>
      <c r="J1444" t="s">
        <v>86</v>
      </c>
      <c r="K1444" t="s">
        <v>105</v>
      </c>
      <c r="L1444" s="16" t="s">
        <v>95</v>
      </c>
    </row>
    <row r="1445" spans="1:12" x14ac:dyDescent="0.35">
      <c r="A1445" t="s">
        <v>8</v>
      </c>
      <c r="B1445" t="s">
        <v>84</v>
      </c>
      <c r="C1445" t="s">
        <v>95</v>
      </c>
      <c r="D1445" t="s">
        <v>104</v>
      </c>
      <c r="E1445" t="s">
        <v>8</v>
      </c>
      <c r="F1445" s="7">
        <v>45521</v>
      </c>
      <c r="G1445" s="1">
        <v>45292</v>
      </c>
      <c r="H1445" s="14">
        <v>8149.8167180000028</v>
      </c>
      <c r="I1445">
        <v>27641</v>
      </c>
      <c r="J1445" t="s">
        <v>86</v>
      </c>
      <c r="K1445" t="s">
        <v>105</v>
      </c>
      <c r="L1445" s="16" t="s">
        <v>95</v>
      </c>
    </row>
    <row r="1446" spans="1:12" x14ac:dyDescent="0.35">
      <c r="A1446" t="s">
        <v>8</v>
      </c>
      <c r="B1446" t="s">
        <v>17</v>
      </c>
      <c r="C1446" t="s">
        <v>95</v>
      </c>
      <c r="D1446" t="s">
        <v>104</v>
      </c>
      <c r="E1446" t="s">
        <v>8</v>
      </c>
      <c r="F1446" s="7">
        <v>45521</v>
      </c>
      <c r="G1446" s="1">
        <v>45292</v>
      </c>
      <c r="H1446" s="14">
        <v>114.97000000000001</v>
      </c>
      <c r="I1446">
        <v>809</v>
      </c>
      <c r="J1446" t="s">
        <v>86</v>
      </c>
      <c r="K1446" t="s">
        <v>105</v>
      </c>
      <c r="L1446" s="16" t="s">
        <v>95</v>
      </c>
    </row>
    <row r="1447" spans="1:12" x14ac:dyDescent="0.35">
      <c r="A1447" t="s">
        <v>8</v>
      </c>
      <c r="B1447" t="s">
        <v>106</v>
      </c>
      <c r="C1447" t="s">
        <v>95</v>
      </c>
      <c r="D1447" t="s">
        <v>104</v>
      </c>
      <c r="E1447" t="s">
        <v>8</v>
      </c>
      <c r="F1447" s="7">
        <v>45521</v>
      </c>
      <c r="G1447" s="1">
        <v>45292</v>
      </c>
      <c r="H1447" s="14">
        <v>168.64000000000001</v>
      </c>
      <c r="I1447">
        <v>346</v>
      </c>
      <c r="J1447" t="s">
        <v>86</v>
      </c>
      <c r="K1447" t="s">
        <v>105</v>
      </c>
      <c r="L1447" s="16" t="s">
        <v>95</v>
      </c>
    </row>
    <row r="1448" spans="1:12" x14ac:dyDescent="0.35">
      <c r="A1448" t="s">
        <v>8</v>
      </c>
      <c r="B1448" t="s">
        <v>92</v>
      </c>
      <c r="C1448" t="s">
        <v>95</v>
      </c>
      <c r="D1448" t="s">
        <v>104</v>
      </c>
      <c r="E1448" t="s">
        <v>8</v>
      </c>
      <c r="F1448" s="7">
        <v>45521</v>
      </c>
      <c r="G1448" s="1">
        <v>45292</v>
      </c>
      <c r="H1448" s="14">
        <v>286.55</v>
      </c>
      <c r="I1448">
        <v>2041</v>
      </c>
      <c r="J1448" t="s">
        <v>86</v>
      </c>
      <c r="K1448" t="s">
        <v>105</v>
      </c>
      <c r="L1448" s="16" t="s">
        <v>95</v>
      </c>
    </row>
    <row r="1449" spans="1:12" x14ac:dyDescent="0.35">
      <c r="A1449" t="s">
        <v>8</v>
      </c>
      <c r="B1449" t="s">
        <v>21</v>
      </c>
      <c r="C1449" t="s">
        <v>95</v>
      </c>
      <c r="D1449" t="s">
        <v>104</v>
      </c>
      <c r="E1449" t="s">
        <v>8</v>
      </c>
      <c r="F1449" s="7">
        <v>45521</v>
      </c>
      <c r="G1449" s="1">
        <v>45292</v>
      </c>
      <c r="H1449" s="14">
        <v>220.15333300000003</v>
      </c>
      <c r="I1449">
        <v>1561</v>
      </c>
      <c r="J1449" t="s">
        <v>86</v>
      </c>
      <c r="K1449" t="s">
        <v>105</v>
      </c>
      <c r="L1449" s="16" t="s">
        <v>95</v>
      </c>
    </row>
    <row r="1450" spans="1:12" x14ac:dyDescent="0.35">
      <c r="A1450" t="s">
        <v>8</v>
      </c>
      <c r="B1450" t="s">
        <v>101</v>
      </c>
      <c r="C1450" t="s">
        <v>95</v>
      </c>
      <c r="D1450" t="s">
        <v>104</v>
      </c>
      <c r="E1450" t="s">
        <v>8</v>
      </c>
      <c r="F1450" s="7">
        <v>45521</v>
      </c>
      <c r="G1450" s="1">
        <v>45292</v>
      </c>
      <c r="H1450" s="14">
        <v>74.62</v>
      </c>
      <c r="I1450">
        <v>538</v>
      </c>
      <c r="J1450" t="s">
        <v>86</v>
      </c>
      <c r="K1450" t="s">
        <v>105</v>
      </c>
      <c r="L1450" s="16" t="s">
        <v>95</v>
      </c>
    </row>
    <row r="1451" spans="1:12" x14ac:dyDescent="0.35">
      <c r="A1451" t="s">
        <v>8</v>
      </c>
      <c r="B1451" t="s">
        <v>99</v>
      </c>
      <c r="C1451" t="s">
        <v>95</v>
      </c>
      <c r="D1451" t="s">
        <v>104</v>
      </c>
      <c r="E1451" t="s">
        <v>8</v>
      </c>
      <c r="F1451" s="7">
        <v>45521</v>
      </c>
      <c r="G1451" s="1">
        <v>45292</v>
      </c>
      <c r="H1451" s="14">
        <v>49.81</v>
      </c>
      <c r="I1451">
        <v>385</v>
      </c>
      <c r="J1451" t="s">
        <v>86</v>
      </c>
      <c r="K1451" t="s">
        <v>105</v>
      </c>
      <c r="L1451" s="16" t="s">
        <v>95</v>
      </c>
    </row>
    <row r="1452" spans="1:12" x14ac:dyDescent="0.35">
      <c r="A1452" t="s">
        <v>8</v>
      </c>
      <c r="B1452" t="s">
        <v>102</v>
      </c>
      <c r="C1452" t="s">
        <v>95</v>
      </c>
      <c r="D1452" t="s">
        <v>104</v>
      </c>
      <c r="E1452" t="s">
        <v>8</v>
      </c>
      <c r="F1452" s="7">
        <v>45521</v>
      </c>
      <c r="G1452" s="1">
        <v>45292</v>
      </c>
      <c r="H1452" s="14">
        <v>95.949999999999989</v>
      </c>
      <c r="I1452">
        <v>654</v>
      </c>
      <c r="J1452" t="s">
        <v>86</v>
      </c>
      <c r="K1452" t="s">
        <v>105</v>
      </c>
      <c r="L1452" s="16" t="s">
        <v>95</v>
      </c>
    </row>
    <row r="1453" spans="1:12" x14ac:dyDescent="0.35">
      <c r="A1453" t="s">
        <v>8</v>
      </c>
      <c r="B1453" t="s">
        <v>100</v>
      </c>
      <c r="C1453" t="s">
        <v>95</v>
      </c>
      <c r="D1453" t="s">
        <v>104</v>
      </c>
      <c r="E1453" t="s">
        <v>8</v>
      </c>
      <c r="F1453" s="7">
        <v>45521</v>
      </c>
      <c r="G1453" s="1">
        <v>45292</v>
      </c>
      <c r="H1453" s="14">
        <v>104.24000000000001</v>
      </c>
      <c r="I1453">
        <v>830</v>
      </c>
      <c r="J1453" t="s">
        <v>86</v>
      </c>
      <c r="K1453" t="s">
        <v>105</v>
      </c>
      <c r="L1453" s="16" t="s">
        <v>95</v>
      </c>
    </row>
    <row r="1454" spans="1:12" x14ac:dyDescent="0.35">
      <c r="A1454" t="s">
        <v>8</v>
      </c>
      <c r="B1454" t="s">
        <v>92</v>
      </c>
      <c r="C1454" t="s">
        <v>93</v>
      </c>
      <c r="D1454" t="s">
        <v>10</v>
      </c>
      <c r="E1454" t="s">
        <v>10</v>
      </c>
      <c r="F1454" s="7">
        <v>45528</v>
      </c>
      <c r="G1454" s="1">
        <v>45292</v>
      </c>
      <c r="H1454" s="14">
        <v>5926.1203000000041</v>
      </c>
      <c r="I1454">
        <v>1902233</v>
      </c>
      <c r="J1454" t="s">
        <v>86</v>
      </c>
      <c r="K1454" t="s">
        <v>94</v>
      </c>
      <c r="L1454" s="16" t="s">
        <v>10</v>
      </c>
    </row>
    <row r="1455" spans="1:12" x14ac:dyDescent="0.35">
      <c r="A1455" t="s">
        <v>8</v>
      </c>
      <c r="B1455" t="s">
        <v>92</v>
      </c>
      <c r="C1455" t="s">
        <v>95</v>
      </c>
      <c r="D1455" t="s">
        <v>10</v>
      </c>
      <c r="E1455" t="s">
        <v>10</v>
      </c>
      <c r="F1455" s="7">
        <v>45528</v>
      </c>
      <c r="G1455" s="1">
        <v>45292</v>
      </c>
      <c r="H1455" s="14">
        <v>8397.7100000000009</v>
      </c>
      <c r="I1455">
        <v>785517</v>
      </c>
      <c r="J1455" t="s">
        <v>86</v>
      </c>
      <c r="K1455" t="s">
        <v>96</v>
      </c>
      <c r="L1455" s="16" t="s">
        <v>10</v>
      </c>
    </row>
    <row r="1456" spans="1:12" x14ac:dyDescent="0.35">
      <c r="A1456" t="s">
        <v>8</v>
      </c>
      <c r="B1456" t="s">
        <v>84</v>
      </c>
      <c r="C1456" t="s">
        <v>93</v>
      </c>
      <c r="D1456" t="s">
        <v>10</v>
      </c>
      <c r="E1456" t="s">
        <v>10</v>
      </c>
      <c r="F1456" s="7">
        <v>45528</v>
      </c>
      <c r="G1456" s="1">
        <v>45292</v>
      </c>
      <c r="H1456" s="14">
        <v>4550.1957999999995</v>
      </c>
      <c r="I1456">
        <v>2716060</v>
      </c>
      <c r="J1456" t="s">
        <v>86</v>
      </c>
      <c r="K1456" t="s">
        <v>94</v>
      </c>
      <c r="L1456" s="16" t="s">
        <v>10</v>
      </c>
    </row>
    <row r="1457" spans="1:12" x14ac:dyDescent="0.35">
      <c r="A1457" t="s">
        <v>8</v>
      </c>
      <c r="B1457" t="s">
        <v>84</v>
      </c>
      <c r="C1457" t="s">
        <v>95</v>
      </c>
      <c r="D1457" t="s">
        <v>10</v>
      </c>
      <c r="E1457" t="s">
        <v>10</v>
      </c>
      <c r="F1457" s="7">
        <v>45528</v>
      </c>
      <c r="G1457" s="1">
        <v>45292</v>
      </c>
      <c r="H1457" s="14">
        <v>6992.0199999999986</v>
      </c>
      <c r="I1457">
        <v>941804</v>
      </c>
      <c r="J1457" t="s">
        <v>86</v>
      </c>
      <c r="K1457" t="s">
        <v>96</v>
      </c>
      <c r="L1457" s="16" t="s">
        <v>10</v>
      </c>
    </row>
    <row r="1458" spans="1:12" x14ac:dyDescent="0.35">
      <c r="A1458" t="s">
        <v>8</v>
      </c>
      <c r="B1458" t="s">
        <v>17</v>
      </c>
      <c r="C1458" t="s">
        <v>93</v>
      </c>
      <c r="D1458" t="s">
        <v>10</v>
      </c>
      <c r="E1458" t="s">
        <v>10</v>
      </c>
      <c r="F1458" s="7">
        <v>45528</v>
      </c>
      <c r="G1458" s="1">
        <v>45292</v>
      </c>
      <c r="H1458" s="14">
        <v>5620.3661000000047</v>
      </c>
      <c r="I1458">
        <v>1674106</v>
      </c>
      <c r="J1458" t="s">
        <v>86</v>
      </c>
      <c r="K1458" t="s">
        <v>94</v>
      </c>
      <c r="L1458" s="16" t="s">
        <v>10</v>
      </c>
    </row>
    <row r="1459" spans="1:12" x14ac:dyDescent="0.35">
      <c r="A1459" t="s">
        <v>8</v>
      </c>
      <c r="B1459" t="s">
        <v>17</v>
      </c>
      <c r="C1459" t="s">
        <v>95</v>
      </c>
      <c r="D1459" t="s">
        <v>10</v>
      </c>
      <c r="E1459" t="s">
        <v>10</v>
      </c>
      <c r="F1459" s="7">
        <v>45528</v>
      </c>
      <c r="G1459" s="1">
        <v>45292</v>
      </c>
      <c r="H1459" s="14">
        <v>8132.2499999999991</v>
      </c>
      <c r="I1459">
        <v>893299</v>
      </c>
      <c r="J1459" t="s">
        <v>86</v>
      </c>
      <c r="K1459" t="s">
        <v>96</v>
      </c>
      <c r="L1459" s="16" t="s">
        <v>10</v>
      </c>
    </row>
    <row r="1460" spans="1:12" x14ac:dyDescent="0.35">
      <c r="A1460" t="s">
        <v>8</v>
      </c>
      <c r="B1460" t="s">
        <v>99</v>
      </c>
      <c r="C1460" t="s">
        <v>93</v>
      </c>
      <c r="D1460" t="s">
        <v>10</v>
      </c>
      <c r="E1460" t="s">
        <v>10</v>
      </c>
      <c r="F1460" s="7">
        <v>45528</v>
      </c>
      <c r="G1460" s="1">
        <v>45292</v>
      </c>
      <c r="H1460" s="14">
        <v>3863.3629000000001</v>
      </c>
      <c r="I1460">
        <v>379083</v>
      </c>
      <c r="J1460" t="s">
        <v>86</v>
      </c>
      <c r="K1460" t="s">
        <v>94</v>
      </c>
      <c r="L1460" s="16" t="s">
        <v>10</v>
      </c>
    </row>
    <row r="1461" spans="1:12" x14ac:dyDescent="0.35">
      <c r="A1461" t="s">
        <v>8</v>
      </c>
      <c r="B1461" t="s">
        <v>99</v>
      </c>
      <c r="C1461" t="s">
        <v>95</v>
      </c>
      <c r="D1461" t="s">
        <v>10</v>
      </c>
      <c r="E1461" t="s">
        <v>10</v>
      </c>
      <c r="F1461" s="7">
        <v>45528</v>
      </c>
      <c r="G1461" s="1">
        <v>45292</v>
      </c>
      <c r="H1461" s="14">
        <v>5471.8999999999942</v>
      </c>
      <c r="I1461">
        <v>939766</v>
      </c>
      <c r="J1461" t="s">
        <v>86</v>
      </c>
      <c r="K1461" t="s">
        <v>96</v>
      </c>
      <c r="L1461" s="16" t="s">
        <v>10</v>
      </c>
    </row>
    <row r="1462" spans="1:12" x14ac:dyDescent="0.35">
      <c r="A1462" t="s">
        <v>8</v>
      </c>
      <c r="B1462" t="s">
        <v>100</v>
      </c>
      <c r="C1462" t="s">
        <v>93</v>
      </c>
      <c r="D1462" t="s">
        <v>10</v>
      </c>
      <c r="E1462" t="s">
        <v>10</v>
      </c>
      <c r="F1462" s="7">
        <v>45528</v>
      </c>
      <c r="G1462" s="1">
        <v>45292</v>
      </c>
      <c r="H1462" s="14">
        <v>4317.2237000000005</v>
      </c>
      <c r="I1462">
        <v>1212931</v>
      </c>
      <c r="J1462" t="s">
        <v>86</v>
      </c>
      <c r="K1462" t="s">
        <v>94</v>
      </c>
      <c r="L1462" s="16" t="s">
        <v>10</v>
      </c>
    </row>
    <row r="1463" spans="1:12" x14ac:dyDescent="0.35">
      <c r="A1463" t="s">
        <v>8</v>
      </c>
      <c r="B1463" t="s">
        <v>100</v>
      </c>
      <c r="C1463" t="s">
        <v>95</v>
      </c>
      <c r="D1463" t="s">
        <v>10</v>
      </c>
      <c r="E1463" t="s">
        <v>10</v>
      </c>
      <c r="F1463" s="7">
        <v>45528</v>
      </c>
      <c r="G1463" s="1">
        <v>45292</v>
      </c>
      <c r="H1463" s="14">
        <v>9689.32</v>
      </c>
      <c r="I1463">
        <v>1814789</v>
      </c>
      <c r="J1463" t="s">
        <v>86</v>
      </c>
      <c r="K1463" t="s">
        <v>96</v>
      </c>
      <c r="L1463" s="16" t="s">
        <v>10</v>
      </c>
    </row>
    <row r="1464" spans="1:12" x14ac:dyDescent="0.35">
      <c r="A1464" t="s">
        <v>8</v>
      </c>
      <c r="B1464" t="s">
        <v>21</v>
      </c>
      <c r="C1464" t="s">
        <v>93</v>
      </c>
      <c r="D1464" t="s">
        <v>10</v>
      </c>
      <c r="E1464" t="s">
        <v>10</v>
      </c>
      <c r="F1464" s="7">
        <v>45528</v>
      </c>
      <c r="G1464" s="1">
        <v>45292</v>
      </c>
      <c r="H1464" s="14">
        <v>3621.1738999999989</v>
      </c>
      <c r="I1464">
        <v>1644643</v>
      </c>
      <c r="J1464" t="s">
        <v>86</v>
      </c>
      <c r="K1464" t="s">
        <v>94</v>
      </c>
      <c r="L1464" s="16" t="s">
        <v>10</v>
      </c>
    </row>
    <row r="1465" spans="1:12" x14ac:dyDescent="0.35">
      <c r="A1465" t="s">
        <v>8</v>
      </c>
      <c r="B1465" t="s">
        <v>21</v>
      </c>
      <c r="C1465" t="s">
        <v>95</v>
      </c>
      <c r="D1465" t="s">
        <v>10</v>
      </c>
      <c r="E1465" t="s">
        <v>10</v>
      </c>
      <c r="F1465" s="7">
        <v>45528</v>
      </c>
      <c r="G1465" s="1">
        <v>45292</v>
      </c>
      <c r="H1465" s="14">
        <v>5476.369999999999</v>
      </c>
      <c r="I1465">
        <v>503556</v>
      </c>
      <c r="J1465" t="s">
        <v>86</v>
      </c>
      <c r="K1465" t="s">
        <v>96</v>
      </c>
      <c r="L1465" s="16" t="s">
        <v>10</v>
      </c>
    </row>
    <row r="1466" spans="1:12" x14ac:dyDescent="0.35">
      <c r="A1466" t="s">
        <v>8</v>
      </c>
      <c r="B1466" t="s">
        <v>101</v>
      </c>
      <c r="C1466" t="s">
        <v>93</v>
      </c>
      <c r="D1466" t="s">
        <v>10</v>
      </c>
      <c r="E1466" t="s">
        <v>10</v>
      </c>
      <c r="F1466" s="7">
        <v>45528</v>
      </c>
      <c r="G1466" s="1">
        <v>45292</v>
      </c>
      <c r="H1466" s="14">
        <v>2380.976099999999</v>
      </c>
      <c r="I1466">
        <v>589375</v>
      </c>
      <c r="J1466" t="s">
        <v>86</v>
      </c>
      <c r="K1466" t="s">
        <v>94</v>
      </c>
      <c r="L1466" s="16" t="s">
        <v>10</v>
      </c>
    </row>
    <row r="1467" spans="1:12" x14ac:dyDescent="0.35">
      <c r="A1467" t="s">
        <v>8</v>
      </c>
      <c r="B1467" t="s">
        <v>101</v>
      </c>
      <c r="C1467" t="s">
        <v>95</v>
      </c>
      <c r="D1467" t="s">
        <v>10</v>
      </c>
      <c r="E1467" t="s">
        <v>10</v>
      </c>
      <c r="F1467" s="7">
        <v>45528</v>
      </c>
      <c r="G1467" s="1">
        <v>45292</v>
      </c>
      <c r="H1467" s="14">
        <v>1932.4700000000003</v>
      </c>
      <c r="I1467">
        <v>262949</v>
      </c>
      <c r="J1467" t="s">
        <v>86</v>
      </c>
      <c r="K1467" t="s">
        <v>96</v>
      </c>
      <c r="L1467" s="16" t="s">
        <v>10</v>
      </c>
    </row>
    <row r="1468" spans="1:12" x14ac:dyDescent="0.35">
      <c r="A1468" t="s">
        <v>8</v>
      </c>
      <c r="B1468" t="s">
        <v>102</v>
      </c>
      <c r="C1468" t="s">
        <v>95</v>
      </c>
      <c r="D1468" t="s">
        <v>10</v>
      </c>
      <c r="E1468" t="s">
        <v>10</v>
      </c>
      <c r="F1468" s="7">
        <v>45528</v>
      </c>
      <c r="G1468" s="1">
        <v>45292</v>
      </c>
      <c r="H1468" s="14">
        <v>0.37</v>
      </c>
      <c r="I1468">
        <v>227</v>
      </c>
      <c r="J1468" t="s">
        <v>86</v>
      </c>
      <c r="K1468" t="s">
        <v>96</v>
      </c>
      <c r="L1468" s="16" t="s">
        <v>10</v>
      </c>
    </row>
    <row r="1469" spans="1:12" x14ac:dyDescent="0.35">
      <c r="A1469" t="s">
        <v>8</v>
      </c>
      <c r="B1469" t="s">
        <v>103</v>
      </c>
      <c r="C1469" t="s">
        <v>95</v>
      </c>
      <c r="D1469" t="s">
        <v>104</v>
      </c>
      <c r="E1469" t="s">
        <v>8</v>
      </c>
      <c r="F1469" s="7">
        <v>45528</v>
      </c>
      <c r="G1469" s="1">
        <v>45292</v>
      </c>
      <c r="H1469" s="14">
        <v>49.84</v>
      </c>
      <c r="I1469">
        <v>319</v>
      </c>
      <c r="J1469" t="s">
        <v>86</v>
      </c>
      <c r="K1469" t="s">
        <v>105</v>
      </c>
      <c r="L1469" s="16" t="s">
        <v>95</v>
      </c>
    </row>
    <row r="1470" spans="1:12" x14ac:dyDescent="0.35">
      <c r="A1470" t="s">
        <v>8</v>
      </c>
      <c r="B1470" t="s">
        <v>16</v>
      </c>
      <c r="C1470" t="s">
        <v>95</v>
      </c>
      <c r="D1470" t="s">
        <v>104</v>
      </c>
      <c r="E1470" t="s">
        <v>8</v>
      </c>
      <c r="F1470" s="7">
        <v>45528</v>
      </c>
      <c r="G1470" s="1">
        <v>45292</v>
      </c>
      <c r="H1470" s="14">
        <v>35.31</v>
      </c>
      <c r="I1470">
        <v>180</v>
      </c>
      <c r="J1470" t="s">
        <v>86</v>
      </c>
      <c r="K1470" t="s">
        <v>105</v>
      </c>
      <c r="L1470" s="16" t="s">
        <v>95</v>
      </c>
    </row>
    <row r="1471" spans="1:12" x14ac:dyDescent="0.35">
      <c r="A1471" t="s">
        <v>8</v>
      </c>
      <c r="B1471" t="s">
        <v>84</v>
      </c>
      <c r="C1471" t="s">
        <v>95</v>
      </c>
      <c r="D1471" t="s">
        <v>104</v>
      </c>
      <c r="E1471" t="s">
        <v>8</v>
      </c>
      <c r="F1471" s="7">
        <v>45528</v>
      </c>
      <c r="G1471" s="1">
        <v>45292</v>
      </c>
      <c r="H1471" s="14">
        <v>7863.9839549999997</v>
      </c>
      <c r="I1471">
        <v>27921</v>
      </c>
      <c r="J1471" t="s">
        <v>86</v>
      </c>
      <c r="K1471" t="s">
        <v>105</v>
      </c>
      <c r="L1471" s="16" t="s">
        <v>95</v>
      </c>
    </row>
    <row r="1472" spans="1:12" x14ac:dyDescent="0.35">
      <c r="A1472" t="s">
        <v>8</v>
      </c>
      <c r="B1472" t="s">
        <v>17</v>
      </c>
      <c r="C1472" t="s">
        <v>95</v>
      </c>
      <c r="D1472" t="s">
        <v>104</v>
      </c>
      <c r="E1472" t="s">
        <v>8</v>
      </c>
      <c r="F1472" s="7">
        <v>45528</v>
      </c>
      <c r="G1472" s="1">
        <v>45292</v>
      </c>
      <c r="H1472" s="14">
        <v>135.33530300000001</v>
      </c>
      <c r="I1472">
        <v>866</v>
      </c>
      <c r="J1472" t="s">
        <v>86</v>
      </c>
      <c r="K1472" t="s">
        <v>105</v>
      </c>
      <c r="L1472" s="16" t="s">
        <v>95</v>
      </c>
    </row>
    <row r="1473" spans="1:12" x14ac:dyDescent="0.35">
      <c r="A1473" t="s">
        <v>8</v>
      </c>
      <c r="B1473" t="s">
        <v>106</v>
      </c>
      <c r="C1473" t="s">
        <v>95</v>
      </c>
      <c r="D1473" t="s">
        <v>104</v>
      </c>
      <c r="E1473" t="s">
        <v>8</v>
      </c>
      <c r="F1473" s="7">
        <v>45528</v>
      </c>
      <c r="G1473" s="1">
        <v>45292</v>
      </c>
      <c r="H1473" s="14">
        <v>149.03</v>
      </c>
      <c r="I1473">
        <v>352</v>
      </c>
      <c r="J1473" t="s">
        <v>86</v>
      </c>
      <c r="K1473" t="s">
        <v>105</v>
      </c>
      <c r="L1473" s="16" t="s">
        <v>95</v>
      </c>
    </row>
    <row r="1474" spans="1:12" x14ac:dyDescent="0.35">
      <c r="A1474" t="s">
        <v>8</v>
      </c>
      <c r="B1474" t="s">
        <v>92</v>
      </c>
      <c r="C1474" t="s">
        <v>95</v>
      </c>
      <c r="D1474" t="s">
        <v>104</v>
      </c>
      <c r="E1474" t="s">
        <v>8</v>
      </c>
      <c r="F1474" s="7">
        <v>45528</v>
      </c>
      <c r="G1474" s="1">
        <v>45292</v>
      </c>
      <c r="H1474" s="14">
        <v>340.71</v>
      </c>
      <c r="I1474">
        <v>2226</v>
      </c>
      <c r="J1474" t="s">
        <v>86</v>
      </c>
      <c r="K1474" t="s">
        <v>105</v>
      </c>
      <c r="L1474" s="16" t="s">
        <v>95</v>
      </c>
    </row>
    <row r="1475" spans="1:12" x14ac:dyDescent="0.35">
      <c r="A1475" t="s">
        <v>8</v>
      </c>
      <c r="B1475" t="s">
        <v>21</v>
      </c>
      <c r="C1475" t="s">
        <v>95</v>
      </c>
      <c r="D1475" t="s">
        <v>104</v>
      </c>
      <c r="E1475" t="s">
        <v>8</v>
      </c>
      <c r="F1475" s="7">
        <v>45528</v>
      </c>
      <c r="G1475" s="1">
        <v>45292</v>
      </c>
      <c r="H1475" s="14">
        <v>201.30916199999999</v>
      </c>
      <c r="I1475">
        <v>1580</v>
      </c>
      <c r="J1475" t="s">
        <v>86</v>
      </c>
      <c r="K1475" t="s">
        <v>105</v>
      </c>
      <c r="L1475" s="16" t="s">
        <v>95</v>
      </c>
    </row>
    <row r="1476" spans="1:12" x14ac:dyDescent="0.35">
      <c r="A1476" t="s">
        <v>8</v>
      </c>
      <c r="B1476" t="s">
        <v>101</v>
      </c>
      <c r="C1476" t="s">
        <v>95</v>
      </c>
      <c r="D1476" t="s">
        <v>104</v>
      </c>
      <c r="E1476" t="s">
        <v>8</v>
      </c>
      <c r="F1476" s="7">
        <v>45528</v>
      </c>
      <c r="G1476" s="1">
        <v>45292</v>
      </c>
      <c r="H1476" s="14">
        <v>94.775715000000005</v>
      </c>
      <c r="I1476">
        <v>530</v>
      </c>
      <c r="J1476" t="s">
        <v>86</v>
      </c>
      <c r="K1476" t="s">
        <v>105</v>
      </c>
      <c r="L1476" s="16" t="s">
        <v>95</v>
      </c>
    </row>
    <row r="1477" spans="1:12" x14ac:dyDescent="0.35">
      <c r="A1477" t="s">
        <v>8</v>
      </c>
      <c r="B1477" t="s">
        <v>99</v>
      </c>
      <c r="C1477" t="s">
        <v>95</v>
      </c>
      <c r="D1477" t="s">
        <v>104</v>
      </c>
      <c r="E1477" t="s">
        <v>8</v>
      </c>
      <c r="F1477" s="7">
        <v>45528</v>
      </c>
      <c r="G1477" s="1">
        <v>45292</v>
      </c>
      <c r="H1477" s="14">
        <v>72.490000000000009</v>
      </c>
      <c r="I1477">
        <v>416</v>
      </c>
      <c r="J1477" t="s">
        <v>86</v>
      </c>
      <c r="K1477" t="s">
        <v>105</v>
      </c>
      <c r="L1477" s="16" t="s">
        <v>95</v>
      </c>
    </row>
    <row r="1478" spans="1:12" x14ac:dyDescent="0.35">
      <c r="A1478" t="s">
        <v>8</v>
      </c>
      <c r="B1478" t="s">
        <v>102</v>
      </c>
      <c r="C1478" t="s">
        <v>95</v>
      </c>
      <c r="D1478" t="s">
        <v>104</v>
      </c>
      <c r="E1478" t="s">
        <v>8</v>
      </c>
      <c r="F1478" s="7">
        <v>45528</v>
      </c>
      <c r="G1478" s="1">
        <v>45292</v>
      </c>
      <c r="H1478" s="14">
        <v>140.52999999999997</v>
      </c>
      <c r="I1478">
        <v>743</v>
      </c>
      <c r="J1478" t="s">
        <v>86</v>
      </c>
      <c r="K1478" t="s">
        <v>105</v>
      </c>
      <c r="L1478" s="16" t="s">
        <v>95</v>
      </c>
    </row>
    <row r="1479" spans="1:12" x14ac:dyDescent="0.35">
      <c r="A1479" t="s">
        <v>8</v>
      </c>
      <c r="B1479" t="s">
        <v>100</v>
      </c>
      <c r="C1479" t="s">
        <v>95</v>
      </c>
      <c r="D1479" t="s">
        <v>104</v>
      </c>
      <c r="E1479" t="s">
        <v>8</v>
      </c>
      <c r="F1479" s="7">
        <v>45528</v>
      </c>
      <c r="G1479" s="1">
        <v>45292</v>
      </c>
      <c r="H1479" s="14">
        <v>125.91</v>
      </c>
      <c r="I1479">
        <v>856</v>
      </c>
      <c r="J1479" t="s">
        <v>86</v>
      </c>
      <c r="K1479" t="s">
        <v>105</v>
      </c>
      <c r="L1479" s="16" t="s">
        <v>95</v>
      </c>
    </row>
    <row r="1480" spans="1:12" x14ac:dyDescent="0.35">
      <c r="A1480" t="s">
        <v>8</v>
      </c>
      <c r="B1480" t="s">
        <v>92</v>
      </c>
      <c r="C1480" t="s">
        <v>93</v>
      </c>
      <c r="D1480" t="s">
        <v>10</v>
      </c>
      <c r="E1480" t="s">
        <v>10</v>
      </c>
      <c r="F1480" s="7">
        <v>45535</v>
      </c>
      <c r="G1480" s="1">
        <v>45292</v>
      </c>
      <c r="H1480" s="14">
        <v>7754.319199999999</v>
      </c>
      <c r="I1480">
        <v>3039290</v>
      </c>
      <c r="J1480" t="s">
        <v>86</v>
      </c>
      <c r="K1480" t="s">
        <v>94</v>
      </c>
      <c r="L1480" s="16" t="s">
        <v>10</v>
      </c>
    </row>
    <row r="1481" spans="1:12" x14ac:dyDescent="0.35">
      <c r="A1481" t="s">
        <v>8</v>
      </c>
      <c r="B1481" t="s">
        <v>92</v>
      </c>
      <c r="C1481" t="s">
        <v>95</v>
      </c>
      <c r="D1481" t="s">
        <v>10</v>
      </c>
      <c r="E1481" t="s">
        <v>10</v>
      </c>
      <c r="F1481" s="7">
        <v>45535</v>
      </c>
      <c r="G1481" s="1">
        <v>45292</v>
      </c>
      <c r="H1481" s="14">
        <v>9744.6299999999974</v>
      </c>
      <c r="I1481">
        <v>865689</v>
      </c>
      <c r="J1481" t="s">
        <v>86</v>
      </c>
      <c r="K1481" t="s">
        <v>96</v>
      </c>
      <c r="L1481" s="16" t="s">
        <v>10</v>
      </c>
    </row>
    <row r="1482" spans="1:12" x14ac:dyDescent="0.35">
      <c r="A1482" t="s">
        <v>8</v>
      </c>
      <c r="B1482" t="s">
        <v>84</v>
      </c>
      <c r="C1482" t="s">
        <v>93</v>
      </c>
      <c r="D1482" t="s">
        <v>10</v>
      </c>
      <c r="E1482" t="s">
        <v>10</v>
      </c>
      <c r="F1482" s="7">
        <v>45535</v>
      </c>
      <c r="G1482" s="1">
        <v>45292</v>
      </c>
      <c r="H1482" s="14">
        <v>4346.8267999999998</v>
      </c>
      <c r="I1482">
        <v>2573064</v>
      </c>
      <c r="J1482" t="s">
        <v>86</v>
      </c>
      <c r="K1482" t="s">
        <v>94</v>
      </c>
      <c r="L1482" s="16" t="s">
        <v>10</v>
      </c>
    </row>
    <row r="1483" spans="1:12" x14ac:dyDescent="0.35">
      <c r="A1483" t="s">
        <v>8</v>
      </c>
      <c r="B1483" t="s">
        <v>84</v>
      </c>
      <c r="C1483" t="s">
        <v>95</v>
      </c>
      <c r="D1483" t="s">
        <v>10</v>
      </c>
      <c r="E1483" t="s">
        <v>10</v>
      </c>
      <c r="F1483" s="7">
        <v>45535</v>
      </c>
      <c r="G1483" s="1">
        <v>45292</v>
      </c>
      <c r="H1483" s="14">
        <v>7438.96</v>
      </c>
      <c r="I1483">
        <v>901645</v>
      </c>
      <c r="J1483" t="s">
        <v>86</v>
      </c>
      <c r="K1483" t="s">
        <v>96</v>
      </c>
      <c r="L1483" s="16" t="s">
        <v>10</v>
      </c>
    </row>
    <row r="1484" spans="1:12" x14ac:dyDescent="0.35">
      <c r="A1484" t="s">
        <v>8</v>
      </c>
      <c r="B1484" t="s">
        <v>17</v>
      </c>
      <c r="C1484" t="s">
        <v>93</v>
      </c>
      <c r="D1484" t="s">
        <v>10</v>
      </c>
      <c r="E1484" t="s">
        <v>10</v>
      </c>
      <c r="F1484" s="7">
        <v>45535</v>
      </c>
      <c r="G1484" s="1">
        <v>45292</v>
      </c>
      <c r="H1484" s="14">
        <v>7576.036900000001</v>
      </c>
      <c r="I1484">
        <v>2037767</v>
      </c>
      <c r="J1484" t="s">
        <v>86</v>
      </c>
      <c r="K1484" t="s">
        <v>94</v>
      </c>
      <c r="L1484" s="16" t="s">
        <v>10</v>
      </c>
    </row>
    <row r="1485" spans="1:12" x14ac:dyDescent="0.35">
      <c r="A1485" t="s">
        <v>8</v>
      </c>
      <c r="B1485" t="s">
        <v>17</v>
      </c>
      <c r="C1485" t="s">
        <v>95</v>
      </c>
      <c r="D1485" t="s">
        <v>10</v>
      </c>
      <c r="E1485" t="s">
        <v>10</v>
      </c>
      <c r="F1485" s="7">
        <v>45535</v>
      </c>
      <c r="G1485" s="1">
        <v>45292</v>
      </c>
      <c r="H1485" s="14">
        <v>8737.8800000000028</v>
      </c>
      <c r="I1485">
        <v>1024885</v>
      </c>
      <c r="J1485" t="s">
        <v>86</v>
      </c>
      <c r="K1485" t="s">
        <v>96</v>
      </c>
      <c r="L1485" s="16" t="s">
        <v>10</v>
      </c>
    </row>
    <row r="1486" spans="1:12" x14ac:dyDescent="0.35">
      <c r="A1486" t="s">
        <v>8</v>
      </c>
      <c r="B1486" t="s">
        <v>99</v>
      </c>
      <c r="C1486" t="s">
        <v>93</v>
      </c>
      <c r="D1486" t="s">
        <v>10</v>
      </c>
      <c r="E1486" t="s">
        <v>10</v>
      </c>
      <c r="F1486" s="7">
        <v>45535</v>
      </c>
      <c r="G1486" s="1">
        <v>45292</v>
      </c>
      <c r="H1486" s="14">
        <v>3619.2930999999994</v>
      </c>
      <c r="I1486">
        <v>332881</v>
      </c>
      <c r="J1486" t="s">
        <v>86</v>
      </c>
      <c r="K1486" t="s">
        <v>94</v>
      </c>
      <c r="L1486" s="16" t="s">
        <v>10</v>
      </c>
    </row>
    <row r="1487" spans="1:12" x14ac:dyDescent="0.35">
      <c r="A1487" t="s">
        <v>8</v>
      </c>
      <c r="B1487" t="s">
        <v>99</v>
      </c>
      <c r="C1487" t="s">
        <v>95</v>
      </c>
      <c r="D1487" t="s">
        <v>10</v>
      </c>
      <c r="E1487" t="s">
        <v>10</v>
      </c>
      <c r="F1487" s="7">
        <v>45535</v>
      </c>
      <c r="G1487" s="1">
        <v>45292</v>
      </c>
      <c r="H1487" s="14">
        <v>5674.199999999998</v>
      </c>
      <c r="I1487">
        <v>1038285</v>
      </c>
      <c r="J1487" t="s">
        <v>86</v>
      </c>
      <c r="K1487" t="s">
        <v>96</v>
      </c>
      <c r="L1487" s="16" t="s">
        <v>10</v>
      </c>
    </row>
    <row r="1488" spans="1:12" x14ac:dyDescent="0.35">
      <c r="A1488" t="s">
        <v>8</v>
      </c>
      <c r="B1488" t="s">
        <v>100</v>
      </c>
      <c r="C1488" t="s">
        <v>93</v>
      </c>
      <c r="D1488" t="s">
        <v>10</v>
      </c>
      <c r="E1488" t="s">
        <v>10</v>
      </c>
      <c r="F1488" s="7">
        <v>45535</v>
      </c>
      <c r="G1488" s="1">
        <v>45292</v>
      </c>
      <c r="H1488" s="14">
        <v>6578.3256000000029</v>
      </c>
      <c r="I1488">
        <v>2742347</v>
      </c>
      <c r="J1488" t="s">
        <v>86</v>
      </c>
      <c r="K1488" t="s">
        <v>94</v>
      </c>
      <c r="L1488" s="16" t="s">
        <v>10</v>
      </c>
    </row>
    <row r="1489" spans="1:12" x14ac:dyDescent="0.35">
      <c r="A1489" t="s">
        <v>8</v>
      </c>
      <c r="B1489" t="s">
        <v>100</v>
      </c>
      <c r="C1489" t="s">
        <v>95</v>
      </c>
      <c r="D1489" t="s">
        <v>10</v>
      </c>
      <c r="E1489" t="s">
        <v>10</v>
      </c>
      <c r="F1489" s="7">
        <v>45535</v>
      </c>
      <c r="G1489" s="1">
        <v>45292</v>
      </c>
      <c r="H1489" s="14">
        <v>10096.570000000002</v>
      </c>
      <c r="I1489">
        <v>1810676</v>
      </c>
      <c r="J1489" t="s">
        <v>86</v>
      </c>
      <c r="K1489" t="s">
        <v>96</v>
      </c>
      <c r="L1489" s="16" t="s">
        <v>10</v>
      </c>
    </row>
    <row r="1490" spans="1:12" x14ac:dyDescent="0.35">
      <c r="A1490" t="s">
        <v>8</v>
      </c>
      <c r="B1490" t="s">
        <v>21</v>
      </c>
      <c r="C1490" t="s">
        <v>93</v>
      </c>
      <c r="D1490" t="s">
        <v>10</v>
      </c>
      <c r="E1490" t="s">
        <v>10</v>
      </c>
      <c r="F1490" s="7">
        <v>45535</v>
      </c>
      <c r="G1490" s="1">
        <v>45292</v>
      </c>
      <c r="H1490" s="14">
        <v>3450.5375999999983</v>
      </c>
      <c r="I1490">
        <v>1446050</v>
      </c>
      <c r="J1490" t="s">
        <v>86</v>
      </c>
      <c r="K1490" t="s">
        <v>94</v>
      </c>
      <c r="L1490" s="16" t="s">
        <v>10</v>
      </c>
    </row>
    <row r="1491" spans="1:12" x14ac:dyDescent="0.35">
      <c r="A1491" t="s">
        <v>8</v>
      </c>
      <c r="B1491" t="s">
        <v>21</v>
      </c>
      <c r="C1491" t="s">
        <v>95</v>
      </c>
      <c r="D1491" t="s">
        <v>10</v>
      </c>
      <c r="E1491" t="s">
        <v>10</v>
      </c>
      <c r="F1491" s="7">
        <v>45535</v>
      </c>
      <c r="G1491" s="1">
        <v>45292</v>
      </c>
      <c r="H1491" s="14">
        <v>6522.79</v>
      </c>
      <c r="I1491">
        <v>534392</v>
      </c>
      <c r="J1491" t="s">
        <v>86</v>
      </c>
      <c r="K1491" t="s">
        <v>96</v>
      </c>
      <c r="L1491" s="16" t="s">
        <v>10</v>
      </c>
    </row>
    <row r="1492" spans="1:12" x14ac:dyDescent="0.35">
      <c r="A1492" t="s">
        <v>8</v>
      </c>
      <c r="B1492" t="s">
        <v>101</v>
      </c>
      <c r="C1492" t="s">
        <v>93</v>
      </c>
      <c r="D1492" t="s">
        <v>10</v>
      </c>
      <c r="E1492" t="s">
        <v>10</v>
      </c>
      <c r="F1492" s="7">
        <v>45535</v>
      </c>
      <c r="G1492" s="1">
        <v>45292</v>
      </c>
      <c r="H1492" s="14">
        <v>2286.9296999999997</v>
      </c>
      <c r="I1492">
        <v>583763</v>
      </c>
      <c r="J1492" t="s">
        <v>86</v>
      </c>
      <c r="K1492" t="s">
        <v>94</v>
      </c>
      <c r="L1492" s="16" t="s">
        <v>10</v>
      </c>
    </row>
    <row r="1493" spans="1:12" x14ac:dyDescent="0.35">
      <c r="A1493" t="s">
        <v>8</v>
      </c>
      <c r="B1493" t="s">
        <v>101</v>
      </c>
      <c r="C1493" t="s">
        <v>95</v>
      </c>
      <c r="D1493" t="s">
        <v>10</v>
      </c>
      <c r="E1493" t="s">
        <v>10</v>
      </c>
      <c r="F1493" s="7">
        <v>45535</v>
      </c>
      <c r="G1493" s="1">
        <v>45292</v>
      </c>
      <c r="H1493" s="14">
        <v>1613.36</v>
      </c>
      <c r="I1493">
        <v>301632</v>
      </c>
      <c r="J1493" t="s">
        <v>86</v>
      </c>
      <c r="K1493" t="s">
        <v>96</v>
      </c>
      <c r="L1493" s="16" t="s">
        <v>10</v>
      </c>
    </row>
    <row r="1494" spans="1:12" x14ac:dyDescent="0.35">
      <c r="A1494" t="s">
        <v>8</v>
      </c>
      <c r="B1494" t="s">
        <v>102</v>
      </c>
      <c r="C1494" t="s">
        <v>95</v>
      </c>
      <c r="D1494" t="s">
        <v>10</v>
      </c>
      <c r="E1494" t="s">
        <v>10</v>
      </c>
      <c r="F1494" s="7">
        <v>45535</v>
      </c>
      <c r="G1494" s="1">
        <v>45292</v>
      </c>
      <c r="H1494" s="14">
        <v>0.37</v>
      </c>
      <c r="I1494">
        <v>1586</v>
      </c>
      <c r="J1494" t="s">
        <v>86</v>
      </c>
      <c r="K1494" t="s">
        <v>96</v>
      </c>
      <c r="L1494" s="16" t="s">
        <v>10</v>
      </c>
    </row>
    <row r="1495" spans="1:12" x14ac:dyDescent="0.35">
      <c r="A1495" t="s">
        <v>8</v>
      </c>
      <c r="B1495" t="s">
        <v>103</v>
      </c>
      <c r="C1495" t="s">
        <v>95</v>
      </c>
      <c r="D1495" t="s">
        <v>104</v>
      </c>
      <c r="E1495" t="s">
        <v>8</v>
      </c>
      <c r="F1495" s="7">
        <v>45535</v>
      </c>
      <c r="G1495" s="1">
        <v>45292</v>
      </c>
      <c r="H1495" s="14">
        <v>40.71</v>
      </c>
      <c r="I1495">
        <v>278</v>
      </c>
      <c r="J1495" t="s">
        <v>86</v>
      </c>
      <c r="K1495" t="s">
        <v>105</v>
      </c>
      <c r="L1495" s="16" t="s">
        <v>95</v>
      </c>
    </row>
    <row r="1496" spans="1:12" x14ac:dyDescent="0.35">
      <c r="A1496" t="s">
        <v>8</v>
      </c>
      <c r="B1496" t="s">
        <v>16</v>
      </c>
      <c r="C1496" t="s">
        <v>95</v>
      </c>
      <c r="D1496" t="s">
        <v>104</v>
      </c>
      <c r="E1496" t="s">
        <v>8</v>
      </c>
      <c r="F1496" s="7">
        <v>45535</v>
      </c>
      <c r="G1496" s="1">
        <v>45292</v>
      </c>
      <c r="H1496" s="14">
        <v>39.36</v>
      </c>
      <c r="I1496">
        <v>161</v>
      </c>
      <c r="J1496" t="s">
        <v>86</v>
      </c>
      <c r="K1496" t="s">
        <v>105</v>
      </c>
      <c r="L1496" s="16" t="s">
        <v>95</v>
      </c>
    </row>
    <row r="1497" spans="1:12" x14ac:dyDescent="0.35">
      <c r="A1497" t="s">
        <v>8</v>
      </c>
      <c r="B1497" t="s">
        <v>84</v>
      </c>
      <c r="C1497" t="s">
        <v>95</v>
      </c>
      <c r="D1497" t="s">
        <v>104</v>
      </c>
      <c r="E1497" t="s">
        <v>8</v>
      </c>
      <c r="F1497" s="7">
        <v>45535</v>
      </c>
      <c r="G1497" s="1">
        <v>45292</v>
      </c>
      <c r="H1497" s="14">
        <v>7572.2157110000016</v>
      </c>
      <c r="I1497">
        <v>27751</v>
      </c>
      <c r="J1497" t="s">
        <v>86</v>
      </c>
      <c r="K1497" t="s">
        <v>105</v>
      </c>
      <c r="L1497" s="16" t="s">
        <v>95</v>
      </c>
    </row>
    <row r="1498" spans="1:12" x14ac:dyDescent="0.35">
      <c r="A1498" t="s">
        <v>8</v>
      </c>
      <c r="B1498" t="s">
        <v>17</v>
      </c>
      <c r="C1498" t="s">
        <v>95</v>
      </c>
      <c r="D1498" t="s">
        <v>104</v>
      </c>
      <c r="E1498" t="s">
        <v>8</v>
      </c>
      <c r="F1498" s="7">
        <v>45535</v>
      </c>
      <c r="G1498" s="1">
        <v>45292</v>
      </c>
      <c r="H1498" s="14">
        <v>139.58421000000001</v>
      </c>
      <c r="I1498">
        <v>904</v>
      </c>
      <c r="J1498" t="s">
        <v>86</v>
      </c>
      <c r="K1498" t="s">
        <v>105</v>
      </c>
      <c r="L1498" s="16" t="s">
        <v>95</v>
      </c>
    </row>
    <row r="1499" spans="1:12" x14ac:dyDescent="0.35">
      <c r="A1499" t="s">
        <v>8</v>
      </c>
      <c r="B1499" t="s">
        <v>106</v>
      </c>
      <c r="C1499" t="s">
        <v>95</v>
      </c>
      <c r="D1499" t="s">
        <v>104</v>
      </c>
      <c r="E1499" t="s">
        <v>8</v>
      </c>
      <c r="F1499" s="7">
        <v>45535</v>
      </c>
      <c r="G1499" s="1">
        <v>45292</v>
      </c>
      <c r="H1499" s="14">
        <v>135.61000000000001</v>
      </c>
      <c r="I1499">
        <v>325</v>
      </c>
      <c r="J1499" t="s">
        <v>86</v>
      </c>
      <c r="K1499" t="s">
        <v>105</v>
      </c>
      <c r="L1499" s="16" t="s">
        <v>95</v>
      </c>
    </row>
    <row r="1500" spans="1:12" x14ac:dyDescent="0.35">
      <c r="A1500" t="s">
        <v>8</v>
      </c>
      <c r="B1500" t="s">
        <v>92</v>
      </c>
      <c r="C1500" t="s">
        <v>95</v>
      </c>
      <c r="D1500" t="s">
        <v>104</v>
      </c>
      <c r="E1500" t="s">
        <v>8</v>
      </c>
      <c r="F1500" s="7">
        <v>45535</v>
      </c>
      <c r="G1500" s="1">
        <v>45292</v>
      </c>
      <c r="H1500" s="14">
        <v>248.67</v>
      </c>
      <c r="I1500">
        <v>1841</v>
      </c>
      <c r="J1500" t="s">
        <v>86</v>
      </c>
      <c r="K1500" t="s">
        <v>105</v>
      </c>
      <c r="L1500" s="16" t="s">
        <v>95</v>
      </c>
    </row>
    <row r="1501" spans="1:12" x14ac:dyDescent="0.35">
      <c r="A1501" t="s">
        <v>8</v>
      </c>
      <c r="B1501" t="s">
        <v>21</v>
      </c>
      <c r="C1501" t="s">
        <v>95</v>
      </c>
      <c r="D1501" t="s">
        <v>104</v>
      </c>
      <c r="E1501" t="s">
        <v>8</v>
      </c>
      <c r="F1501" s="7">
        <v>45535</v>
      </c>
      <c r="G1501" s="1">
        <v>45292</v>
      </c>
      <c r="H1501" s="14">
        <v>161.30338499999999</v>
      </c>
      <c r="I1501">
        <v>1379</v>
      </c>
      <c r="J1501" t="s">
        <v>86</v>
      </c>
      <c r="K1501" t="s">
        <v>105</v>
      </c>
      <c r="L1501" s="16" t="s">
        <v>95</v>
      </c>
    </row>
    <row r="1502" spans="1:12" x14ac:dyDescent="0.35">
      <c r="A1502" t="s">
        <v>8</v>
      </c>
      <c r="B1502" t="s">
        <v>101</v>
      </c>
      <c r="C1502" t="s">
        <v>95</v>
      </c>
      <c r="D1502" t="s">
        <v>104</v>
      </c>
      <c r="E1502" t="s">
        <v>8</v>
      </c>
      <c r="F1502" s="7">
        <v>45535</v>
      </c>
      <c r="G1502" s="1">
        <v>45292</v>
      </c>
      <c r="H1502" s="14">
        <v>81.652903000000009</v>
      </c>
      <c r="I1502">
        <v>487</v>
      </c>
      <c r="J1502" t="s">
        <v>86</v>
      </c>
      <c r="K1502" t="s">
        <v>105</v>
      </c>
      <c r="L1502" s="16" t="s">
        <v>95</v>
      </c>
    </row>
    <row r="1503" spans="1:12" x14ac:dyDescent="0.35">
      <c r="A1503" t="s">
        <v>8</v>
      </c>
      <c r="B1503" t="s">
        <v>99</v>
      </c>
      <c r="C1503" t="s">
        <v>95</v>
      </c>
      <c r="D1503" t="s">
        <v>104</v>
      </c>
      <c r="E1503" t="s">
        <v>8</v>
      </c>
      <c r="F1503" s="7">
        <v>45535</v>
      </c>
      <c r="G1503" s="1">
        <v>45292</v>
      </c>
      <c r="H1503" s="14">
        <v>47.433672999999999</v>
      </c>
      <c r="I1503">
        <v>356</v>
      </c>
      <c r="J1503" t="s">
        <v>86</v>
      </c>
      <c r="K1503" t="s">
        <v>105</v>
      </c>
      <c r="L1503" s="16" t="s">
        <v>95</v>
      </c>
    </row>
    <row r="1504" spans="1:12" x14ac:dyDescent="0.35">
      <c r="A1504" t="s">
        <v>8</v>
      </c>
      <c r="B1504" t="s">
        <v>102</v>
      </c>
      <c r="C1504" t="s">
        <v>95</v>
      </c>
      <c r="D1504" t="s">
        <v>104</v>
      </c>
      <c r="E1504" t="s">
        <v>8</v>
      </c>
      <c r="F1504" s="7">
        <v>45535</v>
      </c>
      <c r="G1504" s="1">
        <v>45292</v>
      </c>
      <c r="H1504" s="14">
        <v>117.38</v>
      </c>
      <c r="I1504">
        <v>733</v>
      </c>
      <c r="J1504" t="s">
        <v>86</v>
      </c>
      <c r="K1504" t="s">
        <v>105</v>
      </c>
      <c r="L1504" s="16" t="s">
        <v>95</v>
      </c>
    </row>
    <row r="1505" spans="1:12" x14ac:dyDescent="0.35">
      <c r="A1505" t="s">
        <v>8</v>
      </c>
      <c r="B1505" t="s">
        <v>100</v>
      </c>
      <c r="C1505" t="s">
        <v>95</v>
      </c>
      <c r="D1505" t="s">
        <v>104</v>
      </c>
      <c r="E1505" t="s">
        <v>8</v>
      </c>
      <c r="F1505" s="7">
        <v>45535</v>
      </c>
      <c r="G1505" s="1">
        <v>45292</v>
      </c>
      <c r="H1505" s="14">
        <v>124.71862000000002</v>
      </c>
      <c r="I1505">
        <v>875</v>
      </c>
      <c r="J1505" t="s">
        <v>86</v>
      </c>
      <c r="K1505" t="s">
        <v>105</v>
      </c>
      <c r="L1505" s="16" t="s">
        <v>95</v>
      </c>
    </row>
    <row r="1506" spans="1:12" x14ac:dyDescent="0.35">
      <c r="A1506" t="s">
        <v>8</v>
      </c>
      <c r="B1506" t="s">
        <v>92</v>
      </c>
      <c r="C1506" t="s">
        <v>93</v>
      </c>
      <c r="D1506" t="s">
        <v>10</v>
      </c>
      <c r="E1506" t="s">
        <v>10</v>
      </c>
      <c r="F1506" s="7">
        <v>45542</v>
      </c>
      <c r="G1506" s="1">
        <v>45292</v>
      </c>
      <c r="H1506" s="14">
        <v>9978.2111000000059</v>
      </c>
      <c r="I1506">
        <v>3751255</v>
      </c>
      <c r="J1506" t="s">
        <v>86</v>
      </c>
      <c r="K1506" t="s">
        <v>94</v>
      </c>
      <c r="L1506" s="16" t="s">
        <v>10</v>
      </c>
    </row>
    <row r="1507" spans="1:12" x14ac:dyDescent="0.35">
      <c r="A1507" t="s">
        <v>8</v>
      </c>
      <c r="B1507" t="s">
        <v>92</v>
      </c>
      <c r="C1507" t="s">
        <v>95</v>
      </c>
      <c r="D1507" t="s">
        <v>10</v>
      </c>
      <c r="E1507" t="s">
        <v>10</v>
      </c>
      <c r="F1507" s="7">
        <v>45542</v>
      </c>
      <c r="G1507" s="1">
        <v>45292</v>
      </c>
      <c r="H1507" s="14">
        <v>10180.799999999999</v>
      </c>
      <c r="I1507">
        <v>986887</v>
      </c>
      <c r="J1507" t="s">
        <v>86</v>
      </c>
      <c r="K1507" t="s">
        <v>96</v>
      </c>
      <c r="L1507" s="16" t="s">
        <v>10</v>
      </c>
    </row>
    <row r="1508" spans="1:12" x14ac:dyDescent="0.35">
      <c r="A1508" t="s">
        <v>8</v>
      </c>
      <c r="B1508" t="s">
        <v>84</v>
      </c>
      <c r="C1508" t="s">
        <v>93</v>
      </c>
      <c r="D1508" t="s">
        <v>10</v>
      </c>
      <c r="E1508" t="s">
        <v>10</v>
      </c>
      <c r="F1508" s="7">
        <v>45542</v>
      </c>
      <c r="G1508" s="1">
        <v>45292</v>
      </c>
      <c r="H1508" s="14">
        <v>1409.1728999999998</v>
      </c>
      <c r="I1508">
        <v>888115</v>
      </c>
      <c r="J1508" t="s">
        <v>86</v>
      </c>
      <c r="K1508" t="s">
        <v>94</v>
      </c>
      <c r="L1508" s="16" t="s">
        <v>10</v>
      </c>
    </row>
    <row r="1509" spans="1:12" x14ac:dyDescent="0.35">
      <c r="A1509" t="s">
        <v>8</v>
      </c>
      <c r="B1509" t="s">
        <v>84</v>
      </c>
      <c r="C1509" t="s">
        <v>95</v>
      </c>
      <c r="D1509" t="s">
        <v>10</v>
      </c>
      <c r="E1509" t="s">
        <v>10</v>
      </c>
      <c r="F1509" s="7">
        <v>45542</v>
      </c>
      <c r="G1509" s="1">
        <v>45292</v>
      </c>
      <c r="H1509" s="14">
        <v>7340.3999999999987</v>
      </c>
      <c r="I1509">
        <v>903241</v>
      </c>
      <c r="J1509" t="s">
        <v>86</v>
      </c>
      <c r="K1509" t="s">
        <v>96</v>
      </c>
      <c r="L1509" s="16" t="s">
        <v>10</v>
      </c>
    </row>
    <row r="1510" spans="1:12" x14ac:dyDescent="0.35">
      <c r="A1510" t="s">
        <v>8</v>
      </c>
      <c r="B1510" t="s">
        <v>17</v>
      </c>
      <c r="C1510" t="s">
        <v>93</v>
      </c>
      <c r="D1510" t="s">
        <v>10</v>
      </c>
      <c r="E1510" t="s">
        <v>10</v>
      </c>
      <c r="F1510" s="7">
        <v>45542</v>
      </c>
      <c r="G1510" s="1">
        <v>45292</v>
      </c>
      <c r="H1510" s="14">
        <v>9659.0651999999991</v>
      </c>
      <c r="I1510">
        <v>2241173</v>
      </c>
      <c r="J1510" t="s">
        <v>86</v>
      </c>
      <c r="K1510" t="s">
        <v>94</v>
      </c>
      <c r="L1510" s="16" t="s">
        <v>10</v>
      </c>
    </row>
    <row r="1511" spans="1:12" x14ac:dyDescent="0.35">
      <c r="A1511" t="s">
        <v>8</v>
      </c>
      <c r="B1511" t="s">
        <v>17</v>
      </c>
      <c r="C1511" t="s">
        <v>95</v>
      </c>
      <c r="D1511" t="s">
        <v>10</v>
      </c>
      <c r="E1511" t="s">
        <v>10</v>
      </c>
      <c r="F1511" s="7">
        <v>45542</v>
      </c>
      <c r="G1511" s="1">
        <v>45292</v>
      </c>
      <c r="H1511" s="14">
        <v>9205.07</v>
      </c>
      <c r="I1511">
        <v>1247407</v>
      </c>
      <c r="J1511" t="s">
        <v>86</v>
      </c>
      <c r="K1511" t="s">
        <v>96</v>
      </c>
      <c r="L1511" s="16" t="s">
        <v>10</v>
      </c>
    </row>
    <row r="1512" spans="1:12" x14ac:dyDescent="0.35">
      <c r="A1512" t="s">
        <v>8</v>
      </c>
      <c r="B1512" t="s">
        <v>99</v>
      </c>
      <c r="C1512" t="s">
        <v>93</v>
      </c>
      <c r="D1512" t="s">
        <v>10</v>
      </c>
      <c r="E1512" t="s">
        <v>10</v>
      </c>
      <c r="F1512" s="7">
        <v>45542</v>
      </c>
      <c r="G1512" s="1">
        <v>45292</v>
      </c>
      <c r="H1512" s="14">
        <v>3973.7300999999998</v>
      </c>
      <c r="I1512">
        <v>336205</v>
      </c>
      <c r="J1512" t="s">
        <v>86</v>
      </c>
      <c r="K1512" t="s">
        <v>94</v>
      </c>
      <c r="L1512" s="16" t="s">
        <v>10</v>
      </c>
    </row>
    <row r="1513" spans="1:12" x14ac:dyDescent="0.35">
      <c r="A1513" t="s">
        <v>8</v>
      </c>
      <c r="B1513" t="s">
        <v>99</v>
      </c>
      <c r="C1513" t="s">
        <v>95</v>
      </c>
      <c r="D1513" t="s">
        <v>10</v>
      </c>
      <c r="E1513" t="s">
        <v>10</v>
      </c>
      <c r="F1513" s="7">
        <v>45542</v>
      </c>
      <c r="G1513" s="1">
        <v>45292</v>
      </c>
      <c r="H1513" s="14">
        <v>5793.3099999999977</v>
      </c>
      <c r="I1513">
        <v>1080414</v>
      </c>
      <c r="J1513" t="s">
        <v>86</v>
      </c>
      <c r="K1513" t="s">
        <v>96</v>
      </c>
      <c r="L1513" s="16" t="s">
        <v>10</v>
      </c>
    </row>
    <row r="1514" spans="1:12" x14ac:dyDescent="0.35">
      <c r="A1514" t="s">
        <v>8</v>
      </c>
      <c r="B1514" t="s">
        <v>100</v>
      </c>
      <c r="C1514" t="s">
        <v>93</v>
      </c>
      <c r="D1514" t="s">
        <v>10</v>
      </c>
      <c r="E1514" t="s">
        <v>10</v>
      </c>
      <c r="F1514" s="7">
        <v>45542</v>
      </c>
      <c r="G1514" s="1">
        <v>45292</v>
      </c>
      <c r="H1514" s="14">
        <v>8363.6358000000018</v>
      </c>
      <c r="I1514">
        <v>3325015</v>
      </c>
      <c r="J1514" t="s">
        <v>86</v>
      </c>
      <c r="K1514" t="s">
        <v>94</v>
      </c>
      <c r="L1514" s="16" t="s">
        <v>10</v>
      </c>
    </row>
    <row r="1515" spans="1:12" x14ac:dyDescent="0.35">
      <c r="A1515" t="s">
        <v>8</v>
      </c>
      <c r="B1515" t="s">
        <v>100</v>
      </c>
      <c r="C1515" t="s">
        <v>95</v>
      </c>
      <c r="D1515" t="s">
        <v>10</v>
      </c>
      <c r="E1515" t="s">
        <v>10</v>
      </c>
      <c r="F1515" s="7">
        <v>45542</v>
      </c>
      <c r="G1515" s="1">
        <v>45292</v>
      </c>
      <c r="H1515" s="14">
        <v>9015.3799999999992</v>
      </c>
      <c r="I1515">
        <v>1910006</v>
      </c>
      <c r="J1515" t="s">
        <v>86</v>
      </c>
      <c r="K1515" t="s">
        <v>96</v>
      </c>
      <c r="L1515" s="16" t="s">
        <v>10</v>
      </c>
    </row>
    <row r="1516" spans="1:12" x14ac:dyDescent="0.35">
      <c r="A1516" t="s">
        <v>8</v>
      </c>
      <c r="B1516" t="s">
        <v>21</v>
      </c>
      <c r="C1516" t="s">
        <v>93</v>
      </c>
      <c r="D1516" t="s">
        <v>10</v>
      </c>
      <c r="E1516" t="s">
        <v>10</v>
      </c>
      <c r="F1516" s="7">
        <v>45542</v>
      </c>
      <c r="G1516" s="1">
        <v>45292</v>
      </c>
      <c r="H1516" s="14">
        <v>3667.9390000000008</v>
      </c>
      <c r="I1516">
        <v>1140795</v>
      </c>
      <c r="J1516" t="s">
        <v>86</v>
      </c>
      <c r="K1516" t="s">
        <v>94</v>
      </c>
      <c r="L1516" s="16" t="s">
        <v>10</v>
      </c>
    </row>
    <row r="1517" spans="1:12" x14ac:dyDescent="0.35">
      <c r="A1517" t="s">
        <v>8</v>
      </c>
      <c r="B1517" t="s">
        <v>21</v>
      </c>
      <c r="C1517" t="s">
        <v>95</v>
      </c>
      <c r="D1517" t="s">
        <v>10</v>
      </c>
      <c r="E1517" t="s">
        <v>10</v>
      </c>
      <c r="F1517" s="7">
        <v>45542</v>
      </c>
      <c r="G1517" s="1">
        <v>45292</v>
      </c>
      <c r="H1517" s="14">
        <v>6625.4800000000023</v>
      </c>
      <c r="I1517">
        <v>582904</v>
      </c>
      <c r="J1517" t="s">
        <v>86</v>
      </c>
      <c r="K1517" t="s">
        <v>96</v>
      </c>
      <c r="L1517" s="16" t="s">
        <v>10</v>
      </c>
    </row>
    <row r="1518" spans="1:12" x14ac:dyDescent="0.35">
      <c r="A1518" t="s">
        <v>8</v>
      </c>
      <c r="B1518" t="s">
        <v>101</v>
      </c>
      <c r="C1518" t="s">
        <v>93</v>
      </c>
      <c r="D1518" t="s">
        <v>10</v>
      </c>
      <c r="E1518" t="s">
        <v>10</v>
      </c>
      <c r="F1518" s="7">
        <v>45542</v>
      </c>
      <c r="G1518" s="1">
        <v>45292</v>
      </c>
      <c r="H1518" s="14">
        <v>2325.6322999999988</v>
      </c>
      <c r="I1518">
        <v>829198</v>
      </c>
      <c r="J1518" t="s">
        <v>86</v>
      </c>
      <c r="K1518" t="s">
        <v>94</v>
      </c>
      <c r="L1518" s="16" t="s">
        <v>10</v>
      </c>
    </row>
    <row r="1519" spans="1:12" x14ac:dyDescent="0.35">
      <c r="A1519" t="s">
        <v>8</v>
      </c>
      <c r="B1519" t="s">
        <v>101</v>
      </c>
      <c r="C1519" t="s">
        <v>95</v>
      </c>
      <c r="D1519" t="s">
        <v>10</v>
      </c>
      <c r="E1519" t="s">
        <v>10</v>
      </c>
      <c r="F1519" s="7">
        <v>45542</v>
      </c>
      <c r="G1519" s="1">
        <v>45292</v>
      </c>
      <c r="H1519" s="14">
        <v>1821.7199999999996</v>
      </c>
      <c r="I1519">
        <v>288304</v>
      </c>
      <c r="J1519" t="s">
        <v>86</v>
      </c>
      <c r="K1519" t="s">
        <v>96</v>
      </c>
      <c r="L1519" s="16" t="s">
        <v>10</v>
      </c>
    </row>
    <row r="1520" spans="1:12" x14ac:dyDescent="0.35">
      <c r="A1520" t="s">
        <v>8</v>
      </c>
      <c r="B1520" t="s">
        <v>102</v>
      </c>
      <c r="C1520" t="s">
        <v>95</v>
      </c>
      <c r="D1520" t="s">
        <v>10</v>
      </c>
      <c r="E1520" t="s">
        <v>10</v>
      </c>
      <c r="F1520" s="7">
        <v>45542</v>
      </c>
      <c r="G1520" s="1">
        <v>45292</v>
      </c>
      <c r="H1520" s="14">
        <v>1.48</v>
      </c>
      <c r="I1520">
        <v>3938</v>
      </c>
      <c r="J1520" t="s">
        <v>86</v>
      </c>
      <c r="K1520" t="s">
        <v>96</v>
      </c>
      <c r="L1520" s="16" t="s">
        <v>10</v>
      </c>
    </row>
    <row r="1521" spans="1:12" x14ac:dyDescent="0.35">
      <c r="A1521" t="s">
        <v>8</v>
      </c>
      <c r="B1521" t="s">
        <v>103</v>
      </c>
      <c r="C1521" t="s">
        <v>95</v>
      </c>
      <c r="D1521" t="s">
        <v>104</v>
      </c>
      <c r="E1521" t="s">
        <v>8</v>
      </c>
      <c r="F1521" s="7">
        <v>45542</v>
      </c>
      <c r="G1521" s="1">
        <v>45292</v>
      </c>
      <c r="H1521" s="14">
        <v>54.79</v>
      </c>
      <c r="I1521">
        <v>298</v>
      </c>
      <c r="J1521" t="s">
        <v>86</v>
      </c>
      <c r="K1521" t="s">
        <v>105</v>
      </c>
      <c r="L1521" s="16" t="s">
        <v>95</v>
      </c>
    </row>
    <row r="1522" spans="1:12" x14ac:dyDescent="0.35">
      <c r="A1522" t="s">
        <v>8</v>
      </c>
      <c r="B1522" t="s">
        <v>16</v>
      </c>
      <c r="C1522" t="s">
        <v>95</v>
      </c>
      <c r="D1522" t="s">
        <v>104</v>
      </c>
      <c r="E1522" t="s">
        <v>8</v>
      </c>
      <c r="F1522" s="7">
        <v>45542</v>
      </c>
      <c r="G1522" s="1">
        <v>45292</v>
      </c>
      <c r="H1522" s="14">
        <v>34.620000000000005</v>
      </c>
      <c r="I1522">
        <v>178</v>
      </c>
      <c r="J1522" t="s">
        <v>86</v>
      </c>
      <c r="K1522" t="s">
        <v>105</v>
      </c>
      <c r="L1522" s="16" t="s">
        <v>95</v>
      </c>
    </row>
    <row r="1523" spans="1:12" x14ac:dyDescent="0.35">
      <c r="A1523" t="s">
        <v>8</v>
      </c>
      <c r="B1523" t="s">
        <v>84</v>
      </c>
      <c r="C1523" t="s">
        <v>95</v>
      </c>
      <c r="D1523" t="s">
        <v>104</v>
      </c>
      <c r="E1523" t="s">
        <v>8</v>
      </c>
      <c r="F1523" s="7">
        <v>45542</v>
      </c>
      <c r="G1523" s="1">
        <v>45292</v>
      </c>
      <c r="H1523" s="14">
        <v>8309.7273860000023</v>
      </c>
      <c r="I1523">
        <v>28438</v>
      </c>
      <c r="J1523" t="s">
        <v>86</v>
      </c>
      <c r="K1523" t="s">
        <v>105</v>
      </c>
      <c r="L1523" s="16" t="s">
        <v>95</v>
      </c>
    </row>
    <row r="1524" spans="1:12" x14ac:dyDescent="0.35">
      <c r="A1524" t="s">
        <v>8</v>
      </c>
      <c r="B1524" t="s">
        <v>17</v>
      </c>
      <c r="C1524" t="s">
        <v>95</v>
      </c>
      <c r="D1524" t="s">
        <v>104</v>
      </c>
      <c r="E1524" t="s">
        <v>8</v>
      </c>
      <c r="F1524" s="7">
        <v>45542</v>
      </c>
      <c r="G1524" s="1">
        <v>45292</v>
      </c>
      <c r="H1524" s="14">
        <v>147.71</v>
      </c>
      <c r="I1524">
        <v>905</v>
      </c>
      <c r="J1524" t="s">
        <v>86</v>
      </c>
      <c r="K1524" t="s">
        <v>105</v>
      </c>
      <c r="L1524" s="16" t="s">
        <v>95</v>
      </c>
    </row>
    <row r="1525" spans="1:12" x14ac:dyDescent="0.35">
      <c r="A1525" t="s">
        <v>8</v>
      </c>
      <c r="B1525" t="s">
        <v>106</v>
      </c>
      <c r="C1525" t="s">
        <v>95</v>
      </c>
      <c r="D1525" t="s">
        <v>104</v>
      </c>
      <c r="E1525" t="s">
        <v>8</v>
      </c>
      <c r="F1525" s="7">
        <v>45542</v>
      </c>
      <c r="G1525" s="1">
        <v>45292</v>
      </c>
      <c r="H1525" s="14">
        <v>304.61570899999998</v>
      </c>
      <c r="I1525">
        <v>557</v>
      </c>
      <c r="J1525" t="s">
        <v>86</v>
      </c>
      <c r="K1525" t="s">
        <v>105</v>
      </c>
      <c r="L1525" s="16" t="s">
        <v>95</v>
      </c>
    </row>
    <row r="1526" spans="1:12" x14ac:dyDescent="0.35">
      <c r="A1526" t="s">
        <v>8</v>
      </c>
      <c r="B1526" t="s">
        <v>92</v>
      </c>
      <c r="C1526" t="s">
        <v>95</v>
      </c>
      <c r="D1526" t="s">
        <v>104</v>
      </c>
      <c r="E1526" t="s">
        <v>8</v>
      </c>
      <c r="F1526" s="7">
        <v>45542</v>
      </c>
      <c r="G1526" s="1">
        <v>45292</v>
      </c>
      <c r="H1526" s="14">
        <v>305.01</v>
      </c>
      <c r="I1526">
        <v>1975</v>
      </c>
      <c r="J1526" t="s">
        <v>86</v>
      </c>
      <c r="K1526" t="s">
        <v>105</v>
      </c>
      <c r="L1526" s="16" t="s">
        <v>95</v>
      </c>
    </row>
    <row r="1527" spans="1:12" x14ac:dyDescent="0.35">
      <c r="A1527" t="s">
        <v>8</v>
      </c>
      <c r="B1527" t="s">
        <v>21</v>
      </c>
      <c r="C1527" t="s">
        <v>95</v>
      </c>
      <c r="D1527" t="s">
        <v>104</v>
      </c>
      <c r="E1527" t="s">
        <v>8</v>
      </c>
      <c r="F1527" s="7">
        <v>45542</v>
      </c>
      <c r="G1527" s="1">
        <v>45292</v>
      </c>
      <c r="H1527" s="14">
        <v>197.90614000000002</v>
      </c>
      <c r="I1527">
        <v>1463</v>
      </c>
      <c r="J1527" t="s">
        <v>86</v>
      </c>
      <c r="K1527" t="s">
        <v>105</v>
      </c>
      <c r="L1527" s="16" t="s">
        <v>95</v>
      </c>
    </row>
    <row r="1528" spans="1:12" x14ac:dyDescent="0.35">
      <c r="A1528" t="s">
        <v>8</v>
      </c>
      <c r="B1528" t="s">
        <v>101</v>
      </c>
      <c r="C1528" t="s">
        <v>95</v>
      </c>
      <c r="D1528" t="s">
        <v>104</v>
      </c>
      <c r="E1528" t="s">
        <v>8</v>
      </c>
      <c r="F1528" s="7">
        <v>45542</v>
      </c>
      <c r="G1528" s="1">
        <v>45292</v>
      </c>
      <c r="H1528" s="14">
        <v>82.02000000000001</v>
      </c>
      <c r="I1528">
        <v>511</v>
      </c>
      <c r="J1528" t="s">
        <v>86</v>
      </c>
      <c r="K1528" t="s">
        <v>105</v>
      </c>
      <c r="L1528" s="16" t="s">
        <v>95</v>
      </c>
    </row>
    <row r="1529" spans="1:12" x14ac:dyDescent="0.35">
      <c r="A1529" t="s">
        <v>8</v>
      </c>
      <c r="B1529" t="s">
        <v>99</v>
      </c>
      <c r="C1529" t="s">
        <v>95</v>
      </c>
      <c r="D1529" t="s">
        <v>104</v>
      </c>
      <c r="E1529" t="s">
        <v>8</v>
      </c>
      <c r="F1529" s="7">
        <v>45542</v>
      </c>
      <c r="G1529" s="1">
        <v>45292</v>
      </c>
      <c r="H1529" s="14">
        <v>52.65</v>
      </c>
      <c r="I1529">
        <v>430</v>
      </c>
      <c r="J1529" t="s">
        <v>86</v>
      </c>
      <c r="K1529" t="s">
        <v>105</v>
      </c>
      <c r="L1529" s="16" t="s">
        <v>95</v>
      </c>
    </row>
    <row r="1530" spans="1:12" x14ac:dyDescent="0.35">
      <c r="A1530" t="s">
        <v>8</v>
      </c>
      <c r="B1530" t="s">
        <v>102</v>
      </c>
      <c r="C1530" t="s">
        <v>95</v>
      </c>
      <c r="D1530" t="s">
        <v>104</v>
      </c>
      <c r="E1530" t="s">
        <v>8</v>
      </c>
      <c r="F1530" s="7">
        <v>45542</v>
      </c>
      <c r="G1530" s="1">
        <v>45292</v>
      </c>
      <c r="H1530" s="14">
        <v>108.85000000000001</v>
      </c>
      <c r="I1530">
        <v>690</v>
      </c>
      <c r="J1530" t="s">
        <v>86</v>
      </c>
      <c r="K1530" t="s">
        <v>105</v>
      </c>
      <c r="L1530" s="16" t="s">
        <v>95</v>
      </c>
    </row>
    <row r="1531" spans="1:12" x14ac:dyDescent="0.35">
      <c r="A1531" t="s">
        <v>8</v>
      </c>
      <c r="B1531" t="s">
        <v>100</v>
      </c>
      <c r="C1531" t="s">
        <v>95</v>
      </c>
      <c r="D1531" t="s">
        <v>104</v>
      </c>
      <c r="E1531" t="s">
        <v>8</v>
      </c>
      <c r="F1531" s="7">
        <v>45542</v>
      </c>
      <c r="G1531" s="1">
        <v>45292</v>
      </c>
      <c r="H1531" s="14">
        <v>160.97999999999999</v>
      </c>
      <c r="I1531">
        <v>934</v>
      </c>
      <c r="J1531" t="s">
        <v>86</v>
      </c>
      <c r="K1531" t="s">
        <v>105</v>
      </c>
      <c r="L1531" s="16" t="s">
        <v>95</v>
      </c>
    </row>
    <row r="1532" spans="1:12" x14ac:dyDescent="0.35">
      <c r="A1532" t="s">
        <v>8</v>
      </c>
      <c r="B1532" t="s">
        <v>92</v>
      </c>
      <c r="C1532" t="s">
        <v>93</v>
      </c>
      <c r="D1532" t="s">
        <v>10</v>
      </c>
      <c r="E1532" t="s">
        <v>10</v>
      </c>
      <c r="F1532" s="7">
        <v>45549</v>
      </c>
      <c r="G1532" s="1">
        <v>45292</v>
      </c>
      <c r="H1532" s="14">
        <v>10095.0715</v>
      </c>
      <c r="I1532">
        <v>3470910</v>
      </c>
      <c r="J1532" t="s">
        <v>86</v>
      </c>
      <c r="K1532" t="s">
        <v>94</v>
      </c>
      <c r="L1532" s="16" t="s">
        <v>10</v>
      </c>
    </row>
    <row r="1533" spans="1:12" x14ac:dyDescent="0.35">
      <c r="A1533" t="s">
        <v>8</v>
      </c>
      <c r="B1533" t="s">
        <v>92</v>
      </c>
      <c r="C1533" t="s">
        <v>95</v>
      </c>
      <c r="D1533" t="s">
        <v>10</v>
      </c>
      <c r="E1533" t="s">
        <v>10</v>
      </c>
      <c r="F1533" s="7">
        <v>45549</v>
      </c>
      <c r="G1533" s="1">
        <v>45292</v>
      </c>
      <c r="H1533" s="14">
        <v>5685.8899999999976</v>
      </c>
      <c r="I1533">
        <v>656822</v>
      </c>
      <c r="J1533" t="s">
        <v>86</v>
      </c>
      <c r="K1533" t="s">
        <v>96</v>
      </c>
      <c r="L1533" s="16" t="s">
        <v>10</v>
      </c>
    </row>
    <row r="1534" spans="1:12" x14ac:dyDescent="0.35">
      <c r="A1534" t="s">
        <v>8</v>
      </c>
      <c r="B1534" t="s">
        <v>84</v>
      </c>
      <c r="C1534" t="s">
        <v>93</v>
      </c>
      <c r="D1534" t="s">
        <v>10</v>
      </c>
      <c r="E1534" t="s">
        <v>10</v>
      </c>
      <c r="F1534" s="7">
        <v>45549</v>
      </c>
      <c r="G1534" s="1">
        <v>45292</v>
      </c>
      <c r="H1534" s="14">
        <v>1432.1981000000003</v>
      </c>
      <c r="I1534">
        <v>916953</v>
      </c>
      <c r="J1534" t="s">
        <v>86</v>
      </c>
      <c r="K1534" t="s">
        <v>94</v>
      </c>
      <c r="L1534" s="16" t="s">
        <v>10</v>
      </c>
    </row>
    <row r="1535" spans="1:12" x14ac:dyDescent="0.35">
      <c r="A1535" t="s">
        <v>8</v>
      </c>
      <c r="B1535" t="s">
        <v>84</v>
      </c>
      <c r="C1535" t="s">
        <v>95</v>
      </c>
      <c r="D1535" t="s">
        <v>10</v>
      </c>
      <c r="E1535" t="s">
        <v>10</v>
      </c>
      <c r="F1535" s="7">
        <v>45549</v>
      </c>
      <c r="G1535" s="1">
        <v>45292</v>
      </c>
      <c r="H1535" s="14">
        <v>7077.36</v>
      </c>
      <c r="I1535">
        <v>911427</v>
      </c>
      <c r="J1535" t="s">
        <v>86</v>
      </c>
      <c r="K1535" t="s">
        <v>96</v>
      </c>
      <c r="L1535" s="16" t="s">
        <v>10</v>
      </c>
    </row>
    <row r="1536" spans="1:12" x14ac:dyDescent="0.35">
      <c r="A1536" t="s">
        <v>8</v>
      </c>
      <c r="B1536" t="s">
        <v>17</v>
      </c>
      <c r="C1536" t="s">
        <v>93</v>
      </c>
      <c r="D1536" t="s">
        <v>10</v>
      </c>
      <c r="E1536" t="s">
        <v>10</v>
      </c>
      <c r="F1536" s="7">
        <v>45549</v>
      </c>
      <c r="G1536" s="1">
        <v>45292</v>
      </c>
      <c r="H1536" s="14">
        <v>9735.6572000000069</v>
      </c>
      <c r="I1536">
        <v>2344205</v>
      </c>
      <c r="J1536" t="s">
        <v>86</v>
      </c>
      <c r="K1536" t="s">
        <v>94</v>
      </c>
      <c r="L1536" s="16" t="s">
        <v>10</v>
      </c>
    </row>
    <row r="1537" spans="1:12" x14ac:dyDescent="0.35">
      <c r="A1537" t="s">
        <v>8</v>
      </c>
      <c r="B1537" t="s">
        <v>17</v>
      </c>
      <c r="C1537" t="s">
        <v>95</v>
      </c>
      <c r="D1537" t="s">
        <v>10</v>
      </c>
      <c r="E1537" t="s">
        <v>10</v>
      </c>
      <c r="F1537" s="7">
        <v>45549</v>
      </c>
      <c r="G1537" s="1">
        <v>45292</v>
      </c>
      <c r="H1537" s="14">
        <v>10137.550000000005</v>
      </c>
      <c r="I1537">
        <v>1349807</v>
      </c>
      <c r="J1537" t="s">
        <v>86</v>
      </c>
      <c r="K1537" t="s">
        <v>96</v>
      </c>
      <c r="L1537" s="16" t="s">
        <v>10</v>
      </c>
    </row>
    <row r="1538" spans="1:12" x14ac:dyDescent="0.35">
      <c r="A1538" t="s">
        <v>8</v>
      </c>
      <c r="B1538" t="s">
        <v>99</v>
      </c>
      <c r="C1538" t="s">
        <v>93</v>
      </c>
      <c r="D1538" t="s">
        <v>10</v>
      </c>
      <c r="E1538" t="s">
        <v>10</v>
      </c>
      <c r="F1538" s="7">
        <v>45549</v>
      </c>
      <c r="G1538" s="1">
        <v>45292</v>
      </c>
      <c r="H1538" s="14">
        <v>4018.8783000000003</v>
      </c>
      <c r="I1538">
        <v>269303</v>
      </c>
      <c r="J1538" t="s">
        <v>86</v>
      </c>
      <c r="K1538" t="s">
        <v>94</v>
      </c>
      <c r="L1538" s="16" t="s">
        <v>10</v>
      </c>
    </row>
    <row r="1539" spans="1:12" x14ac:dyDescent="0.35">
      <c r="A1539" t="s">
        <v>8</v>
      </c>
      <c r="B1539" t="s">
        <v>99</v>
      </c>
      <c r="C1539" t="s">
        <v>95</v>
      </c>
      <c r="D1539" t="s">
        <v>10</v>
      </c>
      <c r="E1539" t="s">
        <v>10</v>
      </c>
      <c r="F1539" s="7">
        <v>45549</v>
      </c>
      <c r="G1539" s="1">
        <v>45292</v>
      </c>
      <c r="H1539" s="14">
        <v>6219.8099999999986</v>
      </c>
      <c r="I1539">
        <v>1324149</v>
      </c>
      <c r="J1539" t="s">
        <v>86</v>
      </c>
      <c r="K1539" t="s">
        <v>96</v>
      </c>
      <c r="L1539" s="16" t="s">
        <v>10</v>
      </c>
    </row>
    <row r="1540" spans="1:12" x14ac:dyDescent="0.35">
      <c r="A1540" t="s">
        <v>8</v>
      </c>
      <c r="B1540" t="s">
        <v>100</v>
      </c>
      <c r="C1540" t="s">
        <v>93</v>
      </c>
      <c r="D1540" t="s">
        <v>10</v>
      </c>
      <c r="E1540" t="s">
        <v>10</v>
      </c>
      <c r="F1540" s="7">
        <v>45549</v>
      </c>
      <c r="G1540" s="1">
        <v>45292</v>
      </c>
      <c r="H1540" s="14">
        <v>8454.2747999999938</v>
      </c>
      <c r="I1540">
        <v>3222894</v>
      </c>
      <c r="J1540" t="s">
        <v>86</v>
      </c>
      <c r="K1540" t="s">
        <v>94</v>
      </c>
      <c r="L1540" s="16" t="s">
        <v>10</v>
      </c>
    </row>
    <row r="1541" spans="1:12" x14ac:dyDescent="0.35">
      <c r="A1541" t="s">
        <v>8</v>
      </c>
      <c r="B1541" t="s">
        <v>100</v>
      </c>
      <c r="C1541" t="s">
        <v>95</v>
      </c>
      <c r="D1541" t="s">
        <v>10</v>
      </c>
      <c r="E1541" t="s">
        <v>10</v>
      </c>
      <c r="F1541" s="7">
        <v>45549</v>
      </c>
      <c r="G1541" s="1">
        <v>45292</v>
      </c>
      <c r="H1541" s="14">
        <v>5501.1900000000005</v>
      </c>
      <c r="I1541">
        <v>1511624</v>
      </c>
      <c r="J1541" t="s">
        <v>86</v>
      </c>
      <c r="K1541" t="s">
        <v>96</v>
      </c>
      <c r="L1541" s="16" t="s">
        <v>10</v>
      </c>
    </row>
    <row r="1542" spans="1:12" x14ac:dyDescent="0.35">
      <c r="A1542" t="s">
        <v>8</v>
      </c>
      <c r="B1542" t="s">
        <v>21</v>
      </c>
      <c r="C1542" t="s">
        <v>93</v>
      </c>
      <c r="D1542" t="s">
        <v>10</v>
      </c>
      <c r="E1542" t="s">
        <v>10</v>
      </c>
      <c r="F1542" s="7">
        <v>45549</v>
      </c>
      <c r="G1542" s="1">
        <v>45292</v>
      </c>
      <c r="H1542" s="14">
        <v>3018.0008000000003</v>
      </c>
      <c r="I1542">
        <v>1072510</v>
      </c>
      <c r="J1542" t="s">
        <v>86</v>
      </c>
      <c r="K1542" t="s">
        <v>94</v>
      </c>
      <c r="L1542" s="16" t="s">
        <v>10</v>
      </c>
    </row>
    <row r="1543" spans="1:12" x14ac:dyDescent="0.35">
      <c r="A1543" t="s">
        <v>8</v>
      </c>
      <c r="B1543" t="s">
        <v>21</v>
      </c>
      <c r="C1543" t="s">
        <v>95</v>
      </c>
      <c r="D1543" t="s">
        <v>10</v>
      </c>
      <c r="E1543" t="s">
        <v>10</v>
      </c>
      <c r="F1543" s="7">
        <v>45549</v>
      </c>
      <c r="G1543" s="1">
        <v>45292</v>
      </c>
      <c r="H1543" s="14">
        <v>6395.7199999999975</v>
      </c>
      <c r="I1543">
        <v>615905</v>
      </c>
      <c r="J1543" t="s">
        <v>86</v>
      </c>
      <c r="K1543" t="s">
        <v>96</v>
      </c>
      <c r="L1543" s="16" t="s">
        <v>10</v>
      </c>
    </row>
    <row r="1544" spans="1:12" x14ac:dyDescent="0.35">
      <c r="A1544" t="s">
        <v>8</v>
      </c>
      <c r="B1544" t="s">
        <v>101</v>
      </c>
      <c r="C1544" t="s">
        <v>93</v>
      </c>
      <c r="D1544" t="s">
        <v>10</v>
      </c>
      <c r="E1544" t="s">
        <v>10</v>
      </c>
      <c r="F1544" s="7">
        <v>45549</v>
      </c>
      <c r="G1544" s="1">
        <v>45292</v>
      </c>
      <c r="H1544" s="14">
        <v>2378.3753999999999</v>
      </c>
      <c r="I1544">
        <v>1085556</v>
      </c>
      <c r="J1544" t="s">
        <v>86</v>
      </c>
      <c r="K1544" t="s">
        <v>94</v>
      </c>
      <c r="L1544" s="16" t="s">
        <v>10</v>
      </c>
    </row>
    <row r="1545" spans="1:12" x14ac:dyDescent="0.35">
      <c r="A1545" t="s">
        <v>8</v>
      </c>
      <c r="B1545" t="s">
        <v>101</v>
      </c>
      <c r="C1545" t="s">
        <v>95</v>
      </c>
      <c r="D1545" t="s">
        <v>10</v>
      </c>
      <c r="E1545" t="s">
        <v>10</v>
      </c>
      <c r="F1545" s="7">
        <v>45549</v>
      </c>
      <c r="G1545" s="1">
        <v>45292</v>
      </c>
      <c r="H1545" s="14">
        <v>1891.5600000000006</v>
      </c>
      <c r="I1545">
        <v>295106</v>
      </c>
      <c r="J1545" t="s">
        <v>86</v>
      </c>
      <c r="K1545" t="s">
        <v>96</v>
      </c>
      <c r="L1545" s="16" t="s">
        <v>10</v>
      </c>
    </row>
    <row r="1546" spans="1:12" x14ac:dyDescent="0.35">
      <c r="A1546" t="s">
        <v>8</v>
      </c>
      <c r="B1546" t="s">
        <v>102</v>
      </c>
      <c r="C1546" t="s">
        <v>95</v>
      </c>
      <c r="D1546" t="s">
        <v>10</v>
      </c>
      <c r="E1546" t="s">
        <v>10</v>
      </c>
      <c r="F1546" s="7">
        <v>45549</v>
      </c>
      <c r="G1546" s="1">
        <v>45292</v>
      </c>
      <c r="H1546" s="14">
        <v>0.37</v>
      </c>
      <c r="I1546">
        <v>1010</v>
      </c>
      <c r="J1546" t="s">
        <v>86</v>
      </c>
      <c r="K1546" t="s">
        <v>96</v>
      </c>
      <c r="L1546" s="16" t="s">
        <v>10</v>
      </c>
    </row>
    <row r="1547" spans="1:12" x14ac:dyDescent="0.35">
      <c r="A1547" t="s">
        <v>8</v>
      </c>
      <c r="B1547" t="s">
        <v>103</v>
      </c>
      <c r="C1547" t="s">
        <v>95</v>
      </c>
      <c r="D1547" t="s">
        <v>104</v>
      </c>
      <c r="E1547" t="s">
        <v>8</v>
      </c>
      <c r="F1547" s="7">
        <v>45549</v>
      </c>
      <c r="G1547" s="1">
        <v>45292</v>
      </c>
      <c r="H1547" s="14">
        <v>59.901908999999996</v>
      </c>
      <c r="I1547">
        <v>353</v>
      </c>
      <c r="J1547" t="s">
        <v>86</v>
      </c>
      <c r="K1547" t="s">
        <v>105</v>
      </c>
      <c r="L1547" s="16" t="s">
        <v>95</v>
      </c>
    </row>
    <row r="1548" spans="1:12" x14ac:dyDescent="0.35">
      <c r="A1548" t="s">
        <v>8</v>
      </c>
      <c r="B1548" t="s">
        <v>16</v>
      </c>
      <c r="C1548" t="s">
        <v>95</v>
      </c>
      <c r="D1548" t="s">
        <v>104</v>
      </c>
      <c r="E1548" t="s">
        <v>8</v>
      </c>
      <c r="F1548" s="7">
        <v>45549</v>
      </c>
      <c r="G1548" s="1">
        <v>45292</v>
      </c>
      <c r="H1548" s="14">
        <v>33.76</v>
      </c>
      <c r="I1548">
        <v>189</v>
      </c>
      <c r="J1548" t="s">
        <v>86</v>
      </c>
      <c r="K1548" t="s">
        <v>105</v>
      </c>
      <c r="L1548" s="16" t="s">
        <v>95</v>
      </c>
    </row>
    <row r="1549" spans="1:12" x14ac:dyDescent="0.35">
      <c r="A1549" t="s">
        <v>8</v>
      </c>
      <c r="B1549" t="s">
        <v>84</v>
      </c>
      <c r="C1549" t="s">
        <v>95</v>
      </c>
      <c r="D1549" t="s">
        <v>104</v>
      </c>
      <c r="E1549" t="s">
        <v>8</v>
      </c>
      <c r="F1549" s="7">
        <v>45549</v>
      </c>
      <c r="G1549" s="1">
        <v>45292</v>
      </c>
      <c r="H1549" s="14">
        <v>7845.6329089999981</v>
      </c>
      <c r="I1549">
        <v>28662</v>
      </c>
      <c r="J1549" t="s">
        <v>86</v>
      </c>
      <c r="K1549" t="s">
        <v>105</v>
      </c>
      <c r="L1549" s="16" t="s">
        <v>95</v>
      </c>
    </row>
    <row r="1550" spans="1:12" x14ac:dyDescent="0.35">
      <c r="A1550" t="s">
        <v>8</v>
      </c>
      <c r="B1550" t="s">
        <v>17</v>
      </c>
      <c r="C1550" t="s">
        <v>95</v>
      </c>
      <c r="D1550" t="s">
        <v>104</v>
      </c>
      <c r="E1550" t="s">
        <v>8</v>
      </c>
      <c r="F1550" s="7">
        <v>45549</v>
      </c>
      <c r="G1550" s="1">
        <v>45292</v>
      </c>
      <c r="H1550" s="14">
        <v>158.94999999999999</v>
      </c>
      <c r="I1550">
        <v>889</v>
      </c>
      <c r="J1550" t="s">
        <v>86</v>
      </c>
      <c r="K1550" t="s">
        <v>105</v>
      </c>
      <c r="L1550" s="16" t="s">
        <v>95</v>
      </c>
    </row>
    <row r="1551" spans="1:12" x14ac:dyDescent="0.35">
      <c r="A1551" t="s">
        <v>8</v>
      </c>
      <c r="B1551" t="s">
        <v>106</v>
      </c>
      <c r="C1551" t="s">
        <v>95</v>
      </c>
      <c r="D1551" t="s">
        <v>104</v>
      </c>
      <c r="E1551" t="s">
        <v>8</v>
      </c>
      <c r="F1551" s="7">
        <v>45549</v>
      </c>
      <c r="G1551" s="1">
        <v>45292</v>
      </c>
      <c r="H1551" s="14">
        <v>242.417393</v>
      </c>
      <c r="I1551">
        <v>577</v>
      </c>
      <c r="J1551" t="s">
        <v>86</v>
      </c>
      <c r="K1551" t="s">
        <v>105</v>
      </c>
      <c r="L1551" s="16" t="s">
        <v>95</v>
      </c>
    </row>
    <row r="1552" spans="1:12" x14ac:dyDescent="0.35">
      <c r="A1552" t="s">
        <v>8</v>
      </c>
      <c r="B1552" t="s">
        <v>92</v>
      </c>
      <c r="C1552" t="s">
        <v>95</v>
      </c>
      <c r="D1552" t="s">
        <v>104</v>
      </c>
      <c r="E1552" t="s">
        <v>8</v>
      </c>
      <c r="F1552" s="7">
        <v>45549</v>
      </c>
      <c r="G1552" s="1">
        <v>45292</v>
      </c>
      <c r="H1552" s="14">
        <v>360.53261299999997</v>
      </c>
      <c r="I1552">
        <v>2278</v>
      </c>
      <c r="J1552" t="s">
        <v>86</v>
      </c>
      <c r="K1552" t="s">
        <v>105</v>
      </c>
      <c r="L1552" s="16" t="s">
        <v>95</v>
      </c>
    </row>
    <row r="1553" spans="1:12" x14ac:dyDescent="0.35">
      <c r="A1553" t="s">
        <v>8</v>
      </c>
      <c r="B1553" t="s">
        <v>21</v>
      </c>
      <c r="C1553" t="s">
        <v>95</v>
      </c>
      <c r="D1553" t="s">
        <v>104</v>
      </c>
      <c r="E1553" t="s">
        <v>8</v>
      </c>
      <c r="F1553" s="7">
        <v>45549</v>
      </c>
      <c r="G1553" s="1">
        <v>45292</v>
      </c>
      <c r="H1553" s="14">
        <v>207.06141500000001</v>
      </c>
      <c r="I1553">
        <v>1787</v>
      </c>
      <c r="J1553" t="s">
        <v>86</v>
      </c>
      <c r="K1553" t="s">
        <v>105</v>
      </c>
      <c r="L1553" s="16" t="s">
        <v>95</v>
      </c>
    </row>
    <row r="1554" spans="1:12" x14ac:dyDescent="0.35">
      <c r="A1554" t="s">
        <v>8</v>
      </c>
      <c r="B1554" t="s">
        <v>101</v>
      </c>
      <c r="C1554" t="s">
        <v>95</v>
      </c>
      <c r="D1554" t="s">
        <v>104</v>
      </c>
      <c r="E1554" t="s">
        <v>8</v>
      </c>
      <c r="F1554" s="7">
        <v>45549</v>
      </c>
      <c r="G1554" s="1">
        <v>45292</v>
      </c>
      <c r="H1554" s="14">
        <v>106.10000000000001</v>
      </c>
      <c r="I1554">
        <v>519</v>
      </c>
      <c r="J1554" t="s">
        <v>86</v>
      </c>
      <c r="K1554" t="s">
        <v>105</v>
      </c>
      <c r="L1554" s="16" t="s">
        <v>95</v>
      </c>
    </row>
    <row r="1555" spans="1:12" x14ac:dyDescent="0.35">
      <c r="A1555" t="s">
        <v>8</v>
      </c>
      <c r="B1555" t="s">
        <v>99</v>
      </c>
      <c r="C1555" t="s">
        <v>95</v>
      </c>
      <c r="D1555" t="s">
        <v>104</v>
      </c>
      <c r="E1555" t="s">
        <v>8</v>
      </c>
      <c r="F1555" s="7">
        <v>45549</v>
      </c>
      <c r="G1555" s="1">
        <v>45292</v>
      </c>
      <c r="H1555" s="14">
        <v>76.862088999999997</v>
      </c>
      <c r="I1555">
        <v>514</v>
      </c>
      <c r="J1555" t="s">
        <v>86</v>
      </c>
      <c r="K1555" t="s">
        <v>105</v>
      </c>
      <c r="L1555" s="16" t="s">
        <v>95</v>
      </c>
    </row>
    <row r="1556" spans="1:12" x14ac:dyDescent="0.35">
      <c r="A1556" t="s">
        <v>8</v>
      </c>
      <c r="B1556" t="s">
        <v>102</v>
      </c>
      <c r="C1556" t="s">
        <v>95</v>
      </c>
      <c r="D1556" t="s">
        <v>104</v>
      </c>
      <c r="E1556" t="s">
        <v>8</v>
      </c>
      <c r="F1556" s="7">
        <v>45549</v>
      </c>
      <c r="G1556" s="1">
        <v>45292</v>
      </c>
      <c r="H1556" s="14">
        <v>146.28362999999999</v>
      </c>
      <c r="I1556">
        <v>760</v>
      </c>
      <c r="J1556" t="s">
        <v>86</v>
      </c>
      <c r="K1556" t="s">
        <v>105</v>
      </c>
      <c r="L1556" s="16" t="s">
        <v>95</v>
      </c>
    </row>
    <row r="1557" spans="1:12" x14ac:dyDescent="0.35">
      <c r="A1557" t="s">
        <v>8</v>
      </c>
      <c r="B1557" t="s">
        <v>100</v>
      </c>
      <c r="C1557" t="s">
        <v>95</v>
      </c>
      <c r="D1557" t="s">
        <v>104</v>
      </c>
      <c r="E1557" t="s">
        <v>8</v>
      </c>
      <c r="F1557" s="7">
        <v>45549</v>
      </c>
      <c r="G1557" s="1">
        <v>45292</v>
      </c>
      <c r="H1557" s="14">
        <v>177.64638600000001</v>
      </c>
      <c r="I1557">
        <v>913</v>
      </c>
      <c r="J1557" t="s">
        <v>86</v>
      </c>
      <c r="K1557" t="s">
        <v>105</v>
      </c>
      <c r="L1557" s="16" t="s">
        <v>95</v>
      </c>
    </row>
    <row r="1558" spans="1:12" x14ac:dyDescent="0.35">
      <c r="A1558" t="s">
        <v>8</v>
      </c>
      <c r="B1558" t="s">
        <v>92</v>
      </c>
      <c r="C1558" t="s">
        <v>93</v>
      </c>
      <c r="D1558" t="s">
        <v>10</v>
      </c>
      <c r="E1558" t="s">
        <v>10</v>
      </c>
      <c r="F1558" s="7">
        <v>45556</v>
      </c>
      <c r="G1558" s="1">
        <v>45292</v>
      </c>
      <c r="H1558" s="14">
        <v>10171.994399999996</v>
      </c>
      <c r="I1558">
        <v>2254914</v>
      </c>
      <c r="J1558" t="s">
        <v>86</v>
      </c>
      <c r="K1558" t="s">
        <v>94</v>
      </c>
      <c r="L1558" s="16" t="s">
        <v>10</v>
      </c>
    </row>
    <row r="1559" spans="1:12" x14ac:dyDescent="0.35">
      <c r="A1559" t="s">
        <v>8</v>
      </c>
      <c r="B1559" t="s">
        <v>92</v>
      </c>
      <c r="C1559" t="s">
        <v>95</v>
      </c>
      <c r="D1559" t="s">
        <v>10</v>
      </c>
      <c r="E1559" t="s">
        <v>10</v>
      </c>
      <c r="F1559" s="7">
        <v>45556</v>
      </c>
      <c r="G1559" s="1">
        <v>45292</v>
      </c>
      <c r="H1559" s="14">
        <v>3939.43</v>
      </c>
      <c r="I1559">
        <v>586615</v>
      </c>
      <c r="J1559" t="s">
        <v>86</v>
      </c>
      <c r="K1559" t="s">
        <v>96</v>
      </c>
      <c r="L1559" s="16" t="s">
        <v>10</v>
      </c>
    </row>
    <row r="1560" spans="1:12" x14ac:dyDescent="0.35">
      <c r="A1560" t="s">
        <v>8</v>
      </c>
      <c r="B1560" t="s">
        <v>84</v>
      </c>
      <c r="C1560" t="s">
        <v>93</v>
      </c>
      <c r="D1560" t="s">
        <v>10</v>
      </c>
      <c r="E1560" t="s">
        <v>10</v>
      </c>
      <c r="F1560" s="7">
        <v>45556</v>
      </c>
      <c r="G1560" s="1">
        <v>45292</v>
      </c>
      <c r="H1560" s="14">
        <v>1428.1926000000001</v>
      </c>
      <c r="I1560">
        <v>953819</v>
      </c>
      <c r="J1560" t="s">
        <v>86</v>
      </c>
      <c r="K1560" t="s">
        <v>94</v>
      </c>
      <c r="L1560" s="16" t="s">
        <v>10</v>
      </c>
    </row>
    <row r="1561" spans="1:12" x14ac:dyDescent="0.35">
      <c r="A1561" t="s">
        <v>8</v>
      </c>
      <c r="B1561" t="s">
        <v>84</v>
      </c>
      <c r="C1561" t="s">
        <v>95</v>
      </c>
      <c r="D1561" t="s">
        <v>10</v>
      </c>
      <c r="E1561" t="s">
        <v>10</v>
      </c>
      <c r="F1561" s="7">
        <v>45556</v>
      </c>
      <c r="G1561" s="1">
        <v>45292</v>
      </c>
      <c r="H1561" s="14">
        <v>6918.2400000000007</v>
      </c>
      <c r="I1561">
        <v>809967</v>
      </c>
      <c r="J1561" t="s">
        <v>86</v>
      </c>
      <c r="K1561" t="s">
        <v>96</v>
      </c>
      <c r="L1561" s="16" t="s">
        <v>10</v>
      </c>
    </row>
    <row r="1562" spans="1:12" x14ac:dyDescent="0.35">
      <c r="A1562" t="s">
        <v>8</v>
      </c>
      <c r="B1562" t="s">
        <v>17</v>
      </c>
      <c r="C1562" t="s">
        <v>93</v>
      </c>
      <c r="D1562" t="s">
        <v>10</v>
      </c>
      <c r="E1562" t="s">
        <v>10</v>
      </c>
      <c r="F1562" s="7">
        <v>45556</v>
      </c>
      <c r="G1562" s="1">
        <v>45292</v>
      </c>
      <c r="H1562" s="14">
        <v>9794.821699999995</v>
      </c>
      <c r="I1562">
        <v>2361275</v>
      </c>
      <c r="J1562" t="s">
        <v>86</v>
      </c>
      <c r="K1562" t="s">
        <v>94</v>
      </c>
      <c r="L1562" s="16" t="s">
        <v>10</v>
      </c>
    </row>
    <row r="1563" spans="1:12" x14ac:dyDescent="0.35">
      <c r="A1563" t="s">
        <v>8</v>
      </c>
      <c r="B1563" t="s">
        <v>17</v>
      </c>
      <c r="C1563" t="s">
        <v>95</v>
      </c>
      <c r="D1563" t="s">
        <v>10</v>
      </c>
      <c r="E1563" t="s">
        <v>10</v>
      </c>
      <c r="F1563" s="7">
        <v>45556</v>
      </c>
      <c r="G1563" s="1">
        <v>45292</v>
      </c>
      <c r="H1563" s="14">
        <v>8969.6500000000015</v>
      </c>
      <c r="I1563">
        <v>1143539</v>
      </c>
      <c r="J1563" t="s">
        <v>86</v>
      </c>
      <c r="K1563" t="s">
        <v>96</v>
      </c>
      <c r="L1563" s="16" t="s">
        <v>10</v>
      </c>
    </row>
    <row r="1564" spans="1:12" x14ac:dyDescent="0.35">
      <c r="A1564" t="s">
        <v>8</v>
      </c>
      <c r="B1564" t="s">
        <v>99</v>
      </c>
      <c r="C1564" t="s">
        <v>93</v>
      </c>
      <c r="D1564" t="s">
        <v>10</v>
      </c>
      <c r="E1564" t="s">
        <v>10</v>
      </c>
      <c r="F1564" s="7">
        <v>45556</v>
      </c>
      <c r="G1564" s="1">
        <v>45292</v>
      </c>
      <c r="H1564" s="14">
        <v>3581.4115999999999</v>
      </c>
      <c r="I1564">
        <v>179244</v>
      </c>
      <c r="J1564" t="s">
        <v>86</v>
      </c>
      <c r="K1564" t="s">
        <v>94</v>
      </c>
      <c r="L1564" s="16" t="s">
        <v>10</v>
      </c>
    </row>
    <row r="1565" spans="1:12" x14ac:dyDescent="0.35">
      <c r="A1565" t="s">
        <v>8</v>
      </c>
      <c r="B1565" t="s">
        <v>99</v>
      </c>
      <c r="C1565" t="s">
        <v>95</v>
      </c>
      <c r="D1565" t="s">
        <v>10</v>
      </c>
      <c r="E1565" t="s">
        <v>10</v>
      </c>
      <c r="F1565" s="7">
        <v>45556</v>
      </c>
      <c r="G1565" s="1">
        <v>45292</v>
      </c>
      <c r="H1565" s="14">
        <v>6045.2000000000016</v>
      </c>
      <c r="I1565">
        <v>1369316</v>
      </c>
      <c r="J1565" t="s">
        <v>86</v>
      </c>
      <c r="K1565" t="s">
        <v>96</v>
      </c>
      <c r="L1565" s="16" t="s">
        <v>10</v>
      </c>
    </row>
    <row r="1566" spans="1:12" x14ac:dyDescent="0.35">
      <c r="A1566" t="s">
        <v>8</v>
      </c>
      <c r="B1566" t="s">
        <v>100</v>
      </c>
      <c r="C1566" t="s">
        <v>93</v>
      </c>
      <c r="D1566" t="s">
        <v>10</v>
      </c>
      <c r="E1566" t="s">
        <v>10</v>
      </c>
      <c r="F1566" s="7">
        <v>45556</v>
      </c>
      <c r="G1566" s="1">
        <v>45292</v>
      </c>
      <c r="H1566" s="14">
        <v>7981.8233000000009</v>
      </c>
      <c r="I1566">
        <v>1603266</v>
      </c>
      <c r="J1566" t="s">
        <v>86</v>
      </c>
      <c r="K1566" t="s">
        <v>94</v>
      </c>
      <c r="L1566" s="16" t="s">
        <v>10</v>
      </c>
    </row>
    <row r="1567" spans="1:12" x14ac:dyDescent="0.35">
      <c r="A1567" t="s">
        <v>8</v>
      </c>
      <c r="B1567" t="s">
        <v>100</v>
      </c>
      <c r="C1567" t="s">
        <v>95</v>
      </c>
      <c r="D1567" t="s">
        <v>10</v>
      </c>
      <c r="E1567" t="s">
        <v>10</v>
      </c>
      <c r="F1567" s="7">
        <v>45556</v>
      </c>
      <c r="G1567" s="1">
        <v>45292</v>
      </c>
      <c r="H1567" s="14">
        <v>5121.1800000000012</v>
      </c>
      <c r="I1567">
        <v>1430201</v>
      </c>
      <c r="J1567" t="s">
        <v>86</v>
      </c>
      <c r="K1567" t="s">
        <v>96</v>
      </c>
      <c r="L1567" s="16" t="s">
        <v>10</v>
      </c>
    </row>
    <row r="1568" spans="1:12" x14ac:dyDescent="0.35">
      <c r="A1568" t="s">
        <v>8</v>
      </c>
      <c r="B1568" t="s">
        <v>21</v>
      </c>
      <c r="C1568" t="s">
        <v>93</v>
      </c>
      <c r="D1568" t="s">
        <v>10</v>
      </c>
      <c r="E1568" t="s">
        <v>10</v>
      </c>
      <c r="F1568" s="7">
        <v>45556</v>
      </c>
      <c r="G1568" s="1">
        <v>45292</v>
      </c>
      <c r="H1568" s="14">
        <v>3157.5508000000009</v>
      </c>
      <c r="I1568">
        <v>858830</v>
      </c>
      <c r="J1568" t="s">
        <v>86</v>
      </c>
      <c r="K1568" t="s">
        <v>94</v>
      </c>
      <c r="L1568" s="16" t="s">
        <v>10</v>
      </c>
    </row>
    <row r="1569" spans="1:12" x14ac:dyDescent="0.35">
      <c r="A1569" t="s">
        <v>8</v>
      </c>
      <c r="B1569" t="s">
        <v>21</v>
      </c>
      <c r="C1569" t="s">
        <v>95</v>
      </c>
      <c r="D1569" t="s">
        <v>10</v>
      </c>
      <c r="E1569" t="s">
        <v>10</v>
      </c>
      <c r="F1569" s="7">
        <v>45556</v>
      </c>
      <c r="G1569" s="1">
        <v>45292</v>
      </c>
      <c r="H1569" s="14">
        <v>6068.2100000000019</v>
      </c>
      <c r="I1569">
        <v>590185</v>
      </c>
      <c r="J1569" t="s">
        <v>86</v>
      </c>
      <c r="K1569" t="s">
        <v>96</v>
      </c>
      <c r="L1569" s="16" t="s">
        <v>10</v>
      </c>
    </row>
    <row r="1570" spans="1:12" x14ac:dyDescent="0.35">
      <c r="A1570" t="s">
        <v>8</v>
      </c>
      <c r="B1570" t="s">
        <v>101</v>
      </c>
      <c r="C1570" t="s">
        <v>93</v>
      </c>
      <c r="D1570" t="s">
        <v>10</v>
      </c>
      <c r="E1570" t="s">
        <v>10</v>
      </c>
      <c r="F1570" s="7">
        <v>45556</v>
      </c>
      <c r="G1570" s="1">
        <v>45292</v>
      </c>
      <c r="H1570" s="14">
        <v>2364.7366999999999</v>
      </c>
      <c r="I1570">
        <v>616532</v>
      </c>
      <c r="J1570" t="s">
        <v>86</v>
      </c>
      <c r="K1570" t="s">
        <v>94</v>
      </c>
      <c r="L1570" s="16" t="s">
        <v>10</v>
      </c>
    </row>
    <row r="1571" spans="1:12" x14ac:dyDescent="0.35">
      <c r="A1571" t="s">
        <v>8</v>
      </c>
      <c r="B1571" t="s">
        <v>101</v>
      </c>
      <c r="C1571" t="s">
        <v>95</v>
      </c>
      <c r="D1571" t="s">
        <v>10</v>
      </c>
      <c r="E1571" t="s">
        <v>10</v>
      </c>
      <c r="F1571" s="7">
        <v>45556</v>
      </c>
      <c r="G1571" s="1">
        <v>45292</v>
      </c>
      <c r="H1571" s="14">
        <v>2145.5999999999985</v>
      </c>
      <c r="I1571">
        <v>348307</v>
      </c>
      <c r="J1571" t="s">
        <v>86</v>
      </c>
      <c r="K1571" t="s">
        <v>96</v>
      </c>
      <c r="L1571" s="16" t="s">
        <v>10</v>
      </c>
    </row>
    <row r="1572" spans="1:12" x14ac:dyDescent="0.35">
      <c r="A1572" t="s">
        <v>8</v>
      </c>
      <c r="B1572" t="s">
        <v>102</v>
      </c>
      <c r="C1572" t="s">
        <v>95</v>
      </c>
      <c r="D1572" t="s">
        <v>10</v>
      </c>
      <c r="E1572" t="s">
        <v>10</v>
      </c>
      <c r="F1572" s="7">
        <v>45556</v>
      </c>
      <c r="G1572" s="1">
        <v>45292</v>
      </c>
      <c r="H1572" s="14">
        <v>0.37</v>
      </c>
      <c r="I1572">
        <v>826</v>
      </c>
      <c r="J1572" t="s">
        <v>86</v>
      </c>
      <c r="K1572" t="s">
        <v>96</v>
      </c>
      <c r="L1572" s="16" t="s">
        <v>10</v>
      </c>
    </row>
    <row r="1573" spans="1:12" x14ac:dyDescent="0.35">
      <c r="A1573" t="s">
        <v>8</v>
      </c>
      <c r="B1573" t="s">
        <v>103</v>
      </c>
      <c r="C1573" t="s">
        <v>95</v>
      </c>
      <c r="D1573" t="s">
        <v>104</v>
      </c>
      <c r="E1573" t="s">
        <v>8</v>
      </c>
      <c r="F1573" s="7">
        <v>45556</v>
      </c>
      <c r="G1573" s="1">
        <v>45292</v>
      </c>
      <c r="H1573" s="14">
        <v>51.759999999999991</v>
      </c>
      <c r="I1573">
        <v>297</v>
      </c>
      <c r="J1573" t="s">
        <v>86</v>
      </c>
      <c r="K1573" t="s">
        <v>105</v>
      </c>
      <c r="L1573" s="16" t="s">
        <v>95</v>
      </c>
    </row>
    <row r="1574" spans="1:12" x14ac:dyDescent="0.35">
      <c r="A1574" t="s">
        <v>8</v>
      </c>
      <c r="B1574" t="s">
        <v>16</v>
      </c>
      <c r="C1574" t="s">
        <v>95</v>
      </c>
      <c r="D1574" t="s">
        <v>104</v>
      </c>
      <c r="E1574" t="s">
        <v>8</v>
      </c>
      <c r="F1574" s="7">
        <v>45556</v>
      </c>
      <c r="G1574" s="1">
        <v>45292</v>
      </c>
      <c r="H1574" s="14">
        <v>52.783485999999996</v>
      </c>
      <c r="I1574">
        <v>186</v>
      </c>
      <c r="J1574" t="s">
        <v>86</v>
      </c>
      <c r="K1574" t="s">
        <v>105</v>
      </c>
      <c r="L1574" s="16" t="s">
        <v>95</v>
      </c>
    </row>
    <row r="1575" spans="1:12" x14ac:dyDescent="0.35">
      <c r="A1575" t="s">
        <v>8</v>
      </c>
      <c r="B1575" t="s">
        <v>84</v>
      </c>
      <c r="C1575" t="s">
        <v>95</v>
      </c>
      <c r="D1575" t="s">
        <v>104</v>
      </c>
      <c r="E1575" t="s">
        <v>8</v>
      </c>
      <c r="F1575" s="7">
        <v>45556</v>
      </c>
      <c r="G1575" s="1">
        <v>45292</v>
      </c>
      <c r="H1575" s="14">
        <v>7409.6000650000005</v>
      </c>
      <c r="I1575">
        <v>26753</v>
      </c>
      <c r="J1575" t="s">
        <v>86</v>
      </c>
      <c r="K1575" t="s">
        <v>105</v>
      </c>
      <c r="L1575" s="16" t="s">
        <v>95</v>
      </c>
    </row>
    <row r="1576" spans="1:12" x14ac:dyDescent="0.35">
      <c r="A1576" t="s">
        <v>8</v>
      </c>
      <c r="B1576" t="s">
        <v>17</v>
      </c>
      <c r="C1576" t="s">
        <v>95</v>
      </c>
      <c r="D1576" t="s">
        <v>104</v>
      </c>
      <c r="E1576" t="s">
        <v>8</v>
      </c>
      <c r="F1576" s="7">
        <v>45556</v>
      </c>
      <c r="G1576" s="1">
        <v>45292</v>
      </c>
      <c r="H1576" s="14">
        <v>138.24</v>
      </c>
      <c r="I1576">
        <v>1011</v>
      </c>
      <c r="J1576" t="s">
        <v>86</v>
      </c>
      <c r="K1576" t="s">
        <v>105</v>
      </c>
      <c r="L1576" s="16" t="s">
        <v>95</v>
      </c>
    </row>
    <row r="1577" spans="1:12" x14ac:dyDescent="0.35">
      <c r="A1577" t="s">
        <v>8</v>
      </c>
      <c r="B1577" t="s">
        <v>106</v>
      </c>
      <c r="C1577" t="s">
        <v>95</v>
      </c>
      <c r="D1577" t="s">
        <v>104</v>
      </c>
      <c r="E1577" t="s">
        <v>8</v>
      </c>
      <c r="F1577" s="7">
        <v>45556</v>
      </c>
      <c r="G1577" s="1">
        <v>45292</v>
      </c>
      <c r="H1577" s="14">
        <v>248.51185600000002</v>
      </c>
      <c r="I1577">
        <v>568</v>
      </c>
      <c r="J1577" t="s">
        <v>86</v>
      </c>
      <c r="K1577" t="s">
        <v>105</v>
      </c>
      <c r="L1577" s="16" t="s">
        <v>95</v>
      </c>
    </row>
    <row r="1578" spans="1:12" x14ac:dyDescent="0.35">
      <c r="A1578" t="s">
        <v>8</v>
      </c>
      <c r="B1578" t="s">
        <v>92</v>
      </c>
      <c r="C1578" t="s">
        <v>95</v>
      </c>
      <c r="D1578" t="s">
        <v>104</v>
      </c>
      <c r="E1578" t="s">
        <v>8</v>
      </c>
      <c r="F1578" s="7">
        <v>45556</v>
      </c>
      <c r="G1578" s="1">
        <v>45292</v>
      </c>
      <c r="H1578" s="14">
        <v>445.71481200000005</v>
      </c>
      <c r="I1578">
        <v>2400</v>
      </c>
      <c r="J1578" t="s">
        <v>86</v>
      </c>
      <c r="K1578" t="s">
        <v>105</v>
      </c>
      <c r="L1578" s="16" t="s">
        <v>95</v>
      </c>
    </row>
    <row r="1579" spans="1:12" x14ac:dyDescent="0.35">
      <c r="A1579" t="s">
        <v>8</v>
      </c>
      <c r="B1579" t="s">
        <v>21</v>
      </c>
      <c r="C1579" t="s">
        <v>95</v>
      </c>
      <c r="D1579" t="s">
        <v>104</v>
      </c>
      <c r="E1579" t="s">
        <v>8</v>
      </c>
      <c r="F1579" s="7">
        <v>45556</v>
      </c>
      <c r="G1579" s="1">
        <v>45292</v>
      </c>
      <c r="H1579" s="14">
        <v>274.80999700000001</v>
      </c>
      <c r="I1579">
        <v>1849</v>
      </c>
      <c r="J1579" t="s">
        <v>86</v>
      </c>
      <c r="K1579" t="s">
        <v>105</v>
      </c>
      <c r="L1579" s="16" t="s">
        <v>95</v>
      </c>
    </row>
    <row r="1580" spans="1:12" x14ac:dyDescent="0.35">
      <c r="A1580" t="s">
        <v>8</v>
      </c>
      <c r="B1580" t="s">
        <v>101</v>
      </c>
      <c r="C1580" t="s">
        <v>95</v>
      </c>
      <c r="D1580" t="s">
        <v>104</v>
      </c>
      <c r="E1580" t="s">
        <v>8</v>
      </c>
      <c r="F1580" s="7">
        <v>45556</v>
      </c>
      <c r="G1580" s="1">
        <v>45292</v>
      </c>
      <c r="H1580" s="14">
        <v>101.11156200000001</v>
      </c>
      <c r="I1580">
        <v>556</v>
      </c>
      <c r="J1580" t="s">
        <v>86</v>
      </c>
      <c r="K1580" t="s">
        <v>105</v>
      </c>
      <c r="L1580" s="16" t="s">
        <v>95</v>
      </c>
    </row>
    <row r="1581" spans="1:12" x14ac:dyDescent="0.35">
      <c r="A1581" t="s">
        <v>8</v>
      </c>
      <c r="B1581" t="s">
        <v>99</v>
      </c>
      <c r="C1581" t="s">
        <v>95</v>
      </c>
      <c r="D1581" t="s">
        <v>104</v>
      </c>
      <c r="E1581" t="s">
        <v>8</v>
      </c>
      <c r="F1581" s="7">
        <v>45556</v>
      </c>
      <c r="G1581" s="1">
        <v>45292</v>
      </c>
      <c r="H1581" s="14">
        <v>62.538694</v>
      </c>
      <c r="I1581">
        <v>504</v>
      </c>
      <c r="J1581" t="s">
        <v>86</v>
      </c>
      <c r="K1581" t="s">
        <v>105</v>
      </c>
      <c r="L1581" s="16" t="s">
        <v>95</v>
      </c>
    </row>
    <row r="1582" spans="1:12" x14ac:dyDescent="0.35">
      <c r="A1582" t="s">
        <v>8</v>
      </c>
      <c r="B1582" t="s">
        <v>102</v>
      </c>
      <c r="C1582" t="s">
        <v>95</v>
      </c>
      <c r="D1582" t="s">
        <v>104</v>
      </c>
      <c r="E1582" t="s">
        <v>8</v>
      </c>
      <c r="F1582" s="7">
        <v>45556</v>
      </c>
      <c r="G1582" s="1">
        <v>45292</v>
      </c>
      <c r="H1582" s="14">
        <v>258.76401800000002</v>
      </c>
      <c r="I1582">
        <v>840</v>
      </c>
      <c r="J1582" t="s">
        <v>86</v>
      </c>
      <c r="K1582" t="s">
        <v>105</v>
      </c>
      <c r="L1582" s="16" t="s">
        <v>95</v>
      </c>
    </row>
    <row r="1583" spans="1:12" x14ac:dyDescent="0.35">
      <c r="A1583" t="s">
        <v>8</v>
      </c>
      <c r="B1583" t="s">
        <v>100</v>
      </c>
      <c r="C1583" t="s">
        <v>95</v>
      </c>
      <c r="D1583" t="s">
        <v>104</v>
      </c>
      <c r="E1583" t="s">
        <v>8</v>
      </c>
      <c r="F1583" s="7">
        <v>45556</v>
      </c>
      <c r="G1583" s="1">
        <v>45292</v>
      </c>
      <c r="H1583" s="14">
        <v>172.48994300000001</v>
      </c>
      <c r="I1583">
        <v>1044</v>
      </c>
      <c r="J1583" t="s">
        <v>86</v>
      </c>
      <c r="K1583" t="s">
        <v>105</v>
      </c>
      <c r="L1583" s="16" t="s">
        <v>95</v>
      </c>
    </row>
    <row r="1584" spans="1:12" x14ac:dyDescent="0.35">
      <c r="A1584" t="s">
        <v>8</v>
      </c>
      <c r="B1584" t="s">
        <v>92</v>
      </c>
      <c r="C1584" t="s">
        <v>85</v>
      </c>
      <c r="D1584" t="s">
        <v>9</v>
      </c>
      <c r="E1584" t="s">
        <v>12</v>
      </c>
      <c r="F1584" s="7">
        <v>45563</v>
      </c>
      <c r="G1584" s="1">
        <v>45292</v>
      </c>
      <c r="H1584" s="14">
        <v>35631.240027</v>
      </c>
      <c r="I1584">
        <v>4928271</v>
      </c>
      <c r="J1584" t="s">
        <v>86</v>
      </c>
      <c r="K1584" t="s">
        <v>87</v>
      </c>
      <c r="L1584" s="16" t="s">
        <v>12</v>
      </c>
    </row>
    <row r="1585" spans="1:12" x14ac:dyDescent="0.35">
      <c r="A1585" t="s">
        <v>8</v>
      </c>
      <c r="B1585" t="s">
        <v>92</v>
      </c>
      <c r="C1585" t="s">
        <v>93</v>
      </c>
      <c r="D1585" t="s">
        <v>10</v>
      </c>
      <c r="E1585" t="s">
        <v>10</v>
      </c>
      <c r="F1585" s="7">
        <v>45563</v>
      </c>
      <c r="G1585" s="1">
        <v>45292</v>
      </c>
      <c r="H1585" s="14">
        <v>10015.456900000003</v>
      </c>
      <c r="I1585">
        <v>2032516</v>
      </c>
      <c r="J1585" t="s">
        <v>86</v>
      </c>
      <c r="K1585" t="s">
        <v>94</v>
      </c>
      <c r="L1585" s="16" t="s">
        <v>10</v>
      </c>
    </row>
    <row r="1586" spans="1:12" x14ac:dyDescent="0.35">
      <c r="A1586" t="s">
        <v>8</v>
      </c>
      <c r="B1586" t="s">
        <v>92</v>
      </c>
      <c r="C1586" t="s">
        <v>95</v>
      </c>
      <c r="D1586" t="s">
        <v>10</v>
      </c>
      <c r="E1586" t="s">
        <v>10</v>
      </c>
      <c r="F1586" s="7">
        <v>45563</v>
      </c>
      <c r="G1586" s="1">
        <v>45292</v>
      </c>
      <c r="H1586" s="14">
        <v>5370.15</v>
      </c>
      <c r="I1586">
        <v>762616</v>
      </c>
      <c r="J1586" t="s">
        <v>86</v>
      </c>
      <c r="K1586" t="s">
        <v>96</v>
      </c>
      <c r="L1586" s="16" t="s">
        <v>10</v>
      </c>
    </row>
    <row r="1587" spans="1:12" x14ac:dyDescent="0.35">
      <c r="A1587" t="s">
        <v>8</v>
      </c>
      <c r="B1587" t="s">
        <v>84</v>
      </c>
      <c r="C1587" t="s">
        <v>93</v>
      </c>
      <c r="D1587" t="s">
        <v>10</v>
      </c>
      <c r="E1587" t="s">
        <v>10</v>
      </c>
      <c r="F1587" s="7">
        <v>45563</v>
      </c>
      <c r="G1587" s="1">
        <v>45292</v>
      </c>
      <c r="H1587" s="14">
        <v>1400.7916000000002</v>
      </c>
      <c r="I1587">
        <v>865026</v>
      </c>
      <c r="J1587" t="s">
        <v>86</v>
      </c>
      <c r="K1587" t="s">
        <v>94</v>
      </c>
      <c r="L1587" s="16" t="s">
        <v>10</v>
      </c>
    </row>
    <row r="1588" spans="1:12" x14ac:dyDescent="0.35">
      <c r="A1588" t="s">
        <v>8</v>
      </c>
      <c r="B1588" t="s">
        <v>84</v>
      </c>
      <c r="C1588" t="s">
        <v>95</v>
      </c>
      <c r="D1588" t="s">
        <v>10</v>
      </c>
      <c r="E1588" t="s">
        <v>10</v>
      </c>
      <c r="F1588" s="7">
        <v>45563</v>
      </c>
      <c r="G1588" s="1">
        <v>45292</v>
      </c>
      <c r="H1588" s="14">
        <v>7083.1000000000022</v>
      </c>
      <c r="I1588">
        <v>918069</v>
      </c>
      <c r="J1588" t="s">
        <v>86</v>
      </c>
      <c r="K1588" t="s">
        <v>96</v>
      </c>
      <c r="L1588" s="16" t="s">
        <v>10</v>
      </c>
    </row>
    <row r="1589" spans="1:12" x14ac:dyDescent="0.35">
      <c r="A1589" t="s">
        <v>8</v>
      </c>
      <c r="B1589" t="s">
        <v>17</v>
      </c>
      <c r="C1589" t="s">
        <v>93</v>
      </c>
      <c r="D1589" t="s">
        <v>10</v>
      </c>
      <c r="E1589" t="s">
        <v>10</v>
      </c>
      <c r="F1589" s="7">
        <v>45563</v>
      </c>
      <c r="G1589" s="1">
        <v>45292</v>
      </c>
      <c r="H1589" s="14">
        <v>9758.4418999999962</v>
      </c>
      <c r="I1589">
        <v>2309108</v>
      </c>
      <c r="J1589" t="s">
        <v>86</v>
      </c>
      <c r="K1589" t="s">
        <v>94</v>
      </c>
      <c r="L1589" s="16" t="s">
        <v>10</v>
      </c>
    </row>
    <row r="1590" spans="1:12" x14ac:dyDescent="0.35">
      <c r="A1590" t="s">
        <v>8</v>
      </c>
      <c r="B1590" t="s">
        <v>17</v>
      </c>
      <c r="C1590" t="s">
        <v>95</v>
      </c>
      <c r="D1590" t="s">
        <v>10</v>
      </c>
      <c r="E1590" t="s">
        <v>10</v>
      </c>
      <c r="F1590" s="7">
        <v>45563</v>
      </c>
      <c r="G1590" s="1">
        <v>45292</v>
      </c>
      <c r="H1590" s="14">
        <v>9669.1899999999932</v>
      </c>
      <c r="I1590">
        <v>1355070</v>
      </c>
      <c r="J1590" t="s">
        <v>86</v>
      </c>
      <c r="K1590" t="s">
        <v>96</v>
      </c>
      <c r="L1590" s="16" t="s">
        <v>10</v>
      </c>
    </row>
    <row r="1591" spans="1:12" x14ac:dyDescent="0.35">
      <c r="A1591" t="s">
        <v>8</v>
      </c>
      <c r="B1591" t="s">
        <v>99</v>
      </c>
      <c r="C1591" t="s">
        <v>93</v>
      </c>
      <c r="D1591" t="s">
        <v>10</v>
      </c>
      <c r="E1591" t="s">
        <v>10</v>
      </c>
      <c r="F1591" s="7">
        <v>45563</v>
      </c>
      <c r="G1591" s="1">
        <v>45292</v>
      </c>
      <c r="H1591" s="14">
        <v>3013.6907999999989</v>
      </c>
      <c r="I1591">
        <v>268021</v>
      </c>
      <c r="J1591" t="s">
        <v>86</v>
      </c>
      <c r="K1591" t="s">
        <v>94</v>
      </c>
      <c r="L1591" s="16" t="s">
        <v>10</v>
      </c>
    </row>
    <row r="1592" spans="1:12" x14ac:dyDescent="0.35">
      <c r="A1592" t="s">
        <v>8</v>
      </c>
      <c r="B1592" t="s">
        <v>99</v>
      </c>
      <c r="C1592" t="s">
        <v>95</v>
      </c>
      <c r="D1592" t="s">
        <v>10</v>
      </c>
      <c r="E1592" t="s">
        <v>10</v>
      </c>
      <c r="F1592" s="7">
        <v>45563</v>
      </c>
      <c r="G1592" s="1">
        <v>45292</v>
      </c>
      <c r="H1592" s="14">
        <v>6493.5199999999977</v>
      </c>
      <c r="I1592">
        <v>1308122</v>
      </c>
      <c r="J1592" t="s">
        <v>86</v>
      </c>
      <c r="K1592" t="s">
        <v>96</v>
      </c>
      <c r="L1592" s="16" t="s">
        <v>10</v>
      </c>
    </row>
    <row r="1593" spans="1:12" x14ac:dyDescent="0.35">
      <c r="A1593" t="s">
        <v>8</v>
      </c>
      <c r="B1593" t="s">
        <v>100</v>
      </c>
      <c r="C1593" t="s">
        <v>93</v>
      </c>
      <c r="D1593" t="s">
        <v>10</v>
      </c>
      <c r="E1593" t="s">
        <v>10</v>
      </c>
      <c r="F1593" s="7">
        <v>45563</v>
      </c>
      <c r="G1593" s="1">
        <v>45292</v>
      </c>
      <c r="H1593" s="14">
        <v>7335.7093000000004</v>
      </c>
      <c r="I1593">
        <v>1383942</v>
      </c>
      <c r="J1593" t="s">
        <v>86</v>
      </c>
      <c r="K1593" t="s">
        <v>94</v>
      </c>
      <c r="L1593" s="16" t="s">
        <v>10</v>
      </c>
    </row>
    <row r="1594" spans="1:12" x14ac:dyDescent="0.35">
      <c r="A1594" t="s">
        <v>8</v>
      </c>
      <c r="B1594" t="s">
        <v>100</v>
      </c>
      <c r="C1594" t="s">
        <v>95</v>
      </c>
      <c r="D1594" t="s">
        <v>10</v>
      </c>
      <c r="E1594" t="s">
        <v>10</v>
      </c>
      <c r="F1594" s="7">
        <v>45563</v>
      </c>
      <c r="G1594" s="1">
        <v>45292</v>
      </c>
      <c r="H1594" s="14">
        <v>5557.31</v>
      </c>
      <c r="I1594">
        <v>1653033</v>
      </c>
      <c r="J1594" t="s">
        <v>86</v>
      </c>
      <c r="K1594" t="s">
        <v>96</v>
      </c>
      <c r="L1594" s="16" t="s">
        <v>10</v>
      </c>
    </row>
    <row r="1595" spans="1:12" x14ac:dyDescent="0.35">
      <c r="A1595" t="s">
        <v>8</v>
      </c>
      <c r="B1595" t="s">
        <v>21</v>
      </c>
      <c r="C1595" t="s">
        <v>93</v>
      </c>
      <c r="D1595" t="s">
        <v>10</v>
      </c>
      <c r="E1595" t="s">
        <v>10</v>
      </c>
      <c r="F1595" s="7">
        <v>45563</v>
      </c>
      <c r="G1595" s="1">
        <v>45292</v>
      </c>
      <c r="H1595" s="14">
        <v>3784.5102999999995</v>
      </c>
      <c r="I1595">
        <v>937069</v>
      </c>
      <c r="J1595" t="s">
        <v>86</v>
      </c>
      <c r="K1595" t="s">
        <v>94</v>
      </c>
      <c r="L1595" s="16" t="s">
        <v>10</v>
      </c>
    </row>
    <row r="1596" spans="1:12" x14ac:dyDescent="0.35">
      <c r="A1596" t="s">
        <v>8</v>
      </c>
      <c r="B1596" t="s">
        <v>21</v>
      </c>
      <c r="C1596" t="s">
        <v>95</v>
      </c>
      <c r="D1596" t="s">
        <v>10</v>
      </c>
      <c r="E1596" t="s">
        <v>10</v>
      </c>
      <c r="F1596" s="7">
        <v>45563</v>
      </c>
      <c r="G1596" s="1">
        <v>45292</v>
      </c>
      <c r="H1596" s="14">
        <v>6193.1699999999992</v>
      </c>
      <c r="I1596">
        <v>646076</v>
      </c>
      <c r="J1596" t="s">
        <v>86</v>
      </c>
      <c r="K1596" t="s">
        <v>96</v>
      </c>
      <c r="L1596" s="16" t="s">
        <v>10</v>
      </c>
    </row>
    <row r="1597" spans="1:12" x14ac:dyDescent="0.35">
      <c r="A1597" t="s">
        <v>8</v>
      </c>
      <c r="B1597" t="s">
        <v>101</v>
      </c>
      <c r="C1597" t="s">
        <v>93</v>
      </c>
      <c r="D1597" t="s">
        <v>10</v>
      </c>
      <c r="E1597" t="s">
        <v>10</v>
      </c>
      <c r="F1597" s="7">
        <v>45563</v>
      </c>
      <c r="G1597" s="1">
        <v>45292</v>
      </c>
      <c r="H1597" s="14">
        <v>2424.9718000000007</v>
      </c>
      <c r="I1597">
        <v>501566</v>
      </c>
      <c r="J1597" t="s">
        <v>86</v>
      </c>
      <c r="K1597" t="s">
        <v>94</v>
      </c>
      <c r="L1597" s="16" t="s">
        <v>10</v>
      </c>
    </row>
    <row r="1598" spans="1:12" x14ac:dyDescent="0.35">
      <c r="A1598" t="s">
        <v>8</v>
      </c>
      <c r="B1598" t="s">
        <v>101</v>
      </c>
      <c r="C1598" t="s">
        <v>95</v>
      </c>
      <c r="D1598" t="s">
        <v>10</v>
      </c>
      <c r="E1598" t="s">
        <v>10</v>
      </c>
      <c r="F1598" s="7">
        <v>45563</v>
      </c>
      <c r="G1598" s="1">
        <v>45292</v>
      </c>
      <c r="H1598" s="14">
        <v>3532.6999999999994</v>
      </c>
      <c r="I1598">
        <v>870706</v>
      </c>
      <c r="J1598" t="s">
        <v>86</v>
      </c>
      <c r="K1598" t="s">
        <v>96</v>
      </c>
      <c r="L1598" s="16" t="s">
        <v>10</v>
      </c>
    </row>
    <row r="1599" spans="1:12" x14ac:dyDescent="0.35">
      <c r="A1599" t="s">
        <v>8</v>
      </c>
      <c r="B1599" t="s">
        <v>102</v>
      </c>
      <c r="C1599" t="s">
        <v>95</v>
      </c>
      <c r="D1599" t="s">
        <v>10</v>
      </c>
      <c r="E1599" t="s">
        <v>10</v>
      </c>
      <c r="F1599" s="7">
        <v>45563</v>
      </c>
      <c r="G1599" s="1">
        <v>45292</v>
      </c>
      <c r="H1599" s="14">
        <v>0.28999999999999998</v>
      </c>
      <c r="I1599">
        <v>1128</v>
      </c>
      <c r="J1599" t="s">
        <v>86</v>
      </c>
      <c r="K1599" t="s">
        <v>96</v>
      </c>
      <c r="L1599" s="16" t="s">
        <v>10</v>
      </c>
    </row>
    <row r="1600" spans="1:12" x14ac:dyDescent="0.35">
      <c r="A1600" t="s">
        <v>8</v>
      </c>
      <c r="B1600" t="s">
        <v>103</v>
      </c>
      <c r="C1600" t="s">
        <v>95</v>
      </c>
      <c r="D1600" t="s">
        <v>104</v>
      </c>
      <c r="E1600" t="s">
        <v>8</v>
      </c>
      <c r="F1600" s="7">
        <v>45563</v>
      </c>
      <c r="G1600" s="1">
        <v>45292</v>
      </c>
      <c r="H1600" s="14">
        <v>95.990000000000009</v>
      </c>
      <c r="I1600">
        <v>338</v>
      </c>
      <c r="J1600" t="s">
        <v>86</v>
      </c>
      <c r="K1600" t="s">
        <v>105</v>
      </c>
      <c r="L1600" s="16" t="s">
        <v>95</v>
      </c>
    </row>
    <row r="1601" spans="1:12" x14ac:dyDescent="0.35">
      <c r="A1601" t="s">
        <v>8</v>
      </c>
      <c r="B1601" t="s">
        <v>16</v>
      </c>
      <c r="C1601" t="s">
        <v>95</v>
      </c>
      <c r="D1601" t="s">
        <v>104</v>
      </c>
      <c r="E1601" t="s">
        <v>8</v>
      </c>
      <c r="F1601" s="7">
        <v>45563</v>
      </c>
      <c r="G1601" s="1">
        <v>45292</v>
      </c>
      <c r="H1601" s="14">
        <v>34.49</v>
      </c>
      <c r="I1601">
        <v>178</v>
      </c>
      <c r="J1601" t="s">
        <v>86</v>
      </c>
      <c r="K1601" t="s">
        <v>105</v>
      </c>
      <c r="L1601" s="16" t="s">
        <v>95</v>
      </c>
    </row>
    <row r="1602" spans="1:12" x14ac:dyDescent="0.35">
      <c r="A1602" t="s">
        <v>8</v>
      </c>
      <c r="B1602" t="s">
        <v>84</v>
      </c>
      <c r="C1602" t="s">
        <v>95</v>
      </c>
      <c r="D1602" t="s">
        <v>104</v>
      </c>
      <c r="E1602" t="s">
        <v>8</v>
      </c>
      <c r="F1602" s="7">
        <v>45563</v>
      </c>
      <c r="G1602" s="1">
        <v>45292</v>
      </c>
      <c r="H1602" s="14">
        <v>7337.6632870000012</v>
      </c>
      <c r="I1602">
        <v>26010</v>
      </c>
      <c r="J1602" t="s">
        <v>86</v>
      </c>
      <c r="K1602" t="s">
        <v>105</v>
      </c>
      <c r="L1602" s="16" t="s">
        <v>95</v>
      </c>
    </row>
    <row r="1603" spans="1:12" x14ac:dyDescent="0.35">
      <c r="A1603" t="s">
        <v>8</v>
      </c>
      <c r="B1603" t="s">
        <v>17</v>
      </c>
      <c r="C1603" t="s">
        <v>95</v>
      </c>
      <c r="D1603" t="s">
        <v>104</v>
      </c>
      <c r="E1603" t="s">
        <v>8</v>
      </c>
      <c r="F1603" s="7">
        <v>45563</v>
      </c>
      <c r="G1603" s="1">
        <v>45292</v>
      </c>
      <c r="H1603" s="14">
        <v>113.14000000000001</v>
      </c>
      <c r="I1603">
        <v>847</v>
      </c>
      <c r="J1603" t="s">
        <v>86</v>
      </c>
      <c r="K1603" t="s">
        <v>105</v>
      </c>
      <c r="L1603" s="16" t="s">
        <v>95</v>
      </c>
    </row>
    <row r="1604" spans="1:12" x14ac:dyDescent="0.35">
      <c r="A1604" t="s">
        <v>8</v>
      </c>
      <c r="B1604" t="s">
        <v>106</v>
      </c>
      <c r="C1604" t="s">
        <v>95</v>
      </c>
      <c r="D1604" t="s">
        <v>104</v>
      </c>
      <c r="E1604" t="s">
        <v>8</v>
      </c>
      <c r="F1604" s="7">
        <v>45563</v>
      </c>
      <c r="G1604" s="1">
        <v>45292</v>
      </c>
      <c r="H1604" s="14">
        <v>272.107957</v>
      </c>
      <c r="I1604">
        <v>642</v>
      </c>
      <c r="J1604" t="s">
        <v>86</v>
      </c>
      <c r="K1604" t="s">
        <v>105</v>
      </c>
      <c r="L1604" s="16" t="s">
        <v>95</v>
      </c>
    </row>
    <row r="1605" spans="1:12" x14ac:dyDescent="0.35">
      <c r="A1605" t="s">
        <v>8</v>
      </c>
      <c r="B1605" t="s">
        <v>92</v>
      </c>
      <c r="C1605" t="s">
        <v>95</v>
      </c>
      <c r="D1605" t="s">
        <v>104</v>
      </c>
      <c r="E1605" t="s">
        <v>8</v>
      </c>
      <c r="F1605" s="7">
        <v>45563</v>
      </c>
      <c r="G1605" s="1">
        <v>45292</v>
      </c>
      <c r="H1605" s="14">
        <v>328.30767900000001</v>
      </c>
      <c r="I1605">
        <v>2101</v>
      </c>
      <c r="J1605" t="s">
        <v>86</v>
      </c>
      <c r="K1605" t="s">
        <v>105</v>
      </c>
      <c r="L1605" s="16" t="s">
        <v>95</v>
      </c>
    </row>
    <row r="1606" spans="1:12" x14ac:dyDescent="0.35">
      <c r="A1606" t="s">
        <v>8</v>
      </c>
      <c r="B1606" t="s">
        <v>21</v>
      </c>
      <c r="C1606" t="s">
        <v>95</v>
      </c>
      <c r="D1606" t="s">
        <v>104</v>
      </c>
      <c r="E1606" t="s">
        <v>8</v>
      </c>
      <c r="F1606" s="7">
        <v>45563</v>
      </c>
      <c r="G1606" s="1">
        <v>45292</v>
      </c>
      <c r="H1606" s="14">
        <v>254.22137899999998</v>
      </c>
      <c r="I1606">
        <v>1624</v>
      </c>
      <c r="J1606" t="s">
        <v>86</v>
      </c>
      <c r="K1606" t="s">
        <v>105</v>
      </c>
      <c r="L1606" s="16" t="s">
        <v>95</v>
      </c>
    </row>
    <row r="1607" spans="1:12" x14ac:dyDescent="0.35">
      <c r="A1607" t="s">
        <v>8</v>
      </c>
      <c r="B1607" t="s">
        <v>101</v>
      </c>
      <c r="C1607" t="s">
        <v>95</v>
      </c>
      <c r="D1607" t="s">
        <v>104</v>
      </c>
      <c r="E1607" t="s">
        <v>8</v>
      </c>
      <c r="F1607" s="7">
        <v>45563</v>
      </c>
      <c r="G1607" s="1">
        <v>45292</v>
      </c>
      <c r="H1607" s="14">
        <v>81.919999999999987</v>
      </c>
      <c r="I1607">
        <v>429</v>
      </c>
      <c r="J1607" t="s">
        <v>86</v>
      </c>
      <c r="K1607" t="s">
        <v>105</v>
      </c>
      <c r="L1607" s="16" t="s">
        <v>95</v>
      </c>
    </row>
    <row r="1608" spans="1:12" x14ac:dyDescent="0.35">
      <c r="A1608" t="s">
        <v>8</v>
      </c>
      <c r="B1608" t="s">
        <v>99</v>
      </c>
      <c r="C1608" t="s">
        <v>95</v>
      </c>
      <c r="D1608" t="s">
        <v>104</v>
      </c>
      <c r="E1608" t="s">
        <v>8</v>
      </c>
      <c r="F1608" s="7">
        <v>45563</v>
      </c>
      <c r="G1608" s="1">
        <v>45292</v>
      </c>
      <c r="H1608" s="14">
        <v>59.840000000000011</v>
      </c>
      <c r="I1608">
        <v>417</v>
      </c>
      <c r="J1608" t="s">
        <v>86</v>
      </c>
      <c r="K1608" t="s">
        <v>105</v>
      </c>
      <c r="L1608" s="16" t="s">
        <v>95</v>
      </c>
    </row>
    <row r="1609" spans="1:12" x14ac:dyDescent="0.35">
      <c r="A1609" t="s">
        <v>8</v>
      </c>
      <c r="B1609" t="s">
        <v>102</v>
      </c>
      <c r="C1609" t="s">
        <v>95</v>
      </c>
      <c r="D1609" t="s">
        <v>104</v>
      </c>
      <c r="E1609" t="s">
        <v>8</v>
      </c>
      <c r="F1609" s="7">
        <v>45563</v>
      </c>
      <c r="G1609" s="1">
        <v>45292</v>
      </c>
      <c r="H1609" s="14">
        <v>120.73</v>
      </c>
      <c r="I1609">
        <v>690</v>
      </c>
      <c r="J1609" t="s">
        <v>86</v>
      </c>
      <c r="K1609" t="s">
        <v>105</v>
      </c>
      <c r="L1609" s="16" t="s">
        <v>95</v>
      </c>
    </row>
    <row r="1610" spans="1:12" x14ac:dyDescent="0.35">
      <c r="A1610" t="s">
        <v>8</v>
      </c>
      <c r="B1610" t="s">
        <v>100</v>
      </c>
      <c r="C1610" t="s">
        <v>95</v>
      </c>
      <c r="D1610" t="s">
        <v>104</v>
      </c>
      <c r="E1610" t="s">
        <v>8</v>
      </c>
      <c r="F1610" s="7">
        <v>45563</v>
      </c>
      <c r="G1610" s="1">
        <v>45292</v>
      </c>
      <c r="H1610" s="14">
        <v>128.41342599999999</v>
      </c>
      <c r="I1610">
        <v>971</v>
      </c>
      <c r="J1610" t="s">
        <v>86</v>
      </c>
      <c r="K1610" t="s">
        <v>105</v>
      </c>
      <c r="L1610" s="16" t="s">
        <v>95</v>
      </c>
    </row>
    <row r="1611" spans="1:12" x14ac:dyDescent="0.35">
      <c r="A1611" t="s">
        <v>8</v>
      </c>
      <c r="B1611" t="s">
        <v>92</v>
      </c>
      <c r="C1611" t="s">
        <v>85</v>
      </c>
      <c r="D1611" t="s">
        <v>9</v>
      </c>
      <c r="E1611" t="s">
        <v>12</v>
      </c>
      <c r="F1611" s="7">
        <v>45570</v>
      </c>
      <c r="G1611" s="1">
        <v>45292</v>
      </c>
      <c r="H1611" s="14">
        <v>44596.750003000008</v>
      </c>
      <c r="I1611">
        <v>6891066</v>
      </c>
      <c r="J1611" t="s">
        <v>86</v>
      </c>
      <c r="K1611" t="s">
        <v>87</v>
      </c>
      <c r="L1611" s="16" t="s">
        <v>12</v>
      </c>
    </row>
    <row r="1612" spans="1:12" x14ac:dyDescent="0.35">
      <c r="A1612" t="s">
        <v>8</v>
      </c>
      <c r="B1612" t="s">
        <v>92</v>
      </c>
      <c r="C1612" t="s">
        <v>93</v>
      </c>
      <c r="D1612" t="s">
        <v>10</v>
      </c>
      <c r="E1612" t="s">
        <v>10</v>
      </c>
      <c r="F1612" s="7">
        <v>45570</v>
      </c>
      <c r="G1612" s="1">
        <v>45292</v>
      </c>
      <c r="H1612" s="14">
        <v>8199.3154000000013</v>
      </c>
      <c r="I1612">
        <v>2015951</v>
      </c>
      <c r="J1612" t="s">
        <v>86</v>
      </c>
      <c r="K1612" t="s">
        <v>94</v>
      </c>
      <c r="L1612" s="16" t="s">
        <v>10</v>
      </c>
    </row>
    <row r="1613" spans="1:12" x14ac:dyDescent="0.35">
      <c r="A1613" t="s">
        <v>8</v>
      </c>
      <c r="B1613" t="s">
        <v>92</v>
      </c>
      <c r="C1613" t="s">
        <v>95</v>
      </c>
      <c r="D1613" t="s">
        <v>10</v>
      </c>
      <c r="E1613" t="s">
        <v>10</v>
      </c>
      <c r="F1613" s="7">
        <v>45570</v>
      </c>
      <c r="G1613" s="1">
        <v>45292</v>
      </c>
      <c r="H1613" s="14">
        <v>5864.19</v>
      </c>
      <c r="I1613">
        <v>791603</v>
      </c>
      <c r="J1613" t="s">
        <v>86</v>
      </c>
      <c r="K1613" t="s">
        <v>96</v>
      </c>
      <c r="L1613" s="16" t="s">
        <v>10</v>
      </c>
    </row>
    <row r="1614" spans="1:12" x14ac:dyDescent="0.35">
      <c r="A1614" t="s">
        <v>8</v>
      </c>
      <c r="B1614" t="s">
        <v>84</v>
      </c>
      <c r="C1614" t="s">
        <v>93</v>
      </c>
      <c r="D1614" t="s">
        <v>10</v>
      </c>
      <c r="E1614" t="s">
        <v>10</v>
      </c>
      <c r="F1614" s="7">
        <v>45570</v>
      </c>
      <c r="G1614" s="1">
        <v>45292</v>
      </c>
      <c r="H1614" s="14">
        <v>2078.8935000000006</v>
      </c>
      <c r="I1614">
        <v>637467</v>
      </c>
      <c r="J1614" t="s">
        <v>86</v>
      </c>
      <c r="K1614" t="s">
        <v>94</v>
      </c>
      <c r="L1614" s="16" t="s">
        <v>10</v>
      </c>
    </row>
    <row r="1615" spans="1:12" x14ac:dyDescent="0.35">
      <c r="A1615" t="s">
        <v>8</v>
      </c>
      <c r="B1615" t="s">
        <v>84</v>
      </c>
      <c r="C1615" t="s">
        <v>95</v>
      </c>
      <c r="D1615" t="s">
        <v>10</v>
      </c>
      <c r="E1615" t="s">
        <v>10</v>
      </c>
      <c r="F1615" s="7">
        <v>45570</v>
      </c>
      <c r="G1615" s="1">
        <v>45292</v>
      </c>
      <c r="H1615" s="14">
        <v>7050.2200000000012</v>
      </c>
      <c r="I1615">
        <v>921717</v>
      </c>
      <c r="J1615" t="s">
        <v>86</v>
      </c>
      <c r="K1615" t="s">
        <v>96</v>
      </c>
      <c r="L1615" s="16" t="s">
        <v>10</v>
      </c>
    </row>
    <row r="1616" spans="1:12" x14ac:dyDescent="0.35">
      <c r="A1616" t="s">
        <v>8</v>
      </c>
      <c r="B1616" t="s">
        <v>17</v>
      </c>
      <c r="C1616" t="s">
        <v>93</v>
      </c>
      <c r="D1616" t="s">
        <v>10</v>
      </c>
      <c r="E1616" t="s">
        <v>10</v>
      </c>
      <c r="F1616" s="7">
        <v>45570</v>
      </c>
      <c r="G1616" s="1">
        <v>45292</v>
      </c>
      <c r="H1616" s="14">
        <v>8334.4894000000022</v>
      </c>
      <c r="I1616">
        <v>2289715</v>
      </c>
      <c r="J1616" t="s">
        <v>86</v>
      </c>
      <c r="K1616" t="s">
        <v>94</v>
      </c>
      <c r="L1616" s="16" t="s">
        <v>10</v>
      </c>
    </row>
    <row r="1617" spans="1:12" x14ac:dyDescent="0.35">
      <c r="A1617" t="s">
        <v>8</v>
      </c>
      <c r="B1617" t="s">
        <v>17</v>
      </c>
      <c r="C1617" t="s">
        <v>95</v>
      </c>
      <c r="D1617" t="s">
        <v>10</v>
      </c>
      <c r="E1617" t="s">
        <v>10</v>
      </c>
      <c r="F1617" s="7">
        <v>45570</v>
      </c>
      <c r="G1617" s="1">
        <v>45292</v>
      </c>
      <c r="H1617" s="14">
        <v>9191.1999999999971</v>
      </c>
      <c r="I1617">
        <v>1181800</v>
      </c>
      <c r="J1617" t="s">
        <v>86</v>
      </c>
      <c r="K1617" t="s">
        <v>96</v>
      </c>
      <c r="L1617" s="16" t="s">
        <v>10</v>
      </c>
    </row>
    <row r="1618" spans="1:12" x14ac:dyDescent="0.35">
      <c r="A1618" t="s">
        <v>8</v>
      </c>
      <c r="B1618" t="s">
        <v>99</v>
      </c>
      <c r="C1618" t="s">
        <v>93</v>
      </c>
      <c r="D1618" t="s">
        <v>10</v>
      </c>
      <c r="E1618" t="s">
        <v>10</v>
      </c>
      <c r="F1618" s="7">
        <v>45570</v>
      </c>
      <c r="G1618" s="1">
        <v>45292</v>
      </c>
      <c r="H1618" s="14">
        <v>5049.5283000000027</v>
      </c>
      <c r="I1618">
        <v>542178</v>
      </c>
      <c r="J1618" t="s">
        <v>86</v>
      </c>
      <c r="K1618" t="s">
        <v>94</v>
      </c>
      <c r="L1618" s="16" t="s">
        <v>10</v>
      </c>
    </row>
    <row r="1619" spans="1:12" x14ac:dyDescent="0.35">
      <c r="A1619" t="s">
        <v>8</v>
      </c>
      <c r="B1619" t="s">
        <v>99</v>
      </c>
      <c r="C1619" t="s">
        <v>95</v>
      </c>
      <c r="D1619" t="s">
        <v>10</v>
      </c>
      <c r="E1619" t="s">
        <v>10</v>
      </c>
      <c r="F1619" s="7">
        <v>45570</v>
      </c>
      <c r="G1619" s="1">
        <v>45292</v>
      </c>
      <c r="H1619" s="14">
        <v>6737.9100000000008</v>
      </c>
      <c r="I1619">
        <v>1410010</v>
      </c>
      <c r="J1619" t="s">
        <v>86</v>
      </c>
      <c r="K1619" t="s">
        <v>96</v>
      </c>
      <c r="L1619" s="16" t="s">
        <v>10</v>
      </c>
    </row>
    <row r="1620" spans="1:12" x14ac:dyDescent="0.35">
      <c r="A1620" t="s">
        <v>8</v>
      </c>
      <c r="B1620" t="s">
        <v>100</v>
      </c>
      <c r="C1620" t="s">
        <v>93</v>
      </c>
      <c r="D1620" t="s">
        <v>10</v>
      </c>
      <c r="E1620" t="s">
        <v>10</v>
      </c>
      <c r="F1620" s="7">
        <v>45570</v>
      </c>
      <c r="G1620" s="1">
        <v>45292</v>
      </c>
      <c r="H1620" s="14">
        <v>6258.0273000000025</v>
      </c>
      <c r="I1620">
        <v>1144394</v>
      </c>
      <c r="J1620" t="s">
        <v>86</v>
      </c>
      <c r="K1620" t="s">
        <v>94</v>
      </c>
      <c r="L1620" s="16" t="s">
        <v>10</v>
      </c>
    </row>
    <row r="1621" spans="1:12" x14ac:dyDescent="0.35">
      <c r="A1621" t="s">
        <v>8</v>
      </c>
      <c r="B1621" t="s">
        <v>100</v>
      </c>
      <c r="C1621" t="s">
        <v>95</v>
      </c>
      <c r="D1621" t="s">
        <v>10</v>
      </c>
      <c r="E1621" t="s">
        <v>10</v>
      </c>
      <c r="F1621" s="7">
        <v>45570</v>
      </c>
      <c r="G1621" s="1">
        <v>45292</v>
      </c>
      <c r="H1621" s="14">
        <v>5842.82</v>
      </c>
      <c r="I1621">
        <v>1809204</v>
      </c>
      <c r="J1621" t="s">
        <v>86</v>
      </c>
      <c r="K1621" t="s">
        <v>96</v>
      </c>
      <c r="L1621" s="16" t="s">
        <v>10</v>
      </c>
    </row>
    <row r="1622" spans="1:12" x14ac:dyDescent="0.35">
      <c r="A1622" t="s">
        <v>8</v>
      </c>
      <c r="B1622" t="s">
        <v>21</v>
      </c>
      <c r="C1622" t="s">
        <v>93</v>
      </c>
      <c r="D1622" t="s">
        <v>10</v>
      </c>
      <c r="E1622" t="s">
        <v>10</v>
      </c>
      <c r="F1622" s="7">
        <v>45570</v>
      </c>
      <c r="G1622" s="1">
        <v>45292</v>
      </c>
      <c r="H1622" s="14">
        <v>4553.0021999999999</v>
      </c>
      <c r="I1622">
        <v>1104548</v>
      </c>
      <c r="J1622" t="s">
        <v>86</v>
      </c>
      <c r="K1622" t="s">
        <v>94</v>
      </c>
      <c r="L1622" s="16" t="s">
        <v>10</v>
      </c>
    </row>
    <row r="1623" spans="1:12" x14ac:dyDescent="0.35">
      <c r="A1623" t="s">
        <v>8</v>
      </c>
      <c r="B1623" t="s">
        <v>21</v>
      </c>
      <c r="C1623" t="s">
        <v>95</v>
      </c>
      <c r="D1623" t="s">
        <v>10</v>
      </c>
      <c r="E1623" t="s">
        <v>10</v>
      </c>
      <c r="F1623" s="7">
        <v>45570</v>
      </c>
      <c r="G1623" s="1">
        <v>45292</v>
      </c>
      <c r="H1623" s="14">
        <v>6412.2899999999991</v>
      </c>
      <c r="I1623">
        <v>614601</v>
      </c>
      <c r="J1623" t="s">
        <v>86</v>
      </c>
      <c r="K1623" t="s">
        <v>96</v>
      </c>
      <c r="L1623" s="16" t="s">
        <v>10</v>
      </c>
    </row>
    <row r="1624" spans="1:12" x14ac:dyDescent="0.35">
      <c r="A1624" t="s">
        <v>8</v>
      </c>
      <c r="B1624" t="s">
        <v>101</v>
      </c>
      <c r="C1624" t="s">
        <v>93</v>
      </c>
      <c r="D1624" t="s">
        <v>10</v>
      </c>
      <c r="E1624" t="s">
        <v>10</v>
      </c>
      <c r="F1624" s="7">
        <v>45570</v>
      </c>
      <c r="G1624" s="1">
        <v>45292</v>
      </c>
      <c r="H1624" s="14">
        <v>3167.9745000000003</v>
      </c>
      <c r="I1624">
        <v>739529</v>
      </c>
      <c r="J1624" t="s">
        <v>86</v>
      </c>
      <c r="K1624" t="s">
        <v>94</v>
      </c>
      <c r="L1624" s="16" t="s">
        <v>10</v>
      </c>
    </row>
    <row r="1625" spans="1:12" x14ac:dyDescent="0.35">
      <c r="A1625" t="s">
        <v>8</v>
      </c>
      <c r="B1625" t="s">
        <v>101</v>
      </c>
      <c r="C1625" t="s">
        <v>95</v>
      </c>
      <c r="D1625" t="s">
        <v>10</v>
      </c>
      <c r="E1625" t="s">
        <v>10</v>
      </c>
      <c r="F1625" s="7">
        <v>45570</v>
      </c>
      <c r="G1625" s="1">
        <v>45292</v>
      </c>
      <c r="H1625" s="14">
        <v>3670.6900000000005</v>
      </c>
      <c r="I1625">
        <v>1198239</v>
      </c>
      <c r="J1625" t="s">
        <v>86</v>
      </c>
      <c r="K1625" t="s">
        <v>96</v>
      </c>
      <c r="L1625" s="16" t="s">
        <v>10</v>
      </c>
    </row>
    <row r="1626" spans="1:12" x14ac:dyDescent="0.35">
      <c r="A1626" t="s">
        <v>8</v>
      </c>
      <c r="B1626" t="s">
        <v>102</v>
      </c>
      <c r="C1626" t="s">
        <v>95</v>
      </c>
      <c r="D1626" t="s">
        <v>10</v>
      </c>
      <c r="E1626" t="s">
        <v>10</v>
      </c>
      <c r="F1626" s="7">
        <v>45570</v>
      </c>
      <c r="G1626" s="1">
        <v>45292</v>
      </c>
      <c r="H1626" s="14">
        <v>0.37</v>
      </c>
      <c r="I1626">
        <v>776</v>
      </c>
      <c r="J1626" t="s">
        <v>86</v>
      </c>
      <c r="K1626" t="s">
        <v>96</v>
      </c>
      <c r="L1626" s="16" t="s">
        <v>10</v>
      </c>
    </row>
    <row r="1627" spans="1:12" x14ac:dyDescent="0.35">
      <c r="A1627" t="s">
        <v>8</v>
      </c>
      <c r="B1627" t="s">
        <v>103</v>
      </c>
      <c r="C1627" t="s">
        <v>95</v>
      </c>
      <c r="D1627" t="s">
        <v>104</v>
      </c>
      <c r="E1627" t="s">
        <v>8</v>
      </c>
      <c r="F1627" s="7">
        <v>45570</v>
      </c>
      <c r="G1627" s="1">
        <v>45292</v>
      </c>
      <c r="H1627" s="14">
        <v>68.37</v>
      </c>
      <c r="I1627">
        <v>288</v>
      </c>
      <c r="J1627" t="s">
        <v>86</v>
      </c>
      <c r="K1627" t="s">
        <v>105</v>
      </c>
      <c r="L1627" s="16" t="s">
        <v>95</v>
      </c>
    </row>
    <row r="1628" spans="1:12" x14ac:dyDescent="0.35">
      <c r="A1628" t="s">
        <v>8</v>
      </c>
      <c r="B1628" t="s">
        <v>16</v>
      </c>
      <c r="C1628" t="s">
        <v>95</v>
      </c>
      <c r="D1628" t="s">
        <v>104</v>
      </c>
      <c r="E1628" t="s">
        <v>8</v>
      </c>
      <c r="F1628" s="7">
        <v>45570</v>
      </c>
      <c r="G1628" s="1">
        <v>45292</v>
      </c>
      <c r="H1628" s="14">
        <v>44.86</v>
      </c>
      <c r="I1628">
        <v>166</v>
      </c>
      <c r="J1628" t="s">
        <v>86</v>
      </c>
      <c r="K1628" t="s">
        <v>105</v>
      </c>
      <c r="L1628" s="16" t="s">
        <v>95</v>
      </c>
    </row>
    <row r="1629" spans="1:12" x14ac:dyDescent="0.35">
      <c r="A1629" t="s">
        <v>8</v>
      </c>
      <c r="B1629" t="s">
        <v>84</v>
      </c>
      <c r="C1629" t="s">
        <v>95</v>
      </c>
      <c r="D1629" t="s">
        <v>104</v>
      </c>
      <c r="E1629" t="s">
        <v>8</v>
      </c>
      <c r="F1629" s="7">
        <v>45570</v>
      </c>
      <c r="G1629" s="1">
        <v>45292</v>
      </c>
      <c r="H1629" s="14">
        <v>7478.167991999997</v>
      </c>
      <c r="I1629">
        <v>27862</v>
      </c>
      <c r="J1629" t="s">
        <v>86</v>
      </c>
      <c r="K1629" t="s">
        <v>105</v>
      </c>
      <c r="L1629" s="16" t="s">
        <v>95</v>
      </c>
    </row>
    <row r="1630" spans="1:12" x14ac:dyDescent="0.35">
      <c r="A1630" t="s">
        <v>8</v>
      </c>
      <c r="B1630" t="s">
        <v>17</v>
      </c>
      <c r="C1630" t="s">
        <v>95</v>
      </c>
      <c r="D1630" t="s">
        <v>104</v>
      </c>
      <c r="E1630" t="s">
        <v>8</v>
      </c>
      <c r="F1630" s="7">
        <v>45570</v>
      </c>
      <c r="G1630" s="1">
        <v>45292</v>
      </c>
      <c r="H1630" s="14">
        <v>136.31</v>
      </c>
      <c r="I1630">
        <v>993</v>
      </c>
      <c r="J1630" t="s">
        <v>86</v>
      </c>
      <c r="K1630" t="s">
        <v>105</v>
      </c>
      <c r="L1630" s="16" t="s">
        <v>95</v>
      </c>
    </row>
    <row r="1631" spans="1:12" x14ac:dyDescent="0.35">
      <c r="A1631" t="s">
        <v>8</v>
      </c>
      <c r="B1631" t="s">
        <v>106</v>
      </c>
      <c r="C1631" t="s">
        <v>95</v>
      </c>
      <c r="D1631" t="s">
        <v>104</v>
      </c>
      <c r="E1631" t="s">
        <v>8</v>
      </c>
      <c r="F1631" s="7">
        <v>45570</v>
      </c>
      <c r="G1631" s="1">
        <v>45292</v>
      </c>
      <c r="H1631" s="14">
        <v>143.65325300000003</v>
      </c>
      <c r="I1631">
        <v>383</v>
      </c>
      <c r="J1631" t="s">
        <v>86</v>
      </c>
      <c r="K1631" t="s">
        <v>105</v>
      </c>
      <c r="L1631" s="16" t="s">
        <v>95</v>
      </c>
    </row>
    <row r="1632" spans="1:12" x14ac:dyDescent="0.35">
      <c r="A1632" t="s">
        <v>8</v>
      </c>
      <c r="B1632" t="s">
        <v>92</v>
      </c>
      <c r="C1632" t="s">
        <v>95</v>
      </c>
      <c r="D1632" t="s">
        <v>104</v>
      </c>
      <c r="E1632" t="s">
        <v>8</v>
      </c>
      <c r="F1632" s="7">
        <v>45570</v>
      </c>
      <c r="G1632" s="1">
        <v>45292</v>
      </c>
      <c r="H1632" s="14">
        <v>328.36</v>
      </c>
      <c r="I1632">
        <v>2058</v>
      </c>
      <c r="J1632" t="s">
        <v>86</v>
      </c>
      <c r="K1632" t="s">
        <v>105</v>
      </c>
      <c r="L1632" s="16" t="s">
        <v>95</v>
      </c>
    </row>
    <row r="1633" spans="1:12" x14ac:dyDescent="0.35">
      <c r="A1633" t="s">
        <v>8</v>
      </c>
      <c r="B1633" t="s">
        <v>21</v>
      </c>
      <c r="C1633" t="s">
        <v>95</v>
      </c>
      <c r="D1633" t="s">
        <v>104</v>
      </c>
      <c r="E1633" t="s">
        <v>8</v>
      </c>
      <c r="F1633" s="7">
        <v>45570</v>
      </c>
      <c r="G1633" s="1">
        <v>45292</v>
      </c>
      <c r="H1633" s="14">
        <v>283.15999999999997</v>
      </c>
      <c r="I1633">
        <v>1744</v>
      </c>
      <c r="J1633" t="s">
        <v>86</v>
      </c>
      <c r="K1633" t="s">
        <v>105</v>
      </c>
      <c r="L1633" s="16" t="s">
        <v>95</v>
      </c>
    </row>
    <row r="1634" spans="1:12" x14ac:dyDescent="0.35">
      <c r="A1634" t="s">
        <v>8</v>
      </c>
      <c r="B1634" t="s">
        <v>101</v>
      </c>
      <c r="C1634" t="s">
        <v>95</v>
      </c>
      <c r="D1634" t="s">
        <v>104</v>
      </c>
      <c r="E1634" t="s">
        <v>8</v>
      </c>
      <c r="F1634" s="7">
        <v>45570</v>
      </c>
      <c r="G1634" s="1">
        <v>45292</v>
      </c>
      <c r="H1634" s="14">
        <v>79.491395000000011</v>
      </c>
      <c r="I1634">
        <v>439</v>
      </c>
      <c r="J1634" t="s">
        <v>86</v>
      </c>
      <c r="K1634" t="s">
        <v>105</v>
      </c>
      <c r="L1634" s="16" t="s">
        <v>95</v>
      </c>
    </row>
    <row r="1635" spans="1:12" x14ac:dyDescent="0.35">
      <c r="A1635" t="s">
        <v>8</v>
      </c>
      <c r="B1635" t="s">
        <v>99</v>
      </c>
      <c r="C1635" t="s">
        <v>95</v>
      </c>
      <c r="D1635" t="s">
        <v>104</v>
      </c>
      <c r="E1635" t="s">
        <v>8</v>
      </c>
      <c r="F1635" s="7">
        <v>45570</v>
      </c>
      <c r="G1635" s="1">
        <v>45292</v>
      </c>
      <c r="H1635" s="14">
        <v>60.400000000000006</v>
      </c>
      <c r="I1635">
        <v>396</v>
      </c>
      <c r="J1635" t="s">
        <v>86</v>
      </c>
      <c r="K1635" t="s">
        <v>105</v>
      </c>
      <c r="L1635" s="16" t="s">
        <v>95</v>
      </c>
    </row>
    <row r="1636" spans="1:12" x14ac:dyDescent="0.35">
      <c r="A1636" t="s">
        <v>8</v>
      </c>
      <c r="B1636" t="s">
        <v>102</v>
      </c>
      <c r="C1636" t="s">
        <v>95</v>
      </c>
      <c r="D1636" t="s">
        <v>104</v>
      </c>
      <c r="E1636" t="s">
        <v>8</v>
      </c>
      <c r="F1636" s="7">
        <v>45570</v>
      </c>
      <c r="G1636" s="1">
        <v>45292</v>
      </c>
      <c r="H1636" s="14">
        <v>133.29</v>
      </c>
      <c r="I1636">
        <v>686</v>
      </c>
      <c r="J1636" t="s">
        <v>86</v>
      </c>
      <c r="K1636" t="s">
        <v>105</v>
      </c>
      <c r="L1636" s="16" t="s">
        <v>95</v>
      </c>
    </row>
    <row r="1637" spans="1:12" x14ac:dyDescent="0.35">
      <c r="A1637" t="s">
        <v>8</v>
      </c>
      <c r="B1637" t="s">
        <v>100</v>
      </c>
      <c r="C1637" t="s">
        <v>95</v>
      </c>
      <c r="D1637" t="s">
        <v>104</v>
      </c>
      <c r="E1637" t="s">
        <v>8</v>
      </c>
      <c r="F1637" s="7">
        <v>45570</v>
      </c>
      <c r="G1637" s="1">
        <v>45292</v>
      </c>
      <c r="H1637" s="14">
        <v>140.68</v>
      </c>
      <c r="I1637">
        <v>870</v>
      </c>
      <c r="J1637" t="s">
        <v>86</v>
      </c>
      <c r="K1637" t="s">
        <v>105</v>
      </c>
      <c r="L1637" s="16" t="s">
        <v>95</v>
      </c>
    </row>
    <row r="1638" spans="1:12" x14ac:dyDescent="0.35">
      <c r="A1638" t="s">
        <v>8</v>
      </c>
      <c r="B1638" t="s">
        <v>92</v>
      </c>
      <c r="C1638" t="s">
        <v>85</v>
      </c>
      <c r="D1638" t="s">
        <v>9</v>
      </c>
      <c r="E1638" t="s">
        <v>12</v>
      </c>
      <c r="F1638" s="7">
        <v>45577</v>
      </c>
      <c r="G1638" s="1">
        <v>45292</v>
      </c>
      <c r="H1638" s="14">
        <v>43427.780012000003</v>
      </c>
      <c r="I1638">
        <v>6861510</v>
      </c>
      <c r="J1638" t="s">
        <v>86</v>
      </c>
      <c r="K1638" t="s">
        <v>87</v>
      </c>
      <c r="L1638" s="16" t="s">
        <v>12</v>
      </c>
    </row>
    <row r="1639" spans="1:12" x14ac:dyDescent="0.35">
      <c r="A1639" t="s">
        <v>8</v>
      </c>
      <c r="B1639" t="s">
        <v>20</v>
      </c>
      <c r="C1639" t="s">
        <v>85</v>
      </c>
      <c r="D1639" t="s">
        <v>9</v>
      </c>
      <c r="E1639" t="s">
        <v>10</v>
      </c>
      <c r="F1639" s="7">
        <v>45577</v>
      </c>
      <c r="G1639" s="1">
        <v>45292</v>
      </c>
      <c r="H1639" s="14">
        <v>27674.170019000005</v>
      </c>
      <c r="I1639">
        <v>5351815</v>
      </c>
      <c r="J1639" t="s">
        <v>86</v>
      </c>
      <c r="K1639" t="s">
        <v>87</v>
      </c>
      <c r="L1639" s="16" t="s">
        <v>9</v>
      </c>
    </row>
    <row r="1640" spans="1:12" x14ac:dyDescent="0.35">
      <c r="A1640" t="s">
        <v>8</v>
      </c>
      <c r="B1640" t="s">
        <v>92</v>
      </c>
      <c r="C1640" t="s">
        <v>93</v>
      </c>
      <c r="D1640" t="s">
        <v>10</v>
      </c>
      <c r="E1640" t="s">
        <v>10</v>
      </c>
      <c r="F1640" s="7">
        <v>45577</v>
      </c>
      <c r="G1640" s="1">
        <v>45292</v>
      </c>
      <c r="H1640" s="14">
        <v>9057.0264999999981</v>
      </c>
      <c r="I1640">
        <v>2153557</v>
      </c>
      <c r="J1640" t="s">
        <v>86</v>
      </c>
      <c r="K1640" t="s">
        <v>94</v>
      </c>
      <c r="L1640" s="16" t="s">
        <v>10</v>
      </c>
    </row>
    <row r="1641" spans="1:12" x14ac:dyDescent="0.35">
      <c r="A1641" t="s">
        <v>8</v>
      </c>
      <c r="B1641" t="s">
        <v>92</v>
      </c>
      <c r="C1641" t="s">
        <v>95</v>
      </c>
      <c r="D1641" t="s">
        <v>10</v>
      </c>
      <c r="E1641" t="s">
        <v>10</v>
      </c>
      <c r="F1641" s="7">
        <v>45577</v>
      </c>
      <c r="G1641" s="1">
        <v>45292</v>
      </c>
      <c r="H1641" s="14">
        <v>4910.8200000000006</v>
      </c>
      <c r="I1641">
        <v>899551</v>
      </c>
      <c r="J1641" t="s">
        <v>86</v>
      </c>
      <c r="K1641" t="s">
        <v>96</v>
      </c>
      <c r="L1641" s="16" t="s">
        <v>10</v>
      </c>
    </row>
    <row r="1642" spans="1:12" x14ac:dyDescent="0.35">
      <c r="A1642" t="s">
        <v>8</v>
      </c>
      <c r="B1642" t="s">
        <v>84</v>
      </c>
      <c r="C1642" t="s">
        <v>93</v>
      </c>
      <c r="D1642" t="s">
        <v>10</v>
      </c>
      <c r="E1642" t="s">
        <v>10</v>
      </c>
      <c r="F1642" s="7">
        <v>45577</v>
      </c>
      <c r="G1642" s="1">
        <v>45292</v>
      </c>
      <c r="H1642" s="14">
        <v>10842.368600000003</v>
      </c>
      <c r="I1642">
        <v>3962096</v>
      </c>
      <c r="J1642" t="s">
        <v>86</v>
      </c>
      <c r="K1642" t="s">
        <v>94</v>
      </c>
      <c r="L1642" s="16" t="s">
        <v>10</v>
      </c>
    </row>
    <row r="1643" spans="1:12" x14ac:dyDescent="0.35">
      <c r="A1643" t="s">
        <v>8</v>
      </c>
      <c r="B1643" t="s">
        <v>84</v>
      </c>
      <c r="C1643" t="s">
        <v>95</v>
      </c>
      <c r="D1643" t="s">
        <v>10</v>
      </c>
      <c r="E1643" t="s">
        <v>10</v>
      </c>
      <c r="F1643" s="7">
        <v>45577</v>
      </c>
      <c r="G1643" s="1">
        <v>45292</v>
      </c>
      <c r="H1643" s="14">
        <v>19206.60999999999</v>
      </c>
      <c r="I1643">
        <v>2154802</v>
      </c>
      <c r="J1643" t="s">
        <v>86</v>
      </c>
      <c r="K1643" t="s">
        <v>96</v>
      </c>
      <c r="L1643" s="16" t="s">
        <v>10</v>
      </c>
    </row>
    <row r="1644" spans="1:12" x14ac:dyDescent="0.35">
      <c r="A1644" t="s">
        <v>8</v>
      </c>
      <c r="B1644" t="s">
        <v>17</v>
      </c>
      <c r="C1644" t="s">
        <v>93</v>
      </c>
      <c r="D1644" t="s">
        <v>10</v>
      </c>
      <c r="E1644" t="s">
        <v>10</v>
      </c>
      <c r="F1644" s="7">
        <v>45577</v>
      </c>
      <c r="G1644" s="1">
        <v>45292</v>
      </c>
      <c r="H1644" s="14">
        <v>8824.4339999999956</v>
      </c>
      <c r="I1644">
        <v>2138255</v>
      </c>
      <c r="J1644" t="s">
        <v>86</v>
      </c>
      <c r="K1644" t="s">
        <v>94</v>
      </c>
      <c r="L1644" s="16" t="s">
        <v>10</v>
      </c>
    </row>
    <row r="1645" spans="1:12" x14ac:dyDescent="0.35">
      <c r="A1645" t="s">
        <v>8</v>
      </c>
      <c r="B1645" t="s">
        <v>17</v>
      </c>
      <c r="C1645" t="s">
        <v>95</v>
      </c>
      <c r="D1645" t="s">
        <v>10</v>
      </c>
      <c r="E1645" t="s">
        <v>10</v>
      </c>
      <c r="F1645" s="7">
        <v>45577</v>
      </c>
      <c r="G1645" s="1">
        <v>45292</v>
      </c>
      <c r="H1645" s="14">
        <v>17724.05000000001</v>
      </c>
      <c r="I1645">
        <v>1602659</v>
      </c>
      <c r="J1645" t="s">
        <v>86</v>
      </c>
      <c r="K1645" t="s">
        <v>96</v>
      </c>
      <c r="L1645" s="16" t="s">
        <v>10</v>
      </c>
    </row>
    <row r="1646" spans="1:12" x14ac:dyDescent="0.35">
      <c r="A1646" t="s">
        <v>8</v>
      </c>
      <c r="B1646" t="s">
        <v>99</v>
      </c>
      <c r="C1646" t="s">
        <v>93</v>
      </c>
      <c r="D1646" t="s">
        <v>10</v>
      </c>
      <c r="E1646" t="s">
        <v>10</v>
      </c>
      <c r="F1646" s="7">
        <v>45577</v>
      </c>
      <c r="G1646" s="1">
        <v>45292</v>
      </c>
      <c r="H1646" s="14">
        <v>5954.2887000000001</v>
      </c>
      <c r="I1646">
        <v>584005</v>
      </c>
      <c r="J1646" t="s">
        <v>86</v>
      </c>
      <c r="K1646" t="s">
        <v>94</v>
      </c>
      <c r="L1646" s="16" t="s">
        <v>10</v>
      </c>
    </row>
    <row r="1647" spans="1:12" x14ac:dyDescent="0.35">
      <c r="A1647" t="s">
        <v>8</v>
      </c>
      <c r="B1647" t="s">
        <v>99</v>
      </c>
      <c r="C1647" t="s">
        <v>95</v>
      </c>
      <c r="D1647" t="s">
        <v>10</v>
      </c>
      <c r="E1647" t="s">
        <v>10</v>
      </c>
      <c r="F1647" s="7">
        <v>45577</v>
      </c>
      <c r="G1647" s="1">
        <v>45292</v>
      </c>
      <c r="H1647" s="14">
        <v>38742.649999999994</v>
      </c>
      <c r="I1647">
        <v>4956025</v>
      </c>
      <c r="J1647" t="s">
        <v>86</v>
      </c>
      <c r="K1647" t="s">
        <v>96</v>
      </c>
      <c r="L1647" s="16" t="s">
        <v>10</v>
      </c>
    </row>
    <row r="1648" spans="1:12" x14ac:dyDescent="0.35">
      <c r="A1648" t="s">
        <v>8</v>
      </c>
      <c r="B1648" t="s">
        <v>100</v>
      </c>
      <c r="C1648" t="s">
        <v>93</v>
      </c>
      <c r="D1648" t="s">
        <v>10</v>
      </c>
      <c r="E1648" t="s">
        <v>10</v>
      </c>
      <c r="F1648" s="7">
        <v>45577</v>
      </c>
      <c r="G1648" s="1">
        <v>45292</v>
      </c>
      <c r="H1648" s="14">
        <v>6824.5480999999982</v>
      </c>
      <c r="I1648">
        <v>1019985</v>
      </c>
      <c r="J1648" t="s">
        <v>86</v>
      </c>
      <c r="K1648" t="s">
        <v>94</v>
      </c>
      <c r="L1648" s="16" t="s">
        <v>10</v>
      </c>
    </row>
    <row r="1649" spans="1:12" x14ac:dyDescent="0.35">
      <c r="A1649" t="s">
        <v>8</v>
      </c>
      <c r="B1649" t="s">
        <v>100</v>
      </c>
      <c r="C1649" t="s">
        <v>95</v>
      </c>
      <c r="D1649" t="s">
        <v>10</v>
      </c>
      <c r="E1649" t="s">
        <v>10</v>
      </c>
      <c r="F1649" s="7">
        <v>45577</v>
      </c>
      <c r="G1649" s="1">
        <v>45292</v>
      </c>
      <c r="H1649" s="14">
        <v>37256.219999999994</v>
      </c>
      <c r="I1649">
        <v>4895523</v>
      </c>
      <c r="J1649" t="s">
        <v>86</v>
      </c>
      <c r="K1649" t="s">
        <v>96</v>
      </c>
      <c r="L1649" s="16" t="s">
        <v>10</v>
      </c>
    </row>
    <row r="1650" spans="1:12" x14ac:dyDescent="0.35">
      <c r="A1650" t="s">
        <v>8</v>
      </c>
      <c r="B1650" t="s">
        <v>21</v>
      </c>
      <c r="C1650" t="s">
        <v>93</v>
      </c>
      <c r="D1650" t="s">
        <v>10</v>
      </c>
      <c r="E1650" t="s">
        <v>10</v>
      </c>
      <c r="F1650" s="7">
        <v>45577</v>
      </c>
      <c r="G1650" s="1">
        <v>45292</v>
      </c>
      <c r="H1650" s="14">
        <v>4905.4888000000019</v>
      </c>
      <c r="I1650">
        <v>1063801</v>
      </c>
      <c r="J1650" t="s">
        <v>86</v>
      </c>
      <c r="K1650" t="s">
        <v>94</v>
      </c>
      <c r="L1650" s="16" t="s">
        <v>10</v>
      </c>
    </row>
    <row r="1651" spans="1:12" x14ac:dyDescent="0.35">
      <c r="A1651" t="s">
        <v>8</v>
      </c>
      <c r="B1651" t="s">
        <v>21</v>
      </c>
      <c r="C1651" t="s">
        <v>95</v>
      </c>
      <c r="D1651" t="s">
        <v>10</v>
      </c>
      <c r="E1651" t="s">
        <v>10</v>
      </c>
      <c r="F1651" s="7">
        <v>45577</v>
      </c>
      <c r="G1651" s="1">
        <v>45292</v>
      </c>
      <c r="H1651" s="14">
        <v>8111.369999999999</v>
      </c>
      <c r="I1651">
        <v>773479</v>
      </c>
      <c r="J1651" t="s">
        <v>86</v>
      </c>
      <c r="K1651" t="s">
        <v>96</v>
      </c>
      <c r="L1651" s="16" t="s">
        <v>10</v>
      </c>
    </row>
    <row r="1652" spans="1:12" x14ac:dyDescent="0.35">
      <c r="A1652" t="s">
        <v>8</v>
      </c>
      <c r="B1652" t="s">
        <v>101</v>
      </c>
      <c r="C1652" t="s">
        <v>93</v>
      </c>
      <c r="D1652" t="s">
        <v>10</v>
      </c>
      <c r="E1652" t="s">
        <v>10</v>
      </c>
      <c r="F1652" s="7">
        <v>45577</v>
      </c>
      <c r="G1652" s="1">
        <v>45292</v>
      </c>
      <c r="H1652" s="14">
        <v>3468.343800000001</v>
      </c>
      <c r="I1652">
        <v>714763</v>
      </c>
      <c r="J1652" t="s">
        <v>86</v>
      </c>
      <c r="K1652" t="s">
        <v>94</v>
      </c>
      <c r="L1652" s="16" t="s">
        <v>10</v>
      </c>
    </row>
    <row r="1653" spans="1:12" x14ac:dyDescent="0.35">
      <c r="A1653" t="s">
        <v>8</v>
      </c>
      <c r="B1653" t="s">
        <v>101</v>
      </c>
      <c r="C1653" t="s">
        <v>95</v>
      </c>
      <c r="D1653" t="s">
        <v>10</v>
      </c>
      <c r="E1653" t="s">
        <v>10</v>
      </c>
      <c r="F1653" s="7">
        <v>45577</v>
      </c>
      <c r="G1653" s="1">
        <v>45292</v>
      </c>
      <c r="H1653" s="14">
        <v>3259.0299999999993</v>
      </c>
      <c r="I1653">
        <v>1719998</v>
      </c>
      <c r="J1653" t="s">
        <v>86</v>
      </c>
      <c r="K1653" t="s">
        <v>96</v>
      </c>
      <c r="L1653" s="16" t="s">
        <v>10</v>
      </c>
    </row>
    <row r="1654" spans="1:12" x14ac:dyDescent="0.35">
      <c r="A1654" t="s">
        <v>8</v>
      </c>
      <c r="B1654" t="s">
        <v>102</v>
      </c>
      <c r="C1654" t="s">
        <v>95</v>
      </c>
      <c r="D1654" t="s">
        <v>10</v>
      </c>
      <c r="E1654" t="s">
        <v>10</v>
      </c>
      <c r="F1654" s="7">
        <v>45577</v>
      </c>
      <c r="G1654" s="1">
        <v>45292</v>
      </c>
      <c r="H1654" s="14">
        <v>0.37</v>
      </c>
      <c r="I1654">
        <v>891</v>
      </c>
      <c r="J1654" t="s">
        <v>86</v>
      </c>
      <c r="K1654" t="s">
        <v>96</v>
      </c>
      <c r="L1654" s="16" t="s">
        <v>10</v>
      </c>
    </row>
    <row r="1655" spans="1:12" x14ac:dyDescent="0.35">
      <c r="A1655" t="s">
        <v>8</v>
      </c>
      <c r="B1655" t="s">
        <v>103</v>
      </c>
      <c r="C1655" t="s">
        <v>95</v>
      </c>
      <c r="D1655" t="s">
        <v>104</v>
      </c>
      <c r="E1655" t="s">
        <v>8</v>
      </c>
      <c r="F1655" s="7">
        <v>45577</v>
      </c>
      <c r="G1655" s="1">
        <v>45292</v>
      </c>
      <c r="H1655" s="14">
        <v>63.019999999999996</v>
      </c>
      <c r="I1655">
        <v>306</v>
      </c>
      <c r="J1655" t="s">
        <v>86</v>
      </c>
      <c r="K1655" t="s">
        <v>105</v>
      </c>
      <c r="L1655" s="16" t="s">
        <v>95</v>
      </c>
    </row>
    <row r="1656" spans="1:12" x14ac:dyDescent="0.35">
      <c r="A1656" t="s">
        <v>8</v>
      </c>
      <c r="B1656" t="s">
        <v>16</v>
      </c>
      <c r="C1656" t="s">
        <v>95</v>
      </c>
      <c r="D1656" t="s">
        <v>104</v>
      </c>
      <c r="E1656" t="s">
        <v>8</v>
      </c>
      <c r="F1656" s="7">
        <v>45577</v>
      </c>
      <c r="G1656" s="1">
        <v>45292</v>
      </c>
      <c r="H1656" s="14">
        <v>35.120000000000005</v>
      </c>
      <c r="I1656">
        <v>224</v>
      </c>
      <c r="J1656" t="s">
        <v>86</v>
      </c>
      <c r="K1656" t="s">
        <v>105</v>
      </c>
      <c r="L1656" s="16" t="s">
        <v>95</v>
      </c>
    </row>
    <row r="1657" spans="1:12" x14ac:dyDescent="0.35">
      <c r="A1657" t="s">
        <v>8</v>
      </c>
      <c r="B1657" t="s">
        <v>84</v>
      </c>
      <c r="C1657" t="s">
        <v>95</v>
      </c>
      <c r="D1657" t="s">
        <v>104</v>
      </c>
      <c r="E1657" t="s">
        <v>8</v>
      </c>
      <c r="F1657" s="7">
        <v>45577</v>
      </c>
      <c r="G1657" s="1">
        <v>45292</v>
      </c>
      <c r="H1657" s="14">
        <v>7942.8542799999996</v>
      </c>
      <c r="I1657">
        <v>28983</v>
      </c>
      <c r="J1657" t="s">
        <v>86</v>
      </c>
      <c r="K1657" t="s">
        <v>105</v>
      </c>
      <c r="L1657" s="16" t="s">
        <v>95</v>
      </c>
    </row>
    <row r="1658" spans="1:12" x14ac:dyDescent="0.35">
      <c r="A1658" t="s">
        <v>8</v>
      </c>
      <c r="B1658" t="s">
        <v>17</v>
      </c>
      <c r="C1658" t="s">
        <v>95</v>
      </c>
      <c r="D1658" t="s">
        <v>104</v>
      </c>
      <c r="E1658" t="s">
        <v>8</v>
      </c>
      <c r="F1658" s="7">
        <v>45577</v>
      </c>
      <c r="G1658" s="1">
        <v>45292</v>
      </c>
      <c r="H1658" s="14">
        <v>149.38547800000001</v>
      </c>
      <c r="I1658">
        <v>986</v>
      </c>
      <c r="J1658" t="s">
        <v>86</v>
      </c>
      <c r="K1658" t="s">
        <v>105</v>
      </c>
      <c r="L1658" s="16" t="s">
        <v>95</v>
      </c>
    </row>
    <row r="1659" spans="1:12" x14ac:dyDescent="0.35">
      <c r="A1659" t="s">
        <v>8</v>
      </c>
      <c r="B1659" t="s">
        <v>106</v>
      </c>
      <c r="C1659" t="s">
        <v>95</v>
      </c>
      <c r="D1659" t="s">
        <v>104</v>
      </c>
      <c r="E1659" t="s">
        <v>8</v>
      </c>
      <c r="F1659" s="7">
        <v>45577</v>
      </c>
      <c r="G1659" s="1">
        <v>45292</v>
      </c>
      <c r="H1659" s="14">
        <v>162.98157600000002</v>
      </c>
      <c r="I1659">
        <v>330</v>
      </c>
      <c r="J1659" t="s">
        <v>86</v>
      </c>
      <c r="K1659" t="s">
        <v>105</v>
      </c>
      <c r="L1659" s="16" t="s">
        <v>95</v>
      </c>
    </row>
    <row r="1660" spans="1:12" x14ac:dyDescent="0.35">
      <c r="A1660" t="s">
        <v>8</v>
      </c>
      <c r="B1660" t="s">
        <v>92</v>
      </c>
      <c r="C1660" t="s">
        <v>95</v>
      </c>
      <c r="D1660" t="s">
        <v>104</v>
      </c>
      <c r="E1660" t="s">
        <v>8</v>
      </c>
      <c r="F1660" s="7">
        <v>45577</v>
      </c>
      <c r="G1660" s="1">
        <v>45292</v>
      </c>
      <c r="H1660" s="14">
        <v>332.88945900000004</v>
      </c>
      <c r="I1660">
        <v>2044</v>
      </c>
      <c r="J1660" t="s">
        <v>86</v>
      </c>
      <c r="K1660" t="s">
        <v>105</v>
      </c>
      <c r="L1660" s="16" t="s">
        <v>95</v>
      </c>
    </row>
    <row r="1661" spans="1:12" x14ac:dyDescent="0.35">
      <c r="A1661" t="s">
        <v>8</v>
      </c>
      <c r="B1661" t="s">
        <v>21</v>
      </c>
      <c r="C1661" t="s">
        <v>95</v>
      </c>
      <c r="D1661" t="s">
        <v>104</v>
      </c>
      <c r="E1661" t="s">
        <v>8</v>
      </c>
      <c r="F1661" s="7">
        <v>45577</v>
      </c>
      <c r="G1661" s="1">
        <v>45292</v>
      </c>
      <c r="H1661" s="14">
        <v>334.14426099999997</v>
      </c>
      <c r="I1661">
        <v>2344</v>
      </c>
      <c r="J1661" t="s">
        <v>86</v>
      </c>
      <c r="K1661" t="s">
        <v>105</v>
      </c>
      <c r="L1661" s="16" t="s">
        <v>95</v>
      </c>
    </row>
    <row r="1662" spans="1:12" x14ac:dyDescent="0.35">
      <c r="A1662" t="s">
        <v>8</v>
      </c>
      <c r="B1662" t="s">
        <v>101</v>
      </c>
      <c r="C1662" t="s">
        <v>95</v>
      </c>
      <c r="D1662" t="s">
        <v>104</v>
      </c>
      <c r="E1662" t="s">
        <v>8</v>
      </c>
      <c r="F1662" s="7">
        <v>45577</v>
      </c>
      <c r="G1662" s="1">
        <v>45292</v>
      </c>
      <c r="H1662" s="14">
        <v>68.420379999999994</v>
      </c>
      <c r="I1662">
        <v>396</v>
      </c>
      <c r="J1662" t="s">
        <v>86</v>
      </c>
      <c r="K1662" t="s">
        <v>105</v>
      </c>
      <c r="L1662" s="16" t="s">
        <v>95</v>
      </c>
    </row>
    <row r="1663" spans="1:12" x14ac:dyDescent="0.35">
      <c r="A1663" t="s">
        <v>8</v>
      </c>
      <c r="B1663" t="s">
        <v>99</v>
      </c>
      <c r="C1663" t="s">
        <v>95</v>
      </c>
      <c r="D1663" t="s">
        <v>104</v>
      </c>
      <c r="E1663" t="s">
        <v>8</v>
      </c>
      <c r="F1663" s="7">
        <v>45577</v>
      </c>
      <c r="G1663" s="1">
        <v>45292</v>
      </c>
      <c r="H1663" s="14">
        <v>94.647777000000005</v>
      </c>
      <c r="I1663">
        <v>481</v>
      </c>
      <c r="J1663" t="s">
        <v>86</v>
      </c>
      <c r="K1663" t="s">
        <v>105</v>
      </c>
      <c r="L1663" s="16" t="s">
        <v>95</v>
      </c>
    </row>
    <row r="1664" spans="1:12" x14ac:dyDescent="0.35">
      <c r="A1664" t="s">
        <v>8</v>
      </c>
      <c r="B1664" t="s">
        <v>102</v>
      </c>
      <c r="C1664" t="s">
        <v>95</v>
      </c>
      <c r="D1664" t="s">
        <v>104</v>
      </c>
      <c r="E1664" t="s">
        <v>8</v>
      </c>
      <c r="F1664" s="7">
        <v>45577</v>
      </c>
      <c r="G1664" s="1">
        <v>45292</v>
      </c>
      <c r="H1664" s="14">
        <v>177.80742199999995</v>
      </c>
      <c r="I1664">
        <v>735</v>
      </c>
      <c r="J1664" t="s">
        <v>86</v>
      </c>
      <c r="K1664" t="s">
        <v>105</v>
      </c>
      <c r="L1664" s="16" t="s">
        <v>95</v>
      </c>
    </row>
    <row r="1665" spans="1:12" x14ac:dyDescent="0.35">
      <c r="A1665" t="s">
        <v>8</v>
      </c>
      <c r="B1665" t="s">
        <v>100</v>
      </c>
      <c r="C1665" t="s">
        <v>95</v>
      </c>
      <c r="D1665" t="s">
        <v>104</v>
      </c>
      <c r="E1665" t="s">
        <v>8</v>
      </c>
      <c r="F1665" s="7">
        <v>45577</v>
      </c>
      <c r="G1665" s="1">
        <v>45292</v>
      </c>
      <c r="H1665" s="14">
        <v>143.11012099999999</v>
      </c>
      <c r="I1665">
        <v>971</v>
      </c>
      <c r="J1665" t="s">
        <v>86</v>
      </c>
      <c r="K1665" t="s">
        <v>105</v>
      </c>
      <c r="L1665" s="16" t="s">
        <v>95</v>
      </c>
    </row>
    <row r="1666" spans="1:12" x14ac:dyDescent="0.35">
      <c r="A1666" t="s">
        <v>8</v>
      </c>
      <c r="B1666" t="s">
        <v>92</v>
      </c>
      <c r="C1666" t="s">
        <v>85</v>
      </c>
      <c r="D1666" t="s">
        <v>9</v>
      </c>
      <c r="E1666" t="s">
        <v>12</v>
      </c>
      <c r="F1666" s="7">
        <v>45584</v>
      </c>
      <c r="G1666" s="1">
        <v>45292</v>
      </c>
      <c r="H1666" s="14">
        <v>43565.130045000005</v>
      </c>
      <c r="I1666">
        <v>7096076</v>
      </c>
      <c r="J1666" t="s">
        <v>86</v>
      </c>
      <c r="K1666" t="s">
        <v>87</v>
      </c>
      <c r="L1666" s="16" t="s">
        <v>12</v>
      </c>
    </row>
    <row r="1667" spans="1:12" x14ac:dyDescent="0.35">
      <c r="A1667" t="s">
        <v>8</v>
      </c>
      <c r="B1667" t="s">
        <v>92</v>
      </c>
      <c r="C1667" t="s">
        <v>93</v>
      </c>
      <c r="D1667" t="s">
        <v>10</v>
      </c>
      <c r="E1667" t="s">
        <v>10</v>
      </c>
      <c r="F1667" s="7">
        <v>45584</v>
      </c>
      <c r="G1667" s="1">
        <v>45292</v>
      </c>
      <c r="H1667" s="14">
        <v>8231.2347000000009</v>
      </c>
      <c r="I1667">
        <v>1737622</v>
      </c>
      <c r="J1667" t="s">
        <v>86</v>
      </c>
      <c r="K1667" t="s">
        <v>94</v>
      </c>
      <c r="L1667" s="16" t="s">
        <v>10</v>
      </c>
    </row>
    <row r="1668" spans="1:12" x14ac:dyDescent="0.35">
      <c r="A1668" t="s">
        <v>8</v>
      </c>
      <c r="B1668" t="s">
        <v>92</v>
      </c>
      <c r="C1668" t="s">
        <v>95</v>
      </c>
      <c r="D1668" t="s">
        <v>10</v>
      </c>
      <c r="E1668" t="s">
        <v>10</v>
      </c>
      <c r="F1668" s="7">
        <v>45584</v>
      </c>
      <c r="G1668" s="1">
        <v>45292</v>
      </c>
      <c r="H1668" s="14">
        <v>3576</v>
      </c>
      <c r="I1668">
        <v>517269</v>
      </c>
      <c r="J1668" t="s">
        <v>86</v>
      </c>
      <c r="K1668" t="s">
        <v>96</v>
      </c>
      <c r="L1668" s="16" t="s">
        <v>10</v>
      </c>
    </row>
    <row r="1669" spans="1:12" x14ac:dyDescent="0.35">
      <c r="A1669" t="s">
        <v>8</v>
      </c>
      <c r="B1669" t="s">
        <v>84</v>
      </c>
      <c r="C1669" t="s">
        <v>93</v>
      </c>
      <c r="D1669" t="s">
        <v>10</v>
      </c>
      <c r="E1669" t="s">
        <v>10</v>
      </c>
      <c r="F1669" s="7">
        <v>45584</v>
      </c>
      <c r="G1669" s="1">
        <v>45292</v>
      </c>
      <c r="H1669" s="14">
        <v>4476.2005000000008</v>
      </c>
      <c r="I1669">
        <v>2631002</v>
      </c>
      <c r="J1669" t="s">
        <v>86</v>
      </c>
      <c r="K1669" t="s">
        <v>94</v>
      </c>
      <c r="L1669" s="16" t="s">
        <v>10</v>
      </c>
    </row>
    <row r="1670" spans="1:12" x14ac:dyDescent="0.35">
      <c r="A1670" t="s">
        <v>8</v>
      </c>
      <c r="B1670" t="s">
        <v>84</v>
      </c>
      <c r="C1670" t="s">
        <v>95</v>
      </c>
      <c r="D1670" t="s">
        <v>10</v>
      </c>
      <c r="E1670" t="s">
        <v>10</v>
      </c>
      <c r="F1670" s="7">
        <v>45584</v>
      </c>
      <c r="G1670" s="1">
        <v>45292</v>
      </c>
      <c r="H1670" s="14">
        <v>13362.960000000001</v>
      </c>
      <c r="I1670">
        <v>1479269</v>
      </c>
      <c r="J1670" t="s">
        <v>86</v>
      </c>
      <c r="K1670" t="s">
        <v>96</v>
      </c>
      <c r="L1670" s="16" t="s">
        <v>10</v>
      </c>
    </row>
    <row r="1671" spans="1:12" x14ac:dyDescent="0.35">
      <c r="A1671" t="s">
        <v>8</v>
      </c>
      <c r="B1671" t="s">
        <v>17</v>
      </c>
      <c r="C1671" t="s">
        <v>93</v>
      </c>
      <c r="D1671" t="s">
        <v>10</v>
      </c>
      <c r="E1671" t="s">
        <v>10</v>
      </c>
      <c r="F1671" s="7">
        <v>45584</v>
      </c>
      <c r="G1671" s="1">
        <v>45292</v>
      </c>
      <c r="H1671" s="14">
        <v>7314.5318000000043</v>
      </c>
      <c r="I1671">
        <v>4265804</v>
      </c>
      <c r="J1671" t="s">
        <v>86</v>
      </c>
      <c r="K1671" t="s">
        <v>94</v>
      </c>
      <c r="L1671" s="16" t="s">
        <v>10</v>
      </c>
    </row>
    <row r="1672" spans="1:12" x14ac:dyDescent="0.35">
      <c r="A1672" t="s">
        <v>8</v>
      </c>
      <c r="B1672" t="s">
        <v>17</v>
      </c>
      <c r="C1672" t="s">
        <v>95</v>
      </c>
      <c r="D1672" t="s">
        <v>10</v>
      </c>
      <c r="E1672" t="s">
        <v>10</v>
      </c>
      <c r="F1672" s="7">
        <v>45584</v>
      </c>
      <c r="G1672" s="1">
        <v>45292</v>
      </c>
      <c r="H1672" s="14">
        <v>6309.83</v>
      </c>
      <c r="I1672">
        <v>688820</v>
      </c>
      <c r="J1672" t="s">
        <v>86</v>
      </c>
      <c r="K1672" t="s">
        <v>96</v>
      </c>
      <c r="L1672" s="16" t="s">
        <v>10</v>
      </c>
    </row>
    <row r="1673" spans="1:12" x14ac:dyDescent="0.35">
      <c r="A1673" t="s">
        <v>8</v>
      </c>
      <c r="B1673" t="s">
        <v>99</v>
      </c>
      <c r="C1673" t="s">
        <v>93</v>
      </c>
      <c r="D1673" t="s">
        <v>10</v>
      </c>
      <c r="E1673" t="s">
        <v>10</v>
      </c>
      <c r="F1673" s="7">
        <v>45584</v>
      </c>
      <c r="G1673" s="1">
        <v>45292</v>
      </c>
      <c r="H1673" s="14">
        <v>5721.1953000000021</v>
      </c>
      <c r="I1673">
        <v>677779</v>
      </c>
      <c r="J1673" t="s">
        <v>86</v>
      </c>
      <c r="K1673" t="s">
        <v>94</v>
      </c>
      <c r="L1673" s="16" t="s">
        <v>10</v>
      </c>
    </row>
    <row r="1674" spans="1:12" x14ac:dyDescent="0.35">
      <c r="A1674" t="s">
        <v>8</v>
      </c>
      <c r="B1674" t="s">
        <v>99</v>
      </c>
      <c r="C1674" t="s">
        <v>95</v>
      </c>
      <c r="D1674" t="s">
        <v>10</v>
      </c>
      <c r="E1674" t="s">
        <v>10</v>
      </c>
      <c r="F1674" s="7">
        <v>45584</v>
      </c>
      <c r="G1674" s="1">
        <v>45292</v>
      </c>
      <c r="H1674" s="14">
        <v>14991.080000000005</v>
      </c>
      <c r="I1674">
        <v>2892180</v>
      </c>
      <c r="J1674" t="s">
        <v>86</v>
      </c>
      <c r="K1674" t="s">
        <v>96</v>
      </c>
      <c r="L1674" s="16" t="s">
        <v>10</v>
      </c>
    </row>
    <row r="1675" spans="1:12" x14ac:dyDescent="0.35">
      <c r="A1675" t="s">
        <v>8</v>
      </c>
      <c r="B1675" t="s">
        <v>100</v>
      </c>
      <c r="C1675" t="s">
        <v>93</v>
      </c>
      <c r="D1675" t="s">
        <v>10</v>
      </c>
      <c r="E1675" t="s">
        <v>10</v>
      </c>
      <c r="F1675" s="7">
        <v>45584</v>
      </c>
      <c r="G1675" s="1">
        <v>45292</v>
      </c>
      <c r="H1675" s="14">
        <v>6757.0432000000001</v>
      </c>
      <c r="I1675">
        <v>1434952</v>
      </c>
      <c r="J1675" t="s">
        <v>86</v>
      </c>
      <c r="K1675" t="s">
        <v>94</v>
      </c>
      <c r="L1675" s="16" t="s">
        <v>10</v>
      </c>
    </row>
    <row r="1676" spans="1:12" x14ac:dyDescent="0.35">
      <c r="A1676" t="s">
        <v>8</v>
      </c>
      <c r="B1676" t="s">
        <v>100</v>
      </c>
      <c r="C1676" t="s">
        <v>95</v>
      </c>
      <c r="D1676" t="s">
        <v>10</v>
      </c>
      <c r="E1676" t="s">
        <v>10</v>
      </c>
      <c r="F1676" s="7">
        <v>45584</v>
      </c>
      <c r="G1676" s="1">
        <v>45292</v>
      </c>
      <c r="H1676" s="14">
        <v>14096.289999999988</v>
      </c>
      <c r="I1676">
        <v>2460439</v>
      </c>
      <c r="J1676" t="s">
        <v>86</v>
      </c>
      <c r="K1676" t="s">
        <v>96</v>
      </c>
      <c r="L1676" s="16" t="s">
        <v>10</v>
      </c>
    </row>
    <row r="1677" spans="1:12" x14ac:dyDescent="0.35">
      <c r="A1677" t="s">
        <v>8</v>
      </c>
      <c r="B1677" t="s">
        <v>21</v>
      </c>
      <c r="C1677" t="s">
        <v>93</v>
      </c>
      <c r="D1677" t="s">
        <v>10</v>
      </c>
      <c r="E1677" t="s">
        <v>10</v>
      </c>
      <c r="F1677" s="7">
        <v>45584</v>
      </c>
      <c r="G1677" s="1">
        <v>45292</v>
      </c>
      <c r="H1677" s="14">
        <v>5335.3124000000043</v>
      </c>
      <c r="I1677">
        <v>1299186</v>
      </c>
      <c r="J1677" t="s">
        <v>86</v>
      </c>
      <c r="K1677" t="s">
        <v>94</v>
      </c>
      <c r="L1677" s="16" t="s">
        <v>10</v>
      </c>
    </row>
    <row r="1678" spans="1:12" x14ac:dyDescent="0.35">
      <c r="A1678" t="s">
        <v>8</v>
      </c>
      <c r="B1678" t="s">
        <v>21</v>
      </c>
      <c r="C1678" t="s">
        <v>95</v>
      </c>
      <c r="D1678" t="s">
        <v>10</v>
      </c>
      <c r="E1678" t="s">
        <v>10</v>
      </c>
      <c r="F1678" s="7">
        <v>45584</v>
      </c>
      <c r="G1678" s="1">
        <v>45292</v>
      </c>
      <c r="H1678" s="14">
        <v>5024.3799999999992</v>
      </c>
      <c r="I1678">
        <v>421034</v>
      </c>
      <c r="J1678" t="s">
        <v>86</v>
      </c>
      <c r="K1678" t="s">
        <v>96</v>
      </c>
      <c r="L1678" s="16" t="s">
        <v>10</v>
      </c>
    </row>
    <row r="1679" spans="1:12" x14ac:dyDescent="0.35">
      <c r="A1679" t="s">
        <v>8</v>
      </c>
      <c r="B1679" t="s">
        <v>101</v>
      </c>
      <c r="C1679" t="s">
        <v>93</v>
      </c>
      <c r="D1679" t="s">
        <v>10</v>
      </c>
      <c r="E1679" t="s">
        <v>10</v>
      </c>
      <c r="F1679" s="7">
        <v>45584</v>
      </c>
      <c r="G1679" s="1">
        <v>45292</v>
      </c>
      <c r="H1679" s="14">
        <v>3766.4814000000006</v>
      </c>
      <c r="I1679">
        <v>879059</v>
      </c>
      <c r="J1679" t="s">
        <v>86</v>
      </c>
      <c r="K1679" t="s">
        <v>94</v>
      </c>
      <c r="L1679" s="16" t="s">
        <v>10</v>
      </c>
    </row>
    <row r="1680" spans="1:12" x14ac:dyDescent="0.35">
      <c r="A1680" t="s">
        <v>8</v>
      </c>
      <c r="B1680" t="s">
        <v>101</v>
      </c>
      <c r="C1680" t="s">
        <v>95</v>
      </c>
      <c r="D1680" t="s">
        <v>10</v>
      </c>
      <c r="E1680" t="s">
        <v>10</v>
      </c>
      <c r="F1680" s="7">
        <v>45584</v>
      </c>
      <c r="G1680" s="1">
        <v>45292</v>
      </c>
      <c r="H1680" s="14">
        <v>2063.4899999999998</v>
      </c>
      <c r="I1680">
        <v>871709</v>
      </c>
      <c r="J1680" t="s">
        <v>86</v>
      </c>
      <c r="K1680" t="s">
        <v>96</v>
      </c>
      <c r="L1680" s="16" t="s">
        <v>10</v>
      </c>
    </row>
    <row r="1681" spans="1:12" x14ac:dyDescent="0.35">
      <c r="A1681" t="s">
        <v>8</v>
      </c>
      <c r="B1681" t="s">
        <v>102</v>
      </c>
      <c r="C1681" t="s">
        <v>95</v>
      </c>
      <c r="D1681" t="s">
        <v>10</v>
      </c>
      <c r="E1681" t="s">
        <v>10</v>
      </c>
      <c r="F1681" s="7">
        <v>45584</v>
      </c>
      <c r="G1681" s="1">
        <v>45292</v>
      </c>
      <c r="H1681" s="14">
        <v>0.74</v>
      </c>
      <c r="I1681">
        <v>2054</v>
      </c>
      <c r="J1681" t="s">
        <v>86</v>
      </c>
      <c r="K1681" t="s">
        <v>96</v>
      </c>
      <c r="L1681" s="16" t="s">
        <v>10</v>
      </c>
    </row>
    <row r="1682" spans="1:12" x14ac:dyDescent="0.35">
      <c r="A1682" t="s">
        <v>8</v>
      </c>
      <c r="B1682" t="s">
        <v>103</v>
      </c>
      <c r="C1682" t="s">
        <v>95</v>
      </c>
      <c r="D1682" t="s">
        <v>104</v>
      </c>
      <c r="E1682" t="s">
        <v>8</v>
      </c>
      <c r="F1682" s="7">
        <v>45584</v>
      </c>
      <c r="G1682" s="1">
        <v>45292</v>
      </c>
      <c r="H1682" s="14">
        <v>55.777752000000007</v>
      </c>
      <c r="I1682">
        <v>305</v>
      </c>
      <c r="J1682" t="s">
        <v>86</v>
      </c>
      <c r="K1682" t="s">
        <v>105</v>
      </c>
      <c r="L1682" s="16" t="s">
        <v>95</v>
      </c>
    </row>
    <row r="1683" spans="1:12" x14ac:dyDescent="0.35">
      <c r="A1683" t="s">
        <v>8</v>
      </c>
      <c r="B1683" t="s">
        <v>16</v>
      </c>
      <c r="C1683" t="s">
        <v>95</v>
      </c>
      <c r="D1683" t="s">
        <v>104</v>
      </c>
      <c r="E1683" t="s">
        <v>8</v>
      </c>
      <c r="F1683" s="7">
        <v>45584</v>
      </c>
      <c r="G1683" s="1">
        <v>45292</v>
      </c>
      <c r="H1683" s="14">
        <v>72.504999999999995</v>
      </c>
      <c r="I1683">
        <v>373</v>
      </c>
      <c r="J1683" t="s">
        <v>86</v>
      </c>
      <c r="K1683" t="s">
        <v>105</v>
      </c>
      <c r="L1683" s="16" t="s">
        <v>95</v>
      </c>
    </row>
    <row r="1684" spans="1:12" x14ac:dyDescent="0.35">
      <c r="A1684" t="s">
        <v>8</v>
      </c>
      <c r="B1684" t="s">
        <v>84</v>
      </c>
      <c r="C1684" t="s">
        <v>95</v>
      </c>
      <c r="D1684" t="s">
        <v>104</v>
      </c>
      <c r="E1684" t="s">
        <v>8</v>
      </c>
      <c r="F1684" s="7">
        <v>45584</v>
      </c>
      <c r="G1684" s="1">
        <v>45292</v>
      </c>
      <c r="H1684" s="14">
        <v>7460.5304850000011</v>
      </c>
      <c r="I1684">
        <v>26814</v>
      </c>
      <c r="J1684" t="s">
        <v>86</v>
      </c>
      <c r="K1684" t="s">
        <v>105</v>
      </c>
      <c r="L1684" s="16" t="s">
        <v>95</v>
      </c>
    </row>
    <row r="1685" spans="1:12" x14ac:dyDescent="0.35">
      <c r="A1685" t="s">
        <v>8</v>
      </c>
      <c r="B1685" t="s">
        <v>17</v>
      </c>
      <c r="C1685" t="s">
        <v>95</v>
      </c>
      <c r="D1685" t="s">
        <v>104</v>
      </c>
      <c r="E1685" t="s">
        <v>8</v>
      </c>
      <c r="F1685" s="7">
        <v>45584</v>
      </c>
      <c r="G1685" s="1">
        <v>45292</v>
      </c>
      <c r="H1685" s="14">
        <v>170.16177999999999</v>
      </c>
      <c r="I1685">
        <v>978</v>
      </c>
      <c r="J1685" t="s">
        <v>86</v>
      </c>
      <c r="K1685" t="s">
        <v>105</v>
      </c>
      <c r="L1685" s="16" t="s">
        <v>95</v>
      </c>
    </row>
    <row r="1686" spans="1:12" x14ac:dyDescent="0.35">
      <c r="A1686" t="s">
        <v>8</v>
      </c>
      <c r="B1686" t="s">
        <v>106</v>
      </c>
      <c r="C1686" t="s">
        <v>95</v>
      </c>
      <c r="D1686" t="s">
        <v>104</v>
      </c>
      <c r="E1686" t="s">
        <v>8</v>
      </c>
      <c r="F1686" s="7">
        <v>45584</v>
      </c>
      <c r="G1686" s="1">
        <v>45292</v>
      </c>
      <c r="H1686" s="14">
        <v>250.96888500000003</v>
      </c>
      <c r="I1686">
        <v>498</v>
      </c>
      <c r="J1686" t="s">
        <v>86</v>
      </c>
      <c r="K1686" t="s">
        <v>105</v>
      </c>
      <c r="L1686" s="16" t="s">
        <v>95</v>
      </c>
    </row>
    <row r="1687" spans="1:12" x14ac:dyDescent="0.35">
      <c r="A1687" t="s">
        <v>8</v>
      </c>
      <c r="B1687" t="s">
        <v>92</v>
      </c>
      <c r="C1687" t="s">
        <v>95</v>
      </c>
      <c r="D1687" t="s">
        <v>104</v>
      </c>
      <c r="E1687" t="s">
        <v>8</v>
      </c>
      <c r="F1687" s="7">
        <v>45584</v>
      </c>
      <c r="G1687" s="1">
        <v>45292</v>
      </c>
      <c r="H1687" s="14">
        <v>377.384004</v>
      </c>
      <c r="I1687">
        <v>2359</v>
      </c>
      <c r="J1687" t="s">
        <v>86</v>
      </c>
      <c r="K1687" t="s">
        <v>105</v>
      </c>
      <c r="L1687" s="16" t="s">
        <v>95</v>
      </c>
    </row>
    <row r="1688" spans="1:12" x14ac:dyDescent="0.35">
      <c r="A1688" t="s">
        <v>8</v>
      </c>
      <c r="B1688" t="s">
        <v>21</v>
      </c>
      <c r="C1688" t="s">
        <v>95</v>
      </c>
      <c r="D1688" t="s">
        <v>104</v>
      </c>
      <c r="E1688" t="s">
        <v>8</v>
      </c>
      <c r="F1688" s="7">
        <v>45584</v>
      </c>
      <c r="G1688" s="1">
        <v>45292</v>
      </c>
      <c r="H1688" s="14">
        <v>259.89919099999997</v>
      </c>
      <c r="I1688">
        <v>1938</v>
      </c>
      <c r="J1688" t="s">
        <v>86</v>
      </c>
      <c r="K1688" t="s">
        <v>105</v>
      </c>
      <c r="L1688" s="16" t="s">
        <v>95</v>
      </c>
    </row>
    <row r="1689" spans="1:12" x14ac:dyDescent="0.35">
      <c r="A1689" t="s">
        <v>8</v>
      </c>
      <c r="B1689" t="s">
        <v>101</v>
      </c>
      <c r="C1689" t="s">
        <v>95</v>
      </c>
      <c r="D1689" t="s">
        <v>104</v>
      </c>
      <c r="E1689" t="s">
        <v>8</v>
      </c>
      <c r="F1689" s="7">
        <v>45584</v>
      </c>
      <c r="G1689" s="1">
        <v>45292</v>
      </c>
      <c r="H1689" s="14">
        <v>56.706128</v>
      </c>
      <c r="I1689">
        <v>507</v>
      </c>
      <c r="J1689" t="s">
        <v>86</v>
      </c>
      <c r="K1689" t="s">
        <v>105</v>
      </c>
      <c r="L1689" s="16" t="s">
        <v>95</v>
      </c>
    </row>
    <row r="1690" spans="1:12" x14ac:dyDescent="0.35">
      <c r="A1690" t="s">
        <v>8</v>
      </c>
      <c r="B1690" t="s">
        <v>99</v>
      </c>
      <c r="C1690" t="s">
        <v>95</v>
      </c>
      <c r="D1690" t="s">
        <v>104</v>
      </c>
      <c r="E1690" t="s">
        <v>8</v>
      </c>
      <c r="F1690" s="7">
        <v>45584</v>
      </c>
      <c r="G1690" s="1">
        <v>45292</v>
      </c>
      <c r="H1690" s="14">
        <v>81.83249099999999</v>
      </c>
      <c r="I1690">
        <v>493</v>
      </c>
      <c r="J1690" t="s">
        <v>86</v>
      </c>
      <c r="K1690" t="s">
        <v>105</v>
      </c>
      <c r="L1690" s="16" t="s">
        <v>95</v>
      </c>
    </row>
    <row r="1691" spans="1:12" x14ac:dyDescent="0.35">
      <c r="A1691" t="s">
        <v>8</v>
      </c>
      <c r="B1691" t="s">
        <v>102</v>
      </c>
      <c r="C1691" t="s">
        <v>95</v>
      </c>
      <c r="D1691" t="s">
        <v>104</v>
      </c>
      <c r="E1691" t="s">
        <v>8</v>
      </c>
      <c r="F1691" s="7">
        <v>45584</v>
      </c>
      <c r="G1691" s="1">
        <v>45292</v>
      </c>
      <c r="H1691" s="14">
        <v>182.05041500000002</v>
      </c>
      <c r="I1691">
        <v>793</v>
      </c>
      <c r="J1691" t="s">
        <v>86</v>
      </c>
      <c r="K1691" t="s">
        <v>105</v>
      </c>
      <c r="L1691" s="16" t="s">
        <v>95</v>
      </c>
    </row>
    <row r="1692" spans="1:12" x14ac:dyDescent="0.35">
      <c r="A1692" t="s">
        <v>8</v>
      </c>
      <c r="B1692" t="s">
        <v>100</v>
      </c>
      <c r="C1692" t="s">
        <v>95</v>
      </c>
      <c r="D1692" t="s">
        <v>104</v>
      </c>
      <c r="E1692" t="s">
        <v>8</v>
      </c>
      <c r="F1692" s="7">
        <v>45584</v>
      </c>
      <c r="G1692" s="1">
        <v>45292</v>
      </c>
      <c r="H1692" s="14">
        <v>209.50883100000004</v>
      </c>
      <c r="I1692">
        <v>1077</v>
      </c>
      <c r="J1692" t="s">
        <v>86</v>
      </c>
      <c r="K1692" t="s">
        <v>105</v>
      </c>
      <c r="L1692" s="16" t="s">
        <v>95</v>
      </c>
    </row>
    <row r="1693" spans="1:12" x14ac:dyDescent="0.35">
      <c r="A1693" t="s">
        <v>8</v>
      </c>
      <c r="B1693" t="s">
        <v>92</v>
      </c>
      <c r="C1693" t="s">
        <v>85</v>
      </c>
      <c r="D1693" t="s">
        <v>9</v>
      </c>
      <c r="E1693" t="s">
        <v>12</v>
      </c>
      <c r="F1693" s="7">
        <v>45591</v>
      </c>
      <c r="G1693" s="1">
        <v>45292</v>
      </c>
      <c r="H1693" s="14">
        <v>42324.580056999992</v>
      </c>
      <c r="I1693">
        <v>7044341</v>
      </c>
      <c r="J1693" t="s">
        <v>86</v>
      </c>
      <c r="K1693" t="s">
        <v>87</v>
      </c>
      <c r="L1693" s="16" t="s">
        <v>12</v>
      </c>
    </row>
    <row r="1694" spans="1:12" x14ac:dyDescent="0.35">
      <c r="A1694" t="s">
        <v>8</v>
      </c>
      <c r="B1694" t="s">
        <v>92</v>
      </c>
      <c r="C1694" t="s">
        <v>93</v>
      </c>
      <c r="D1694" t="s">
        <v>10</v>
      </c>
      <c r="E1694" t="s">
        <v>10</v>
      </c>
      <c r="F1694" s="7">
        <v>45591</v>
      </c>
      <c r="G1694" s="1">
        <v>45292</v>
      </c>
      <c r="H1694" s="14">
        <v>7962.2841000000071</v>
      </c>
      <c r="I1694">
        <v>1879669</v>
      </c>
      <c r="J1694" t="s">
        <v>86</v>
      </c>
      <c r="K1694" t="s">
        <v>94</v>
      </c>
      <c r="L1694" s="16" t="s">
        <v>10</v>
      </c>
    </row>
    <row r="1695" spans="1:12" x14ac:dyDescent="0.35">
      <c r="A1695" t="s">
        <v>8</v>
      </c>
      <c r="B1695" t="s">
        <v>92</v>
      </c>
      <c r="C1695" t="s">
        <v>95</v>
      </c>
      <c r="D1695" t="s">
        <v>10</v>
      </c>
      <c r="E1695" t="s">
        <v>10</v>
      </c>
      <c r="F1695" s="7">
        <v>45591</v>
      </c>
      <c r="G1695" s="1">
        <v>45292</v>
      </c>
      <c r="H1695" s="14">
        <v>6509.5000000000009</v>
      </c>
      <c r="I1695">
        <v>922351</v>
      </c>
      <c r="J1695" t="s">
        <v>86</v>
      </c>
      <c r="K1695" t="s">
        <v>96</v>
      </c>
      <c r="L1695" s="16" t="s">
        <v>10</v>
      </c>
    </row>
    <row r="1696" spans="1:12" x14ac:dyDescent="0.35">
      <c r="A1696" t="s">
        <v>8</v>
      </c>
      <c r="B1696" t="s">
        <v>84</v>
      </c>
      <c r="C1696" t="s">
        <v>93</v>
      </c>
      <c r="D1696" t="s">
        <v>10</v>
      </c>
      <c r="E1696" t="s">
        <v>10</v>
      </c>
      <c r="F1696" s="7">
        <v>45591</v>
      </c>
      <c r="G1696" s="1">
        <v>45292</v>
      </c>
      <c r="H1696" s="14">
        <v>4163.9141</v>
      </c>
      <c r="I1696">
        <v>2549554</v>
      </c>
      <c r="J1696" t="s">
        <v>86</v>
      </c>
      <c r="K1696" t="s">
        <v>94</v>
      </c>
      <c r="L1696" s="16" t="s">
        <v>10</v>
      </c>
    </row>
    <row r="1697" spans="1:12" x14ac:dyDescent="0.35">
      <c r="A1697" t="s">
        <v>8</v>
      </c>
      <c r="B1697" t="s">
        <v>84</v>
      </c>
      <c r="C1697" t="s">
        <v>95</v>
      </c>
      <c r="D1697" t="s">
        <v>10</v>
      </c>
      <c r="E1697" t="s">
        <v>10</v>
      </c>
      <c r="F1697" s="7">
        <v>45591</v>
      </c>
      <c r="G1697" s="1">
        <v>45292</v>
      </c>
      <c r="H1697" s="14">
        <v>13626.760000000002</v>
      </c>
      <c r="I1697">
        <v>1325885</v>
      </c>
      <c r="J1697" t="s">
        <v>86</v>
      </c>
      <c r="K1697" t="s">
        <v>96</v>
      </c>
      <c r="L1697" s="16" t="s">
        <v>10</v>
      </c>
    </row>
    <row r="1698" spans="1:12" x14ac:dyDescent="0.35">
      <c r="A1698" t="s">
        <v>8</v>
      </c>
      <c r="B1698" t="s">
        <v>17</v>
      </c>
      <c r="C1698" t="s">
        <v>93</v>
      </c>
      <c r="D1698" t="s">
        <v>10</v>
      </c>
      <c r="E1698" t="s">
        <v>10</v>
      </c>
      <c r="F1698" s="7">
        <v>45591</v>
      </c>
      <c r="G1698" s="1">
        <v>45292</v>
      </c>
      <c r="H1698" s="14">
        <v>10091.927600000005</v>
      </c>
      <c r="I1698">
        <v>7023755</v>
      </c>
      <c r="J1698" t="s">
        <v>86</v>
      </c>
      <c r="K1698" t="s">
        <v>94</v>
      </c>
      <c r="L1698" s="16" t="s">
        <v>10</v>
      </c>
    </row>
    <row r="1699" spans="1:12" x14ac:dyDescent="0.35">
      <c r="A1699" t="s">
        <v>8</v>
      </c>
      <c r="B1699" t="s">
        <v>17</v>
      </c>
      <c r="C1699" t="s">
        <v>95</v>
      </c>
      <c r="D1699" t="s">
        <v>10</v>
      </c>
      <c r="E1699" t="s">
        <v>10</v>
      </c>
      <c r="F1699" s="7">
        <v>45591</v>
      </c>
      <c r="G1699" s="1">
        <v>45292</v>
      </c>
      <c r="H1699" s="14">
        <v>7374.5000000000018</v>
      </c>
      <c r="I1699">
        <v>1274154</v>
      </c>
      <c r="J1699" t="s">
        <v>86</v>
      </c>
      <c r="K1699" t="s">
        <v>96</v>
      </c>
      <c r="L1699" s="16" t="s">
        <v>10</v>
      </c>
    </row>
    <row r="1700" spans="1:12" x14ac:dyDescent="0.35">
      <c r="A1700" t="s">
        <v>8</v>
      </c>
      <c r="B1700" t="s">
        <v>99</v>
      </c>
      <c r="C1700" t="s">
        <v>93</v>
      </c>
      <c r="D1700" t="s">
        <v>10</v>
      </c>
      <c r="E1700" t="s">
        <v>10</v>
      </c>
      <c r="F1700" s="7">
        <v>45591</v>
      </c>
      <c r="G1700" s="1">
        <v>45292</v>
      </c>
      <c r="H1700" s="14">
        <v>5844.5855999999976</v>
      </c>
      <c r="I1700">
        <v>772959</v>
      </c>
      <c r="J1700" t="s">
        <v>86</v>
      </c>
      <c r="K1700" t="s">
        <v>94</v>
      </c>
      <c r="L1700" s="16" t="s">
        <v>10</v>
      </c>
    </row>
    <row r="1701" spans="1:12" x14ac:dyDescent="0.35">
      <c r="A1701" t="s">
        <v>8</v>
      </c>
      <c r="B1701" t="s">
        <v>99</v>
      </c>
      <c r="C1701" t="s">
        <v>95</v>
      </c>
      <c r="D1701" t="s">
        <v>10</v>
      </c>
      <c r="E1701" t="s">
        <v>10</v>
      </c>
      <c r="F1701" s="7">
        <v>45591</v>
      </c>
      <c r="G1701" s="1">
        <v>45292</v>
      </c>
      <c r="H1701" s="14">
        <v>13227.59</v>
      </c>
      <c r="I1701">
        <v>2963388</v>
      </c>
      <c r="J1701" t="s">
        <v>86</v>
      </c>
      <c r="K1701" t="s">
        <v>96</v>
      </c>
      <c r="L1701" s="16" t="s">
        <v>10</v>
      </c>
    </row>
    <row r="1702" spans="1:12" x14ac:dyDescent="0.35">
      <c r="A1702" t="s">
        <v>8</v>
      </c>
      <c r="B1702" t="s">
        <v>100</v>
      </c>
      <c r="C1702" t="s">
        <v>93</v>
      </c>
      <c r="D1702" t="s">
        <v>10</v>
      </c>
      <c r="E1702" t="s">
        <v>10</v>
      </c>
      <c r="F1702" s="7">
        <v>45591</v>
      </c>
      <c r="G1702" s="1">
        <v>45292</v>
      </c>
      <c r="H1702" s="14">
        <v>6978.1048999999994</v>
      </c>
      <c r="I1702">
        <v>1682957</v>
      </c>
      <c r="J1702" t="s">
        <v>86</v>
      </c>
      <c r="K1702" t="s">
        <v>94</v>
      </c>
      <c r="L1702" s="16" t="s">
        <v>10</v>
      </c>
    </row>
    <row r="1703" spans="1:12" x14ac:dyDescent="0.35">
      <c r="A1703" t="s">
        <v>8</v>
      </c>
      <c r="B1703" t="s">
        <v>100</v>
      </c>
      <c r="C1703" t="s">
        <v>95</v>
      </c>
      <c r="D1703" t="s">
        <v>10</v>
      </c>
      <c r="E1703" t="s">
        <v>10</v>
      </c>
      <c r="F1703" s="7">
        <v>45591</v>
      </c>
      <c r="G1703" s="1">
        <v>45292</v>
      </c>
      <c r="H1703" s="14">
        <v>12077.110000000006</v>
      </c>
      <c r="I1703">
        <v>2661966</v>
      </c>
      <c r="J1703" t="s">
        <v>86</v>
      </c>
      <c r="K1703" t="s">
        <v>96</v>
      </c>
      <c r="L1703" s="16" t="s">
        <v>10</v>
      </c>
    </row>
    <row r="1704" spans="1:12" x14ac:dyDescent="0.35">
      <c r="A1704" t="s">
        <v>8</v>
      </c>
      <c r="B1704" t="s">
        <v>21</v>
      </c>
      <c r="C1704" t="s">
        <v>93</v>
      </c>
      <c r="D1704" t="s">
        <v>10</v>
      </c>
      <c r="E1704" t="s">
        <v>10</v>
      </c>
      <c r="F1704" s="7">
        <v>45591</v>
      </c>
      <c r="G1704" s="1">
        <v>45292</v>
      </c>
      <c r="H1704" s="14">
        <v>4363.1986000000015</v>
      </c>
      <c r="I1704">
        <v>878832</v>
      </c>
      <c r="J1704" t="s">
        <v>86</v>
      </c>
      <c r="K1704" t="s">
        <v>94</v>
      </c>
      <c r="L1704" s="16" t="s">
        <v>10</v>
      </c>
    </row>
    <row r="1705" spans="1:12" x14ac:dyDescent="0.35">
      <c r="A1705" t="s">
        <v>8</v>
      </c>
      <c r="B1705" t="s">
        <v>21</v>
      </c>
      <c r="C1705" t="s">
        <v>95</v>
      </c>
      <c r="D1705" t="s">
        <v>10</v>
      </c>
      <c r="E1705" t="s">
        <v>10</v>
      </c>
      <c r="F1705" s="7">
        <v>45591</v>
      </c>
      <c r="G1705" s="1">
        <v>45292</v>
      </c>
      <c r="H1705" s="14">
        <v>6690.9200000000019</v>
      </c>
      <c r="I1705">
        <v>593485</v>
      </c>
      <c r="J1705" t="s">
        <v>86</v>
      </c>
      <c r="K1705" t="s">
        <v>96</v>
      </c>
      <c r="L1705" s="16" t="s">
        <v>10</v>
      </c>
    </row>
    <row r="1706" spans="1:12" x14ac:dyDescent="0.35">
      <c r="A1706" t="s">
        <v>8</v>
      </c>
      <c r="B1706" t="s">
        <v>101</v>
      </c>
      <c r="C1706" t="s">
        <v>93</v>
      </c>
      <c r="D1706" t="s">
        <v>10</v>
      </c>
      <c r="E1706" t="s">
        <v>10</v>
      </c>
      <c r="F1706" s="7">
        <v>45591</v>
      </c>
      <c r="G1706" s="1">
        <v>45292</v>
      </c>
      <c r="H1706" s="14">
        <v>3743.6561000000029</v>
      </c>
      <c r="I1706">
        <v>740019</v>
      </c>
      <c r="J1706" t="s">
        <v>86</v>
      </c>
      <c r="K1706" t="s">
        <v>94</v>
      </c>
      <c r="L1706" s="16" t="s">
        <v>10</v>
      </c>
    </row>
    <row r="1707" spans="1:12" x14ac:dyDescent="0.35">
      <c r="A1707" t="s">
        <v>8</v>
      </c>
      <c r="B1707" t="s">
        <v>101</v>
      </c>
      <c r="C1707" t="s">
        <v>95</v>
      </c>
      <c r="D1707" t="s">
        <v>10</v>
      </c>
      <c r="E1707" t="s">
        <v>10</v>
      </c>
      <c r="F1707" s="7">
        <v>45591</v>
      </c>
      <c r="G1707" s="1">
        <v>45292</v>
      </c>
      <c r="H1707" s="14">
        <v>2314.9099999999985</v>
      </c>
      <c r="I1707">
        <v>956263</v>
      </c>
      <c r="J1707" t="s">
        <v>86</v>
      </c>
      <c r="K1707" t="s">
        <v>96</v>
      </c>
      <c r="L1707" s="16" t="s">
        <v>10</v>
      </c>
    </row>
    <row r="1708" spans="1:12" x14ac:dyDescent="0.35">
      <c r="A1708" t="s">
        <v>8</v>
      </c>
      <c r="B1708" t="s">
        <v>103</v>
      </c>
      <c r="C1708" t="s">
        <v>95</v>
      </c>
      <c r="D1708" t="s">
        <v>104</v>
      </c>
      <c r="E1708" t="s">
        <v>8</v>
      </c>
      <c r="F1708" s="7">
        <v>45591</v>
      </c>
      <c r="G1708" s="1">
        <v>45292</v>
      </c>
      <c r="H1708" s="14">
        <v>55.084246000000007</v>
      </c>
      <c r="I1708">
        <v>322</v>
      </c>
      <c r="J1708" t="s">
        <v>86</v>
      </c>
      <c r="K1708" t="s">
        <v>105</v>
      </c>
      <c r="L1708" s="16" t="s">
        <v>95</v>
      </c>
    </row>
    <row r="1709" spans="1:12" x14ac:dyDescent="0.35">
      <c r="A1709" t="s">
        <v>8</v>
      </c>
      <c r="B1709" t="s">
        <v>16</v>
      </c>
      <c r="C1709" t="s">
        <v>95</v>
      </c>
      <c r="D1709" t="s">
        <v>104</v>
      </c>
      <c r="E1709" t="s">
        <v>8</v>
      </c>
      <c r="F1709" s="7">
        <v>45591</v>
      </c>
      <c r="G1709" s="1">
        <v>45292</v>
      </c>
      <c r="H1709" s="14">
        <v>69.736086</v>
      </c>
      <c r="I1709">
        <v>480</v>
      </c>
      <c r="J1709" t="s">
        <v>86</v>
      </c>
      <c r="K1709" t="s">
        <v>105</v>
      </c>
      <c r="L1709" s="16" t="s">
        <v>95</v>
      </c>
    </row>
    <row r="1710" spans="1:12" x14ac:dyDescent="0.35">
      <c r="A1710" t="s">
        <v>8</v>
      </c>
      <c r="B1710" t="s">
        <v>84</v>
      </c>
      <c r="C1710" t="s">
        <v>95</v>
      </c>
      <c r="D1710" t="s">
        <v>104</v>
      </c>
      <c r="E1710" t="s">
        <v>8</v>
      </c>
      <c r="F1710" s="7">
        <v>45591</v>
      </c>
      <c r="G1710" s="1">
        <v>45292</v>
      </c>
      <c r="H1710" s="14">
        <v>7298.9189140000008</v>
      </c>
      <c r="I1710">
        <v>26507</v>
      </c>
      <c r="J1710" t="s">
        <v>86</v>
      </c>
      <c r="K1710" t="s">
        <v>105</v>
      </c>
      <c r="L1710" s="16" t="s">
        <v>95</v>
      </c>
    </row>
    <row r="1711" spans="1:12" x14ac:dyDescent="0.35">
      <c r="A1711" t="s">
        <v>8</v>
      </c>
      <c r="B1711" t="s">
        <v>17</v>
      </c>
      <c r="C1711" t="s">
        <v>95</v>
      </c>
      <c r="D1711" t="s">
        <v>104</v>
      </c>
      <c r="E1711" t="s">
        <v>8</v>
      </c>
      <c r="F1711" s="7">
        <v>45591</v>
      </c>
      <c r="G1711" s="1">
        <v>45292</v>
      </c>
      <c r="H1711" s="14">
        <v>119.38872599999999</v>
      </c>
      <c r="I1711">
        <v>1115</v>
      </c>
      <c r="J1711" t="s">
        <v>86</v>
      </c>
      <c r="K1711" t="s">
        <v>105</v>
      </c>
      <c r="L1711" s="16" t="s">
        <v>95</v>
      </c>
    </row>
    <row r="1712" spans="1:12" x14ac:dyDescent="0.35">
      <c r="A1712" t="s">
        <v>8</v>
      </c>
      <c r="B1712" t="s">
        <v>106</v>
      </c>
      <c r="C1712" t="s">
        <v>95</v>
      </c>
      <c r="D1712" t="s">
        <v>104</v>
      </c>
      <c r="E1712" t="s">
        <v>8</v>
      </c>
      <c r="F1712" s="7">
        <v>45591</v>
      </c>
      <c r="G1712" s="1">
        <v>45292</v>
      </c>
      <c r="H1712" s="14">
        <v>294.96133199999997</v>
      </c>
      <c r="I1712">
        <v>497</v>
      </c>
      <c r="J1712" t="s">
        <v>86</v>
      </c>
      <c r="K1712" t="s">
        <v>105</v>
      </c>
      <c r="L1712" s="16" t="s">
        <v>95</v>
      </c>
    </row>
    <row r="1713" spans="1:12" x14ac:dyDescent="0.35">
      <c r="A1713" t="s">
        <v>8</v>
      </c>
      <c r="B1713" t="s">
        <v>92</v>
      </c>
      <c r="C1713" t="s">
        <v>95</v>
      </c>
      <c r="D1713" t="s">
        <v>104</v>
      </c>
      <c r="E1713" t="s">
        <v>8</v>
      </c>
      <c r="F1713" s="7">
        <v>45591</v>
      </c>
      <c r="G1713" s="1">
        <v>45292</v>
      </c>
      <c r="H1713" s="14">
        <v>283.639951</v>
      </c>
      <c r="I1713">
        <v>2290</v>
      </c>
      <c r="J1713" t="s">
        <v>86</v>
      </c>
      <c r="K1713" t="s">
        <v>105</v>
      </c>
      <c r="L1713" s="16" t="s">
        <v>95</v>
      </c>
    </row>
    <row r="1714" spans="1:12" x14ac:dyDescent="0.35">
      <c r="A1714" t="s">
        <v>8</v>
      </c>
      <c r="B1714" t="s">
        <v>21</v>
      </c>
      <c r="C1714" t="s">
        <v>95</v>
      </c>
      <c r="D1714" t="s">
        <v>104</v>
      </c>
      <c r="E1714" t="s">
        <v>8</v>
      </c>
      <c r="F1714" s="7">
        <v>45591</v>
      </c>
      <c r="G1714" s="1">
        <v>45292</v>
      </c>
      <c r="H1714" s="14">
        <v>337.08645300000001</v>
      </c>
      <c r="I1714">
        <v>1961</v>
      </c>
      <c r="J1714" t="s">
        <v>86</v>
      </c>
      <c r="K1714" t="s">
        <v>105</v>
      </c>
      <c r="L1714" s="16" t="s">
        <v>95</v>
      </c>
    </row>
    <row r="1715" spans="1:12" x14ac:dyDescent="0.35">
      <c r="A1715" t="s">
        <v>8</v>
      </c>
      <c r="B1715" t="s">
        <v>101</v>
      </c>
      <c r="C1715" t="s">
        <v>95</v>
      </c>
      <c r="D1715" t="s">
        <v>104</v>
      </c>
      <c r="E1715" t="s">
        <v>8</v>
      </c>
      <c r="F1715" s="7">
        <v>45591</v>
      </c>
      <c r="G1715" s="1">
        <v>45292</v>
      </c>
      <c r="H1715" s="14">
        <v>88.291164999999992</v>
      </c>
      <c r="I1715">
        <v>448</v>
      </c>
      <c r="J1715" t="s">
        <v>86</v>
      </c>
      <c r="K1715" t="s">
        <v>105</v>
      </c>
      <c r="L1715" s="16" t="s">
        <v>95</v>
      </c>
    </row>
    <row r="1716" spans="1:12" x14ac:dyDescent="0.35">
      <c r="A1716" t="s">
        <v>8</v>
      </c>
      <c r="B1716" t="s">
        <v>99</v>
      </c>
      <c r="C1716" t="s">
        <v>95</v>
      </c>
      <c r="D1716" t="s">
        <v>104</v>
      </c>
      <c r="E1716" t="s">
        <v>8</v>
      </c>
      <c r="F1716" s="7">
        <v>45591</v>
      </c>
      <c r="G1716" s="1">
        <v>45292</v>
      </c>
      <c r="H1716" s="14">
        <v>75.410516000000001</v>
      </c>
      <c r="I1716">
        <v>452</v>
      </c>
      <c r="J1716" t="s">
        <v>86</v>
      </c>
      <c r="K1716" t="s">
        <v>105</v>
      </c>
      <c r="L1716" s="16" t="s">
        <v>95</v>
      </c>
    </row>
    <row r="1717" spans="1:12" x14ac:dyDescent="0.35">
      <c r="A1717" t="s">
        <v>8</v>
      </c>
      <c r="B1717" t="s">
        <v>102</v>
      </c>
      <c r="C1717" t="s">
        <v>95</v>
      </c>
      <c r="D1717" t="s">
        <v>104</v>
      </c>
      <c r="E1717" t="s">
        <v>8</v>
      </c>
      <c r="F1717" s="7">
        <v>45591</v>
      </c>
      <c r="G1717" s="1">
        <v>45292</v>
      </c>
      <c r="H1717" s="14">
        <v>141.566057</v>
      </c>
      <c r="I1717">
        <v>783</v>
      </c>
      <c r="J1717" t="s">
        <v>86</v>
      </c>
      <c r="K1717" t="s">
        <v>105</v>
      </c>
      <c r="L1717" s="16" t="s">
        <v>95</v>
      </c>
    </row>
    <row r="1718" spans="1:12" x14ac:dyDescent="0.35">
      <c r="A1718" t="s">
        <v>8</v>
      </c>
      <c r="B1718" t="s">
        <v>100</v>
      </c>
      <c r="C1718" t="s">
        <v>95</v>
      </c>
      <c r="D1718" t="s">
        <v>104</v>
      </c>
      <c r="E1718" t="s">
        <v>8</v>
      </c>
      <c r="F1718" s="7">
        <v>45591</v>
      </c>
      <c r="G1718" s="1">
        <v>45292</v>
      </c>
      <c r="H1718" s="14">
        <v>169.183109</v>
      </c>
      <c r="I1718">
        <v>1046</v>
      </c>
      <c r="J1718" t="s">
        <v>86</v>
      </c>
      <c r="K1718" t="s">
        <v>105</v>
      </c>
      <c r="L1718" s="16" t="s">
        <v>95</v>
      </c>
    </row>
    <row r="1719" spans="1:12" x14ac:dyDescent="0.35">
      <c r="A1719" t="s">
        <v>8</v>
      </c>
      <c r="B1719" t="s">
        <v>92</v>
      </c>
      <c r="C1719" t="s">
        <v>85</v>
      </c>
      <c r="D1719" t="s">
        <v>9</v>
      </c>
      <c r="E1719" t="s">
        <v>12</v>
      </c>
      <c r="F1719" s="7">
        <v>45598</v>
      </c>
      <c r="G1719" s="1">
        <v>45292</v>
      </c>
      <c r="H1719" s="14">
        <v>30454.520004000002</v>
      </c>
      <c r="I1719">
        <v>4992226</v>
      </c>
      <c r="J1719" t="s">
        <v>86</v>
      </c>
      <c r="K1719" t="s">
        <v>87</v>
      </c>
      <c r="L1719" s="16" t="s">
        <v>12</v>
      </c>
    </row>
    <row r="1720" spans="1:12" x14ac:dyDescent="0.35">
      <c r="A1720" t="s">
        <v>8</v>
      </c>
      <c r="B1720" t="s">
        <v>92</v>
      </c>
      <c r="C1720" t="s">
        <v>93</v>
      </c>
      <c r="D1720" t="s">
        <v>10</v>
      </c>
      <c r="E1720" t="s">
        <v>10</v>
      </c>
      <c r="F1720" s="7">
        <v>45598</v>
      </c>
      <c r="G1720" s="1">
        <v>45292</v>
      </c>
      <c r="H1720" s="14">
        <v>6818.9366</v>
      </c>
      <c r="I1720">
        <v>1485423</v>
      </c>
      <c r="J1720" t="s">
        <v>86</v>
      </c>
      <c r="K1720" t="s">
        <v>94</v>
      </c>
      <c r="L1720" s="16" t="s">
        <v>10</v>
      </c>
    </row>
    <row r="1721" spans="1:12" x14ac:dyDescent="0.35">
      <c r="A1721" t="s">
        <v>8</v>
      </c>
      <c r="B1721" t="s">
        <v>92</v>
      </c>
      <c r="C1721" t="s">
        <v>95</v>
      </c>
      <c r="D1721" t="s">
        <v>10</v>
      </c>
      <c r="E1721" t="s">
        <v>10</v>
      </c>
      <c r="F1721" s="7">
        <v>45598</v>
      </c>
      <c r="G1721" s="1">
        <v>45292</v>
      </c>
      <c r="H1721" s="14">
        <v>8857.1999999999953</v>
      </c>
      <c r="I1721">
        <v>902006</v>
      </c>
      <c r="J1721" t="s">
        <v>86</v>
      </c>
      <c r="K1721" t="s">
        <v>96</v>
      </c>
      <c r="L1721" s="16" t="s">
        <v>10</v>
      </c>
    </row>
    <row r="1722" spans="1:12" x14ac:dyDescent="0.35">
      <c r="A1722" t="s">
        <v>8</v>
      </c>
      <c r="B1722" t="s">
        <v>84</v>
      </c>
      <c r="C1722" t="s">
        <v>93</v>
      </c>
      <c r="D1722" t="s">
        <v>10</v>
      </c>
      <c r="E1722" t="s">
        <v>10</v>
      </c>
      <c r="F1722" s="7">
        <v>45598</v>
      </c>
      <c r="G1722" s="1">
        <v>45292</v>
      </c>
      <c r="H1722" s="14">
        <v>3867.0521999999992</v>
      </c>
      <c r="I1722">
        <v>2307032</v>
      </c>
      <c r="J1722" t="s">
        <v>86</v>
      </c>
      <c r="K1722" t="s">
        <v>94</v>
      </c>
      <c r="L1722" s="16" t="s">
        <v>10</v>
      </c>
    </row>
    <row r="1723" spans="1:12" x14ac:dyDescent="0.35">
      <c r="A1723" t="s">
        <v>8</v>
      </c>
      <c r="B1723" t="s">
        <v>84</v>
      </c>
      <c r="C1723" t="s">
        <v>95</v>
      </c>
      <c r="D1723" t="s">
        <v>10</v>
      </c>
      <c r="E1723" t="s">
        <v>10</v>
      </c>
      <c r="F1723" s="7">
        <v>45598</v>
      </c>
      <c r="G1723" s="1">
        <v>45292</v>
      </c>
      <c r="H1723" s="14">
        <v>13148.350000000004</v>
      </c>
      <c r="I1723">
        <v>1194244</v>
      </c>
      <c r="J1723" t="s">
        <v>86</v>
      </c>
      <c r="K1723" t="s">
        <v>96</v>
      </c>
      <c r="L1723" s="16" t="s">
        <v>10</v>
      </c>
    </row>
    <row r="1724" spans="1:12" x14ac:dyDescent="0.35">
      <c r="A1724" t="s">
        <v>8</v>
      </c>
      <c r="B1724" t="s">
        <v>17</v>
      </c>
      <c r="C1724" t="s">
        <v>93</v>
      </c>
      <c r="D1724" t="s">
        <v>10</v>
      </c>
      <c r="E1724" t="s">
        <v>10</v>
      </c>
      <c r="F1724" s="7">
        <v>45598</v>
      </c>
      <c r="G1724" s="1">
        <v>45292</v>
      </c>
      <c r="H1724" s="14">
        <v>11482.0893</v>
      </c>
      <c r="I1724">
        <v>5970169</v>
      </c>
      <c r="J1724" t="s">
        <v>86</v>
      </c>
      <c r="K1724" t="s">
        <v>94</v>
      </c>
      <c r="L1724" s="16" t="s">
        <v>10</v>
      </c>
    </row>
    <row r="1725" spans="1:12" x14ac:dyDescent="0.35">
      <c r="A1725" t="s">
        <v>8</v>
      </c>
      <c r="B1725" t="s">
        <v>17</v>
      </c>
      <c r="C1725" t="s">
        <v>95</v>
      </c>
      <c r="D1725" t="s">
        <v>10</v>
      </c>
      <c r="E1725" t="s">
        <v>10</v>
      </c>
      <c r="F1725" s="7">
        <v>45598</v>
      </c>
      <c r="G1725" s="1">
        <v>45292</v>
      </c>
      <c r="H1725" s="14">
        <v>8146.8199999999979</v>
      </c>
      <c r="I1725">
        <v>1494154</v>
      </c>
      <c r="J1725" t="s">
        <v>86</v>
      </c>
      <c r="K1725" t="s">
        <v>96</v>
      </c>
      <c r="L1725" s="16" t="s">
        <v>10</v>
      </c>
    </row>
    <row r="1726" spans="1:12" x14ac:dyDescent="0.35">
      <c r="A1726" t="s">
        <v>8</v>
      </c>
      <c r="B1726" t="s">
        <v>99</v>
      </c>
      <c r="C1726" t="s">
        <v>93</v>
      </c>
      <c r="D1726" t="s">
        <v>10</v>
      </c>
      <c r="E1726" t="s">
        <v>10</v>
      </c>
      <c r="F1726" s="7">
        <v>45598</v>
      </c>
      <c r="G1726" s="1">
        <v>45292</v>
      </c>
      <c r="H1726" s="14">
        <v>4705.0527999999986</v>
      </c>
      <c r="I1726">
        <v>613862</v>
      </c>
      <c r="J1726" t="s">
        <v>86</v>
      </c>
      <c r="K1726" t="s">
        <v>94</v>
      </c>
      <c r="L1726" s="16" t="s">
        <v>10</v>
      </c>
    </row>
    <row r="1727" spans="1:12" x14ac:dyDescent="0.35">
      <c r="A1727" t="s">
        <v>8</v>
      </c>
      <c r="B1727" t="s">
        <v>99</v>
      </c>
      <c r="C1727" t="s">
        <v>95</v>
      </c>
      <c r="D1727" t="s">
        <v>10</v>
      </c>
      <c r="E1727" t="s">
        <v>10</v>
      </c>
      <c r="F1727" s="7">
        <v>45598</v>
      </c>
      <c r="G1727" s="1">
        <v>45292</v>
      </c>
      <c r="H1727" s="14">
        <v>15917.649999999996</v>
      </c>
      <c r="I1727">
        <v>3331194</v>
      </c>
      <c r="J1727" t="s">
        <v>86</v>
      </c>
      <c r="K1727" t="s">
        <v>96</v>
      </c>
      <c r="L1727" s="16" t="s">
        <v>10</v>
      </c>
    </row>
    <row r="1728" spans="1:12" x14ac:dyDescent="0.35">
      <c r="A1728" t="s">
        <v>8</v>
      </c>
      <c r="B1728" t="s">
        <v>100</v>
      </c>
      <c r="C1728" t="s">
        <v>93</v>
      </c>
      <c r="D1728" t="s">
        <v>10</v>
      </c>
      <c r="E1728" t="s">
        <v>10</v>
      </c>
      <c r="F1728" s="7">
        <v>45598</v>
      </c>
      <c r="G1728" s="1">
        <v>45292</v>
      </c>
      <c r="H1728" s="14">
        <v>6181.1669000000011</v>
      </c>
      <c r="I1728">
        <v>1405652</v>
      </c>
      <c r="J1728" t="s">
        <v>86</v>
      </c>
      <c r="K1728" t="s">
        <v>94</v>
      </c>
      <c r="L1728" s="16" t="s">
        <v>10</v>
      </c>
    </row>
    <row r="1729" spans="1:12" x14ac:dyDescent="0.35">
      <c r="A1729" t="s">
        <v>8</v>
      </c>
      <c r="B1729" t="s">
        <v>100</v>
      </c>
      <c r="C1729" t="s">
        <v>95</v>
      </c>
      <c r="D1729" t="s">
        <v>10</v>
      </c>
      <c r="E1729" t="s">
        <v>10</v>
      </c>
      <c r="F1729" s="7">
        <v>45598</v>
      </c>
      <c r="G1729" s="1">
        <v>45292</v>
      </c>
      <c r="H1729" s="14">
        <v>13169.269999999997</v>
      </c>
      <c r="I1729">
        <v>2887031</v>
      </c>
      <c r="J1729" t="s">
        <v>86</v>
      </c>
      <c r="K1729" t="s">
        <v>96</v>
      </c>
      <c r="L1729" s="16" t="s">
        <v>10</v>
      </c>
    </row>
    <row r="1730" spans="1:12" x14ac:dyDescent="0.35">
      <c r="A1730" t="s">
        <v>8</v>
      </c>
      <c r="B1730" t="s">
        <v>21</v>
      </c>
      <c r="C1730" t="s">
        <v>93</v>
      </c>
      <c r="D1730" t="s">
        <v>10</v>
      </c>
      <c r="E1730" t="s">
        <v>10</v>
      </c>
      <c r="F1730" s="7">
        <v>45598</v>
      </c>
      <c r="G1730" s="1">
        <v>45292</v>
      </c>
      <c r="H1730" s="14">
        <v>3558.5428000000011</v>
      </c>
      <c r="I1730">
        <v>828885</v>
      </c>
      <c r="J1730" t="s">
        <v>86</v>
      </c>
      <c r="K1730" t="s">
        <v>94</v>
      </c>
      <c r="L1730" s="16" t="s">
        <v>10</v>
      </c>
    </row>
    <row r="1731" spans="1:12" x14ac:dyDescent="0.35">
      <c r="A1731" t="s">
        <v>8</v>
      </c>
      <c r="B1731" t="s">
        <v>21</v>
      </c>
      <c r="C1731" t="s">
        <v>95</v>
      </c>
      <c r="D1731" t="s">
        <v>10</v>
      </c>
      <c r="E1731" t="s">
        <v>10</v>
      </c>
      <c r="F1731" s="7">
        <v>45598</v>
      </c>
      <c r="G1731" s="1">
        <v>45292</v>
      </c>
      <c r="H1731" s="14">
        <v>9600.7599999999966</v>
      </c>
      <c r="I1731">
        <v>856842</v>
      </c>
      <c r="J1731" t="s">
        <v>86</v>
      </c>
      <c r="K1731" t="s">
        <v>96</v>
      </c>
      <c r="L1731" s="16" t="s">
        <v>10</v>
      </c>
    </row>
    <row r="1732" spans="1:12" x14ac:dyDescent="0.35">
      <c r="A1732" t="s">
        <v>8</v>
      </c>
      <c r="B1732" t="s">
        <v>101</v>
      </c>
      <c r="C1732" t="s">
        <v>93</v>
      </c>
      <c r="D1732" t="s">
        <v>10</v>
      </c>
      <c r="E1732" t="s">
        <v>10</v>
      </c>
      <c r="F1732" s="7">
        <v>45598</v>
      </c>
      <c r="G1732" s="1">
        <v>45292</v>
      </c>
      <c r="H1732" s="14">
        <v>3198.5328000000004</v>
      </c>
      <c r="I1732">
        <v>676264</v>
      </c>
      <c r="J1732" t="s">
        <v>86</v>
      </c>
      <c r="K1732" t="s">
        <v>94</v>
      </c>
      <c r="L1732" s="16" t="s">
        <v>10</v>
      </c>
    </row>
    <row r="1733" spans="1:12" x14ac:dyDescent="0.35">
      <c r="A1733" t="s">
        <v>8</v>
      </c>
      <c r="B1733" t="s">
        <v>101</v>
      </c>
      <c r="C1733" t="s">
        <v>95</v>
      </c>
      <c r="D1733" t="s">
        <v>10</v>
      </c>
      <c r="E1733" t="s">
        <v>10</v>
      </c>
      <c r="F1733" s="7">
        <v>45598</v>
      </c>
      <c r="G1733" s="1">
        <v>45292</v>
      </c>
      <c r="H1733" s="14">
        <v>2544.9700000000003</v>
      </c>
      <c r="I1733">
        <v>930529</v>
      </c>
      <c r="J1733" t="s">
        <v>86</v>
      </c>
      <c r="K1733" t="s">
        <v>96</v>
      </c>
      <c r="L1733" s="16" t="s">
        <v>10</v>
      </c>
    </row>
    <row r="1734" spans="1:12" x14ac:dyDescent="0.35">
      <c r="A1734" t="s">
        <v>8</v>
      </c>
      <c r="B1734" t="s">
        <v>103</v>
      </c>
      <c r="C1734" t="s">
        <v>95</v>
      </c>
      <c r="D1734" t="s">
        <v>104</v>
      </c>
      <c r="E1734" t="s">
        <v>8</v>
      </c>
      <c r="F1734" s="7">
        <v>45598</v>
      </c>
      <c r="G1734" s="1">
        <v>45292</v>
      </c>
      <c r="H1734" s="14">
        <v>68.84</v>
      </c>
      <c r="I1734">
        <v>346</v>
      </c>
      <c r="J1734" t="s">
        <v>86</v>
      </c>
      <c r="K1734" t="s">
        <v>105</v>
      </c>
      <c r="L1734" s="16" t="s">
        <v>95</v>
      </c>
    </row>
    <row r="1735" spans="1:12" x14ac:dyDescent="0.35">
      <c r="A1735" t="s">
        <v>8</v>
      </c>
      <c r="B1735" t="s">
        <v>16</v>
      </c>
      <c r="C1735" t="s">
        <v>95</v>
      </c>
      <c r="D1735" t="s">
        <v>104</v>
      </c>
      <c r="E1735" t="s">
        <v>8</v>
      </c>
      <c r="F1735" s="7">
        <v>45598</v>
      </c>
      <c r="G1735" s="1">
        <v>45292</v>
      </c>
      <c r="H1735" s="14">
        <v>57.22</v>
      </c>
      <c r="I1735">
        <v>462</v>
      </c>
      <c r="J1735" t="s">
        <v>86</v>
      </c>
      <c r="K1735" t="s">
        <v>105</v>
      </c>
      <c r="L1735" s="16" t="s">
        <v>95</v>
      </c>
    </row>
    <row r="1736" spans="1:12" x14ac:dyDescent="0.35">
      <c r="A1736" t="s">
        <v>8</v>
      </c>
      <c r="B1736" t="s">
        <v>84</v>
      </c>
      <c r="C1736" t="s">
        <v>95</v>
      </c>
      <c r="D1736" t="s">
        <v>104</v>
      </c>
      <c r="E1736" t="s">
        <v>8</v>
      </c>
      <c r="F1736" s="7">
        <v>45598</v>
      </c>
      <c r="G1736" s="1">
        <v>45292</v>
      </c>
      <c r="H1736" s="14">
        <v>7330.3361070000001</v>
      </c>
      <c r="I1736">
        <v>26953</v>
      </c>
      <c r="J1736" t="s">
        <v>86</v>
      </c>
      <c r="K1736" t="s">
        <v>105</v>
      </c>
      <c r="L1736" s="16" t="s">
        <v>95</v>
      </c>
    </row>
    <row r="1737" spans="1:12" x14ac:dyDescent="0.35">
      <c r="A1737" t="s">
        <v>8</v>
      </c>
      <c r="B1737" t="s">
        <v>17</v>
      </c>
      <c r="C1737" t="s">
        <v>95</v>
      </c>
      <c r="D1737" t="s">
        <v>104</v>
      </c>
      <c r="E1737" t="s">
        <v>8</v>
      </c>
      <c r="F1737" s="7">
        <v>45598</v>
      </c>
      <c r="G1737" s="1">
        <v>45292</v>
      </c>
      <c r="H1737" s="14">
        <v>171.67296299999998</v>
      </c>
      <c r="I1737">
        <v>1007</v>
      </c>
      <c r="J1737" t="s">
        <v>86</v>
      </c>
      <c r="K1737" t="s">
        <v>105</v>
      </c>
      <c r="L1737" s="16" t="s">
        <v>95</v>
      </c>
    </row>
    <row r="1738" spans="1:12" x14ac:dyDescent="0.35">
      <c r="A1738" t="s">
        <v>8</v>
      </c>
      <c r="B1738" t="s">
        <v>106</v>
      </c>
      <c r="C1738" t="s">
        <v>95</v>
      </c>
      <c r="D1738" t="s">
        <v>104</v>
      </c>
      <c r="E1738" t="s">
        <v>8</v>
      </c>
      <c r="F1738" s="7">
        <v>45598</v>
      </c>
      <c r="G1738" s="1">
        <v>45292</v>
      </c>
      <c r="H1738" s="14">
        <v>360.38432399999999</v>
      </c>
      <c r="I1738">
        <v>687</v>
      </c>
      <c r="J1738" t="s">
        <v>86</v>
      </c>
      <c r="K1738" t="s">
        <v>105</v>
      </c>
      <c r="L1738" s="16" t="s">
        <v>95</v>
      </c>
    </row>
    <row r="1739" spans="1:12" x14ac:dyDescent="0.35">
      <c r="A1739" t="s">
        <v>8</v>
      </c>
      <c r="B1739" t="s">
        <v>92</v>
      </c>
      <c r="C1739" t="s">
        <v>95</v>
      </c>
      <c r="D1739" t="s">
        <v>104</v>
      </c>
      <c r="E1739" t="s">
        <v>8</v>
      </c>
      <c r="F1739" s="7">
        <v>45598</v>
      </c>
      <c r="G1739" s="1">
        <v>45292</v>
      </c>
      <c r="H1739" s="14">
        <v>298.525149</v>
      </c>
      <c r="I1739">
        <v>2079</v>
      </c>
      <c r="J1739" t="s">
        <v>86</v>
      </c>
      <c r="K1739" t="s">
        <v>105</v>
      </c>
      <c r="L1739" s="16" t="s">
        <v>95</v>
      </c>
    </row>
    <row r="1740" spans="1:12" x14ac:dyDescent="0.35">
      <c r="A1740" t="s">
        <v>8</v>
      </c>
      <c r="B1740" t="s">
        <v>21</v>
      </c>
      <c r="C1740" t="s">
        <v>95</v>
      </c>
      <c r="D1740" t="s">
        <v>104</v>
      </c>
      <c r="E1740" t="s">
        <v>8</v>
      </c>
      <c r="F1740" s="7">
        <v>45598</v>
      </c>
      <c r="G1740" s="1">
        <v>45292</v>
      </c>
      <c r="H1740" s="14">
        <v>297.62193599999995</v>
      </c>
      <c r="I1740">
        <v>1957</v>
      </c>
      <c r="J1740" t="s">
        <v>86</v>
      </c>
      <c r="K1740" t="s">
        <v>105</v>
      </c>
      <c r="L1740" s="16" t="s">
        <v>95</v>
      </c>
    </row>
    <row r="1741" spans="1:12" x14ac:dyDescent="0.35">
      <c r="A1741" t="s">
        <v>8</v>
      </c>
      <c r="B1741" t="s">
        <v>101</v>
      </c>
      <c r="C1741" t="s">
        <v>95</v>
      </c>
      <c r="D1741" t="s">
        <v>104</v>
      </c>
      <c r="E1741" t="s">
        <v>8</v>
      </c>
      <c r="F1741" s="7">
        <v>45598</v>
      </c>
      <c r="G1741" s="1">
        <v>45292</v>
      </c>
      <c r="H1741" s="14">
        <v>59.665502000000004</v>
      </c>
      <c r="I1741">
        <v>425</v>
      </c>
      <c r="J1741" t="s">
        <v>86</v>
      </c>
      <c r="K1741" t="s">
        <v>105</v>
      </c>
      <c r="L1741" s="16" t="s">
        <v>95</v>
      </c>
    </row>
    <row r="1742" spans="1:12" x14ac:dyDescent="0.35">
      <c r="A1742" t="s">
        <v>8</v>
      </c>
      <c r="B1742" t="s">
        <v>99</v>
      </c>
      <c r="C1742" t="s">
        <v>95</v>
      </c>
      <c r="D1742" t="s">
        <v>104</v>
      </c>
      <c r="E1742" t="s">
        <v>8</v>
      </c>
      <c r="F1742" s="7">
        <v>45598</v>
      </c>
      <c r="G1742" s="1">
        <v>45292</v>
      </c>
      <c r="H1742" s="14">
        <v>64.42</v>
      </c>
      <c r="I1742">
        <v>478</v>
      </c>
      <c r="J1742" t="s">
        <v>86</v>
      </c>
      <c r="K1742" t="s">
        <v>105</v>
      </c>
      <c r="L1742" s="16" t="s">
        <v>95</v>
      </c>
    </row>
    <row r="1743" spans="1:12" x14ac:dyDescent="0.35">
      <c r="A1743" t="s">
        <v>8</v>
      </c>
      <c r="B1743" t="s">
        <v>102</v>
      </c>
      <c r="C1743" t="s">
        <v>95</v>
      </c>
      <c r="D1743" t="s">
        <v>104</v>
      </c>
      <c r="E1743" t="s">
        <v>8</v>
      </c>
      <c r="F1743" s="7">
        <v>45598</v>
      </c>
      <c r="G1743" s="1">
        <v>45292</v>
      </c>
      <c r="H1743" s="14">
        <v>131.26999999999998</v>
      </c>
      <c r="I1743">
        <v>638</v>
      </c>
      <c r="J1743" t="s">
        <v>86</v>
      </c>
      <c r="K1743" t="s">
        <v>105</v>
      </c>
      <c r="L1743" s="16" t="s">
        <v>95</v>
      </c>
    </row>
    <row r="1744" spans="1:12" x14ac:dyDescent="0.35">
      <c r="A1744" t="s">
        <v>8</v>
      </c>
      <c r="B1744" t="s">
        <v>100</v>
      </c>
      <c r="C1744" t="s">
        <v>95</v>
      </c>
      <c r="D1744" t="s">
        <v>104</v>
      </c>
      <c r="E1744" t="s">
        <v>8</v>
      </c>
      <c r="F1744" s="7">
        <v>45598</v>
      </c>
      <c r="G1744" s="1">
        <v>45292</v>
      </c>
      <c r="H1744" s="14">
        <v>207.14836499999998</v>
      </c>
      <c r="I1744">
        <v>947</v>
      </c>
      <c r="J1744" t="s">
        <v>86</v>
      </c>
      <c r="K1744" t="s">
        <v>105</v>
      </c>
      <c r="L1744" s="16" t="s">
        <v>95</v>
      </c>
    </row>
    <row r="1745" spans="1:12" x14ac:dyDescent="0.35">
      <c r="A1745" t="s">
        <v>8</v>
      </c>
      <c r="B1745" t="s">
        <v>92</v>
      </c>
      <c r="C1745" t="s">
        <v>93</v>
      </c>
      <c r="D1745" t="s">
        <v>10</v>
      </c>
      <c r="E1745" t="s">
        <v>10</v>
      </c>
      <c r="F1745" s="7">
        <v>45605</v>
      </c>
      <c r="G1745" s="1">
        <v>45292</v>
      </c>
      <c r="H1745" s="14">
        <v>6522.0628999999981</v>
      </c>
      <c r="I1745">
        <v>1638863</v>
      </c>
      <c r="J1745" t="s">
        <v>86</v>
      </c>
      <c r="K1745" t="s">
        <v>94</v>
      </c>
      <c r="L1745" s="16" t="s">
        <v>10</v>
      </c>
    </row>
    <row r="1746" spans="1:12" x14ac:dyDescent="0.35">
      <c r="A1746" t="s">
        <v>8</v>
      </c>
      <c r="B1746" t="s">
        <v>92</v>
      </c>
      <c r="C1746" t="s">
        <v>95</v>
      </c>
      <c r="D1746" t="s">
        <v>10</v>
      </c>
      <c r="E1746" t="s">
        <v>10</v>
      </c>
      <c r="F1746" s="7">
        <v>45605</v>
      </c>
      <c r="G1746" s="1">
        <v>45292</v>
      </c>
      <c r="H1746" s="14">
        <v>12144.44</v>
      </c>
      <c r="I1746">
        <v>1138816</v>
      </c>
      <c r="J1746" t="s">
        <v>86</v>
      </c>
      <c r="K1746" t="s">
        <v>96</v>
      </c>
      <c r="L1746" s="16" t="s">
        <v>10</v>
      </c>
    </row>
    <row r="1747" spans="1:12" x14ac:dyDescent="0.35">
      <c r="A1747" t="s">
        <v>8</v>
      </c>
      <c r="B1747" t="s">
        <v>84</v>
      </c>
      <c r="C1747" t="s">
        <v>93</v>
      </c>
      <c r="D1747" t="s">
        <v>10</v>
      </c>
      <c r="E1747" t="s">
        <v>10</v>
      </c>
      <c r="F1747" s="7">
        <v>45605</v>
      </c>
      <c r="G1747" s="1">
        <v>45292</v>
      </c>
      <c r="H1747" s="14">
        <v>10078.4306</v>
      </c>
      <c r="I1747">
        <v>4054650</v>
      </c>
      <c r="J1747" t="s">
        <v>86</v>
      </c>
      <c r="K1747" t="s">
        <v>94</v>
      </c>
      <c r="L1747" s="16" t="s">
        <v>10</v>
      </c>
    </row>
    <row r="1748" spans="1:12" x14ac:dyDescent="0.35">
      <c r="A1748" t="s">
        <v>8</v>
      </c>
      <c r="B1748" t="s">
        <v>84</v>
      </c>
      <c r="C1748" t="s">
        <v>95</v>
      </c>
      <c r="D1748" t="s">
        <v>10</v>
      </c>
      <c r="E1748" t="s">
        <v>10</v>
      </c>
      <c r="F1748" s="7">
        <v>45605</v>
      </c>
      <c r="G1748" s="1">
        <v>45292</v>
      </c>
      <c r="H1748" s="14">
        <v>12885.310000000001</v>
      </c>
      <c r="I1748">
        <v>1314119</v>
      </c>
      <c r="J1748" t="s">
        <v>86</v>
      </c>
      <c r="K1748" t="s">
        <v>96</v>
      </c>
      <c r="L1748" s="16" t="s">
        <v>10</v>
      </c>
    </row>
    <row r="1749" spans="1:12" x14ac:dyDescent="0.35">
      <c r="A1749" t="s">
        <v>8</v>
      </c>
      <c r="B1749" t="s">
        <v>17</v>
      </c>
      <c r="C1749" t="s">
        <v>93</v>
      </c>
      <c r="D1749" t="s">
        <v>10</v>
      </c>
      <c r="E1749" t="s">
        <v>10</v>
      </c>
      <c r="F1749" s="7">
        <v>45605</v>
      </c>
      <c r="G1749" s="1">
        <v>45292</v>
      </c>
      <c r="H1749" s="14">
        <v>13038.100600000007</v>
      </c>
      <c r="I1749">
        <v>8132619</v>
      </c>
      <c r="J1749" t="s">
        <v>86</v>
      </c>
      <c r="K1749" t="s">
        <v>94</v>
      </c>
      <c r="L1749" s="16" t="s">
        <v>10</v>
      </c>
    </row>
    <row r="1750" spans="1:12" x14ac:dyDescent="0.35">
      <c r="A1750" t="s">
        <v>8</v>
      </c>
      <c r="B1750" t="s">
        <v>17</v>
      </c>
      <c r="C1750" t="s">
        <v>95</v>
      </c>
      <c r="D1750" t="s">
        <v>10</v>
      </c>
      <c r="E1750" t="s">
        <v>10</v>
      </c>
      <c r="F1750" s="7">
        <v>45605</v>
      </c>
      <c r="G1750" s="1">
        <v>45292</v>
      </c>
      <c r="H1750" s="14">
        <v>8080.0500000000011</v>
      </c>
      <c r="I1750">
        <v>1546815</v>
      </c>
      <c r="J1750" t="s">
        <v>86</v>
      </c>
      <c r="K1750" t="s">
        <v>96</v>
      </c>
      <c r="L1750" s="16" t="s">
        <v>10</v>
      </c>
    </row>
    <row r="1751" spans="1:12" x14ac:dyDescent="0.35">
      <c r="A1751" t="s">
        <v>8</v>
      </c>
      <c r="B1751" t="s">
        <v>99</v>
      </c>
      <c r="C1751" t="s">
        <v>93</v>
      </c>
      <c r="D1751" t="s">
        <v>10</v>
      </c>
      <c r="E1751" t="s">
        <v>10</v>
      </c>
      <c r="F1751" s="7">
        <v>45605</v>
      </c>
      <c r="G1751" s="1">
        <v>45292</v>
      </c>
      <c r="H1751" s="14">
        <v>5040.7197000000024</v>
      </c>
      <c r="I1751">
        <v>615088</v>
      </c>
      <c r="J1751" t="s">
        <v>86</v>
      </c>
      <c r="K1751" t="s">
        <v>94</v>
      </c>
      <c r="L1751" s="16" t="s">
        <v>10</v>
      </c>
    </row>
    <row r="1752" spans="1:12" x14ac:dyDescent="0.35">
      <c r="A1752" t="s">
        <v>8</v>
      </c>
      <c r="B1752" t="s">
        <v>99</v>
      </c>
      <c r="C1752" t="s">
        <v>95</v>
      </c>
      <c r="D1752" t="s">
        <v>10</v>
      </c>
      <c r="E1752" t="s">
        <v>10</v>
      </c>
      <c r="F1752" s="7">
        <v>45605</v>
      </c>
      <c r="G1752" s="1">
        <v>45292</v>
      </c>
      <c r="H1752" s="14">
        <v>11478.029999999997</v>
      </c>
      <c r="I1752">
        <v>2528480</v>
      </c>
      <c r="J1752" t="s">
        <v>86</v>
      </c>
      <c r="K1752" t="s">
        <v>96</v>
      </c>
      <c r="L1752" s="16" t="s">
        <v>10</v>
      </c>
    </row>
    <row r="1753" spans="1:12" x14ac:dyDescent="0.35">
      <c r="A1753" t="s">
        <v>8</v>
      </c>
      <c r="B1753" t="s">
        <v>100</v>
      </c>
      <c r="C1753" t="s">
        <v>93</v>
      </c>
      <c r="D1753" t="s">
        <v>10</v>
      </c>
      <c r="E1753" t="s">
        <v>10</v>
      </c>
      <c r="F1753" s="7">
        <v>45605</v>
      </c>
      <c r="G1753" s="1">
        <v>45292</v>
      </c>
      <c r="H1753" s="14">
        <v>5729.2723999999998</v>
      </c>
      <c r="I1753">
        <v>1385392</v>
      </c>
      <c r="J1753" t="s">
        <v>86</v>
      </c>
      <c r="K1753" t="s">
        <v>94</v>
      </c>
      <c r="L1753" s="16" t="s">
        <v>10</v>
      </c>
    </row>
    <row r="1754" spans="1:12" x14ac:dyDescent="0.35">
      <c r="A1754" t="s">
        <v>8</v>
      </c>
      <c r="B1754" t="s">
        <v>100</v>
      </c>
      <c r="C1754" t="s">
        <v>95</v>
      </c>
      <c r="D1754" t="s">
        <v>10</v>
      </c>
      <c r="E1754" t="s">
        <v>10</v>
      </c>
      <c r="F1754" s="7">
        <v>45605</v>
      </c>
      <c r="G1754" s="1">
        <v>45292</v>
      </c>
      <c r="H1754" s="14">
        <v>9806.1299999999974</v>
      </c>
      <c r="I1754">
        <v>2495570</v>
      </c>
      <c r="J1754" t="s">
        <v>86</v>
      </c>
      <c r="K1754" t="s">
        <v>96</v>
      </c>
      <c r="L1754" s="16" t="s">
        <v>10</v>
      </c>
    </row>
    <row r="1755" spans="1:12" x14ac:dyDescent="0.35">
      <c r="A1755" t="s">
        <v>8</v>
      </c>
      <c r="B1755" t="s">
        <v>21</v>
      </c>
      <c r="C1755" t="s">
        <v>93</v>
      </c>
      <c r="D1755" t="s">
        <v>10</v>
      </c>
      <c r="E1755" t="s">
        <v>10</v>
      </c>
      <c r="F1755" s="7">
        <v>45605</v>
      </c>
      <c r="G1755" s="1">
        <v>45292</v>
      </c>
      <c r="H1755" s="14">
        <v>3767.9559000000004</v>
      </c>
      <c r="I1755">
        <v>1029107</v>
      </c>
      <c r="J1755" t="s">
        <v>86</v>
      </c>
      <c r="K1755" t="s">
        <v>94</v>
      </c>
      <c r="L1755" s="16" t="s">
        <v>10</v>
      </c>
    </row>
    <row r="1756" spans="1:12" x14ac:dyDescent="0.35">
      <c r="A1756" t="s">
        <v>8</v>
      </c>
      <c r="B1756" t="s">
        <v>21</v>
      </c>
      <c r="C1756" t="s">
        <v>95</v>
      </c>
      <c r="D1756" t="s">
        <v>10</v>
      </c>
      <c r="E1756" t="s">
        <v>10</v>
      </c>
      <c r="F1756" s="7">
        <v>45605</v>
      </c>
      <c r="G1756" s="1">
        <v>45292</v>
      </c>
      <c r="H1756" s="14">
        <v>9393.4300000000021</v>
      </c>
      <c r="I1756">
        <v>851441</v>
      </c>
      <c r="J1756" t="s">
        <v>86</v>
      </c>
      <c r="K1756" t="s">
        <v>96</v>
      </c>
      <c r="L1756" s="16" t="s">
        <v>10</v>
      </c>
    </row>
    <row r="1757" spans="1:12" x14ac:dyDescent="0.35">
      <c r="A1757" t="s">
        <v>8</v>
      </c>
      <c r="B1757" t="s">
        <v>101</v>
      </c>
      <c r="C1757" t="s">
        <v>93</v>
      </c>
      <c r="D1757" t="s">
        <v>10</v>
      </c>
      <c r="E1757" t="s">
        <v>10</v>
      </c>
      <c r="F1757" s="7">
        <v>45605</v>
      </c>
      <c r="G1757" s="1">
        <v>45292</v>
      </c>
      <c r="H1757" s="14">
        <v>2784.8767000000007</v>
      </c>
      <c r="I1757">
        <v>706741</v>
      </c>
      <c r="J1757" t="s">
        <v>86</v>
      </c>
      <c r="K1757" t="s">
        <v>94</v>
      </c>
      <c r="L1757" s="16" t="s">
        <v>10</v>
      </c>
    </row>
    <row r="1758" spans="1:12" x14ac:dyDescent="0.35">
      <c r="A1758" t="s">
        <v>8</v>
      </c>
      <c r="B1758" t="s">
        <v>101</v>
      </c>
      <c r="C1758" t="s">
        <v>95</v>
      </c>
      <c r="D1758" t="s">
        <v>10</v>
      </c>
      <c r="E1758" t="s">
        <v>10</v>
      </c>
      <c r="F1758" s="7">
        <v>45605</v>
      </c>
      <c r="G1758" s="1">
        <v>45292</v>
      </c>
      <c r="H1758" s="14">
        <v>2018.9900000000002</v>
      </c>
      <c r="I1758">
        <v>812587</v>
      </c>
      <c r="J1758" t="s">
        <v>86</v>
      </c>
      <c r="K1758" t="s">
        <v>96</v>
      </c>
      <c r="L1758" s="16" t="s">
        <v>10</v>
      </c>
    </row>
    <row r="1759" spans="1:12" x14ac:dyDescent="0.35">
      <c r="A1759" t="s">
        <v>8</v>
      </c>
      <c r="B1759" t="s">
        <v>103</v>
      </c>
      <c r="C1759" t="s">
        <v>95</v>
      </c>
      <c r="D1759" t="s">
        <v>104</v>
      </c>
      <c r="E1759" t="s">
        <v>8</v>
      </c>
      <c r="F1759" s="7">
        <v>45605</v>
      </c>
      <c r="G1759" s="1">
        <v>45292</v>
      </c>
      <c r="H1759" s="14">
        <v>43.464940999999996</v>
      </c>
      <c r="I1759">
        <v>302</v>
      </c>
      <c r="J1759" t="s">
        <v>86</v>
      </c>
      <c r="K1759" t="s">
        <v>105</v>
      </c>
      <c r="L1759" s="16" t="s">
        <v>95</v>
      </c>
    </row>
    <row r="1760" spans="1:12" x14ac:dyDescent="0.35">
      <c r="A1760" t="s">
        <v>8</v>
      </c>
      <c r="B1760" t="s">
        <v>16</v>
      </c>
      <c r="C1760" t="s">
        <v>95</v>
      </c>
      <c r="D1760" t="s">
        <v>104</v>
      </c>
      <c r="E1760" t="s">
        <v>8</v>
      </c>
      <c r="F1760" s="7">
        <v>45605</v>
      </c>
      <c r="G1760" s="1">
        <v>45292</v>
      </c>
      <c r="H1760" s="14">
        <v>46.52</v>
      </c>
      <c r="I1760">
        <v>354</v>
      </c>
      <c r="J1760" t="s">
        <v>86</v>
      </c>
      <c r="K1760" t="s">
        <v>105</v>
      </c>
      <c r="L1760" s="16" t="s">
        <v>95</v>
      </c>
    </row>
    <row r="1761" spans="1:12" x14ac:dyDescent="0.35">
      <c r="A1761" t="s">
        <v>8</v>
      </c>
      <c r="B1761" t="s">
        <v>84</v>
      </c>
      <c r="C1761" t="s">
        <v>95</v>
      </c>
      <c r="D1761" t="s">
        <v>104</v>
      </c>
      <c r="E1761" t="s">
        <v>8</v>
      </c>
      <c r="F1761" s="7">
        <v>45605</v>
      </c>
      <c r="G1761" s="1">
        <v>45292</v>
      </c>
      <c r="H1761" s="14">
        <v>7784.2208510000019</v>
      </c>
      <c r="I1761">
        <v>29251</v>
      </c>
      <c r="J1761" t="s">
        <v>86</v>
      </c>
      <c r="K1761" t="s">
        <v>105</v>
      </c>
      <c r="L1761" s="16" t="s">
        <v>95</v>
      </c>
    </row>
    <row r="1762" spans="1:12" x14ac:dyDescent="0.35">
      <c r="A1762" t="s">
        <v>8</v>
      </c>
      <c r="B1762" t="s">
        <v>17</v>
      </c>
      <c r="C1762" t="s">
        <v>95</v>
      </c>
      <c r="D1762" t="s">
        <v>104</v>
      </c>
      <c r="E1762" t="s">
        <v>8</v>
      </c>
      <c r="F1762" s="7">
        <v>45605</v>
      </c>
      <c r="G1762" s="1">
        <v>45292</v>
      </c>
      <c r="H1762" s="14">
        <v>123.94999999999999</v>
      </c>
      <c r="I1762">
        <v>1069</v>
      </c>
      <c r="J1762" t="s">
        <v>86</v>
      </c>
      <c r="K1762" t="s">
        <v>105</v>
      </c>
      <c r="L1762" s="16" t="s">
        <v>95</v>
      </c>
    </row>
    <row r="1763" spans="1:12" x14ac:dyDescent="0.35">
      <c r="A1763" t="s">
        <v>8</v>
      </c>
      <c r="B1763" t="s">
        <v>106</v>
      </c>
      <c r="C1763" t="s">
        <v>95</v>
      </c>
      <c r="D1763" t="s">
        <v>104</v>
      </c>
      <c r="E1763" t="s">
        <v>8</v>
      </c>
      <c r="F1763" s="7">
        <v>45605</v>
      </c>
      <c r="G1763" s="1">
        <v>45292</v>
      </c>
      <c r="H1763" s="14">
        <v>480.06163800000002</v>
      </c>
      <c r="I1763">
        <v>858</v>
      </c>
      <c r="J1763" t="s">
        <v>86</v>
      </c>
      <c r="K1763" t="s">
        <v>105</v>
      </c>
      <c r="L1763" s="16" t="s">
        <v>95</v>
      </c>
    </row>
    <row r="1764" spans="1:12" x14ac:dyDescent="0.35">
      <c r="A1764" t="s">
        <v>8</v>
      </c>
      <c r="B1764" t="s">
        <v>92</v>
      </c>
      <c r="C1764" t="s">
        <v>95</v>
      </c>
      <c r="D1764" t="s">
        <v>104</v>
      </c>
      <c r="E1764" t="s">
        <v>8</v>
      </c>
      <c r="F1764" s="7">
        <v>45605</v>
      </c>
      <c r="G1764" s="1">
        <v>45292</v>
      </c>
      <c r="H1764" s="14">
        <v>238.181422</v>
      </c>
      <c r="I1764">
        <v>2050</v>
      </c>
      <c r="J1764" t="s">
        <v>86</v>
      </c>
      <c r="K1764" t="s">
        <v>105</v>
      </c>
      <c r="L1764" s="16" t="s">
        <v>95</v>
      </c>
    </row>
    <row r="1765" spans="1:12" x14ac:dyDescent="0.35">
      <c r="A1765" t="s">
        <v>8</v>
      </c>
      <c r="B1765" t="s">
        <v>21</v>
      </c>
      <c r="C1765" t="s">
        <v>95</v>
      </c>
      <c r="D1765" t="s">
        <v>104</v>
      </c>
      <c r="E1765" t="s">
        <v>8</v>
      </c>
      <c r="F1765" s="7">
        <v>45605</v>
      </c>
      <c r="G1765" s="1">
        <v>45292</v>
      </c>
      <c r="H1765" s="14">
        <v>315.07383900000002</v>
      </c>
      <c r="I1765">
        <v>2160</v>
      </c>
      <c r="J1765" t="s">
        <v>86</v>
      </c>
      <c r="K1765" t="s">
        <v>105</v>
      </c>
      <c r="L1765" s="16" t="s">
        <v>95</v>
      </c>
    </row>
    <row r="1766" spans="1:12" x14ac:dyDescent="0.35">
      <c r="A1766" t="s">
        <v>8</v>
      </c>
      <c r="B1766" t="s">
        <v>101</v>
      </c>
      <c r="C1766" t="s">
        <v>95</v>
      </c>
      <c r="D1766" t="s">
        <v>104</v>
      </c>
      <c r="E1766" t="s">
        <v>8</v>
      </c>
      <c r="F1766" s="7">
        <v>45605</v>
      </c>
      <c r="G1766" s="1">
        <v>45292</v>
      </c>
      <c r="H1766" s="14">
        <v>55.755254000000001</v>
      </c>
      <c r="I1766">
        <v>480</v>
      </c>
      <c r="J1766" t="s">
        <v>86</v>
      </c>
      <c r="K1766" t="s">
        <v>105</v>
      </c>
      <c r="L1766" s="16" t="s">
        <v>95</v>
      </c>
    </row>
    <row r="1767" spans="1:12" x14ac:dyDescent="0.35">
      <c r="A1767" t="s">
        <v>8</v>
      </c>
      <c r="B1767" t="s">
        <v>99</v>
      </c>
      <c r="C1767" t="s">
        <v>95</v>
      </c>
      <c r="D1767" t="s">
        <v>104</v>
      </c>
      <c r="E1767" t="s">
        <v>8</v>
      </c>
      <c r="F1767" s="7">
        <v>45605</v>
      </c>
      <c r="G1767" s="1">
        <v>45292</v>
      </c>
      <c r="H1767" s="14">
        <v>133.989723</v>
      </c>
      <c r="I1767">
        <v>901</v>
      </c>
      <c r="J1767" t="s">
        <v>86</v>
      </c>
      <c r="K1767" t="s">
        <v>105</v>
      </c>
      <c r="L1767" s="16" t="s">
        <v>95</v>
      </c>
    </row>
    <row r="1768" spans="1:12" x14ac:dyDescent="0.35">
      <c r="A1768" t="s">
        <v>8</v>
      </c>
      <c r="B1768" t="s">
        <v>102</v>
      </c>
      <c r="C1768" t="s">
        <v>95</v>
      </c>
      <c r="D1768" t="s">
        <v>104</v>
      </c>
      <c r="E1768" t="s">
        <v>8</v>
      </c>
      <c r="F1768" s="7">
        <v>45605</v>
      </c>
      <c r="G1768" s="1">
        <v>45292</v>
      </c>
      <c r="H1768" s="14">
        <v>339.34774900000002</v>
      </c>
      <c r="I1768">
        <v>1146</v>
      </c>
      <c r="J1768" t="s">
        <v>86</v>
      </c>
      <c r="K1768" t="s">
        <v>105</v>
      </c>
      <c r="L1768" s="16" t="s">
        <v>95</v>
      </c>
    </row>
    <row r="1769" spans="1:12" x14ac:dyDescent="0.35">
      <c r="A1769" t="s">
        <v>8</v>
      </c>
      <c r="B1769" t="s">
        <v>100</v>
      </c>
      <c r="C1769" t="s">
        <v>95</v>
      </c>
      <c r="D1769" t="s">
        <v>104</v>
      </c>
      <c r="E1769" t="s">
        <v>8</v>
      </c>
      <c r="F1769" s="7">
        <v>45605</v>
      </c>
      <c r="G1769" s="1">
        <v>45292</v>
      </c>
      <c r="H1769" s="14">
        <v>183.47</v>
      </c>
      <c r="I1769">
        <v>1070</v>
      </c>
      <c r="J1769" t="s">
        <v>86</v>
      </c>
      <c r="K1769" t="s">
        <v>105</v>
      </c>
      <c r="L1769" s="16" t="s">
        <v>95</v>
      </c>
    </row>
    <row r="1770" spans="1:12" x14ac:dyDescent="0.35">
      <c r="A1770" t="s">
        <v>8</v>
      </c>
      <c r="B1770" t="s">
        <v>92</v>
      </c>
      <c r="C1770" t="s">
        <v>93</v>
      </c>
      <c r="D1770" t="s">
        <v>10</v>
      </c>
      <c r="E1770" t="s">
        <v>10</v>
      </c>
      <c r="F1770" s="7">
        <v>45612</v>
      </c>
      <c r="G1770" s="1">
        <v>45292</v>
      </c>
      <c r="H1770" s="14">
        <v>6045.3622000000023</v>
      </c>
      <c r="I1770">
        <v>1411295</v>
      </c>
      <c r="J1770" t="s">
        <v>86</v>
      </c>
      <c r="K1770" t="s">
        <v>94</v>
      </c>
      <c r="L1770" s="16" t="s">
        <v>10</v>
      </c>
    </row>
    <row r="1771" spans="1:12" x14ac:dyDescent="0.35">
      <c r="A1771" t="s">
        <v>8</v>
      </c>
      <c r="B1771" t="s">
        <v>92</v>
      </c>
      <c r="C1771" t="s">
        <v>95</v>
      </c>
      <c r="D1771" t="s">
        <v>10</v>
      </c>
      <c r="E1771" t="s">
        <v>10</v>
      </c>
      <c r="F1771" s="7">
        <v>45612</v>
      </c>
      <c r="G1771" s="1">
        <v>45292</v>
      </c>
      <c r="H1771" s="14">
        <v>16126.87</v>
      </c>
      <c r="I1771">
        <v>1121661</v>
      </c>
      <c r="J1771" t="s">
        <v>86</v>
      </c>
      <c r="K1771" t="s">
        <v>96</v>
      </c>
      <c r="L1771" s="16" t="s">
        <v>10</v>
      </c>
    </row>
    <row r="1772" spans="1:12" x14ac:dyDescent="0.35">
      <c r="A1772" t="s">
        <v>8</v>
      </c>
      <c r="B1772" t="s">
        <v>84</v>
      </c>
      <c r="C1772" t="s">
        <v>93</v>
      </c>
      <c r="D1772" t="s">
        <v>10</v>
      </c>
      <c r="E1772" t="s">
        <v>10</v>
      </c>
      <c r="F1772" s="7">
        <v>45612</v>
      </c>
      <c r="G1772" s="1">
        <v>45292</v>
      </c>
      <c r="H1772" s="14">
        <v>11786.932400000009</v>
      </c>
      <c r="I1772">
        <v>2975283</v>
      </c>
      <c r="J1772" t="s">
        <v>86</v>
      </c>
      <c r="K1772" t="s">
        <v>94</v>
      </c>
      <c r="L1772" s="16" t="s">
        <v>10</v>
      </c>
    </row>
    <row r="1773" spans="1:12" x14ac:dyDescent="0.35">
      <c r="A1773" t="s">
        <v>8</v>
      </c>
      <c r="B1773" t="s">
        <v>84</v>
      </c>
      <c r="C1773" t="s">
        <v>95</v>
      </c>
      <c r="D1773" t="s">
        <v>10</v>
      </c>
      <c r="E1773" t="s">
        <v>10</v>
      </c>
      <c r="F1773" s="7">
        <v>45612</v>
      </c>
      <c r="G1773" s="1">
        <v>45292</v>
      </c>
      <c r="H1773" s="14">
        <v>13728.680000000004</v>
      </c>
      <c r="I1773">
        <v>1485645</v>
      </c>
      <c r="J1773" t="s">
        <v>86</v>
      </c>
      <c r="K1773" t="s">
        <v>96</v>
      </c>
      <c r="L1773" s="16" t="s">
        <v>10</v>
      </c>
    </row>
    <row r="1774" spans="1:12" x14ac:dyDescent="0.35">
      <c r="A1774" t="s">
        <v>8</v>
      </c>
      <c r="B1774" t="s">
        <v>17</v>
      </c>
      <c r="C1774" t="s">
        <v>93</v>
      </c>
      <c r="D1774" t="s">
        <v>10</v>
      </c>
      <c r="E1774" t="s">
        <v>10</v>
      </c>
      <c r="F1774" s="7">
        <v>45612</v>
      </c>
      <c r="G1774" s="1">
        <v>45292</v>
      </c>
      <c r="H1774" s="14">
        <v>12388.117099999998</v>
      </c>
      <c r="I1774">
        <v>6432203</v>
      </c>
      <c r="J1774" t="s">
        <v>86</v>
      </c>
      <c r="K1774" t="s">
        <v>94</v>
      </c>
      <c r="L1774" s="16" t="s">
        <v>10</v>
      </c>
    </row>
    <row r="1775" spans="1:12" x14ac:dyDescent="0.35">
      <c r="A1775" t="s">
        <v>8</v>
      </c>
      <c r="B1775" t="s">
        <v>17</v>
      </c>
      <c r="C1775" t="s">
        <v>95</v>
      </c>
      <c r="D1775" t="s">
        <v>10</v>
      </c>
      <c r="E1775" t="s">
        <v>10</v>
      </c>
      <c r="F1775" s="7">
        <v>45612</v>
      </c>
      <c r="G1775" s="1">
        <v>45292</v>
      </c>
      <c r="H1775" s="14">
        <v>8343.0800000000017</v>
      </c>
      <c r="I1775">
        <v>1661747</v>
      </c>
      <c r="J1775" t="s">
        <v>86</v>
      </c>
      <c r="K1775" t="s">
        <v>96</v>
      </c>
      <c r="L1775" s="16" t="s">
        <v>10</v>
      </c>
    </row>
    <row r="1776" spans="1:12" x14ac:dyDescent="0.35">
      <c r="A1776" t="s">
        <v>8</v>
      </c>
      <c r="B1776" t="s">
        <v>99</v>
      </c>
      <c r="C1776" t="s">
        <v>93</v>
      </c>
      <c r="D1776" t="s">
        <v>10</v>
      </c>
      <c r="E1776" t="s">
        <v>10</v>
      </c>
      <c r="F1776" s="7">
        <v>45612</v>
      </c>
      <c r="G1776" s="1">
        <v>45292</v>
      </c>
      <c r="H1776" s="14">
        <v>4798.9595000000008</v>
      </c>
      <c r="I1776">
        <v>772285</v>
      </c>
      <c r="J1776" t="s">
        <v>86</v>
      </c>
      <c r="K1776" t="s">
        <v>94</v>
      </c>
      <c r="L1776" s="16" t="s">
        <v>10</v>
      </c>
    </row>
    <row r="1777" spans="1:12" x14ac:dyDescent="0.35">
      <c r="A1777" t="s">
        <v>8</v>
      </c>
      <c r="B1777" t="s">
        <v>99</v>
      </c>
      <c r="C1777" t="s">
        <v>95</v>
      </c>
      <c r="D1777" t="s">
        <v>10</v>
      </c>
      <c r="E1777" t="s">
        <v>10</v>
      </c>
      <c r="F1777" s="7">
        <v>45612</v>
      </c>
      <c r="G1777" s="1">
        <v>45292</v>
      </c>
      <c r="H1777" s="14">
        <v>8747.6200000000008</v>
      </c>
      <c r="I1777">
        <v>1836934</v>
      </c>
      <c r="J1777" t="s">
        <v>86</v>
      </c>
      <c r="K1777" t="s">
        <v>96</v>
      </c>
      <c r="L1777" s="16" t="s">
        <v>10</v>
      </c>
    </row>
    <row r="1778" spans="1:12" x14ac:dyDescent="0.35">
      <c r="A1778" t="s">
        <v>8</v>
      </c>
      <c r="B1778" t="s">
        <v>100</v>
      </c>
      <c r="C1778" t="s">
        <v>93</v>
      </c>
      <c r="D1778" t="s">
        <v>10</v>
      </c>
      <c r="E1778" t="s">
        <v>10</v>
      </c>
      <c r="F1778" s="7">
        <v>45612</v>
      </c>
      <c r="G1778" s="1">
        <v>45292</v>
      </c>
      <c r="H1778" s="14">
        <v>5253.5214000000005</v>
      </c>
      <c r="I1778">
        <v>1173942</v>
      </c>
      <c r="J1778" t="s">
        <v>86</v>
      </c>
      <c r="K1778" t="s">
        <v>94</v>
      </c>
      <c r="L1778" s="16" t="s">
        <v>10</v>
      </c>
    </row>
    <row r="1779" spans="1:12" x14ac:dyDescent="0.35">
      <c r="A1779" t="s">
        <v>8</v>
      </c>
      <c r="B1779" t="s">
        <v>100</v>
      </c>
      <c r="C1779" t="s">
        <v>95</v>
      </c>
      <c r="D1779" t="s">
        <v>10</v>
      </c>
      <c r="E1779" t="s">
        <v>10</v>
      </c>
      <c r="F1779" s="7">
        <v>45612</v>
      </c>
      <c r="G1779" s="1">
        <v>45292</v>
      </c>
      <c r="H1779" s="14">
        <v>8590.2999999999993</v>
      </c>
      <c r="I1779">
        <v>1919712</v>
      </c>
      <c r="J1779" t="s">
        <v>86</v>
      </c>
      <c r="K1779" t="s">
        <v>96</v>
      </c>
      <c r="L1779" s="16" t="s">
        <v>10</v>
      </c>
    </row>
    <row r="1780" spans="1:12" x14ac:dyDescent="0.35">
      <c r="A1780" t="s">
        <v>8</v>
      </c>
      <c r="B1780" t="s">
        <v>21</v>
      </c>
      <c r="C1780" t="s">
        <v>93</v>
      </c>
      <c r="D1780" t="s">
        <v>10</v>
      </c>
      <c r="E1780" t="s">
        <v>10</v>
      </c>
      <c r="F1780" s="7">
        <v>45612</v>
      </c>
      <c r="G1780" s="1">
        <v>45292</v>
      </c>
      <c r="H1780" s="14">
        <v>3365.7590999999989</v>
      </c>
      <c r="I1780">
        <v>1034909</v>
      </c>
      <c r="J1780" t="s">
        <v>86</v>
      </c>
      <c r="K1780" t="s">
        <v>94</v>
      </c>
      <c r="L1780" s="16" t="s">
        <v>10</v>
      </c>
    </row>
    <row r="1781" spans="1:12" x14ac:dyDescent="0.35">
      <c r="A1781" t="s">
        <v>8</v>
      </c>
      <c r="B1781" t="s">
        <v>21</v>
      </c>
      <c r="C1781" t="s">
        <v>95</v>
      </c>
      <c r="D1781" t="s">
        <v>10</v>
      </c>
      <c r="E1781" t="s">
        <v>10</v>
      </c>
      <c r="F1781" s="7">
        <v>45612</v>
      </c>
      <c r="G1781" s="1">
        <v>45292</v>
      </c>
      <c r="H1781" s="14">
        <v>13987.599999999995</v>
      </c>
      <c r="I1781">
        <v>998877</v>
      </c>
      <c r="J1781" t="s">
        <v>86</v>
      </c>
      <c r="K1781" t="s">
        <v>96</v>
      </c>
      <c r="L1781" s="16" t="s">
        <v>10</v>
      </c>
    </row>
    <row r="1782" spans="1:12" x14ac:dyDescent="0.35">
      <c r="A1782" t="s">
        <v>8</v>
      </c>
      <c r="B1782" t="s">
        <v>101</v>
      </c>
      <c r="C1782" t="s">
        <v>93</v>
      </c>
      <c r="D1782" t="s">
        <v>10</v>
      </c>
      <c r="E1782" t="s">
        <v>10</v>
      </c>
      <c r="F1782" s="7">
        <v>45612</v>
      </c>
      <c r="G1782" s="1">
        <v>45292</v>
      </c>
      <c r="H1782" s="14">
        <v>2704.6030999999998</v>
      </c>
      <c r="I1782">
        <v>746774</v>
      </c>
      <c r="J1782" t="s">
        <v>86</v>
      </c>
      <c r="K1782" t="s">
        <v>94</v>
      </c>
      <c r="L1782" s="16" t="s">
        <v>10</v>
      </c>
    </row>
    <row r="1783" spans="1:12" x14ac:dyDescent="0.35">
      <c r="A1783" t="s">
        <v>8</v>
      </c>
      <c r="B1783" t="s">
        <v>101</v>
      </c>
      <c r="C1783" t="s">
        <v>95</v>
      </c>
      <c r="D1783" t="s">
        <v>10</v>
      </c>
      <c r="E1783" t="s">
        <v>10</v>
      </c>
      <c r="F1783" s="7">
        <v>45612</v>
      </c>
      <c r="G1783" s="1">
        <v>45292</v>
      </c>
      <c r="H1783" s="14">
        <v>2226.7500000000005</v>
      </c>
      <c r="I1783">
        <v>830782</v>
      </c>
      <c r="J1783" t="s">
        <v>86</v>
      </c>
      <c r="K1783" t="s">
        <v>96</v>
      </c>
      <c r="L1783" s="16" t="s">
        <v>10</v>
      </c>
    </row>
    <row r="1784" spans="1:12" x14ac:dyDescent="0.35">
      <c r="A1784" t="s">
        <v>8</v>
      </c>
      <c r="B1784" t="s">
        <v>103</v>
      </c>
      <c r="C1784" t="s">
        <v>95</v>
      </c>
      <c r="D1784" t="s">
        <v>104</v>
      </c>
      <c r="E1784" t="s">
        <v>8</v>
      </c>
      <c r="F1784" s="7">
        <v>45612</v>
      </c>
      <c r="G1784" s="1">
        <v>45292</v>
      </c>
      <c r="H1784" s="14">
        <v>48.651818000000006</v>
      </c>
      <c r="I1784">
        <v>386</v>
      </c>
      <c r="J1784" t="s">
        <v>86</v>
      </c>
      <c r="K1784" t="s">
        <v>105</v>
      </c>
      <c r="L1784" s="16" t="s">
        <v>95</v>
      </c>
    </row>
    <row r="1785" spans="1:12" x14ac:dyDescent="0.35">
      <c r="A1785" t="s">
        <v>8</v>
      </c>
      <c r="B1785" t="s">
        <v>16</v>
      </c>
      <c r="C1785" t="s">
        <v>95</v>
      </c>
      <c r="D1785" t="s">
        <v>104</v>
      </c>
      <c r="E1785" t="s">
        <v>8</v>
      </c>
      <c r="F1785" s="7">
        <v>45612</v>
      </c>
      <c r="G1785" s="1">
        <v>45292</v>
      </c>
      <c r="H1785" s="14">
        <v>36.323284000000001</v>
      </c>
      <c r="I1785">
        <v>300</v>
      </c>
      <c r="J1785" t="s">
        <v>86</v>
      </c>
      <c r="K1785" t="s">
        <v>105</v>
      </c>
      <c r="L1785" s="16" t="s">
        <v>95</v>
      </c>
    </row>
    <row r="1786" spans="1:12" x14ac:dyDescent="0.35">
      <c r="A1786" t="s">
        <v>8</v>
      </c>
      <c r="B1786" t="s">
        <v>84</v>
      </c>
      <c r="C1786" t="s">
        <v>95</v>
      </c>
      <c r="D1786" t="s">
        <v>104</v>
      </c>
      <c r="E1786" t="s">
        <v>8</v>
      </c>
      <c r="F1786" s="7">
        <v>45612</v>
      </c>
      <c r="G1786" s="1">
        <v>45292</v>
      </c>
      <c r="H1786" s="14">
        <v>7491.2811920000013</v>
      </c>
      <c r="I1786">
        <v>32107</v>
      </c>
      <c r="J1786" t="s">
        <v>86</v>
      </c>
      <c r="K1786" t="s">
        <v>105</v>
      </c>
      <c r="L1786" s="16" t="s">
        <v>95</v>
      </c>
    </row>
    <row r="1787" spans="1:12" x14ac:dyDescent="0.35">
      <c r="A1787" t="s">
        <v>8</v>
      </c>
      <c r="B1787" t="s">
        <v>17</v>
      </c>
      <c r="C1787" t="s">
        <v>95</v>
      </c>
      <c r="D1787" t="s">
        <v>104</v>
      </c>
      <c r="E1787" t="s">
        <v>8</v>
      </c>
      <c r="F1787" s="7">
        <v>45612</v>
      </c>
      <c r="G1787" s="1">
        <v>45292</v>
      </c>
      <c r="H1787" s="14">
        <v>123.517662</v>
      </c>
      <c r="I1787">
        <v>1006</v>
      </c>
      <c r="J1787" t="s">
        <v>86</v>
      </c>
      <c r="K1787" t="s">
        <v>105</v>
      </c>
      <c r="L1787" s="16" t="s">
        <v>95</v>
      </c>
    </row>
    <row r="1788" spans="1:12" x14ac:dyDescent="0.35">
      <c r="A1788" t="s">
        <v>8</v>
      </c>
      <c r="B1788" t="s">
        <v>106</v>
      </c>
      <c r="C1788" t="s">
        <v>95</v>
      </c>
      <c r="D1788" t="s">
        <v>104</v>
      </c>
      <c r="E1788" t="s">
        <v>8</v>
      </c>
      <c r="F1788" s="7">
        <v>45612</v>
      </c>
      <c r="G1788" s="1">
        <v>45292</v>
      </c>
      <c r="H1788" s="14">
        <v>721.70197699999994</v>
      </c>
      <c r="I1788">
        <v>1091</v>
      </c>
      <c r="J1788" t="s">
        <v>86</v>
      </c>
      <c r="K1788" t="s">
        <v>105</v>
      </c>
      <c r="L1788" s="16" t="s">
        <v>95</v>
      </c>
    </row>
    <row r="1789" spans="1:12" x14ac:dyDescent="0.35">
      <c r="A1789" t="s">
        <v>8</v>
      </c>
      <c r="B1789" t="s">
        <v>92</v>
      </c>
      <c r="C1789" t="s">
        <v>95</v>
      </c>
      <c r="D1789" t="s">
        <v>104</v>
      </c>
      <c r="E1789" t="s">
        <v>8</v>
      </c>
      <c r="F1789" s="7">
        <v>45612</v>
      </c>
      <c r="G1789" s="1">
        <v>45292</v>
      </c>
      <c r="H1789" s="14">
        <v>223.80964299999999</v>
      </c>
      <c r="I1789">
        <v>2228</v>
      </c>
      <c r="J1789" t="s">
        <v>86</v>
      </c>
      <c r="K1789" t="s">
        <v>105</v>
      </c>
      <c r="L1789" s="16" t="s">
        <v>95</v>
      </c>
    </row>
    <row r="1790" spans="1:12" x14ac:dyDescent="0.35">
      <c r="A1790" t="s">
        <v>8</v>
      </c>
      <c r="B1790" t="s">
        <v>21</v>
      </c>
      <c r="C1790" t="s">
        <v>95</v>
      </c>
      <c r="D1790" t="s">
        <v>104</v>
      </c>
      <c r="E1790" t="s">
        <v>8</v>
      </c>
      <c r="F1790" s="7">
        <v>45612</v>
      </c>
      <c r="G1790" s="1">
        <v>45292</v>
      </c>
      <c r="H1790" s="14">
        <v>248.58994999999999</v>
      </c>
      <c r="I1790">
        <v>2286</v>
      </c>
      <c r="J1790" t="s">
        <v>86</v>
      </c>
      <c r="K1790" t="s">
        <v>105</v>
      </c>
      <c r="L1790" s="16" t="s">
        <v>95</v>
      </c>
    </row>
    <row r="1791" spans="1:12" x14ac:dyDescent="0.35">
      <c r="A1791" t="s">
        <v>8</v>
      </c>
      <c r="B1791" t="s">
        <v>101</v>
      </c>
      <c r="C1791" t="s">
        <v>95</v>
      </c>
      <c r="D1791" t="s">
        <v>104</v>
      </c>
      <c r="E1791" t="s">
        <v>8</v>
      </c>
      <c r="F1791" s="7">
        <v>45612</v>
      </c>
      <c r="G1791" s="1">
        <v>45292</v>
      </c>
      <c r="H1791" s="14">
        <v>78.517478999999994</v>
      </c>
      <c r="I1791">
        <v>514</v>
      </c>
      <c r="J1791" t="s">
        <v>86</v>
      </c>
      <c r="K1791" t="s">
        <v>105</v>
      </c>
      <c r="L1791" s="16" t="s">
        <v>95</v>
      </c>
    </row>
    <row r="1792" spans="1:12" x14ac:dyDescent="0.35">
      <c r="A1792" t="s">
        <v>8</v>
      </c>
      <c r="B1792" t="s">
        <v>99</v>
      </c>
      <c r="C1792" t="s">
        <v>95</v>
      </c>
      <c r="D1792" t="s">
        <v>104</v>
      </c>
      <c r="E1792" t="s">
        <v>8</v>
      </c>
      <c r="F1792" s="7">
        <v>45612</v>
      </c>
      <c r="G1792" s="1">
        <v>45292</v>
      </c>
      <c r="H1792" s="14">
        <v>166.094144</v>
      </c>
      <c r="I1792">
        <v>1053</v>
      </c>
      <c r="J1792" t="s">
        <v>86</v>
      </c>
      <c r="K1792" t="s">
        <v>105</v>
      </c>
      <c r="L1792" s="16" t="s">
        <v>95</v>
      </c>
    </row>
    <row r="1793" spans="1:12" x14ac:dyDescent="0.35">
      <c r="A1793" t="s">
        <v>8</v>
      </c>
      <c r="B1793" t="s">
        <v>102</v>
      </c>
      <c r="C1793" t="s">
        <v>95</v>
      </c>
      <c r="D1793" t="s">
        <v>104</v>
      </c>
      <c r="E1793" t="s">
        <v>8</v>
      </c>
      <c r="F1793" s="7">
        <v>45612</v>
      </c>
      <c r="G1793" s="1">
        <v>45292</v>
      </c>
      <c r="H1793" s="14">
        <v>335.00916599999999</v>
      </c>
      <c r="I1793">
        <v>1135</v>
      </c>
      <c r="J1793" t="s">
        <v>86</v>
      </c>
      <c r="K1793" t="s">
        <v>105</v>
      </c>
      <c r="L1793" s="16" t="s">
        <v>95</v>
      </c>
    </row>
    <row r="1794" spans="1:12" x14ac:dyDescent="0.35">
      <c r="A1794" t="s">
        <v>8</v>
      </c>
      <c r="B1794" t="s">
        <v>100</v>
      </c>
      <c r="C1794" t="s">
        <v>95</v>
      </c>
      <c r="D1794" t="s">
        <v>104</v>
      </c>
      <c r="E1794" t="s">
        <v>8</v>
      </c>
      <c r="F1794" s="7">
        <v>45612</v>
      </c>
      <c r="G1794" s="1">
        <v>45292</v>
      </c>
      <c r="H1794" s="14">
        <v>153.15325000000001</v>
      </c>
      <c r="I1794">
        <v>1080</v>
      </c>
      <c r="J1794" t="s">
        <v>86</v>
      </c>
      <c r="K1794" t="s">
        <v>105</v>
      </c>
      <c r="L1794" s="16" t="s">
        <v>95</v>
      </c>
    </row>
    <row r="1795" spans="1:12" x14ac:dyDescent="0.35">
      <c r="A1795" t="s">
        <v>8</v>
      </c>
      <c r="B1795" t="s">
        <v>84</v>
      </c>
      <c r="C1795" t="s">
        <v>85</v>
      </c>
      <c r="D1795" t="s">
        <v>9</v>
      </c>
      <c r="E1795" t="s">
        <v>11</v>
      </c>
      <c r="F1795" s="7">
        <v>45619</v>
      </c>
      <c r="G1795" s="1">
        <v>45292</v>
      </c>
      <c r="H1795" s="14">
        <v>50000.000008000003</v>
      </c>
      <c r="I1795">
        <v>4751674</v>
      </c>
      <c r="J1795" t="s">
        <v>86</v>
      </c>
      <c r="K1795" t="s">
        <v>87</v>
      </c>
      <c r="L1795" s="16" t="s">
        <v>9</v>
      </c>
    </row>
    <row r="1796" spans="1:12" x14ac:dyDescent="0.35">
      <c r="A1796" t="s">
        <v>8</v>
      </c>
      <c r="B1796" t="s">
        <v>84</v>
      </c>
      <c r="C1796" t="s">
        <v>85</v>
      </c>
      <c r="D1796" t="s">
        <v>9</v>
      </c>
      <c r="E1796" t="s">
        <v>12</v>
      </c>
      <c r="F1796" s="7">
        <v>45619</v>
      </c>
      <c r="G1796" s="1">
        <v>45292</v>
      </c>
      <c r="H1796" s="14">
        <v>23975.640006000001</v>
      </c>
      <c r="I1796">
        <v>2064790</v>
      </c>
      <c r="J1796" t="s">
        <v>86</v>
      </c>
      <c r="K1796" t="s">
        <v>87</v>
      </c>
      <c r="L1796" s="16" t="s">
        <v>12</v>
      </c>
    </row>
    <row r="1797" spans="1:12" x14ac:dyDescent="0.35">
      <c r="A1797" t="s">
        <v>8</v>
      </c>
      <c r="B1797" t="s">
        <v>92</v>
      </c>
      <c r="C1797" t="s">
        <v>93</v>
      </c>
      <c r="D1797" t="s">
        <v>10</v>
      </c>
      <c r="E1797" t="s">
        <v>10</v>
      </c>
      <c r="F1797" s="7">
        <v>45619</v>
      </c>
      <c r="G1797" s="1">
        <v>45292</v>
      </c>
      <c r="H1797" s="14">
        <v>7585.2958999999937</v>
      </c>
      <c r="I1797">
        <v>1540133</v>
      </c>
      <c r="J1797" t="s">
        <v>86</v>
      </c>
      <c r="K1797" t="s">
        <v>94</v>
      </c>
      <c r="L1797" s="16" t="s">
        <v>10</v>
      </c>
    </row>
    <row r="1798" spans="1:12" x14ac:dyDescent="0.35">
      <c r="A1798" t="s">
        <v>8</v>
      </c>
      <c r="B1798" t="s">
        <v>92</v>
      </c>
      <c r="C1798" t="s">
        <v>95</v>
      </c>
      <c r="D1798" t="s">
        <v>10</v>
      </c>
      <c r="E1798" t="s">
        <v>10</v>
      </c>
      <c r="F1798" s="7">
        <v>45619</v>
      </c>
      <c r="G1798" s="1">
        <v>45292</v>
      </c>
      <c r="H1798" s="14">
        <v>20387.400000000001</v>
      </c>
      <c r="I1798">
        <v>1543482</v>
      </c>
      <c r="J1798" t="s">
        <v>86</v>
      </c>
      <c r="K1798" t="s">
        <v>96</v>
      </c>
      <c r="L1798" s="16" t="s">
        <v>10</v>
      </c>
    </row>
    <row r="1799" spans="1:12" x14ac:dyDescent="0.35">
      <c r="A1799" t="s">
        <v>8</v>
      </c>
      <c r="B1799" t="s">
        <v>84</v>
      </c>
      <c r="C1799" t="s">
        <v>93</v>
      </c>
      <c r="D1799" t="s">
        <v>10</v>
      </c>
      <c r="E1799" t="s">
        <v>10</v>
      </c>
      <c r="F1799" s="7">
        <v>45619</v>
      </c>
      <c r="G1799" s="1">
        <v>45292</v>
      </c>
      <c r="H1799" s="14">
        <v>11663.030000000006</v>
      </c>
      <c r="I1799">
        <v>2596165</v>
      </c>
      <c r="J1799" t="s">
        <v>86</v>
      </c>
      <c r="K1799" t="s">
        <v>94</v>
      </c>
      <c r="L1799" s="16" t="s">
        <v>10</v>
      </c>
    </row>
    <row r="1800" spans="1:12" x14ac:dyDescent="0.35">
      <c r="A1800" t="s">
        <v>8</v>
      </c>
      <c r="B1800" t="s">
        <v>84</v>
      </c>
      <c r="C1800" t="s">
        <v>95</v>
      </c>
      <c r="D1800" t="s">
        <v>10</v>
      </c>
      <c r="E1800" t="s">
        <v>10</v>
      </c>
      <c r="F1800" s="7">
        <v>45619</v>
      </c>
      <c r="G1800" s="1">
        <v>45292</v>
      </c>
      <c r="H1800" s="14">
        <v>13611.39</v>
      </c>
      <c r="I1800">
        <v>1292443</v>
      </c>
      <c r="J1800" t="s">
        <v>86</v>
      </c>
      <c r="K1800" t="s">
        <v>96</v>
      </c>
      <c r="L1800" s="16" t="s">
        <v>10</v>
      </c>
    </row>
    <row r="1801" spans="1:12" x14ac:dyDescent="0.35">
      <c r="A1801" t="s">
        <v>8</v>
      </c>
      <c r="B1801" t="s">
        <v>17</v>
      </c>
      <c r="C1801" t="s">
        <v>93</v>
      </c>
      <c r="D1801" t="s">
        <v>10</v>
      </c>
      <c r="E1801" t="s">
        <v>10</v>
      </c>
      <c r="F1801" s="7">
        <v>45619</v>
      </c>
      <c r="G1801" s="1">
        <v>45292</v>
      </c>
      <c r="H1801" s="14">
        <v>13146.266100000012</v>
      </c>
      <c r="I1801">
        <v>5898199</v>
      </c>
      <c r="J1801" t="s">
        <v>86</v>
      </c>
      <c r="K1801" t="s">
        <v>94</v>
      </c>
      <c r="L1801" s="16" t="s">
        <v>10</v>
      </c>
    </row>
    <row r="1802" spans="1:12" x14ac:dyDescent="0.35">
      <c r="A1802" t="s">
        <v>8</v>
      </c>
      <c r="B1802" t="s">
        <v>17</v>
      </c>
      <c r="C1802" t="s">
        <v>95</v>
      </c>
      <c r="D1802" t="s">
        <v>10</v>
      </c>
      <c r="E1802" t="s">
        <v>10</v>
      </c>
      <c r="F1802" s="7">
        <v>45619</v>
      </c>
      <c r="G1802" s="1">
        <v>45292</v>
      </c>
      <c r="H1802" s="14">
        <v>9283.880000000001</v>
      </c>
      <c r="I1802">
        <v>1333454</v>
      </c>
      <c r="J1802" t="s">
        <v>86</v>
      </c>
      <c r="K1802" t="s">
        <v>96</v>
      </c>
      <c r="L1802" s="16" t="s">
        <v>10</v>
      </c>
    </row>
    <row r="1803" spans="1:12" x14ac:dyDescent="0.35">
      <c r="A1803" t="s">
        <v>8</v>
      </c>
      <c r="B1803" t="s">
        <v>99</v>
      </c>
      <c r="C1803" t="s">
        <v>93</v>
      </c>
      <c r="D1803" t="s">
        <v>10</v>
      </c>
      <c r="E1803" t="s">
        <v>10</v>
      </c>
      <c r="F1803" s="7">
        <v>45619</v>
      </c>
      <c r="G1803" s="1">
        <v>45292</v>
      </c>
      <c r="H1803" s="14">
        <v>4659.5454</v>
      </c>
      <c r="I1803">
        <v>864981</v>
      </c>
      <c r="J1803" t="s">
        <v>86</v>
      </c>
      <c r="K1803" t="s">
        <v>94</v>
      </c>
      <c r="L1803" s="16" t="s">
        <v>10</v>
      </c>
    </row>
    <row r="1804" spans="1:12" x14ac:dyDescent="0.35">
      <c r="A1804" t="s">
        <v>8</v>
      </c>
      <c r="B1804" t="s">
        <v>99</v>
      </c>
      <c r="C1804" t="s">
        <v>95</v>
      </c>
      <c r="D1804" t="s">
        <v>10</v>
      </c>
      <c r="E1804" t="s">
        <v>10</v>
      </c>
      <c r="F1804" s="7">
        <v>45619</v>
      </c>
      <c r="G1804" s="1">
        <v>45292</v>
      </c>
      <c r="H1804" s="14">
        <v>7915.41</v>
      </c>
      <c r="I1804">
        <v>1471022</v>
      </c>
      <c r="J1804" t="s">
        <v>86</v>
      </c>
      <c r="K1804" t="s">
        <v>96</v>
      </c>
      <c r="L1804" s="16" t="s">
        <v>10</v>
      </c>
    </row>
    <row r="1805" spans="1:12" x14ac:dyDescent="0.35">
      <c r="A1805" t="s">
        <v>8</v>
      </c>
      <c r="B1805" t="s">
        <v>100</v>
      </c>
      <c r="C1805" t="s">
        <v>93</v>
      </c>
      <c r="D1805" t="s">
        <v>10</v>
      </c>
      <c r="E1805" t="s">
        <v>10</v>
      </c>
      <c r="F1805" s="7">
        <v>45619</v>
      </c>
      <c r="G1805" s="1">
        <v>45292</v>
      </c>
      <c r="H1805" s="14">
        <v>5286.8309999999974</v>
      </c>
      <c r="I1805">
        <v>916496</v>
      </c>
      <c r="J1805" t="s">
        <v>86</v>
      </c>
      <c r="K1805" t="s">
        <v>94</v>
      </c>
      <c r="L1805" s="16" t="s">
        <v>10</v>
      </c>
    </row>
    <row r="1806" spans="1:12" x14ac:dyDescent="0.35">
      <c r="A1806" t="s">
        <v>8</v>
      </c>
      <c r="B1806" t="s">
        <v>100</v>
      </c>
      <c r="C1806" t="s">
        <v>95</v>
      </c>
      <c r="D1806" t="s">
        <v>10</v>
      </c>
      <c r="E1806" t="s">
        <v>10</v>
      </c>
      <c r="F1806" s="7">
        <v>45619</v>
      </c>
      <c r="G1806" s="1">
        <v>45292</v>
      </c>
      <c r="H1806" s="14">
        <v>8070.4900000000007</v>
      </c>
      <c r="I1806">
        <v>1784095</v>
      </c>
      <c r="J1806" t="s">
        <v>86</v>
      </c>
      <c r="K1806" t="s">
        <v>96</v>
      </c>
      <c r="L1806" s="16" t="s">
        <v>10</v>
      </c>
    </row>
    <row r="1807" spans="1:12" x14ac:dyDescent="0.35">
      <c r="A1807" t="s">
        <v>8</v>
      </c>
      <c r="B1807" t="s">
        <v>21</v>
      </c>
      <c r="C1807" t="s">
        <v>93</v>
      </c>
      <c r="D1807" t="s">
        <v>10</v>
      </c>
      <c r="E1807" t="s">
        <v>10</v>
      </c>
      <c r="F1807" s="7">
        <v>45619</v>
      </c>
      <c r="G1807" s="1">
        <v>45292</v>
      </c>
      <c r="H1807" s="14">
        <v>4868.1485000000011</v>
      </c>
      <c r="I1807">
        <v>977663</v>
      </c>
      <c r="J1807" t="s">
        <v>86</v>
      </c>
      <c r="K1807" t="s">
        <v>94</v>
      </c>
      <c r="L1807" s="16" t="s">
        <v>10</v>
      </c>
    </row>
    <row r="1808" spans="1:12" x14ac:dyDescent="0.35">
      <c r="A1808" t="s">
        <v>8</v>
      </c>
      <c r="B1808" t="s">
        <v>21</v>
      </c>
      <c r="C1808" t="s">
        <v>95</v>
      </c>
      <c r="D1808" t="s">
        <v>10</v>
      </c>
      <c r="E1808" t="s">
        <v>10</v>
      </c>
      <c r="F1808" s="7">
        <v>45619</v>
      </c>
      <c r="G1808" s="1">
        <v>45292</v>
      </c>
      <c r="H1808" s="14">
        <v>13914.049999999997</v>
      </c>
      <c r="I1808">
        <v>997019</v>
      </c>
      <c r="J1808" t="s">
        <v>86</v>
      </c>
      <c r="K1808" t="s">
        <v>96</v>
      </c>
      <c r="L1808" s="16" t="s">
        <v>10</v>
      </c>
    </row>
    <row r="1809" spans="1:12" x14ac:dyDescent="0.35">
      <c r="A1809" t="s">
        <v>8</v>
      </c>
      <c r="B1809" t="s">
        <v>101</v>
      </c>
      <c r="C1809" t="s">
        <v>93</v>
      </c>
      <c r="D1809" t="s">
        <v>10</v>
      </c>
      <c r="E1809" t="s">
        <v>10</v>
      </c>
      <c r="F1809" s="7">
        <v>45619</v>
      </c>
      <c r="G1809" s="1">
        <v>45292</v>
      </c>
      <c r="H1809" s="14">
        <v>2760.1479000000004</v>
      </c>
      <c r="I1809">
        <v>618551</v>
      </c>
      <c r="J1809" t="s">
        <v>86</v>
      </c>
      <c r="K1809" t="s">
        <v>94</v>
      </c>
      <c r="L1809" s="16" t="s">
        <v>10</v>
      </c>
    </row>
    <row r="1810" spans="1:12" x14ac:dyDescent="0.35">
      <c r="A1810" t="s">
        <v>8</v>
      </c>
      <c r="B1810" t="s">
        <v>101</v>
      </c>
      <c r="C1810" t="s">
        <v>95</v>
      </c>
      <c r="D1810" t="s">
        <v>10</v>
      </c>
      <c r="E1810" t="s">
        <v>10</v>
      </c>
      <c r="F1810" s="7">
        <v>45619</v>
      </c>
      <c r="G1810" s="1">
        <v>45292</v>
      </c>
      <c r="H1810" s="14">
        <v>2105.27</v>
      </c>
      <c r="I1810">
        <v>713861</v>
      </c>
      <c r="J1810" t="s">
        <v>86</v>
      </c>
      <c r="K1810" t="s">
        <v>96</v>
      </c>
      <c r="L1810" s="16" t="s">
        <v>10</v>
      </c>
    </row>
    <row r="1811" spans="1:12" x14ac:dyDescent="0.35">
      <c r="A1811" t="s">
        <v>8</v>
      </c>
      <c r="B1811" t="s">
        <v>102</v>
      </c>
      <c r="C1811" t="s">
        <v>95</v>
      </c>
      <c r="D1811" t="s">
        <v>10</v>
      </c>
      <c r="E1811" t="s">
        <v>10</v>
      </c>
      <c r="F1811" s="7">
        <v>45619</v>
      </c>
      <c r="G1811" s="1">
        <v>45292</v>
      </c>
      <c r="H1811" s="14">
        <v>0.35</v>
      </c>
      <c r="I1811">
        <v>138</v>
      </c>
      <c r="J1811" t="s">
        <v>86</v>
      </c>
      <c r="K1811" t="s">
        <v>96</v>
      </c>
      <c r="L1811" s="16" t="s">
        <v>10</v>
      </c>
    </row>
    <row r="1812" spans="1:12" x14ac:dyDescent="0.35">
      <c r="A1812" t="s">
        <v>8</v>
      </c>
      <c r="B1812" t="s">
        <v>103</v>
      </c>
      <c r="C1812" t="s">
        <v>95</v>
      </c>
      <c r="D1812" t="s">
        <v>104</v>
      </c>
      <c r="E1812" t="s">
        <v>8</v>
      </c>
      <c r="F1812" s="7">
        <v>45619</v>
      </c>
      <c r="G1812" s="1">
        <v>45292</v>
      </c>
      <c r="H1812" s="14">
        <v>38.562568000000006</v>
      </c>
      <c r="I1812">
        <v>321</v>
      </c>
      <c r="J1812" t="s">
        <v>86</v>
      </c>
      <c r="K1812" t="s">
        <v>105</v>
      </c>
      <c r="L1812" s="16" t="s">
        <v>95</v>
      </c>
    </row>
    <row r="1813" spans="1:12" x14ac:dyDescent="0.35">
      <c r="A1813" t="s">
        <v>8</v>
      </c>
      <c r="B1813" t="s">
        <v>16</v>
      </c>
      <c r="C1813" t="s">
        <v>95</v>
      </c>
      <c r="D1813" t="s">
        <v>104</v>
      </c>
      <c r="E1813" t="s">
        <v>8</v>
      </c>
      <c r="F1813" s="7">
        <v>45619</v>
      </c>
      <c r="G1813" s="1">
        <v>45292</v>
      </c>
      <c r="H1813" s="14">
        <v>19.939999999999998</v>
      </c>
      <c r="I1813">
        <v>299</v>
      </c>
      <c r="J1813" t="s">
        <v>86</v>
      </c>
      <c r="K1813" t="s">
        <v>105</v>
      </c>
      <c r="L1813" s="16" t="s">
        <v>95</v>
      </c>
    </row>
    <row r="1814" spans="1:12" x14ac:dyDescent="0.35">
      <c r="A1814" t="s">
        <v>8</v>
      </c>
      <c r="B1814" t="s">
        <v>84</v>
      </c>
      <c r="C1814" t="s">
        <v>95</v>
      </c>
      <c r="D1814" t="s">
        <v>104</v>
      </c>
      <c r="E1814" t="s">
        <v>8</v>
      </c>
      <c r="F1814" s="7">
        <v>45619</v>
      </c>
      <c r="G1814" s="1">
        <v>45292</v>
      </c>
      <c r="H1814" s="14">
        <v>7821.3770779999995</v>
      </c>
      <c r="I1814">
        <v>35009</v>
      </c>
      <c r="J1814" t="s">
        <v>86</v>
      </c>
      <c r="K1814" t="s">
        <v>105</v>
      </c>
      <c r="L1814" s="16" t="s">
        <v>95</v>
      </c>
    </row>
    <row r="1815" spans="1:12" x14ac:dyDescent="0.35">
      <c r="A1815" t="s">
        <v>8</v>
      </c>
      <c r="B1815" t="s">
        <v>17</v>
      </c>
      <c r="C1815" t="s">
        <v>95</v>
      </c>
      <c r="D1815" t="s">
        <v>104</v>
      </c>
      <c r="E1815" t="s">
        <v>8</v>
      </c>
      <c r="F1815" s="7">
        <v>45619</v>
      </c>
      <c r="G1815" s="1">
        <v>45292</v>
      </c>
      <c r="H1815" s="14">
        <v>99.500647999999998</v>
      </c>
      <c r="I1815">
        <v>1104</v>
      </c>
      <c r="J1815" t="s">
        <v>86</v>
      </c>
      <c r="K1815" t="s">
        <v>105</v>
      </c>
      <c r="L1815" s="16" t="s">
        <v>95</v>
      </c>
    </row>
    <row r="1816" spans="1:12" x14ac:dyDescent="0.35">
      <c r="A1816" t="s">
        <v>8</v>
      </c>
      <c r="B1816" t="s">
        <v>106</v>
      </c>
      <c r="C1816" t="s">
        <v>95</v>
      </c>
      <c r="D1816" t="s">
        <v>104</v>
      </c>
      <c r="E1816" t="s">
        <v>8</v>
      </c>
      <c r="F1816" s="7">
        <v>45619</v>
      </c>
      <c r="G1816" s="1">
        <v>45292</v>
      </c>
      <c r="H1816" s="14">
        <v>505.62255099999999</v>
      </c>
      <c r="I1816">
        <v>898</v>
      </c>
      <c r="J1816" t="s">
        <v>86</v>
      </c>
      <c r="K1816" t="s">
        <v>105</v>
      </c>
      <c r="L1816" s="16" t="s">
        <v>95</v>
      </c>
    </row>
    <row r="1817" spans="1:12" x14ac:dyDescent="0.35">
      <c r="A1817" t="s">
        <v>8</v>
      </c>
      <c r="B1817" t="s">
        <v>92</v>
      </c>
      <c r="C1817" t="s">
        <v>95</v>
      </c>
      <c r="D1817" t="s">
        <v>104</v>
      </c>
      <c r="E1817" t="s">
        <v>8</v>
      </c>
      <c r="F1817" s="7">
        <v>45619</v>
      </c>
      <c r="G1817" s="1">
        <v>45292</v>
      </c>
      <c r="H1817" s="14">
        <v>207.82541799999996</v>
      </c>
      <c r="I1817">
        <v>2235</v>
      </c>
      <c r="J1817" t="s">
        <v>86</v>
      </c>
      <c r="K1817" t="s">
        <v>105</v>
      </c>
      <c r="L1817" s="16" t="s">
        <v>95</v>
      </c>
    </row>
    <row r="1818" spans="1:12" x14ac:dyDescent="0.35">
      <c r="A1818" t="s">
        <v>8</v>
      </c>
      <c r="B1818" t="s">
        <v>21</v>
      </c>
      <c r="C1818" t="s">
        <v>95</v>
      </c>
      <c r="D1818" t="s">
        <v>104</v>
      </c>
      <c r="E1818" t="s">
        <v>8</v>
      </c>
      <c r="F1818" s="7">
        <v>45619</v>
      </c>
      <c r="G1818" s="1">
        <v>45292</v>
      </c>
      <c r="H1818" s="14">
        <v>252.37172000000001</v>
      </c>
      <c r="I1818">
        <v>2411</v>
      </c>
      <c r="J1818" t="s">
        <v>86</v>
      </c>
      <c r="K1818" t="s">
        <v>105</v>
      </c>
      <c r="L1818" s="16" t="s">
        <v>95</v>
      </c>
    </row>
    <row r="1819" spans="1:12" x14ac:dyDescent="0.35">
      <c r="A1819" t="s">
        <v>8</v>
      </c>
      <c r="B1819" t="s">
        <v>101</v>
      </c>
      <c r="C1819" t="s">
        <v>95</v>
      </c>
      <c r="D1819" t="s">
        <v>104</v>
      </c>
      <c r="E1819" t="s">
        <v>8</v>
      </c>
      <c r="F1819" s="7">
        <v>45619</v>
      </c>
      <c r="G1819" s="1">
        <v>45292</v>
      </c>
      <c r="H1819" s="14">
        <v>88.663297999999998</v>
      </c>
      <c r="I1819">
        <v>537</v>
      </c>
      <c r="J1819" t="s">
        <v>86</v>
      </c>
      <c r="K1819" t="s">
        <v>105</v>
      </c>
      <c r="L1819" s="16" t="s">
        <v>95</v>
      </c>
    </row>
    <row r="1820" spans="1:12" x14ac:dyDescent="0.35">
      <c r="A1820" t="s">
        <v>8</v>
      </c>
      <c r="B1820" t="s">
        <v>99</v>
      </c>
      <c r="C1820" t="s">
        <v>95</v>
      </c>
      <c r="D1820" t="s">
        <v>104</v>
      </c>
      <c r="E1820" t="s">
        <v>8</v>
      </c>
      <c r="F1820" s="7">
        <v>45619</v>
      </c>
      <c r="G1820" s="1">
        <v>45292</v>
      </c>
      <c r="H1820" s="14">
        <v>111.727924</v>
      </c>
      <c r="I1820">
        <v>892</v>
      </c>
      <c r="J1820" t="s">
        <v>86</v>
      </c>
      <c r="K1820" t="s">
        <v>105</v>
      </c>
      <c r="L1820" s="16" t="s">
        <v>95</v>
      </c>
    </row>
    <row r="1821" spans="1:12" x14ac:dyDescent="0.35">
      <c r="A1821" t="s">
        <v>8</v>
      </c>
      <c r="B1821" t="s">
        <v>102</v>
      </c>
      <c r="C1821" t="s">
        <v>95</v>
      </c>
      <c r="D1821" t="s">
        <v>104</v>
      </c>
      <c r="E1821" t="s">
        <v>8</v>
      </c>
      <c r="F1821" s="7">
        <v>45619</v>
      </c>
      <c r="G1821" s="1">
        <v>45292</v>
      </c>
      <c r="H1821" s="14">
        <v>285.00663100000008</v>
      </c>
      <c r="I1821">
        <v>1254</v>
      </c>
      <c r="J1821" t="s">
        <v>86</v>
      </c>
      <c r="K1821" t="s">
        <v>105</v>
      </c>
      <c r="L1821" s="16" t="s">
        <v>95</v>
      </c>
    </row>
    <row r="1822" spans="1:12" x14ac:dyDescent="0.35">
      <c r="A1822" t="s">
        <v>8</v>
      </c>
      <c r="B1822" t="s">
        <v>100</v>
      </c>
      <c r="C1822" t="s">
        <v>95</v>
      </c>
      <c r="D1822" t="s">
        <v>104</v>
      </c>
      <c r="E1822" t="s">
        <v>8</v>
      </c>
      <c r="F1822" s="7">
        <v>45619</v>
      </c>
      <c r="G1822" s="1">
        <v>45292</v>
      </c>
      <c r="H1822" s="14">
        <v>145.66577599999999</v>
      </c>
      <c r="I1822">
        <v>1157</v>
      </c>
      <c r="J1822" t="s">
        <v>86</v>
      </c>
      <c r="K1822" t="s">
        <v>105</v>
      </c>
      <c r="L1822" s="16" t="s">
        <v>95</v>
      </c>
    </row>
    <row r="1823" spans="1:12" x14ac:dyDescent="0.35">
      <c r="A1823" t="s">
        <v>8</v>
      </c>
      <c r="B1823" t="s">
        <v>84</v>
      </c>
      <c r="C1823" t="s">
        <v>85</v>
      </c>
      <c r="D1823" t="s">
        <v>9</v>
      </c>
      <c r="E1823" t="s">
        <v>12</v>
      </c>
      <c r="F1823" s="7">
        <v>45626</v>
      </c>
      <c r="G1823" s="1">
        <v>45292</v>
      </c>
      <c r="H1823" s="14">
        <v>145455.050013</v>
      </c>
      <c r="I1823">
        <v>12920521</v>
      </c>
      <c r="J1823" t="s">
        <v>86</v>
      </c>
      <c r="K1823" t="s">
        <v>87</v>
      </c>
      <c r="L1823" s="16" t="s">
        <v>12</v>
      </c>
    </row>
    <row r="1824" spans="1:12" x14ac:dyDescent="0.35">
      <c r="A1824" t="s">
        <v>8</v>
      </c>
      <c r="B1824" t="s">
        <v>92</v>
      </c>
      <c r="C1824" t="s">
        <v>93</v>
      </c>
      <c r="D1824" t="s">
        <v>10</v>
      </c>
      <c r="E1824" t="s">
        <v>10</v>
      </c>
      <c r="F1824" s="7">
        <v>45626</v>
      </c>
      <c r="G1824" s="1">
        <v>45292</v>
      </c>
      <c r="H1824" s="14">
        <v>12154.927599999995</v>
      </c>
      <c r="I1824">
        <v>2673637</v>
      </c>
      <c r="J1824" t="s">
        <v>86</v>
      </c>
      <c r="K1824" t="s">
        <v>94</v>
      </c>
      <c r="L1824" s="16" t="s">
        <v>10</v>
      </c>
    </row>
    <row r="1825" spans="1:12" x14ac:dyDescent="0.35">
      <c r="A1825" t="s">
        <v>8</v>
      </c>
      <c r="B1825" t="s">
        <v>92</v>
      </c>
      <c r="C1825" t="s">
        <v>95</v>
      </c>
      <c r="D1825" t="s">
        <v>10</v>
      </c>
      <c r="E1825" t="s">
        <v>10</v>
      </c>
      <c r="F1825" s="7">
        <v>45626</v>
      </c>
      <c r="G1825" s="1">
        <v>45292</v>
      </c>
      <c r="H1825" s="14">
        <v>67367.56</v>
      </c>
      <c r="I1825">
        <v>5943250</v>
      </c>
      <c r="J1825" t="s">
        <v>86</v>
      </c>
      <c r="K1825" t="s">
        <v>96</v>
      </c>
      <c r="L1825" s="16" t="s">
        <v>10</v>
      </c>
    </row>
    <row r="1826" spans="1:12" x14ac:dyDescent="0.35">
      <c r="A1826" t="s">
        <v>8</v>
      </c>
      <c r="B1826" t="s">
        <v>84</v>
      </c>
      <c r="C1826" t="s">
        <v>93</v>
      </c>
      <c r="D1826" t="s">
        <v>10</v>
      </c>
      <c r="E1826" t="s">
        <v>10</v>
      </c>
      <c r="F1826" s="7">
        <v>45626</v>
      </c>
      <c r="G1826" s="1">
        <v>45292</v>
      </c>
      <c r="H1826" s="14">
        <v>44117.349600000016</v>
      </c>
      <c r="I1826">
        <v>11112375</v>
      </c>
      <c r="J1826" t="s">
        <v>86</v>
      </c>
      <c r="K1826" t="s">
        <v>94</v>
      </c>
      <c r="L1826" s="16" t="s">
        <v>10</v>
      </c>
    </row>
    <row r="1827" spans="1:12" x14ac:dyDescent="0.35">
      <c r="A1827" t="s">
        <v>8</v>
      </c>
      <c r="B1827" t="s">
        <v>84</v>
      </c>
      <c r="C1827" t="s">
        <v>95</v>
      </c>
      <c r="D1827" t="s">
        <v>10</v>
      </c>
      <c r="E1827" t="s">
        <v>10</v>
      </c>
      <c r="F1827" s="7">
        <v>45626</v>
      </c>
      <c r="G1827" s="1">
        <v>45292</v>
      </c>
      <c r="H1827" s="14">
        <v>24256.400000000001</v>
      </c>
      <c r="I1827">
        <v>2185067</v>
      </c>
      <c r="J1827" t="s">
        <v>86</v>
      </c>
      <c r="K1827" t="s">
        <v>96</v>
      </c>
      <c r="L1827" s="16" t="s">
        <v>10</v>
      </c>
    </row>
    <row r="1828" spans="1:12" x14ac:dyDescent="0.35">
      <c r="A1828" t="s">
        <v>8</v>
      </c>
      <c r="B1828" t="s">
        <v>17</v>
      </c>
      <c r="C1828" t="s">
        <v>93</v>
      </c>
      <c r="D1828" t="s">
        <v>10</v>
      </c>
      <c r="E1828" t="s">
        <v>10</v>
      </c>
      <c r="F1828" s="7">
        <v>45626</v>
      </c>
      <c r="G1828" s="1">
        <v>45292</v>
      </c>
      <c r="H1828" s="14">
        <v>16179.458799999989</v>
      </c>
      <c r="I1828">
        <v>5926870</v>
      </c>
      <c r="J1828" t="s">
        <v>86</v>
      </c>
      <c r="K1828" t="s">
        <v>94</v>
      </c>
      <c r="L1828" s="16" t="s">
        <v>10</v>
      </c>
    </row>
    <row r="1829" spans="1:12" x14ac:dyDescent="0.35">
      <c r="A1829" t="s">
        <v>8</v>
      </c>
      <c r="B1829" t="s">
        <v>17</v>
      </c>
      <c r="C1829" t="s">
        <v>95</v>
      </c>
      <c r="D1829" t="s">
        <v>10</v>
      </c>
      <c r="E1829" t="s">
        <v>10</v>
      </c>
      <c r="F1829" s="7">
        <v>45626</v>
      </c>
      <c r="G1829" s="1">
        <v>45292</v>
      </c>
      <c r="H1829" s="14">
        <v>20079.929999999993</v>
      </c>
      <c r="I1829">
        <v>1547940</v>
      </c>
      <c r="J1829" t="s">
        <v>86</v>
      </c>
      <c r="K1829" t="s">
        <v>96</v>
      </c>
      <c r="L1829" s="16" t="s">
        <v>10</v>
      </c>
    </row>
    <row r="1830" spans="1:12" x14ac:dyDescent="0.35">
      <c r="A1830" t="s">
        <v>8</v>
      </c>
      <c r="B1830" t="s">
        <v>99</v>
      </c>
      <c r="C1830" t="s">
        <v>93</v>
      </c>
      <c r="D1830" t="s">
        <v>10</v>
      </c>
      <c r="E1830" t="s">
        <v>10</v>
      </c>
      <c r="F1830" s="7">
        <v>45626</v>
      </c>
      <c r="G1830" s="1">
        <v>45292</v>
      </c>
      <c r="H1830" s="14">
        <v>3969.1189000000027</v>
      </c>
      <c r="I1830">
        <v>567003</v>
      </c>
      <c r="J1830" t="s">
        <v>86</v>
      </c>
      <c r="K1830" t="s">
        <v>94</v>
      </c>
      <c r="L1830" s="16" t="s">
        <v>10</v>
      </c>
    </row>
    <row r="1831" spans="1:12" x14ac:dyDescent="0.35">
      <c r="A1831" t="s">
        <v>8</v>
      </c>
      <c r="B1831" t="s">
        <v>99</v>
      </c>
      <c r="C1831" t="s">
        <v>95</v>
      </c>
      <c r="D1831" t="s">
        <v>10</v>
      </c>
      <c r="E1831" t="s">
        <v>10</v>
      </c>
      <c r="F1831" s="7">
        <v>45626</v>
      </c>
      <c r="G1831" s="1">
        <v>45292</v>
      </c>
      <c r="H1831" s="14">
        <v>7116.84</v>
      </c>
      <c r="I1831">
        <v>1426249</v>
      </c>
      <c r="J1831" t="s">
        <v>86</v>
      </c>
      <c r="K1831" t="s">
        <v>96</v>
      </c>
      <c r="L1831" s="16" t="s">
        <v>10</v>
      </c>
    </row>
    <row r="1832" spans="1:12" x14ac:dyDescent="0.35">
      <c r="A1832" t="s">
        <v>8</v>
      </c>
      <c r="B1832" t="s">
        <v>100</v>
      </c>
      <c r="C1832" t="s">
        <v>93</v>
      </c>
      <c r="D1832" t="s">
        <v>10</v>
      </c>
      <c r="E1832" t="s">
        <v>10</v>
      </c>
      <c r="F1832" s="7">
        <v>45626</v>
      </c>
      <c r="G1832" s="1">
        <v>45292</v>
      </c>
      <c r="H1832" s="14">
        <v>4361.3540000000003</v>
      </c>
      <c r="I1832">
        <v>526250</v>
      </c>
      <c r="J1832" t="s">
        <v>86</v>
      </c>
      <c r="K1832" t="s">
        <v>94</v>
      </c>
      <c r="L1832" s="16" t="s">
        <v>10</v>
      </c>
    </row>
    <row r="1833" spans="1:12" x14ac:dyDescent="0.35">
      <c r="A1833" t="s">
        <v>8</v>
      </c>
      <c r="B1833" t="s">
        <v>100</v>
      </c>
      <c r="C1833" t="s">
        <v>95</v>
      </c>
      <c r="D1833" t="s">
        <v>10</v>
      </c>
      <c r="E1833" t="s">
        <v>10</v>
      </c>
      <c r="F1833" s="7">
        <v>45626</v>
      </c>
      <c r="G1833" s="1">
        <v>45292</v>
      </c>
      <c r="H1833" s="14">
        <v>10166.380000000003</v>
      </c>
      <c r="I1833">
        <v>1796120</v>
      </c>
      <c r="J1833" t="s">
        <v>86</v>
      </c>
      <c r="K1833" t="s">
        <v>96</v>
      </c>
      <c r="L1833" s="16" t="s">
        <v>10</v>
      </c>
    </row>
    <row r="1834" spans="1:12" x14ac:dyDescent="0.35">
      <c r="A1834" t="s">
        <v>8</v>
      </c>
      <c r="B1834" t="s">
        <v>21</v>
      </c>
      <c r="C1834" t="s">
        <v>93</v>
      </c>
      <c r="D1834" t="s">
        <v>10</v>
      </c>
      <c r="E1834" t="s">
        <v>10</v>
      </c>
      <c r="F1834" s="7">
        <v>45626</v>
      </c>
      <c r="G1834" s="1">
        <v>45292</v>
      </c>
      <c r="H1834" s="14">
        <v>4792.5894000000008</v>
      </c>
      <c r="I1834">
        <v>780701</v>
      </c>
      <c r="J1834" t="s">
        <v>86</v>
      </c>
      <c r="K1834" t="s">
        <v>94</v>
      </c>
      <c r="L1834" s="16" t="s">
        <v>10</v>
      </c>
    </row>
    <row r="1835" spans="1:12" x14ac:dyDescent="0.35">
      <c r="A1835" t="s">
        <v>8</v>
      </c>
      <c r="B1835" t="s">
        <v>21</v>
      </c>
      <c r="C1835" t="s">
        <v>95</v>
      </c>
      <c r="D1835" t="s">
        <v>10</v>
      </c>
      <c r="E1835" t="s">
        <v>10</v>
      </c>
      <c r="F1835" s="7">
        <v>45626</v>
      </c>
      <c r="G1835" s="1">
        <v>45292</v>
      </c>
      <c r="H1835" s="14">
        <v>42614.03</v>
      </c>
      <c r="I1835">
        <v>2334889</v>
      </c>
      <c r="J1835" t="s">
        <v>86</v>
      </c>
      <c r="K1835" t="s">
        <v>96</v>
      </c>
      <c r="L1835" s="16" t="s">
        <v>10</v>
      </c>
    </row>
    <row r="1836" spans="1:12" x14ac:dyDescent="0.35">
      <c r="A1836" t="s">
        <v>8</v>
      </c>
      <c r="B1836" t="s">
        <v>101</v>
      </c>
      <c r="C1836" t="s">
        <v>93</v>
      </c>
      <c r="D1836" t="s">
        <v>10</v>
      </c>
      <c r="E1836" t="s">
        <v>10</v>
      </c>
      <c r="F1836" s="7">
        <v>45626</v>
      </c>
      <c r="G1836" s="1">
        <v>45292</v>
      </c>
      <c r="H1836" s="14">
        <v>2573.301100000002</v>
      </c>
      <c r="I1836">
        <v>452365</v>
      </c>
      <c r="J1836" t="s">
        <v>86</v>
      </c>
      <c r="K1836" t="s">
        <v>94</v>
      </c>
      <c r="L1836" s="16" t="s">
        <v>10</v>
      </c>
    </row>
    <row r="1837" spans="1:12" x14ac:dyDescent="0.35">
      <c r="A1837" t="s">
        <v>8</v>
      </c>
      <c r="B1837" t="s">
        <v>101</v>
      </c>
      <c r="C1837" t="s">
        <v>95</v>
      </c>
      <c r="D1837" t="s">
        <v>10</v>
      </c>
      <c r="E1837" t="s">
        <v>10</v>
      </c>
      <c r="F1837" s="7">
        <v>45626</v>
      </c>
      <c r="G1837" s="1">
        <v>45292</v>
      </c>
      <c r="H1837" s="14">
        <v>12679.189999999997</v>
      </c>
      <c r="I1837">
        <v>2522021</v>
      </c>
      <c r="J1837" t="s">
        <v>86</v>
      </c>
      <c r="K1837" t="s">
        <v>96</v>
      </c>
      <c r="L1837" s="16" t="s">
        <v>10</v>
      </c>
    </row>
    <row r="1838" spans="1:12" x14ac:dyDescent="0.35">
      <c r="A1838" t="s">
        <v>8</v>
      </c>
      <c r="B1838" t="s">
        <v>103</v>
      </c>
      <c r="C1838" t="s">
        <v>95</v>
      </c>
      <c r="D1838" t="s">
        <v>104</v>
      </c>
      <c r="E1838" t="s">
        <v>8</v>
      </c>
      <c r="F1838" s="7">
        <v>45626</v>
      </c>
      <c r="G1838" s="1">
        <v>45292</v>
      </c>
      <c r="H1838" s="14">
        <v>47</v>
      </c>
      <c r="I1838">
        <v>384</v>
      </c>
      <c r="J1838" t="s">
        <v>86</v>
      </c>
      <c r="K1838" t="s">
        <v>105</v>
      </c>
      <c r="L1838" s="16" t="s">
        <v>95</v>
      </c>
    </row>
    <row r="1839" spans="1:12" x14ac:dyDescent="0.35">
      <c r="A1839" t="s">
        <v>8</v>
      </c>
      <c r="B1839" t="s">
        <v>16</v>
      </c>
      <c r="C1839" t="s">
        <v>95</v>
      </c>
      <c r="D1839" t="s">
        <v>104</v>
      </c>
      <c r="E1839" t="s">
        <v>8</v>
      </c>
      <c r="F1839" s="7">
        <v>45626</v>
      </c>
      <c r="G1839" s="1">
        <v>45292</v>
      </c>
      <c r="H1839" s="14">
        <v>18.880000000000003</v>
      </c>
      <c r="I1839">
        <v>293</v>
      </c>
      <c r="J1839" t="s">
        <v>86</v>
      </c>
      <c r="K1839" t="s">
        <v>105</v>
      </c>
      <c r="L1839" s="16" t="s">
        <v>95</v>
      </c>
    </row>
    <row r="1840" spans="1:12" x14ac:dyDescent="0.35">
      <c r="A1840" t="s">
        <v>8</v>
      </c>
      <c r="B1840" t="s">
        <v>84</v>
      </c>
      <c r="C1840" t="s">
        <v>95</v>
      </c>
      <c r="D1840" t="s">
        <v>104</v>
      </c>
      <c r="E1840" t="s">
        <v>8</v>
      </c>
      <c r="F1840" s="7">
        <v>45626</v>
      </c>
      <c r="G1840" s="1">
        <v>45292</v>
      </c>
      <c r="H1840" s="14">
        <v>9968.3266860000003</v>
      </c>
      <c r="I1840">
        <v>37782</v>
      </c>
      <c r="J1840" t="s">
        <v>86</v>
      </c>
      <c r="K1840" t="s">
        <v>105</v>
      </c>
      <c r="L1840" s="16" t="s">
        <v>95</v>
      </c>
    </row>
    <row r="1841" spans="1:12" x14ac:dyDescent="0.35">
      <c r="A1841" t="s">
        <v>8</v>
      </c>
      <c r="B1841" t="s">
        <v>17</v>
      </c>
      <c r="C1841" t="s">
        <v>95</v>
      </c>
      <c r="D1841" t="s">
        <v>104</v>
      </c>
      <c r="E1841" t="s">
        <v>8</v>
      </c>
      <c r="F1841" s="7">
        <v>45626</v>
      </c>
      <c r="G1841" s="1">
        <v>45292</v>
      </c>
      <c r="H1841" s="14">
        <v>70.333105000000003</v>
      </c>
      <c r="I1841">
        <v>1031</v>
      </c>
      <c r="J1841" t="s">
        <v>86</v>
      </c>
      <c r="K1841" t="s">
        <v>105</v>
      </c>
      <c r="L1841" s="16" t="s">
        <v>95</v>
      </c>
    </row>
    <row r="1842" spans="1:12" x14ac:dyDescent="0.35">
      <c r="A1842" t="s">
        <v>8</v>
      </c>
      <c r="B1842" t="s">
        <v>106</v>
      </c>
      <c r="C1842" t="s">
        <v>95</v>
      </c>
      <c r="D1842" t="s">
        <v>104</v>
      </c>
      <c r="E1842" t="s">
        <v>8</v>
      </c>
      <c r="F1842" s="7">
        <v>45626</v>
      </c>
      <c r="G1842" s="1">
        <v>45292</v>
      </c>
      <c r="H1842" s="14">
        <v>222.29488199999997</v>
      </c>
      <c r="I1842">
        <v>580</v>
      </c>
      <c r="J1842" t="s">
        <v>86</v>
      </c>
      <c r="K1842" t="s">
        <v>105</v>
      </c>
      <c r="L1842" s="16" t="s">
        <v>95</v>
      </c>
    </row>
    <row r="1843" spans="1:12" x14ac:dyDescent="0.35">
      <c r="A1843" t="s">
        <v>8</v>
      </c>
      <c r="B1843" t="s">
        <v>92</v>
      </c>
      <c r="C1843" t="s">
        <v>95</v>
      </c>
      <c r="D1843" t="s">
        <v>104</v>
      </c>
      <c r="E1843" t="s">
        <v>8</v>
      </c>
      <c r="F1843" s="7">
        <v>45626</v>
      </c>
      <c r="G1843" s="1">
        <v>45292</v>
      </c>
      <c r="H1843" s="14">
        <v>230.04836700000001</v>
      </c>
      <c r="I1843">
        <v>2520</v>
      </c>
      <c r="J1843" t="s">
        <v>86</v>
      </c>
      <c r="K1843" t="s">
        <v>105</v>
      </c>
      <c r="L1843" s="16" t="s">
        <v>95</v>
      </c>
    </row>
    <row r="1844" spans="1:12" x14ac:dyDescent="0.35">
      <c r="A1844" t="s">
        <v>8</v>
      </c>
      <c r="B1844" t="s">
        <v>21</v>
      </c>
      <c r="C1844" t="s">
        <v>95</v>
      </c>
      <c r="D1844" t="s">
        <v>104</v>
      </c>
      <c r="E1844" t="s">
        <v>8</v>
      </c>
      <c r="F1844" s="7">
        <v>45626</v>
      </c>
      <c r="G1844" s="1">
        <v>45292</v>
      </c>
      <c r="H1844" s="14">
        <v>245.15006499999998</v>
      </c>
      <c r="I1844">
        <v>2404</v>
      </c>
      <c r="J1844" t="s">
        <v>86</v>
      </c>
      <c r="K1844" t="s">
        <v>105</v>
      </c>
      <c r="L1844" s="16" t="s">
        <v>95</v>
      </c>
    </row>
    <row r="1845" spans="1:12" x14ac:dyDescent="0.35">
      <c r="A1845" t="s">
        <v>8</v>
      </c>
      <c r="B1845" t="s">
        <v>101</v>
      </c>
      <c r="C1845" t="s">
        <v>95</v>
      </c>
      <c r="D1845" t="s">
        <v>104</v>
      </c>
      <c r="E1845" t="s">
        <v>8</v>
      </c>
      <c r="F1845" s="7">
        <v>45626</v>
      </c>
      <c r="G1845" s="1">
        <v>45292</v>
      </c>
      <c r="H1845" s="14">
        <v>58.273078999999996</v>
      </c>
      <c r="I1845">
        <v>618</v>
      </c>
      <c r="J1845" t="s">
        <v>86</v>
      </c>
      <c r="K1845" t="s">
        <v>105</v>
      </c>
      <c r="L1845" s="16" t="s">
        <v>95</v>
      </c>
    </row>
    <row r="1846" spans="1:12" x14ac:dyDescent="0.35">
      <c r="A1846" t="s">
        <v>8</v>
      </c>
      <c r="B1846" t="s">
        <v>99</v>
      </c>
      <c r="C1846" t="s">
        <v>95</v>
      </c>
      <c r="D1846" t="s">
        <v>104</v>
      </c>
      <c r="E1846" t="s">
        <v>8</v>
      </c>
      <c r="F1846" s="7">
        <v>45626</v>
      </c>
      <c r="G1846" s="1">
        <v>45292</v>
      </c>
      <c r="H1846" s="14">
        <v>143.98729399999999</v>
      </c>
      <c r="I1846">
        <v>1020</v>
      </c>
      <c r="J1846" t="s">
        <v>86</v>
      </c>
      <c r="K1846" t="s">
        <v>105</v>
      </c>
      <c r="L1846" s="16" t="s">
        <v>95</v>
      </c>
    </row>
    <row r="1847" spans="1:12" x14ac:dyDescent="0.35">
      <c r="A1847" t="s">
        <v>8</v>
      </c>
      <c r="B1847" t="s">
        <v>102</v>
      </c>
      <c r="C1847" t="s">
        <v>95</v>
      </c>
      <c r="D1847" t="s">
        <v>104</v>
      </c>
      <c r="E1847" t="s">
        <v>8</v>
      </c>
      <c r="F1847" s="7">
        <v>45626</v>
      </c>
      <c r="G1847" s="1">
        <v>45292</v>
      </c>
      <c r="H1847" s="14">
        <v>245.084317</v>
      </c>
      <c r="I1847">
        <v>1338</v>
      </c>
      <c r="J1847" t="s">
        <v>86</v>
      </c>
      <c r="K1847" t="s">
        <v>105</v>
      </c>
      <c r="L1847" s="16" t="s">
        <v>95</v>
      </c>
    </row>
    <row r="1848" spans="1:12" x14ac:dyDescent="0.35">
      <c r="A1848" t="s">
        <v>8</v>
      </c>
      <c r="B1848" t="s">
        <v>100</v>
      </c>
      <c r="C1848" t="s">
        <v>95</v>
      </c>
      <c r="D1848" t="s">
        <v>104</v>
      </c>
      <c r="E1848" t="s">
        <v>8</v>
      </c>
      <c r="F1848" s="7">
        <v>45626</v>
      </c>
      <c r="G1848" s="1">
        <v>45292</v>
      </c>
      <c r="H1848" s="14">
        <v>149.251496</v>
      </c>
      <c r="I1848">
        <v>1459</v>
      </c>
      <c r="J1848" t="s">
        <v>86</v>
      </c>
      <c r="K1848" t="s">
        <v>105</v>
      </c>
      <c r="L1848" s="16" t="s">
        <v>95</v>
      </c>
    </row>
    <row r="1849" spans="1:12" x14ac:dyDescent="0.35">
      <c r="A1849" t="s">
        <v>8</v>
      </c>
      <c r="B1849" t="s">
        <v>84</v>
      </c>
      <c r="C1849" t="s">
        <v>85</v>
      </c>
      <c r="D1849" t="s">
        <v>9</v>
      </c>
      <c r="E1849" t="s">
        <v>12</v>
      </c>
      <c r="F1849" s="7">
        <v>45633</v>
      </c>
      <c r="G1849" s="1">
        <v>45292</v>
      </c>
      <c r="H1849" s="14">
        <v>51993.73000499999</v>
      </c>
      <c r="I1849">
        <v>5969554</v>
      </c>
      <c r="J1849" t="s">
        <v>86</v>
      </c>
      <c r="K1849" t="s">
        <v>87</v>
      </c>
      <c r="L1849" s="16" t="s">
        <v>12</v>
      </c>
    </row>
    <row r="1850" spans="1:12" x14ac:dyDescent="0.35">
      <c r="A1850" t="s">
        <v>8</v>
      </c>
      <c r="B1850" t="s">
        <v>92</v>
      </c>
      <c r="C1850" t="s">
        <v>93</v>
      </c>
      <c r="D1850" t="s">
        <v>10</v>
      </c>
      <c r="E1850" t="s">
        <v>10</v>
      </c>
      <c r="F1850" s="7">
        <v>45633</v>
      </c>
      <c r="G1850" s="1">
        <v>45292</v>
      </c>
      <c r="H1850" s="14">
        <v>10905.672199999999</v>
      </c>
      <c r="I1850">
        <v>2787767</v>
      </c>
      <c r="J1850" t="s">
        <v>86</v>
      </c>
      <c r="K1850" t="s">
        <v>94</v>
      </c>
      <c r="L1850" s="16" t="s">
        <v>10</v>
      </c>
    </row>
    <row r="1851" spans="1:12" x14ac:dyDescent="0.35">
      <c r="A1851" t="s">
        <v>8</v>
      </c>
      <c r="B1851" t="s">
        <v>92</v>
      </c>
      <c r="C1851" t="s">
        <v>95</v>
      </c>
      <c r="D1851" t="s">
        <v>10</v>
      </c>
      <c r="E1851" t="s">
        <v>10</v>
      </c>
      <c r="F1851" s="7">
        <v>45633</v>
      </c>
      <c r="G1851" s="1">
        <v>45292</v>
      </c>
      <c r="H1851" s="14">
        <v>63658.859999999993</v>
      </c>
      <c r="I1851">
        <v>7402790</v>
      </c>
      <c r="J1851" t="s">
        <v>86</v>
      </c>
      <c r="K1851" t="s">
        <v>96</v>
      </c>
      <c r="L1851" s="16" t="s">
        <v>10</v>
      </c>
    </row>
    <row r="1852" spans="1:12" x14ac:dyDescent="0.35">
      <c r="A1852" t="s">
        <v>8</v>
      </c>
      <c r="B1852" t="s">
        <v>84</v>
      </c>
      <c r="C1852" t="s">
        <v>93</v>
      </c>
      <c r="D1852" t="s">
        <v>10</v>
      </c>
      <c r="E1852" t="s">
        <v>10</v>
      </c>
      <c r="F1852" s="7">
        <v>45633</v>
      </c>
      <c r="G1852" s="1">
        <v>45292</v>
      </c>
      <c r="H1852" s="14">
        <v>27867.296399999999</v>
      </c>
      <c r="I1852">
        <v>8807869</v>
      </c>
      <c r="J1852" t="s">
        <v>86</v>
      </c>
      <c r="K1852" t="s">
        <v>94</v>
      </c>
      <c r="L1852" s="16" t="s">
        <v>10</v>
      </c>
    </row>
    <row r="1853" spans="1:12" x14ac:dyDescent="0.35">
      <c r="A1853" t="s">
        <v>8</v>
      </c>
      <c r="B1853" t="s">
        <v>84</v>
      </c>
      <c r="C1853" t="s">
        <v>95</v>
      </c>
      <c r="D1853" t="s">
        <v>10</v>
      </c>
      <c r="E1853" t="s">
        <v>10</v>
      </c>
      <c r="F1853" s="7">
        <v>45633</v>
      </c>
      <c r="G1853" s="1">
        <v>45292</v>
      </c>
      <c r="H1853" s="14">
        <v>12871.820000000002</v>
      </c>
      <c r="I1853">
        <v>1112334</v>
      </c>
      <c r="J1853" t="s">
        <v>86</v>
      </c>
      <c r="K1853" t="s">
        <v>96</v>
      </c>
      <c r="L1853" s="16" t="s">
        <v>10</v>
      </c>
    </row>
    <row r="1854" spans="1:12" x14ac:dyDescent="0.35">
      <c r="A1854" t="s">
        <v>8</v>
      </c>
      <c r="B1854" t="s">
        <v>17</v>
      </c>
      <c r="C1854" t="s">
        <v>93</v>
      </c>
      <c r="D1854" t="s">
        <v>10</v>
      </c>
      <c r="E1854" t="s">
        <v>10</v>
      </c>
      <c r="F1854" s="7">
        <v>45633</v>
      </c>
      <c r="G1854" s="1">
        <v>45292</v>
      </c>
      <c r="H1854" s="14">
        <v>6228.6185999999989</v>
      </c>
      <c r="I1854">
        <v>2247514</v>
      </c>
      <c r="J1854" t="s">
        <v>86</v>
      </c>
      <c r="K1854" t="s">
        <v>94</v>
      </c>
      <c r="L1854" s="16" t="s">
        <v>10</v>
      </c>
    </row>
    <row r="1855" spans="1:12" x14ac:dyDescent="0.35">
      <c r="A1855" t="s">
        <v>8</v>
      </c>
      <c r="B1855" t="s">
        <v>17</v>
      </c>
      <c r="C1855" t="s">
        <v>95</v>
      </c>
      <c r="D1855" t="s">
        <v>10</v>
      </c>
      <c r="E1855" t="s">
        <v>10</v>
      </c>
      <c r="F1855" s="7">
        <v>45633</v>
      </c>
      <c r="G1855" s="1">
        <v>45292</v>
      </c>
      <c r="H1855" s="14">
        <v>9933.5699999999979</v>
      </c>
      <c r="I1855">
        <v>1144302</v>
      </c>
      <c r="J1855" t="s">
        <v>86</v>
      </c>
      <c r="K1855" t="s">
        <v>96</v>
      </c>
      <c r="L1855" s="16" t="s">
        <v>10</v>
      </c>
    </row>
    <row r="1856" spans="1:12" x14ac:dyDescent="0.35">
      <c r="A1856" t="s">
        <v>8</v>
      </c>
      <c r="B1856" t="s">
        <v>99</v>
      </c>
      <c r="C1856" t="s">
        <v>93</v>
      </c>
      <c r="D1856" t="s">
        <v>10</v>
      </c>
      <c r="E1856" t="s">
        <v>10</v>
      </c>
      <c r="F1856" s="7">
        <v>45633</v>
      </c>
      <c r="G1856" s="1">
        <v>45292</v>
      </c>
      <c r="H1856" s="14">
        <v>4294.7366000000002</v>
      </c>
      <c r="I1856">
        <v>690296</v>
      </c>
      <c r="J1856" t="s">
        <v>86</v>
      </c>
      <c r="K1856" t="s">
        <v>94</v>
      </c>
      <c r="L1856" s="16" t="s">
        <v>10</v>
      </c>
    </row>
    <row r="1857" spans="1:12" x14ac:dyDescent="0.35">
      <c r="A1857" t="s">
        <v>8</v>
      </c>
      <c r="B1857" t="s">
        <v>99</v>
      </c>
      <c r="C1857" t="s">
        <v>95</v>
      </c>
      <c r="D1857" t="s">
        <v>10</v>
      </c>
      <c r="E1857" t="s">
        <v>10</v>
      </c>
      <c r="F1857" s="7">
        <v>45633</v>
      </c>
      <c r="G1857" s="1">
        <v>45292</v>
      </c>
      <c r="H1857" s="14">
        <v>6116.1099999999979</v>
      </c>
      <c r="I1857">
        <v>1326915</v>
      </c>
      <c r="J1857" t="s">
        <v>86</v>
      </c>
      <c r="K1857" t="s">
        <v>96</v>
      </c>
      <c r="L1857" s="16" t="s">
        <v>10</v>
      </c>
    </row>
    <row r="1858" spans="1:12" x14ac:dyDescent="0.35">
      <c r="A1858" t="s">
        <v>8</v>
      </c>
      <c r="B1858" t="s">
        <v>100</v>
      </c>
      <c r="C1858" t="s">
        <v>93</v>
      </c>
      <c r="D1858" t="s">
        <v>10</v>
      </c>
      <c r="E1858" t="s">
        <v>10</v>
      </c>
      <c r="F1858" s="7">
        <v>45633</v>
      </c>
      <c r="G1858" s="1">
        <v>45292</v>
      </c>
      <c r="H1858" s="14">
        <v>4700.6687000000011</v>
      </c>
      <c r="I1858">
        <v>921609</v>
      </c>
      <c r="J1858" t="s">
        <v>86</v>
      </c>
      <c r="K1858" t="s">
        <v>94</v>
      </c>
      <c r="L1858" s="16" t="s">
        <v>10</v>
      </c>
    </row>
    <row r="1859" spans="1:12" x14ac:dyDescent="0.35">
      <c r="A1859" t="s">
        <v>8</v>
      </c>
      <c r="B1859" t="s">
        <v>100</v>
      </c>
      <c r="C1859" t="s">
        <v>95</v>
      </c>
      <c r="D1859" t="s">
        <v>10</v>
      </c>
      <c r="E1859" t="s">
        <v>10</v>
      </c>
      <c r="F1859" s="7">
        <v>45633</v>
      </c>
      <c r="G1859" s="1">
        <v>45292</v>
      </c>
      <c r="H1859" s="14">
        <v>7785.4799999999987</v>
      </c>
      <c r="I1859">
        <v>1839244</v>
      </c>
      <c r="J1859" t="s">
        <v>86</v>
      </c>
      <c r="K1859" t="s">
        <v>96</v>
      </c>
      <c r="L1859" s="16" t="s">
        <v>10</v>
      </c>
    </row>
    <row r="1860" spans="1:12" x14ac:dyDescent="0.35">
      <c r="A1860" t="s">
        <v>8</v>
      </c>
      <c r="B1860" t="s">
        <v>21</v>
      </c>
      <c r="C1860" t="s">
        <v>93</v>
      </c>
      <c r="D1860" t="s">
        <v>10</v>
      </c>
      <c r="E1860" t="s">
        <v>10</v>
      </c>
      <c r="F1860" s="7">
        <v>45633</v>
      </c>
      <c r="G1860" s="1">
        <v>45292</v>
      </c>
      <c r="H1860" s="14">
        <v>5170.7367000000013</v>
      </c>
      <c r="I1860">
        <v>1539811</v>
      </c>
      <c r="J1860" t="s">
        <v>86</v>
      </c>
      <c r="K1860" t="s">
        <v>94</v>
      </c>
      <c r="L1860" s="16" t="s">
        <v>10</v>
      </c>
    </row>
    <row r="1861" spans="1:12" x14ac:dyDescent="0.35">
      <c r="A1861" t="s">
        <v>8</v>
      </c>
      <c r="B1861" t="s">
        <v>21</v>
      </c>
      <c r="C1861" t="s">
        <v>95</v>
      </c>
      <c r="D1861" t="s">
        <v>10</v>
      </c>
      <c r="E1861" t="s">
        <v>10</v>
      </c>
      <c r="F1861" s="7">
        <v>45633</v>
      </c>
      <c r="G1861" s="1">
        <v>45292</v>
      </c>
      <c r="H1861" s="14">
        <v>27772.419999999995</v>
      </c>
      <c r="I1861">
        <v>1725121</v>
      </c>
      <c r="J1861" t="s">
        <v>86</v>
      </c>
      <c r="K1861" t="s">
        <v>96</v>
      </c>
      <c r="L1861" s="16" t="s">
        <v>10</v>
      </c>
    </row>
    <row r="1862" spans="1:12" x14ac:dyDescent="0.35">
      <c r="A1862" t="s">
        <v>8</v>
      </c>
      <c r="B1862" t="s">
        <v>101</v>
      </c>
      <c r="C1862" t="s">
        <v>93</v>
      </c>
      <c r="D1862" t="s">
        <v>10</v>
      </c>
      <c r="E1862" t="s">
        <v>10</v>
      </c>
      <c r="F1862" s="7">
        <v>45633</v>
      </c>
      <c r="G1862" s="1">
        <v>45292</v>
      </c>
      <c r="H1862" s="14">
        <v>2210.8127999999997</v>
      </c>
      <c r="I1862">
        <v>497445</v>
      </c>
      <c r="J1862" t="s">
        <v>86</v>
      </c>
      <c r="K1862" t="s">
        <v>94</v>
      </c>
      <c r="L1862" s="16" t="s">
        <v>10</v>
      </c>
    </row>
    <row r="1863" spans="1:12" x14ac:dyDescent="0.35">
      <c r="A1863" t="s">
        <v>8</v>
      </c>
      <c r="B1863" t="s">
        <v>101</v>
      </c>
      <c r="C1863" t="s">
        <v>95</v>
      </c>
      <c r="D1863" t="s">
        <v>10</v>
      </c>
      <c r="E1863" t="s">
        <v>10</v>
      </c>
      <c r="F1863" s="7">
        <v>45633</v>
      </c>
      <c r="G1863" s="1">
        <v>45292</v>
      </c>
      <c r="H1863" s="14">
        <v>5730.3500000000013</v>
      </c>
      <c r="I1863">
        <v>1252452</v>
      </c>
      <c r="J1863" t="s">
        <v>86</v>
      </c>
      <c r="K1863" t="s">
        <v>96</v>
      </c>
      <c r="L1863" s="16" t="s">
        <v>10</v>
      </c>
    </row>
    <row r="1864" spans="1:12" x14ac:dyDescent="0.35">
      <c r="A1864" t="s">
        <v>8</v>
      </c>
      <c r="B1864" t="s">
        <v>103</v>
      </c>
      <c r="C1864" t="s">
        <v>95</v>
      </c>
      <c r="D1864" t="s">
        <v>104</v>
      </c>
      <c r="E1864" t="s">
        <v>8</v>
      </c>
      <c r="F1864" s="7">
        <v>45633</v>
      </c>
      <c r="G1864" s="1">
        <v>45292</v>
      </c>
      <c r="H1864" s="14">
        <v>32.662573999999999</v>
      </c>
      <c r="I1864">
        <v>361</v>
      </c>
      <c r="J1864" t="s">
        <v>86</v>
      </c>
      <c r="K1864" t="s">
        <v>105</v>
      </c>
      <c r="L1864" s="16" t="s">
        <v>95</v>
      </c>
    </row>
    <row r="1865" spans="1:12" x14ac:dyDescent="0.35">
      <c r="A1865" t="s">
        <v>8</v>
      </c>
      <c r="B1865" t="s">
        <v>16</v>
      </c>
      <c r="C1865" t="s">
        <v>95</v>
      </c>
      <c r="D1865" t="s">
        <v>104</v>
      </c>
      <c r="E1865" t="s">
        <v>8</v>
      </c>
      <c r="F1865" s="7">
        <v>45633</v>
      </c>
      <c r="G1865" s="1">
        <v>45292</v>
      </c>
      <c r="H1865" s="14">
        <v>25.383335000000002</v>
      </c>
      <c r="I1865">
        <v>289</v>
      </c>
      <c r="J1865" t="s">
        <v>86</v>
      </c>
      <c r="K1865" t="s">
        <v>105</v>
      </c>
      <c r="L1865" s="16" t="s">
        <v>95</v>
      </c>
    </row>
    <row r="1866" spans="1:12" x14ac:dyDescent="0.35">
      <c r="A1866" t="s">
        <v>8</v>
      </c>
      <c r="B1866" t="s">
        <v>84</v>
      </c>
      <c r="C1866" t="s">
        <v>95</v>
      </c>
      <c r="D1866" t="s">
        <v>104</v>
      </c>
      <c r="E1866" t="s">
        <v>8</v>
      </c>
      <c r="F1866" s="7">
        <v>45633</v>
      </c>
      <c r="G1866" s="1">
        <v>45292</v>
      </c>
      <c r="H1866" s="14">
        <v>8362.8175480000009</v>
      </c>
      <c r="I1866">
        <v>34005</v>
      </c>
      <c r="J1866" t="s">
        <v>86</v>
      </c>
      <c r="K1866" t="s">
        <v>105</v>
      </c>
      <c r="L1866" s="16" t="s">
        <v>95</v>
      </c>
    </row>
    <row r="1867" spans="1:12" x14ac:dyDescent="0.35">
      <c r="A1867" t="s">
        <v>8</v>
      </c>
      <c r="B1867" t="s">
        <v>17</v>
      </c>
      <c r="C1867" t="s">
        <v>95</v>
      </c>
      <c r="D1867" t="s">
        <v>104</v>
      </c>
      <c r="E1867" t="s">
        <v>8</v>
      </c>
      <c r="F1867" s="7">
        <v>45633</v>
      </c>
      <c r="G1867" s="1">
        <v>45292</v>
      </c>
      <c r="H1867" s="14">
        <v>45.412084</v>
      </c>
      <c r="I1867">
        <v>790</v>
      </c>
      <c r="J1867" t="s">
        <v>86</v>
      </c>
      <c r="K1867" t="s">
        <v>105</v>
      </c>
      <c r="L1867" s="16" t="s">
        <v>95</v>
      </c>
    </row>
    <row r="1868" spans="1:12" x14ac:dyDescent="0.35">
      <c r="A1868" t="s">
        <v>8</v>
      </c>
      <c r="B1868" t="s">
        <v>106</v>
      </c>
      <c r="C1868" t="s">
        <v>95</v>
      </c>
      <c r="D1868" t="s">
        <v>104</v>
      </c>
      <c r="E1868" t="s">
        <v>8</v>
      </c>
      <c r="F1868" s="7">
        <v>45633</v>
      </c>
      <c r="G1868" s="1">
        <v>45292</v>
      </c>
      <c r="H1868" s="14">
        <v>293.75953299999998</v>
      </c>
      <c r="I1868">
        <v>651</v>
      </c>
      <c r="J1868" t="s">
        <v>86</v>
      </c>
      <c r="K1868" t="s">
        <v>105</v>
      </c>
      <c r="L1868" s="16" t="s">
        <v>95</v>
      </c>
    </row>
    <row r="1869" spans="1:12" x14ac:dyDescent="0.35">
      <c r="A1869" t="s">
        <v>8</v>
      </c>
      <c r="B1869" t="s">
        <v>92</v>
      </c>
      <c r="C1869" t="s">
        <v>95</v>
      </c>
      <c r="D1869" t="s">
        <v>104</v>
      </c>
      <c r="E1869" t="s">
        <v>8</v>
      </c>
      <c r="F1869" s="7">
        <v>45633</v>
      </c>
      <c r="G1869" s="1">
        <v>45292</v>
      </c>
      <c r="H1869" s="14">
        <v>168.56552099999999</v>
      </c>
      <c r="I1869">
        <v>1987</v>
      </c>
      <c r="J1869" t="s">
        <v>86</v>
      </c>
      <c r="K1869" t="s">
        <v>105</v>
      </c>
      <c r="L1869" s="16" t="s">
        <v>95</v>
      </c>
    </row>
    <row r="1870" spans="1:12" x14ac:dyDescent="0.35">
      <c r="A1870" t="s">
        <v>8</v>
      </c>
      <c r="B1870" t="s">
        <v>21</v>
      </c>
      <c r="C1870" t="s">
        <v>95</v>
      </c>
      <c r="D1870" t="s">
        <v>104</v>
      </c>
      <c r="E1870" t="s">
        <v>8</v>
      </c>
      <c r="F1870" s="7">
        <v>45633</v>
      </c>
      <c r="G1870" s="1">
        <v>45292</v>
      </c>
      <c r="H1870" s="14">
        <v>198.52171000000001</v>
      </c>
      <c r="I1870">
        <v>2329</v>
      </c>
      <c r="J1870" t="s">
        <v>86</v>
      </c>
      <c r="K1870" t="s">
        <v>105</v>
      </c>
      <c r="L1870" s="16" t="s">
        <v>95</v>
      </c>
    </row>
    <row r="1871" spans="1:12" x14ac:dyDescent="0.35">
      <c r="A1871" t="s">
        <v>8</v>
      </c>
      <c r="B1871" t="s">
        <v>101</v>
      </c>
      <c r="C1871" t="s">
        <v>95</v>
      </c>
      <c r="D1871" t="s">
        <v>104</v>
      </c>
      <c r="E1871" t="s">
        <v>8</v>
      </c>
      <c r="F1871" s="7">
        <v>45633</v>
      </c>
      <c r="G1871" s="1">
        <v>45292</v>
      </c>
      <c r="H1871" s="14">
        <v>31.693034999999998</v>
      </c>
      <c r="I1871">
        <v>421</v>
      </c>
      <c r="J1871" t="s">
        <v>86</v>
      </c>
      <c r="K1871" t="s">
        <v>105</v>
      </c>
      <c r="L1871" s="16" t="s">
        <v>95</v>
      </c>
    </row>
    <row r="1872" spans="1:12" x14ac:dyDescent="0.35">
      <c r="A1872" t="s">
        <v>8</v>
      </c>
      <c r="B1872" t="s">
        <v>99</v>
      </c>
      <c r="C1872" t="s">
        <v>95</v>
      </c>
      <c r="D1872" t="s">
        <v>104</v>
      </c>
      <c r="E1872" t="s">
        <v>8</v>
      </c>
      <c r="F1872" s="7">
        <v>45633</v>
      </c>
      <c r="G1872" s="1">
        <v>45292</v>
      </c>
      <c r="H1872" s="14">
        <v>118.10277599999999</v>
      </c>
      <c r="I1872">
        <v>897</v>
      </c>
      <c r="J1872" t="s">
        <v>86</v>
      </c>
      <c r="K1872" t="s">
        <v>105</v>
      </c>
      <c r="L1872" s="16" t="s">
        <v>95</v>
      </c>
    </row>
    <row r="1873" spans="1:12" x14ac:dyDescent="0.35">
      <c r="A1873" t="s">
        <v>8</v>
      </c>
      <c r="B1873" t="s">
        <v>102</v>
      </c>
      <c r="C1873" t="s">
        <v>95</v>
      </c>
      <c r="D1873" t="s">
        <v>104</v>
      </c>
      <c r="E1873" t="s">
        <v>8</v>
      </c>
      <c r="F1873" s="7">
        <v>45633</v>
      </c>
      <c r="G1873" s="1">
        <v>45292</v>
      </c>
      <c r="H1873" s="14">
        <v>235.19810699999999</v>
      </c>
      <c r="I1873">
        <v>1169</v>
      </c>
      <c r="J1873" t="s">
        <v>86</v>
      </c>
      <c r="K1873" t="s">
        <v>105</v>
      </c>
      <c r="L1873" s="16" t="s">
        <v>95</v>
      </c>
    </row>
    <row r="1874" spans="1:12" x14ac:dyDescent="0.35">
      <c r="A1874" t="s">
        <v>8</v>
      </c>
      <c r="B1874" t="s">
        <v>100</v>
      </c>
      <c r="C1874" t="s">
        <v>95</v>
      </c>
      <c r="D1874" t="s">
        <v>104</v>
      </c>
      <c r="E1874" t="s">
        <v>8</v>
      </c>
      <c r="F1874" s="7">
        <v>45633</v>
      </c>
      <c r="G1874" s="1">
        <v>45292</v>
      </c>
      <c r="H1874" s="14">
        <v>89.285028999999994</v>
      </c>
      <c r="I1874">
        <v>1089</v>
      </c>
      <c r="J1874" t="s">
        <v>86</v>
      </c>
      <c r="K1874" t="s">
        <v>105</v>
      </c>
      <c r="L1874" s="16" t="s">
        <v>95</v>
      </c>
    </row>
    <row r="1875" spans="1:12" x14ac:dyDescent="0.35">
      <c r="A1875" t="s">
        <v>8</v>
      </c>
      <c r="B1875" t="s">
        <v>92</v>
      </c>
      <c r="C1875" t="s">
        <v>93</v>
      </c>
      <c r="D1875" t="s">
        <v>10</v>
      </c>
      <c r="E1875" t="s">
        <v>10</v>
      </c>
      <c r="F1875" s="7">
        <v>45640</v>
      </c>
      <c r="G1875" s="1">
        <v>45292</v>
      </c>
      <c r="H1875" s="14">
        <v>11052.882100000001</v>
      </c>
      <c r="I1875">
        <v>3102826</v>
      </c>
      <c r="J1875" t="s">
        <v>86</v>
      </c>
      <c r="K1875" t="s">
        <v>94</v>
      </c>
      <c r="L1875" s="16" t="s">
        <v>10</v>
      </c>
    </row>
    <row r="1876" spans="1:12" x14ac:dyDescent="0.35">
      <c r="A1876" t="s">
        <v>8</v>
      </c>
      <c r="B1876" t="s">
        <v>92</v>
      </c>
      <c r="C1876" t="s">
        <v>95</v>
      </c>
      <c r="D1876" t="s">
        <v>10</v>
      </c>
      <c r="E1876" t="s">
        <v>10</v>
      </c>
      <c r="F1876" s="7">
        <v>45640</v>
      </c>
      <c r="G1876" s="1">
        <v>45292</v>
      </c>
      <c r="H1876" s="14">
        <v>20645.64</v>
      </c>
      <c r="I1876">
        <v>2743175</v>
      </c>
      <c r="J1876" t="s">
        <v>86</v>
      </c>
      <c r="K1876" t="s">
        <v>96</v>
      </c>
      <c r="L1876" s="16" t="s">
        <v>10</v>
      </c>
    </row>
    <row r="1877" spans="1:12" x14ac:dyDescent="0.35">
      <c r="A1877" t="s">
        <v>8</v>
      </c>
      <c r="B1877" t="s">
        <v>84</v>
      </c>
      <c r="C1877" t="s">
        <v>93</v>
      </c>
      <c r="D1877" t="s">
        <v>10</v>
      </c>
      <c r="E1877" t="s">
        <v>10</v>
      </c>
      <c r="F1877" s="7">
        <v>45640</v>
      </c>
      <c r="G1877" s="1">
        <v>45292</v>
      </c>
      <c r="H1877" s="14">
        <v>5217.2730000000001</v>
      </c>
      <c r="I1877">
        <v>3287481</v>
      </c>
      <c r="J1877" t="s">
        <v>86</v>
      </c>
      <c r="K1877" t="s">
        <v>94</v>
      </c>
      <c r="L1877" s="16" t="s">
        <v>10</v>
      </c>
    </row>
    <row r="1878" spans="1:12" x14ac:dyDescent="0.35">
      <c r="A1878" t="s">
        <v>8</v>
      </c>
      <c r="B1878" t="s">
        <v>84</v>
      </c>
      <c r="C1878" t="s">
        <v>95</v>
      </c>
      <c r="D1878" t="s">
        <v>10</v>
      </c>
      <c r="E1878" t="s">
        <v>10</v>
      </c>
      <c r="F1878" s="7">
        <v>45640</v>
      </c>
      <c r="G1878" s="1">
        <v>45292</v>
      </c>
      <c r="H1878" s="14">
        <v>6781.4600000000019</v>
      </c>
      <c r="I1878">
        <v>1023794</v>
      </c>
      <c r="J1878" t="s">
        <v>86</v>
      </c>
      <c r="K1878" t="s">
        <v>96</v>
      </c>
      <c r="L1878" s="16" t="s">
        <v>10</v>
      </c>
    </row>
    <row r="1879" spans="1:12" x14ac:dyDescent="0.35">
      <c r="A1879" t="s">
        <v>8</v>
      </c>
      <c r="B1879" t="s">
        <v>17</v>
      </c>
      <c r="C1879" t="s">
        <v>93</v>
      </c>
      <c r="D1879" t="s">
        <v>10</v>
      </c>
      <c r="E1879" t="s">
        <v>10</v>
      </c>
      <c r="F1879" s="7">
        <v>45640</v>
      </c>
      <c r="G1879" s="1">
        <v>45292</v>
      </c>
      <c r="H1879" s="14">
        <v>6338.3932999999997</v>
      </c>
      <c r="I1879">
        <v>2530733</v>
      </c>
      <c r="J1879" t="s">
        <v>86</v>
      </c>
      <c r="K1879" t="s">
        <v>94</v>
      </c>
      <c r="L1879" s="16" t="s">
        <v>10</v>
      </c>
    </row>
    <row r="1880" spans="1:12" x14ac:dyDescent="0.35">
      <c r="A1880" t="s">
        <v>8</v>
      </c>
      <c r="B1880" t="s">
        <v>17</v>
      </c>
      <c r="C1880" t="s">
        <v>95</v>
      </c>
      <c r="D1880" t="s">
        <v>10</v>
      </c>
      <c r="E1880" t="s">
        <v>10</v>
      </c>
      <c r="F1880" s="7">
        <v>45640</v>
      </c>
      <c r="G1880" s="1">
        <v>45292</v>
      </c>
      <c r="H1880" s="14">
        <v>7308.09</v>
      </c>
      <c r="I1880">
        <v>889448</v>
      </c>
      <c r="J1880" t="s">
        <v>86</v>
      </c>
      <c r="K1880" t="s">
        <v>96</v>
      </c>
      <c r="L1880" s="16" t="s">
        <v>10</v>
      </c>
    </row>
    <row r="1881" spans="1:12" x14ac:dyDescent="0.35">
      <c r="A1881" t="s">
        <v>8</v>
      </c>
      <c r="B1881" t="s">
        <v>99</v>
      </c>
      <c r="C1881" t="s">
        <v>93</v>
      </c>
      <c r="D1881" t="s">
        <v>10</v>
      </c>
      <c r="E1881" t="s">
        <v>10</v>
      </c>
      <c r="F1881" s="7">
        <v>45640</v>
      </c>
      <c r="G1881" s="1">
        <v>45292</v>
      </c>
      <c r="H1881" s="14">
        <v>4376.7573999999977</v>
      </c>
      <c r="I1881">
        <v>1000654</v>
      </c>
      <c r="J1881" t="s">
        <v>86</v>
      </c>
      <c r="K1881" t="s">
        <v>94</v>
      </c>
      <c r="L1881" s="16" t="s">
        <v>10</v>
      </c>
    </row>
    <row r="1882" spans="1:12" x14ac:dyDescent="0.35">
      <c r="A1882" t="s">
        <v>8</v>
      </c>
      <c r="B1882" t="s">
        <v>99</v>
      </c>
      <c r="C1882" t="s">
        <v>95</v>
      </c>
      <c r="D1882" t="s">
        <v>10</v>
      </c>
      <c r="E1882" t="s">
        <v>10</v>
      </c>
      <c r="F1882" s="7">
        <v>45640</v>
      </c>
      <c r="G1882" s="1">
        <v>45292</v>
      </c>
      <c r="H1882" s="14">
        <v>4688.2699999999977</v>
      </c>
      <c r="I1882">
        <v>896891</v>
      </c>
      <c r="J1882" t="s">
        <v>86</v>
      </c>
      <c r="K1882" t="s">
        <v>96</v>
      </c>
      <c r="L1882" s="16" t="s">
        <v>10</v>
      </c>
    </row>
    <row r="1883" spans="1:12" x14ac:dyDescent="0.35">
      <c r="A1883" t="s">
        <v>8</v>
      </c>
      <c r="B1883" t="s">
        <v>100</v>
      </c>
      <c r="C1883" t="s">
        <v>93</v>
      </c>
      <c r="D1883" t="s">
        <v>10</v>
      </c>
      <c r="E1883" t="s">
        <v>10</v>
      </c>
      <c r="F1883" s="7">
        <v>45640</v>
      </c>
      <c r="G1883" s="1">
        <v>45292</v>
      </c>
      <c r="H1883" s="14">
        <v>4915.8602999999994</v>
      </c>
      <c r="I1883">
        <v>1162551</v>
      </c>
      <c r="J1883" t="s">
        <v>86</v>
      </c>
      <c r="K1883" t="s">
        <v>94</v>
      </c>
      <c r="L1883" s="16" t="s">
        <v>10</v>
      </c>
    </row>
    <row r="1884" spans="1:12" x14ac:dyDescent="0.35">
      <c r="A1884" t="s">
        <v>8</v>
      </c>
      <c r="B1884" t="s">
        <v>100</v>
      </c>
      <c r="C1884" t="s">
        <v>95</v>
      </c>
      <c r="D1884" t="s">
        <v>10</v>
      </c>
      <c r="E1884" t="s">
        <v>10</v>
      </c>
      <c r="F1884" s="7">
        <v>45640</v>
      </c>
      <c r="G1884" s="1">
        <v>45292</v>
      </c>
      <c r="H1884" s="14">
        <v>6689.01</v>
      </c>
      <c r="I1884">
        <v>1315799</v>
      </c>
      <c r="J1884" t="s">
        <v>86</v>
      </c>
      <c r="K1884" t="s">
        <v>96</v>
      </c>
      <c r="L1884" s="16" t="s">
        <v>10</v>
      </c>
    </row>
    <row r="1885" spans="1:12" x14ac:dyDescent="0.35">
      <c r="A1885" t="s">
        <v>8</v>
      </c>
      <c r="B1885" t="s">
        <v>21</v>
      </c>
      <c r="C1885" t="s">
        <v>93</v>
      </c>
      <c r="D1885" t="s">
        <v>10</v>
      </c>
      <c r="E1885" t="s">
        <v>10</v>
      </c>
      <c r="F1885" s="7">
        <v>45640</v>
      </c>
      <c r="G1885" s="1">
        <v>45292</v>
      </c>
      <c r="H1885" s="14">
        <v>5542.3283999999985</v>
      </c>
      <c r="I1885">
        <v>2331114</v>
      </c>
      <c r="J1885" t="s">
        <v>86</v>
      </c>
      <c r="K1885" t="s">
        <v>94</v>
      </c>
      <c r="L1885" s="16" t="s">
        <v>10</v>
      </c>
    </row>
    <row r="1886" spans="1:12" x14ac:dyDescent="0.35">
      <c r="A1886" t="s">
        <v>8</v>
      </c>
      <c r="B1886" t="s">
        <v>21</v>
      </c>
      <c r="C1886" t="s">
        <v>95</v>
      </c>
      <c r="D1886" t="s">
        <v>10</v>
      </c>
      <c r="E1886" t="s">
        <v>10</v>
      </c>
      <c r="F1886" s="7">
        <v>45640</v>
      </c>
      <c r="G1886" s="1">
        <v>45292</v>
      </c>
      <c r="H1886" s="14">
        <v>11692.640000000003</v>
      </c>
      <c r="I1886">
        <v>1160825</v>
      </c>
      <c r="J1886" t="s">
        <v>86</v>
      </c>
      <c r="K1886" t="s">
        <v>96</v>
      </c>
      <c r="L1886" s="16" t="s">
        <v>10</v>
      </c>
    </row>
    <row r="1887" spans="1:12" x14ac:dyDescent="0.35">
      <c r="A1887" t="s">
        <v>8</v>
      </c>
      <c r="B1887" t="s">
        <v>101</v>
      </c>
      <c r="C1887" t="s">
        <v>93</v>
      </c>
      <c r="D1887" t="s">
        <v>10</v>
      </c>
      <c r="E1887" t="s">
        <v>10</v>
      </c>
      <c r="F1887" s="7">
        <v>45640</v>
      </c>
      <c r="G1887" s="1">
        <v>45292</v>
      </c>
      <c r="H1887" s="14">
        <v>1813.6373000000003</v>
      </c>
      <c r="I1887">
        <v>378041</v>
      </c>
      <c r="J1887" t="s">
        <v>86</v>
      </c>
      <c r="K1887" t="s">
        <v>94</v>
      </c>
      <c r="L1887" s="16" t="s">
        <v>10</v>
      </c>
    </row>
    <row r="1888" spans="1:12" x14ac:dyDescent="0.35">
      <c r="A1888" t="s">
        <v>8</v>
      </c>
      <c r="B1888" t="s">
        <v>101</v>
      </c>
      <c r="C1888" t="s">
        <v>95</v>
      </c>
      <c r="D1888" t="s">
        <v>10</v>
      </c>
      <c r="E1888" t="s">
        <v>10</v>
      </c>
      <c r="F1888" s="7">
        <v>45640</v>
      </c>
      <c r="G1888" s="1">
        <v>45292</v>
      </c>
      <c r="H1888" s="14">
        <v>2402.5099999999998</v>
      </c>
      <c r="I1888">
        <v>1058642</v>
      </c>
      <c r="J1888" t="s">
        <v>86</v>
      </c>
      <c r="K1888" t="s">
        <v>96</v>
      </c>
      <c r="L1888" s="16" t="s">
        <v>10</v>
      </c>
    </row>
    <row r="1889" spans="1:12" x14ac:dyDescent="0.35">
      <c r="A1889" t="s">
        <v>8</v>
      </c>
      <c r="B1889" t="s">
        <v>103</v>
      </c>
      <c r="C1889" t="s">
        <v>95</v>
      </c>
      <c r="D1889" t="s">
        <v>104</v>
      </c>
      <c r="E1889" t="s">
        <v>8</v>
      </c>
      <c r="F1889" s="7">
        <v>45640</v>
      </c>
      <c r="G1889" s="1">
        <v>45292</v>
      </c>
      <c r="H1889" s="14">
        <v>30.387562000000003</v>
      </c>
      <c r="I1889">
        <v>337</v>
      </c>
      <c r="J1889" t="s">
        <v>86</v>
      </c>
      <c r="K1889" t="s">
        <v>105</v>
      </c>
      <c r="L1889" s="16" t="s">
        <v>95</v>
      </c>
    </row>
    <row r="1890" spans="1:12" x14ac:dyDescent="0.35">
      <c r="A1890" t="s">
        <v>8</v>
      </c>
      <c r="B1890" t="s">
        <v>16</v>
      </c>
      <c r="C1890" t="s">
        <v>95</v>
      </c>
      <c r="D1890" t="s">
        <v>104</v>
      </c>
      <c r="E1890" t="s">
        <v>8</v>
      </c>
      <c r="F1890" s="7">
        <v>45640</v>
      </c>
      <c r="G1890" s="1">
        <v>45292</v>
      </c>
      <c r="H1890" s="14">
        <v>29.844419000000002</v>
      </c>
      <c r="I1890">
        <v>295</v>
      </c>
      <c r="J1890" t="s">
        <v>86</v>
      </c>
      <c r="K1890" t="s">
        <v>105</v>
      </c>
      <c r="L1890" s="16" t="s">
        <v>95</v>
      </c>
    </row>
    <row r="1891" spans="1:12" x14ac:dyDescent="0.35">
      <c r="A1891" t="s">
        <v>8</v>
      </c>
      <c r="B1891" t="s">
        <v>84</v>
      </c>
      <c r="C1891" t="s">
        <v>95</v>
      </c>
      <c r="D1891" t="s">
        <v>104</v>
      </c>
      <c r="E1891" t="s">
        <v>8</v>
      </c>
      <c r="F1891" s="7">
        <v>45640</v>
      </c>
      <c r="G1891" s="1">
        <v>45292</v>
      </c>
      <c r="H1891" s="14">
        <v>5944.3401189999986</v>
      </c>
      <c r="I1891">
        <v>31775</v>
      </c>
      <c r="J1891" t="s">
        <v>86</v>
      </c>
      <c r="K1891" t="s">
        <v>105</v>
      </c>
      <c r="L1891" s="16" t="s">
        <v>95</v>
      </c>
    </row>
    <row r="1892" spans="1:12" x14ac:dyDescent="0.35">
      <c r="A1892" t="s">
        <v>8</v>
      </c>
      <c r="B1892" t="s">
        <v>17</v>
      </c>
      <c r="C1892" t="s">
        <v>95</v>
      </c>
      <c r="D1892" t="s">
        <v>104</v>
      </c>
      <c r="E1892" t="s">
        <v>8</v>
      </c>
      <c r="F1892" s="7">
        <v>45640</v>
      </c>
      <c r="G1892" s="1">
        <v>45292</v>
      </c>
      <c r="H1892" s="14">
        <v>66.362295000000017</v>
      </c>
      <c r="I1892">
        <v>728</v>
      </c>
      <c r="J1892" t="s">
        <v>86</v>
      </c>
      <c r="K1892" t="s">
        <v>105</v>
      </c>
      <c r="L1892" s="16" t="s">
        <v>95</v>
      </c>
    </row>
    <row r="1893" spans="1:12" x14ac:dyDescent="0.35">
      <c r="A1893" t="s">
        <v>8</v>
      </c>
      <c r="B1893" t="s">
        <v>106</v>
      </c>
      <c r="C1893" t="s">
        <v>95</v>
      </c>
      <c r="D1893" t="s">
        <v>104</v>
      </c>
      <c r="E1893" t="s">
        <v>8</v>
      </c>
      <c r="F1893" s="7">
        <v>45640</v>
      </c>
      <c r="G1893" s="1">
        <v>45292</v>
      </c>
      <c r="H1893" s="14">
        <v>199.70383100000001</v>
      </c>
      <c r="I1893">
        <v>508</v>
      </c>
      <c r="J1893" t="s">
        <v>86</v>
      </c>
      <c r="K1893" t="s">
        <v>105</v>
      </c>
      <c r="L1893" s="16" t="s">
        <v>95</v>
      </c>
    </row>
    <row r="1894" spans="1:12" x14ac:dyDescent="0.35">
      <c r="A1894" t="s">
        <v>8</v>
      </c>
      <c r="B1894" t="s">
        <v>92</v>
      </c>
      <c r="C1894" t="s">
        <v>95</v>
      </c>
      <c r="D1894" t="s">
        <v>104</v>
      </c>
      <c r="E1894" t="s">
        <v>8</v>
      </c>
      <c r="F1894" s="7">
        <v>45640</v>
      </c>
      <c r="G1894" s="1">
        <v>45292</v>
      </c>
      <c r="H1894" s="14">
        <v>121.40880700000001</v>
      </c>
      <c r="I1894">
        <v>1958</v>
      </c>
      <c r="J1894" t="s">
        <v>86</v>
      </c>
      <c r="K1894" t="s">
        <v>105</v>
      </c>
      <c r="L1894" s="16" t="s">
        <v>95</v>
      </c>
    </row>
    <row r="1895" spans="1:12" x14ac:dyDescent="0.35">
      <c r="A1895" t="s">
        <v>8</v>
      </c>
      <c r="B1895" t="s">
        <v>21</v>
      </c>
      <c r="C1895" t="s">
        <v>95</v>
      </c>
      <c r="D1895" t="s">
        <v>104</v>
      </c>
      <c r="E1895" t="s">
        <v>8</v>
      </c>
      <c r="F1895" s="7">
        <v>45640</v>
      </c>
      <c r="G1895" s="1">
        <v>45292</v>
      </c>
      <c r="H1895" s="14">
        <v>161.26761999999997</v>
      </c>
      <c r="I1895">
        <v>2413</v>
      </c>
      <c r="J1895" t="s">
        <v>86</v>
      </c>
      <c r="K1895" t="s">
        <v>105</v>
      </c>
      <c r="L1895" s="16" t="s">
        <v>95</v>
      </c>
    </row>
    <row r="1896" spans="1:12" x14ac:dyDescent="0.35">
      <c r="A1896" t="s">
        <v>8</v>
      </c>
      <c r="B1896" t="s">
        <v>101</v>
      </c>
      <c r="C1896" t="s">
        <v>95</v>
      </c>
      <c r="D1896" t="s">
        <v>104</v>
      </c>
      <c r="E1896" t="s">
        <v>8</v>
      </c>
      <c r="F1896" s="7">
        <v>45640</v>
      </c>
      <c r="G1896" s="1">
        <v>45292</v>
      </c>
      <c r="H1896" s="14">
        <v>26.759229999999999</v>
      </c>
      <c r="I1896">
        <v>414</v>
      </c>
      <c r="J1896" t="s">
        <v>86</v>
      </c>
      <c r="K1896" t="s">
        <v>105</v>
      </c>
      <c r="L1896" s="16" t="s">
        <v>95</v>
      </c>
    </row>
    <row r="1897" spans="1:12" x14ac:dyDescent="0.35">
      <c r="A1897" t="s">
        <v>8</v>
      </c>
      <c r="B1897" t="s">
        <v>99</v>
      </c>
      <c r="C1897" t="s">
        <v>95</v>
      </c>
      <c r="D1897" t="s">
        <v>104</v>
      </c>
      <c r="E1897" t="s">
        <v>8</v>
      </c>
      <c r="F1897" s="7">
        <v>45640</v>
      </c>
      <c r="G1897" s="1">
        <v>45292</v>
      </c>
      <c r="H1897" s="14">
        <v>96.923580000000015</v>
      </c>
      <c r="I1897">
        <v>1068</v>
      </c>
      <c r="J1897" t="s">
        <v>86</v>
      </c>
      <c r="K1897" t="s">
        <v>105</v>
      </c>
      <c r="L1897" s="16" t="s">
        <v>95</v>
      </c>
    </row>
    <row r="1898" spans="1:12" x14ac:dyDescent="0.35">
      <c r="A1898" t="s">
        <v>8</v>
      </c>
      <c r="B1898" t="s">
        <v>102</v>
      </c>
      <c r="C1898" t="s">
        <v>95</v>
      </c>
      <c r="D1898" t="s">
        <v>104</v>
      </c>
      <c r="E1898" t="s">
        <v>8</v>
      </c>
      <c r="F1898" s="7">
        <v>45640</v>
      </c>
      <c r="G1898" s="1">
        <v>45292</v>
      </c>
      <c r="H1898" s="14">
        <v>205.76200899999998</v>
      </c>
      <c r="I1898">
        <v>1323</v>
      </c>
      <c r="J1898" t="s">
        <v>86</v>
      </c>
      <c r="K1898" t="s">
        <v>105</v>
      </c>
      <c r="L1898" s="16" t="s">
        <v>95</v>
      </c>
    </row>
    <row r="1899" spans="1:12" x14ac:dyDescent="0.35">
      <c r="A1899" t="s">
        <v>8</v>
      </c>
      <c r="B1899" t="s">
        <v>100</v>
      </c>
      <c r="C1899" t="s">
        <v>95</v>
      </c>
      <c r="D1899" t="s">
        <v>104</v>
      </c>
      <c r="E1899" t="s">
        <v>8</v>
      </c>
      <c r="F1899" s="7">
        <v>45640</v>
      </c>
      <c r="G1899" s="1">
        <v>45292</v>
      </c>
      <c r="H1899" s="14">
        <v>70.045634000000007</v>
      </c>
      <c r="I1899">
        <v>977</v>
      </c>
      <c r="J1899" t="s">
        <v>86</v>
      </c>
      <c r="K1899" t="s">
        <v>105</v>
      </c>
      <c r="L1899" s="16" t="s">
        <v>95</v>
      </c>
    </row>
    <row r="1900" spans="1:12" x14ac:dyDescent="0.35">
      <c r="A1900" t="s">
        <v>8</v>
      </c>
      <c r="B1900" t="s">
        <v>92</v>
      </c>
      <c r="C1900" t="s">
        <v>93</v>
      </c>
      <c r="D1900" t="s">
        <v>10</v>
      </c>
      <c r="E1900" t="s">
        <v>10</v>
      </c>
      <c r="F1900" s="7">
        <v>45647</v>
      </c>
      <c r="G1900" s="1">
        <v>45292</v>
      </c>
      <c r="H1900" s="14">
        <v>11404.7842</v>
      </c>
      <c r="I1900">
        <v>3553366</v>
      </c>
      <c r="J1900" t="s">
        <v>86</v>
      </c>
      <c r="K1900" t="s">
        <v>94</v>
      </c>
      <c r="L1900" s="16" t="s">
        <v>10</v>
      </c>
    </row>
    <row r="1901" spans="1:12" x14ac:dyDescent="0.35">
      <c r="A1901" t="s">
        <v>8</v>
      </c>
      <c r="B1901" t="s">
        <v>92</v>
      </c>
      <c r="C1901" t="s">
        <v>95</v>
      </c>
      <c r="D1901" t="s">
        <v>10</v>
      </c>
      <c r="E1901" t="s">
        <v>10</v>
      </c>
      <c r="F1901" s="7">
        <v>45647</v>
      </c>
      <c r="G1901" s="1">
        <v>45292</v>
      </c>
      <c r="H1901" s="14">
        <v>20458.759999999995</v>
      </c>
      <c r="I1901">
        <v>2592277</v>
      </c>
      <c r="J1901" t="s">
        <v>86</v>
      </c>
      <c r="K1901" t="s">
        <v>96</v>
      </c>
      <c r="L1901" s="16" t="s">
        <v>10</v>
      </c>
    </row>
    <row r="1902" spans="1:12" x14ac:dyDescent="0.35">
      <c r="A1902" t="s">
        <v>8</v>
      </c>
      <c r="B1902" t="s">
        <v>84</v>
      </c>
      <c r="C1902" t="s">
        <v>93</v>
      </c>
      <c r="D1902" t="s">
        <v>10</v>
      </c>
      <c r="E1902" t="s">
        <v>10</v>
      </c>
      <c r="F1902" s="7">
        <v>45647</v>
      </c>
      <c r="G1902" s="1">
        <v>45292</v>
      </c>
      <c r="H1902" s="14">
        <v>5197.3759</v>
      </c>
      <c r="I1902">
        <v>3300364</v>
      </c>
      <c r="J1902" t="s">
        <v>86</v>
      </c>
      <c r="K1902" t="s">
        <v>94</v>
      </c>
      <c r="L1902" s="16" t="s">
        <v>10</v>
      </c>
    </row>
    <row r="1903" spans="1:12" x14ac:dyDescent="0.35">
      <c r="A1903" t="s">
        <v>8</v>
      </c>
      <c r="B1903" t="s">
        <v>84</v>
      </c>
      <c r="C1903" t="s">
        <v>95</v>
      </c>
      <c r="D1903" t="s">
        <v>10</v>
      </c>
      <c r="E1903" t="s">
        <v>10</v>
      </c>
      <c r="F1903" s="7">
        <v>45647</v>
      </c>
      <c r="G1903" s="1">
        <v>45292</v>
      </c>
      <c r="H1903" s="14">
        <v>3464.5499999999993</v>
      </c>
      <c r="I1903">
        <v>497202</v>
      </c>
      <c r="J1903" t="s">
        <v>86</v>
      </c>
      <c r="K1903" t="s">
        <v>96</v>
      </c>
      <c r="L1903" s="16" t="s">
        <v>10</v>
      </c>
    </row>
    <row r="1904" spans="1:12" x14ac:dyDescent="0.35">
      <c r="A1904" t="s">
        <v>8</v>
      </c>
      <c r="B1904" t="s">
        <v>17</v>
      </c>
      <c r="C1904" t="s">
        <v>93</v>
      </c>
      <c r="D1904" t="s">
        <v>10</v>
      </c>
      <c r="E1904" t="s">
        <v>10</v>
      </c>
      <c r="F1904" s="7">
        <v>45647</v>
      </c>
      <c r="G1904" s="1">
        <v>45292</v>
      </c>
      <c r="H1904" s="14">
        <v>6421.0867000000026</v>
      </c>
      <c r="I1904">
        <v>2313687</v>
      </c>
      <c r="J1904" t="s">
        <v>86</v>
      </c>
      <c r="K1904" t="s">
        <v>94</v>
      </c>
      <c r="L1904" s="16" t="s">
        <v>10</v>
      </c>
    </row>
    <row r="1905" spans="1:12" x14ac:dyDescent="0.35">
      <c r="A1905" t="s">
        <v>8</v>
      </c>
      <c r="B1905" t="s">
        <v>17</v>
      </c>
      <c r="C1905" t="s">
        <v>95</v>
      </c>
      <c r="D1905" t="s">
        <v>10</v>
      </c>
      <c r="E1905" t="s">
        <v>10</v>
      </c>
      <c r="F1905" s="7">
        <v>45647</v>
      </c>
      <c r="G1905" s="1">
        <v>45292</v>
      </c>
      <c r="H1905" s="14">
        <v>9057.4399999999951</v>
      </c>
      <c r="I1905">
        <v>1220649</v>
      </c>
      <c r="J1905" t="s">
        <v>86</v>
      </c>
      <c r="K1905" t="s">
        <v>96</v>
      </c>
      <c r="L1905" s="16" t="s">
        <v>10</v>
      </c>
    </row>
    <row r="1906" spans="1:12" x14ac:dyDescent="0.35">
      <c r="A1906" t="s">
        <v>8</v>
      </c>
      <c r="B1906" t="s">
        <v>99</v>
      </c>
      <c r="C1906" t="s">
        <v>93</v>
      </c>
      <c r="D1906" t="s">
        <v>10</v>
      </c>
      <c r="E1906" t="s">
        <v>10</v>
      </c>
      <c r="F1906" s="7">
        <v>45647</v>
      </c>
      <c r="G1906" s="1">
        <v>45292</v>
      </c>
      <c r="H1906" s="14">
        <v>4093.4698999999996</v>
      </c>
      <c r="I1906">
        <v>959594</v>
      </c>
      <c r="J1906" t="s">
        <v>86</v>
      </c>
      <c r="K1906" t="s">
        <v>94</v>
      </c>
      <c r="L1906" s="16" t="s">
        <v>10</v>
      </c>
    </row>
    <row r="1907" spans="1:12" x14ac:dyDescent="0.35">
      <c r="A1907" t="s">
        <v>8</v>
      </c>
      <c r="B1907" t="s">
        <v>99</v>
      </c>
      <c r="C1907" t="s">
        <v>95</v>
      </c>
      <c r="D1907" t="s">
        <v>10</v>
      </c>
      <c r="E1907" t="s">
        <v>10</v>
      </c>
      <c r="F1907" s="7">
        <v>45647</v>
      </c>
      <c r="G1907" s="1">
        <v>45292</v>
      </c>
      <c r="H1907" s="14">
        <v>4535.72</v>
      </c>
      <c r="I1907">
        <v>1024595</v>
      </c>
      <c r="J1907" t="s">
        <v>86</v>
      </c>
      <c r="K1907" t="s">
        <v>96</v>
      </c>
      <c r="L1907" s="16" t="s">
        <v>10</v>
      </c>
    </row>
    <row r="1908" spans="1:12" x14ac:dyDescent="0.35">
      <c r="A1908" t="s">
        <v>8</v>
      </c>
      <c r="B1908" t="s">
        <v>100</v>
      </c>
      <c r="C1908" t="s">
        <v>93</v>
      </c>
      <c r="D1908" t="s">
        <v>10</v>
      </c>
      <c r="E1908" t="s">
        <v>10</v>
      </c>
      <c r="F1908" s="7">
        <v>45647</v>
      </c>
      <c r="G1908" s="1">
        <v>45292</v>
      </c>
      <c r="H1908" s="14">
        <v>4879.0752000000011</v>
      </c>
      <c r="I1908">
        <v>1264896</v>
      </c>
      <c r="J1908" t="s">
        <v>86</v>
      </c>
      <c r="K1908" t="s">
        <v>94</v>
      </c>
      <c r="L1908" s="16" t="s">
        <v>10</v>
      </c>
    </row>
    <row r="1909" spans="1:12" x14ac:dyDescent="0.35">
      <c r="A1909" t="s">
        <v>8</v>
      </c>
      <c r="B1909" t="s">
        <v>100</v>
      </c>
      <c r="C1909" t="s">
        <v>95</v>
      </c>
      <c r="D1909" t="s">
        <v>10</v>
      </c>
      <c r="E1909" t="s">
        <v>10</v>
      </c>
      <c r="F1909" s="7">
        <v>45647</v>
      </c>
      <c r="G1909" s="1">
        <v>45292</v>
      </c>
      <c r="H1909" s="14">
        <v>3744.5500000000006</v>
      </c>
      <c r="I1909">
        <v>834912</v>
      </c>
      <c r="J1909" t="s">
        <v>86</v>
      </c>
      <c r="K1909" t="s">
        <v>96</v>
      </c>
      <c r="L1909" s="16" t="s">
        <v>10</v>
      </c>
    </row>
    <row r="1910" spans="1:12" x14ac:dyDescent="0.35">
      <c r="A1910" t="s">
        <v>8</v>
      </c>
      <c r="B1910" t="s">
        <v>21</v>
      </c>
      <c r="C1910" t="s">
        <v>93</v>
      </c>
      <c r="D1910" t="s">
        <v>10</v>
      </c>
      <c r="E1910" t="s">
        <v>10</v>
      </c>
      <c r="F1910" s="7">
        <v>45647</v>
      </c>
      <c r="G1910" s="1">
        <v>45292</v>
      </c>
      <c r="H1910" s="14">
        <v>5530.4045999999998</v>
      </c>
      <c r="I1910">
        <v>2347985</v>
      </c>
      <c r="J1910" t="s">
        <v>86</v>
      </c>
      <c r="K1910" t="s">
        <v>94</v>
      </c>
      <c r="L1910" s="16" t="s">
        <v>10</v>
      </c>
    </row>
    <row r="1911" spans="1:12" x14ac:dyDescent="0.35">
      <c r="A1911" t="s">
        <v>8</v>
      </c>
      <c r="B1911" t="s">
        <v>21</v>
      </c>
      <c r="C1911" t="s">
        <v>95</v>
      </c>
      <c r="D1911" t="s">
        <v>10</v>
      </c>
      <c r="E1911" t="s">
        <v>10</v>
      </c>
      <c r="F1911" s="7">
        <v>45647</v>
      </c>
      <c r="G1911" s="1">
        <v>45292</v>
      </c>
      <c r="H1911" s="14">
        <v>10373.900000000003</v>
      </c>
      <c r="I1911">
        <v>1235199</v>
      </c>
      <c r="J1911" t="s">
        <v>86</v>
      </c>
      <c r="K1911" t="s">
        <v>96</v>
      </c>
      <c r="L1911" s="16" t="s">
        <v>10</v>
      </c>
    </row>
    <row r="1912" spans="1:12" x14ac:dyDescent="0.35">
      <c r="A1912" t="s">
        <v>8</v>
      </c>
      <c r="B1912" t="s">
        <v>101</v>
      </c>
      <c r="C1912" t="s">
        <v>93</v>
      </c>
      <c r="D1912" t="s">
        <v>10</v>
      </c>
      <c r="E1912" t="s">
        <v>10</v>
      </c>
      <c r="F1912" s="7">
        <v>45647</v>
      </c>
      <c r="G1912" s="1">
        <v>45292</v>
      </c>
      <c r="H1912" s="14">
        <v>2344.6086999999998</v>
      </c>
      <c r="I1912">
        <v>583140</v>
      </c>
      <c r="J1912" t="s">
        <v>86</v>
      </c>
      <c r="K1912" t="s">
        <v>94</v>
      </c>
      <c r="L1912" s="16" t="s">
        <v>10</v>
      </c>
    </row>
    <row r="1913" spans="1:12" x14ac:dyDescent="0.35">
      <c r="A1913" t="s">
        <v>8</v>
      </c>
      <c r="B1913" t="s">
        <v>101</v>
      </c>
      <c r="C1913" t="s">
        <v>95</v>
      </c>
      <c r="D1913" t="s">
        <v>10</v>
      </c>
      <c r="E1913" t="s">
        <v>10</v>
      </c>
      <c r="F1913" s="7">
        <v>45647</v>
      </c>
      <c r="G1913" s="1">
        <v>45292</v>
      </c>
      <c r="H1913" s="14">
        <v>1155.71</v>
      </c>
      <c r="I1913">
        <v>635074</v>
      </c>
      <c r="J1913" t="s">
        <v>86</v>
      </c>
      <c r="K1913" t="s">
        <v>96</v>
      </c>
      <c r="L1913" s="16" t="s">
        <v>10</v>
      </c>
    </row>
    <row r="1914" spans="1:12" x14ac:dyDescent="0.35">
      <c r="A1914" t="s">
        <v>8</v>
      </c>
      <c r="B1914" t="s">
        <v>103</v>
      </c>
      <c r="C1914" t="s">
        <v>95</v>
      </c>
      <c r="D1914" t="s">
        <v>104</v>
      </c>
      <c r="E1914" t="s">
        <v>8</v>
      </c>
      <c r="F1914" s="7">
        <v>45647</v>
      </c>
      <c r="G1914" s="1">
        <v>45292</v>
      </c>
      <c r="H1914" s="14">
        <v>20.59</v>
      </c>
      <c r="I1914">
        <v>280</v>
      </c>
      <c r="J1914" t="s">
        <v>86</v>
      </c>
      <c r="K1914" t="s">
        <v>105</v>
      </c>
      <c r="L1914" s="16" t="s">
        <v>95</v>
      </c>
    </row>
    <row r="1915" spans="1:12" x14ac:dyDescent="0.35">
      <c r="A1915" t="s">
        <v>8</v>
      </c>
      <c r="B1915" t="s">
        <v>16</v>
      </c>
      <c r="C1915" t="s">
        <v>95</v>
      </c>
      <c r="D1915" t="s">
        <v>104</v>
      </c>
      <c r="E1915" t="s">
        <v>8</v>
      </c>
      <c r="F1915" s="7">
        <v>45647</v>
      </c>
      <c r="G1915" s="1">
        <v>45292</v>
      </c>
      <c r="H1915" s="14">
        <v>11.520000000000001</v>
      </c>
      <c r="I1915">
        <v>238</v>
      </c>
      <c r="J1915" t="s">
        <v>86</v>
      </c>
      <c r="K1915" t="s">
        <v>105</v>
      </c>
      <c r="L1915" s="16" t="s">
        <v>95</v>
      </c>
    </row>
    <row r="1916" spans="1:12" x14ac:dyDescent="0.35">
      <c r="A1916" t="s">
        <v>8</v>
      </c>
      <c r="B1916" t="s">
        <v>84</v>
      </c>
      <c r="C1916" t="s">
        <v>95</v>
      </c>
      <c r="D1916" t="s">
        <v>104</v>
      </c>
      <c r="E1916" t="s">
        <v>8</v>
      </c>
      <c r="F1916" s="7">
        <v>45647</v>
      </c>
      <c r="G1916" s="1">
        <v>45292</v>
      </c>
      <c r="H1916" s="14">
        <v>5878.1084860000001</v>
      </c>
      <c r="I1916">
        <v>29548</v>
      </c>
      <c r="J1916" t="s">
        <v>86</v>
      </c>
      <c r="K1916" t="s">
        <v>105</v>
      </c>
      <c r="L1916" s="16" t="s">
        <v>95</v>
      </c>
    </row>
    <row r="1917" spans="1:12" x14ac:dyDescent="0.35">
      <c r="A1917" t="s">
        <v>8</v>
      </c>
      <c r="B1917" t="s">
        <v>17</v>
      </c>
      <c r="C1917" t="s">
        <v>95</v>
      </c>
      <c r="D1917" t="s">
        <v>104</v>
      </c>
      <c r="E1917" t="s">
        <v>8</v>
      </c>
      <c r="F1917" s="7">
        <v>45647</v>
      </c>
      <c r="G1917" s="1">
        <v>45292</v>
      </c>
      <c r="H1917" s="14">
        <v>27.937821</v>
      </c>
      <c r="I1917">
        <v>656</v>
      </c>
      <c r="J1917" t="s">
        <v>86</v>
      </c>
      <c r="K1917" t="s">
        <v>105</v>
      </c>
      <c r="L1917" s="16" t="s">
        <v>95</v>
      </c>
    </row>
    <row r="1918" spans="1:12" x14ac:dyDescent="0.35">
      <c r="A1918" t="s">
        <v>8</v>
      </c>
      <c r="B1918" t="s">
        <v>106</v>
      </c>
      <c r="C1918" t="s">
        <v>95</v>
      </c>
      <c r="D1918" t="s">
        <v>104</v>
      </c>
      <c r="E1918" t="s">
        <v>8</v>
      </c>
      <c r="F1918" s="7">
        <v>45647</v>
      </c>
      <c r="G1918" s="1">
        <v>45292</v>
      </c>
      <c r="H1918" s="14">
        <v>181.09162900000001</v>
      </c>
      <c r="I1918">
        <v>606</v>
      </c>
      <c r="J1918" t="s">
        <v>86</v>
      </c>
      <c r="K1918" t="s">
        <v>105</v>
      </c>
      <c r="L1918" s="16" t="s">
        <v>95</v>
      </c>
    </row>
    <row r="1919" spans="1:12" x14ac:dyDescent="0.35">
      <c r="A1919" t="s">
        <v>8</v>
      </c>
      <c r="B1919" t="s">
        <v>92</v>
      </c>
      <c r="C1919" t="s">
        <v>95</v>
      </c>
      <c r="D1919" t="s">
        <v>104</v>
      </c>
      <c r="E1919" t="s">
        <v>8</v>
      </c>
      <c r="F1919" s="7">
        <v>45647</v>
      </c>
      <c r="G1919" s="1">
        <v>45292</v>
      </c>
      <c r="H1919" s="14">
        <v>129.65206000000003</v>
      </c>
      <c r="I1919">
        <v>1760</v>
      </c>
      <c r="J1919" t="s">
        <v>86</v>
      </c>
      <c r="K1919" t="s">
        <v>105</v>
      </c>
      <c r="L1919" s="16" t="s">
        <v>95</v>
      </c>
    </row>
    <row r="1920" spans="1:12" x14ac:dyDescent="0.35">
      <c r="A1920" t="s">
        <v>8</v>
      </c>
      <c r="B1920" t="s">
        <v>21</v>
      </c>
      <c r="C1920" t="s">
        <v>95</v>
      </c>
      <c r="D1920" t="s">
        <v>104</v>
      </c>
      <c r="E1920" t="s">
        <v>8</v>
      </c>
      <c r="F1920" s="7">
        <v>45647</v>
      </c>
      <c r="G1920" s="1">
        <v>45292</v>
      </c>
      <c r="H1920" s="14">
        <v>149.59066100000001</v>
      </c>
      <c r="I1920">
        <v>2167</v>
      </c>
      <c r="J1920" t="s">
        <v>86</v>
      </c>
      <c r="K1920" t="s">
        <v>105</v>
      </c>
      <c r="L1920" s="16" t="s">
        <v>95</v>
      </c>
    </row>
    <row r="1921" spans="1:12" x14ac:dyDescent="0.35">
      <c r="A1921" t="s">
        <v>8</v>
      </c>
      <c r="B1921" t="s">
        <v>101</v>
      </c>
      <c r="C1921" t="s">
        <v>95</v>
      </c>
      <c r="D1921" t="s">
        <v>104</v>
      </c>
      <c r="E1921" t="s">
        <v>8</v>
      </c>
      <c r="F1921" s="7">
        <v>45647</v>
      </c>
      <c r="G1921" s="1">
        <v>45292</v>
      </c>
      <c r="H1921" s="14">
        <v>19.52</v>
      </c>
      <c r="I1921">
        <v>389</v>
      </c>
      <c r="J1921" t="s">
        <v>86</v>
      </c>
      <c r="K1921" t="s">
        <v>105</v>
      </c>
      <c r="L1921" s="16" t="s">
        <v>95</v>
      </c>
    </row>
    <row r="1922" spans="1:12" x14ac:dyDescent="0.35">
      <c r="A1922" t="s">
        <v>8</v>
      </c>
      <c r="B1922" t="s">
        <v>99</v>
      </c>
      <c r="C1922" t="s">
        <v>95</v>
      </c>
      <c r="D1922" t="s">
        <v>104</v>
      </c>
      <c r="E1922" t="s">
        <v>8</v>
      </c>
      <c r="F1922" s="7">
        <v>45647</v>
      </c>
      <c r="G1922" s="1">
        <v>45292</v>
      </c>
      <c r="H1922" s="14">
        <v>95.107409000000004</v>
      </c>
      <c r="I1922">
        <v>1039</v>
      </c>
      <c r="J1922" t="s">
        <v>86</v>
      </c>
      <c r="K1922" t="s">
        <v>105</v>
      </c>
      <c r="L1922" s="16" t="s">
        <v>95</v>
      </c>
    </row>
    <row r="1923" spans="1:12" x14ac:dyDescent="0.35">
      <c r="A1923" t="s">
        <v>8</v>
      </c>
      <c r="B1923" t="s">
        <v>102</v>
      </c>
      <c r="C1923" t="s">
        <v>95</v>
      </c>
      <c r="D1923" t="s">
        <v>104</v>
      </c>
      <c r="E1923" t="s">
        <v>8</v>
      </c>
      <c r="F1923" s="7">
        <v>45647</v>
      </c>
      <c r="G1923" s="1">
        <v>45292</v>
      </c>
      <c r="H1923" s="14">
        <v>167.504167</v>
      </c>
      <c r="I1923">
        <v>1211</v>
      </c>
      <c r="J1923" t="s">
        <v>86</v>
      </c>
      <c r="K1923" t="s">
        <v>105</v>
      </c>
      <c r="L1923" s="16" t="s">
        <v>95</v>
      </c>
    </row>
    <row r="1924" spans="1:12" x14ac:dyDescent="0.35">
      <c r="A1924" t="s">
        <v>8</v>
      </c>
      <c r="B1924" t="s">
        <v>100</v>
      </c>
      <c r="C1924" t="s">
        <v>95</v>
      </c>
      <c r="D1924" t="s">
        <v>104</v>
      </c>
      <c r="E1924" t="s">
        <v>8</v>
      </c>
      <c r="F1924" s="7">
        <v>45647</v>
      </c>
      <c r="G1924" s="1">
        <v>45292</v>
      </c>
      <c r="H1924" s="14">
        <v>51.073481999999998</v>
      </c>
      <c r="I1924">
        <v>870</v>
      </c>
      <c r="J1924" t="s">
        <v>86</v>
      </c>
      <c r="K1924" t="s">
        <v>105</v>
      </c>
      <c r="L1924" s="16" t="s">
        <v>95</v>
      </c>
    </row>
    <row r="1925" spans="1:12" x14ac:dyDescent="0.35">
      <c r="A1925" t="s">
        <v>8</v>
      </c>
      <c r="B1925" t="s">
        <v>92</v>
      </c>
      <c r="C1925" t="s">
        <v>93</v>
      </c>
      <c r="D1925" t="s">
        <v>10</v>
      </c>
      <c r="E1925" t="s">
        <v>10</v>
      </c>
      <c r="F1925" s="7">
        <v>45654</v>
      </c>
      <c r="G1925" s="1">
        <v>45292</v>
      </c>
      <c r="H1925" s="14">
        <v>8626.6418000000012</v>
      </c>
      <c r="I1925">
        <v>3180484</v>
      </c>
      <c r="J1925" t="s">
        <v>86</v>
      </c>
      <c r="K1925" t="s">
        <v>94</v>
      </c>
      <c r="L1925" s="16" t="s">
        <v>10</v>
      </c>
    </row>
    <row r="1926" spans="1:12" x14ac:dyDescent="0.35">
      <c r="A1926" t="s">
        <v>8</v>
      </c>
      <c r="B1926" t="s">
        <v>92</v>
      </c>
      <c r="C1926" t="s">
        <v>95</v>
      </c>
      <c r="D1926" t="s">
        <v>10</v>
      </c>
      <c r="E1926" t="s">
        <v>10</v>
      </c>
      <c r="F1926" s="7">
        <v>45654</v>
      </c>
      <c r="G1926" s="1">
        <v>45292</v>
      </c>
      <c r="H1926" s="14">
        <v>20791.43</v>
      </c>
      <c r="I1926">
        <v>1916807</v>
      </c>
      <c r="J1926" t="s">
        <v>86</v>
      </c>
      <c r="K1926" t="s">
        <v>96</v>
      </c>
      <c r="L1926" s="16" t="s">
        <v>10</v>
      </c>
    </row>
    <row r="1927" spans="1:12" x14ac:dyDescent="0.35">
      <c r="A1927" t="s">
        <v>8</v>
      </c>
      <c r="B1927" t="s">
        <v>84</v>
      </c>
      <c r="C1927" t="s">
        <v>93</v>
      </c>
      <c r="D1927" t="s">
        <v>10</v>
      </c>
      <c r="E1927" t="s">
        <v>10</v>
      </c>
      <c r="F1927" s="7">
        <v>45654</v>
      </c>
      <c r="G1927" s="1">
        <v>45292</v>
      </c>
      <c r="H1927" s="14">
        <v>5185.8923999999988</v>
      </c>
      <c r="I1927">
        <v>3506993</v>
      </c>
      <c r="J1927" t="s">
        <v>86</v>
      </c>
      <c r="K1927" t="s">
        <v>94</v>
      </c>
      <c r="L1927" s="16" t="s">
        <v>10</v>
      </c>
    </row>
    <row r="1928" spans="1:12" x14ac:dyDescent="0.35">
      <c r="A1928" t="s">
        <v>8</v>
      </c>
      <c r="B1928" t="s">
        <v>84</v>
      </c>
      <c r="C1928" t="s">
        <v>95</v>
      </c>
      <c r="D1928" t="s">
        <v>10</v>
      </c>
      <c r="E1928" t="s">
        <v>10</v>
      </c>
      <c r="F1928" s="7">
        <v>45654</v>
      </c>
      <c r="G1928" s="1">
        <v>45292</v>
      </c>
      <c r="H1928" s="14">
        <v>2223.54</v>
      </c>
      <c r="I1928">
        <v>194867</v>
      </c>
      <c r="J1928" t="s">
        <v>86</v>
      </c>
      <c r="K1928" t="s">
        <v>96</v>
      </c>
      <c r="L1928" s="16" t="s">
        <v>10</v>
      </c>
    </row>
    <row r="1929" spans="1:12" x14ac:dyDescent="0.35">
      <c r="A1929" t="s">
        <v>8</v>
      </c>
      <c r="B1929" t="s">
        <v>17</v>
      </c>
      <c r="C1929" t="s">
        <v>93</v>
      </c>
      <c r="D1929" t="s">
        <v>10</v>
      </c>
      <c r="E1929" t="s">
        <v>10</v>
      </c>
      <c r="F1929" s="7">
        <v>45654</v>
      </c>
      <c r="G1929" s="1">
        <v>45292</v>
      </c>
      <c r="H1929" s="14">
        <v>6293.3225999999986</v>
      </c>
      <c r="I1929">
        <v>2351550</v>
      </c>
      <c r="J1929" t="s">
        <v>86</v>
      </c>
      <c r="K1929" t="s">
        <v>94</v>
      </c>
      <c r="L1929" s="16" t="s">
        <v>10</v>
      </c>
    </row>
    <row r="1930" spans="1:12" x14ac:dyDescent="0.35">
      <c r="A1930" t="s">
        <v>8</v>
      </c>
      <c r="B1930" t="s">
        <v>17</v>
      </c>
      <c r="C1930" t="s">
        <v>95</v>
      </c>
      <c r="D1930" t="s">
        <v>10</v>
      </c>
      <c r="E1930" t="s">
        <v>10</v>
      </c>
      <c r="F1930" s="7">
        <v>45654</v>
      </c>
      <c r="G1930" s="1">
        <v>45292</v>
      </c>
      <c r="H1930" s="14">
        <v>14821.449999999995</v>
      </c>
      <c r="I1930">
        <v>1573356</v>
      </c>
      <c r="J1930" t="s">
        <v>86</v>
      </c>
      <c r="K1930" t="s">
        <v>96</v>
      </c>
      <c r="L1930" s="16" t="s">
        <v>10</v>
      </c>
    </row>
    <row r="1931" spans="1:12" x14ac:dyDescent="0.35">
      <c r="A1931" t="s">
        <v>8</v>
      </c>
      <c r="B1931" t="s">
        <v>99</v>
      </c>
      <c r="C1931" t="s">
        <v>93</v>
      </c>
      <c r="D1931" t="s">
        <v>10</v>
      </c>
      <c r="E1931" t="s">
        <v>10</v>
      </c>
      <c r="F1931" s="7">
        <v>45654</v>
      </c>
      <c r="G1931" s="1">
        <v>45292</v>
      </c>
      <c r="H1931" s="14">
        <v>4011.7960000000003</v>
      </c>
      <c r="I1931">
        <v>990452</v>
      </c>
      <c r="J1931" t="s">
        <v>86</v>
      </c>
      <c r="K1931" t="s">
        <v>94</v>
      </c>
      <c r="L1931" s="16" t="s">
        <v>10</v>
      </c>
    </row>
    <row r="1932" spans="1:12" x14ac:dyDescent="0.35">
      <c r="A1932" t="s">
        <v>8</v>
      </c>
      <c r="B1932" t="s">
        <v>99</v>
      </c>
      <c r="C1932" t="s">
        <v>95</v>
      </c>
      <c r="D1932" t="s">
        <v>10</v>
      </c>
      <c r="E1932" t="s">
        <v>10</v>
      </c>
      <c r="F1932" s="7">
        <v>45654</v>
      </c>
      <c r="G1932" s="1">
        <v>45292</v>
      </c>
      <c r="H1932" s="14">
        <v>5285.8399999999983</v>
      </c>
      <c r="I1932">
        <v>796358</v>
      </c>
      <c r="J1932" t="s">
        <v>86</v>
      </c>
      <c r="K1932" t="s">
        <v>96</v>
      </c>
      <c r="L1932" s="16" t="s">
        <v>10</v>
      </c>
    </row>
    <row r="1933" spans="1:12" x14ac:dyDescent="0.35">
      <c r="A1933" t="s">
        <v>8</v>
      </c>
      <c r="B1933" t="s">
        <v>100</v>
      </c>
      <c r="C1933" t="s">
        <v>93</v>
      </c>
      <c r="D1933" t="s">
        <v>10</v>
      </c>
      <c r="E1933" t="s">
        <v>10</v>
      </c>
      <c r="F1933" s="7">
        <v>45654</v>
      </c>
      <c r="G1933" s="1">
        <v>45292</v>
      </c>
      <c r="H1933" s="14">
        <v>4789.3036999999986</v>
      </c>
      <c r="I1933">
        <v>1396088</v>
      </c>
      <c r="J1933" t="s">
        <v>86</v>
      </c>
      <c r="K1933" t="s">
        <v>94</v>
      </c>
      <c r="L1933" s="16" t="s">
        <v>10</v>
      </c>
    </row>
    <row r="1934" spans="1:12" x14ac:dyDescent="0.35">
      <c r="A1934" t="s">
        <v>8</v>
      </c>
      <c r="B1934" t="s">
        <v>100</v>
      </c>
      <c r="C1934" t="s">
        <v>95</v>
      </c>
      <c r="D1934" t="s">
        <v>10</v>
      </c>
      <c r="E1934" t="s">
        <v>10</v>
      </c>
      <c r="F1934" s="7">
        <v>45654</v>
      </c>
      <c r="G1934" s="1">
        <v>45292</v>
      </c>
      <c r="H1934" s="14">
        <v>2467.0400000000004</v>
      </c>
      <c r="I1934">
        <v>465872</v>
      </c>
      <c r="J1934" t="s">
        <v>86</v>
      </c>
      <c r="K1934" t="s">
        <v>96</v>
      </c>
      <c r="L1934" s="16" t="s">
        <v>10</v>
      </c>
    </row>
    <row r="1935" spans="1:12" x14ac:dyDescent="0.35">
      <c r="A1935" t="s">
        <v>8</v>
      </c>
      <c r="B1935" t="s">
        <v>21</v>
      </c>
      <c r="C1935" t="s">
        <v>93</v>
      </c>
      <c r="D1935" t="s">
        <v>10</v>
      </c>
      <c r="E1935" t="s">
        <v>10</v>
      </c>
      <c r="F1935" s="7">
        <v>45654</v>
      </c>
      <c r="G1935" s="1">
        <v>45292</v>
      </c>
      <c r="H1935" s="14">
        <v>5686.5534000000025</v>
      </c>
      <c r="I1935">
        <v>2327755</v>
      </c>
      <c r="J1935" t="s">
        <v>86</v>
      </c>
      <c r="K1935" t="s">
        <v>94</v>
      </c>
      <c r="L1935" s="16" t="s">
        <v>10</v>
      </c>
    </row>
    <row r="1936" spans="1:12" x14ac:dyDescent="0.35">
      <c r="A1936" t="s">
        <v>8</v>
      </c>
      <c r="B1936" t="s">
        <v>21</v>
      </c>
      <c r="C1936" t="s">
        <v>95</v>
      </c>
      <c r="D1936" t="s">
        <v>10</v>
      </c>
      <c r="E1936" t="s">
        <v>10</v>
      </c>
      <c r="F1936" s="7">
        <v>45654</v>
      </c>
      <c r="G1936" s="1">
        <v>45292</v>
      </c>
      <c r="H1936" s="14">
        <v>11004.139999999994</v>
      </c>
      <c r="I1936">
        <v>1035656</v>
      </c>
      <c r="J1936" t="s">
        <v>86</v>
      </c>
      <c r="K1936" t="s">
        <v>96</v>
      </c>
      <c r="L1936" s="16" t="s">
        <v>10</v>
      </c>
    </row>
    <row r="1937" spans="1:12" x14ac:dyDescent="0.35">
      <c r="A1937" t="s">
        <v>8</v>
      </c>
      <c r="B1937" t="s">
        <v>101</v>
      </c>
      <c r="C1937" t="s">
        <v>93</v>
      </c>
      <c r="D1937" t="s">
        <v>10</v>
      </c>
      <c r="E1937" t="s">
        <v>10</v>
      </c>
      <c r="F1937" s="7">
        <v>45654</v>
      </c>
      <c r="G1937" s="1">
        <v>45292</v>
      </c>
      <c r="H1937" s="14">
        <v>4298.9947999999995</v>
      </c>
      <c r="I1937">
        <v>1258402</v>
      </c>
      <c r="J1937" t="s">
        <v>86</v>
      </c>
      <c r="K1937" t="s">
        <v>94</v>
      </c>
      <c r="L1937" s="16" t="s">
        <v>10</v>
      </c>
    </row>
    <row r="1938" spans="1:12" x14ac:dyDescent="0.35">
      <c r="A1938" t="s">
        <v>8</v>
      </c>
      <c r="B1938" t="s">
        <v>103</v>
      </c>
      <c r="C1938" t="s">
        <v>95</v>
      </c>
      <c r="D1938" t="s">
        <v>104</v>
      </c>
      <c r="E1938" t="s">
        <v>8</v>
      </c>
      <c r="F1938" s="7">
        <v>45654</v>
      </c>
      <c r="G1938" s="1">
        <v>45292</v>
      </c>
      <c r="H1938" s="14">
        <v>16.75</v>
      </c>
      <c r="I1938">
        <v>273</v>
      </c>
      <c r="J1938" t="s">
        <v>86</v>
      </c>
      <c r="K1938" t="s">
        <v>105</v>
      </c>
      <c r="L1938" s="16" t="s">
        <v>95</v>
      </c>
    </row>
    <row r="1939" spans="1:12" x14ac:dyDescent="0.35">
      <c r="A1939" t="s">
        <v>8</v>
      </c>
      <c r="B1939" t="s">
        <v>16</v>
      </c>
      <c r="C1939" t="s">
        <v>95</v>
      </c>
      <c r="D1939" t="s">
        <v>104</v>
      </c>
      <c r="E1939" t="s">
        <v>8</v>
      </c>
      <c r="F1939" s="7">
        <v>45654</v>
      </c>
      <c r="G1939" s="1">
        <v>45292</v>
      </c>
      <c r="H1939" s="14">
        <v>10.8</v>
      </c>
      <c r="I1939">
        <v>247</v>
      </c>
      <c r="J1939" t="s">
        <v>86</v>
      </c>
      <c r="K1939" t="s">
        <v>105</v>
      </c>
      <c r="L1939" s="16" t="s">
        <v>95</v>
      </c>
    </row>
    <row r="1940" spans="1:12" x14ac:dyDescent="0.35">
      <c r="A1940" t="s">
        <v>8</v>
      </c>
      <c r="B1940" t="s">
        <v>84</v>
      </c>
      <c r="C1940" t="s">
        <v>95</v>
      </c>
      <c r="D1940" t="s">
        <v>104</v>
      </c>
      <c r="E1940" t="s">
        <v>8</v>
      </c>
      <c r="F1940" s="7">
        <v>45654</v>
      </c>
      <c r="G1940" s="1">
        <v>45292</v>
      </c>
      <c r="H1940" s="14">
        <v>5590.1406300000008</v>
      </c>
      <c r="I1940">
        <v>26381</v>
      </c>
      <c r="J1940" t="s">
        <v>86</v>
      </c>
      <c r="K1940" t="s">
        <v>105</v>
      </c>
      <c r="L1940" s="16" t="s">
        <v>95</v>
      </c>
    </row>
    <row r="1941" spans="1:12" x14ac:dyDescent="0.35">
      <c r="A1941" t="s">
        <v>8</v>
      </c>
      <c r="B1941" t="s">
        <v>17</v>
      </c>
      <c r="C1941" t="s">
        <v>95</v>
      </c>
      <c r="D1941" t="s">
        <v>104</v>
      </c>
      <c r="E1941" t="s">
        <v>8</v>
      </c>
      <c r="F1941" s="7">
        <v>45654</v>
      </c>
      <c r="G1941" s="1">
        <v>45292</v>
      </c>
      <c r="H1941" s="14">
        <v>25.570698</v>
      </c>
      <c r="I1941">
        <v>470</v>
      </c>
      <c r="J1941" t="s">
        <v>86</v>
      </c>
      <c r="K1941" t="s">
        <v>105</v>
      </c>
      <c r="L1941" s="16" t="s">
        <v>95</v>
      </c>
    </row>
    <row r="1942" spans="1:12" x14ac:dyDescent="0.35">
      <c r="A1942" t="s">
        <v>8</v>
      </c>
      <c r="B1942" t="s">
        <v>106</v>
      </c>
      <c r="C1942" t="s">
        <v>95</v>
      </c>
      <c r="D1942" t="s">
        <v>104</v>
      </c>
      <c r="E1942" t="s">
        <v>8</v>
      </c>
      <c r="F1942" s="7">
        <v>45654</v>
      </c>
      <c r="G1942" s="1">
        <v>45292</v>
      </c>
      <c r="H1942" s="14">
        <v>206.814886</v>
      </c>
      <c r="I1942">
        <v>543</v>
      </c>
      <c r="J1942" t="s">
        <v>86</v>
      </c>
      <c r="K1942" t="s">
        <v>105</v>
      </c>
      <c r="L1942" s="16" t="s">
        <v>95</v>
      </c>
    </row>
    <row r="1943" spans="1:12" x14ac:dyDescent="0.35">
      <c r="A1943" t="s">
        <v>8</v>
      </c>
      <c r="B1943" t="s">
        <v>92</v>
      </c>
      <c r="C1943" t="s">
        <v>95</v>
      </c>
      <c r="D1943" t="s">
        <v>104</v>
      </c>
      <c r="E1943" t="s">
        <v>8</v>
      </c>
      <c r="F1943" s="7">
        <v>45654</v>
      </c>
      <c r="G1943" s="1">
        <v>45292</v>
      </c>
      <c r="H1943" s="14">
        <v>97.554154999999994</v>
      </c>
      <c r="I1943">
        <v>1488</v>
      </c>
      <c r="J1943" t="s">
        <v>86</v>
      </c>
      <c r="K1943" t="s">
        <v>105</v>
      </c>
      <c r="L1943" s="16" t="s">
        <v>95</v>
      </c>
    </row>
    <row r="1944" spans="1:12" x14ac:dyDescent="0.35">
      <c r="A1944" t="s">
        <v>8</v>
      </c>
      <c r="B1944" t="s">
        <v>21</v>
      </c>
      <c r="C1944" t="s">
        <v>95</v>
      </c>
      <c r="D1944" t="s">
        <v>104</v>
      </c>
      <c r="E1944" t="s">
        <v>8</v>
      </c>
      <c r="F1944" s="7">
        <v>45654</v>
      </c>
      <c r="G1944" s="1">
        <v>45292</v>
      </c>
      <c r="H1944" s="14">
        <v>104.035501</v>
      </c>
      <c r="I1944">
        <v>1651</v>
      </c>
      <c r="J1944" t="s">
        <v>86</v>
      </c>
      <c r="K1944" t="s">
        <v>105</v>
      </c>
      <c r="L1944" s="16" t="s">
        <v>95</v>
      </c>
    </row>
    <row r="1945" spans="1:12" x14ac:dyDescent="0.35">
      <c r="A1945" t="s">
        <v>8</v>
      </c>
      <c r="B1945" t="s">
        <v>101</v>
      </c>
      <c r="C1945" t="s">
        <v>95</v>
      </c>
      <c r="D1945" t="s">
        <v>104</v>
      </c>
      <c r="E1945" t="s">
        <v>8</v>
      </c>
      <c r="F1945" s="7">
        <v>45654</v>
      </c>
      <c r="G1945" s="1">
        <v>45292</v>
      </c>
      <c r="H1945" s="14">
        <v>8.77</v>
      </c>
      <c r="I1945">
        <v>234</v>
      </c>
      <c r="J1945" t="s">
        <v>86</v>
      </c>
      <c r="K1945" t="s">
        <v>105</v>
      </c>
      <c r="L1945" s="16" t="s">
        <v>95</v>
      </c>
    </row>
    <row r="1946" spans="1:12" x14ac:dyDescent="0.35">
      <c r="A1946" t="s">
        <v>8</v>
      </c>
      <c r="B1946" t="s">
        <v>99</v>
      </c>
      <c r="C1946" t="s">
        <v>95</v>
      </c>
      <c r="D1946" t="s">
        <v>104</v>
      </c>
      <c r="E1946" t="s">
        <v>8</v>
      </c>
      <c r="F1946" s="7">
        <v>45654</v>
      </c>
      <c r="G1946" s="1">
        <v>45292</v>
      </c>
      <c r="H1946" s="14">
        <v>56.869838000000001</v>
      </c>
      <c r="I1946">
        <v>656</v>
      </c>
      <c r="J1946" t="s">
        <v>86</v>
      </c>
      <c r="K1946" t="s">
        <v>105</v>
      </c>
      <c r="L1946" s="16" t="s">
        <v>95</v>
      </c>
    </row>
    <row r="1947" spans="1:12" x14ac:dyDescent="0.35">
      <c r="A1947" t="s">
        <v>8</v>
      </c>
      <c r="B1947" t="s">
        <v>102</v>
      </c>
      <c r="C1947" t="s">
        <v>95</v>
      </c>
      <c r="D1947" t="s">
        <v>104</v>
      </c>
      <c r="E1947" t="s">
        <v>8</v>
      </c>
      <c r="F1947" s="7">
        <v>45654</v>
      </c>
      <c r="G1947" s="1">
        <v>45292</v>
      </c>
      <c r="H1947" s="14">
        <v>151.60550900000001</v>
      </c>
      <c r="I1947">
        <v>953</v>
      </c>
      <c r="J1947" t="s">
        <v>86</v>
      </c>
      <c r="K1947" t="s">
        <v>105</v>
      </c>
      <c r="L1947" s="16" t="s">
        <v>95</v>
      </c>
    </row>
    <row r="1948" spans="1:12" x14ac:dyDescent="0.35">
      <c r="A1948" t="s">
        <v>8</v>
      </c>
      <c r="B1948" t="s">
        <v>100</v>
      </c>
      <c r="C1948" t="s">
        <v>95</v>
      </c>
      <c r="D1948" t="s">
        <v>104</v>
      </c>
      <c r="E1948" t="s">
        <v>8</v>
      </c>
      <c r="F1948" s="7">
        <v>45654</v>
      </c>
      <c r="G1948" s="1">
        <v>45292</v>
      </c>
      <c r="H1948" s="14">
        <v>42.78</v>
      </c>
      <c r="I1948">
        <v>660</v>
      </c>
      <c r="J1948" t="s">
        <v>86</v>
      </c>
      <c r="K1948" t="s">
        <v>105</v>
      </c>
      <c r="L1948" s="16" t="s">
        <v>95</v>
      </c>
    </row>
    <row r="1949" spans="1:12" x14ac:dyDescent="0.35">
      <c r="A1949" t="s">
        <v>8</v>
      </c>
      <c r="B1949" t="s">
        <v>92</v>
      </c>
      <c r="C1949" t="s">
        <v>93</v>
      </c>
      <c r="D1949" t="s">
        <v>10</v>
      </c>
      <c r="E1949" t="s">
        <v>10</v>
      </c>
      <c r="F1949" s="7">
        <v>45661</v>
      </c>
      <c r="G1949" s="1">
        <v>45292</v>
      </c>
      <c r="H1949" s="14">
        <v>2611.1514999999999</v>
      </c>
      <c r="I1949">
        <v>869209</v>
      </c>
      <c r="J1949" t="s">
        <v>86</v>
      </c>
      <c r="K1949" t="s">
        <v>94</v>
      </c>
      <c r="L1949" s="16" t="s">
        <v>10</v>
      </c>
    </row>
    <row r="1950" spans="1:12" x14ac:dyDescent="0.35">
      <c r="A1950" t="s">
        <v>8</v>
      </c>
      <c r="B1950" t="s">
        <v>92</v>
      </c>
      <c r="C1950" t="s">
        <v>93</v>
      </c>
      <c r="D1950" t="s">
        <v>10</v>
      </c>
      <c r="E1950" t="s">
        <v>10</v>
      </c>
      <c r="F1950" s="7">
        <v>45661</v>
      </c>
      <c r="G1950" s="1">
        <v>45658</v>
      </c>
      <c r="H1950" s="14">
        <v>4572.5037000000002</v>
      </c>
      <c r="I1950">
        <v>1977260</v>
      </c>
      <c r="J1950" t="s">
        <v>86</v>
      </c>
      <c r="K1950" t="s">
        <v>94</v>
      </c>
      <c r="L1950" s="16" t="s">
        <v>10</v>
      </c>
    </row>
    <row r="1951" spans="1:12" x14ac:dyDescent="0.35">
      <c r="A1951" t="s">
        <v>8</v>
      </c>
      <c r="B1951" t="s">
        <v>92</v>
      </c>
      <c r="C1951" t="s">
        <v>95</v>
      </c>
      <c r="D1951" t="s">
        <v>10</v>
      </c>
      <c r="E1951" t="s">
        <v>10</v>
      </c>
      <c r="F1951" s="7">
        <v>45661</v>
      </c>
      <c r="G1951" s="1">
        <v>45292</v>
      </c>
      <c r="H1951" s="14">
        <v>6882.9800000000014</v>
      </c>
      <c r="I1951">
        <v>655907</v>
      </c>
      <c r="J1951" t="s">
        <v>86</v>
      </c>
      <c r="K1951" t="s">
        <v>96</v>
      </c>
      <c r="L1951" s="16" t="s">
        <v>10</v>
      </c>
    </row>
    <row r="1952" spans="1:12" x14ac:dyDescent="0.35">
      <c r="A1952" t="s">
        <v>8</v>
      </c>
      <c r="B1952" t="s">
        <v>92</v>
      </c>
      <c r="C1952" t="s">
        <v>95</v>
      </c>
      <c r="D1952" t="s">
        <v>10</v>
      </c>
      <c r="E1952" t="s">
        <v>10</v>
      </c>
      <c r="F1952" s="7">
        <v>45661</v>
      </c>
      <c r="G1952" s="1">
        <v>45658</v>
      </c>
      <c r="H1952" s="14">
        <v>7150.880000000001</v>
      </c>
      <c r="I1952">
        <v>791287</v>
      </c>
      <c r="J1952" t="s">
        <v>86</v>
      </c>
      <c r="K1952" t="s">
        <v>96</v>
      </c>
      <c r="L1952" s="16" t="s">
        <v>10</v>
      </c>
    </row>
    <row r="1953" spans="1:12" x14ac:dyDescent="0.35">
      <c r="A1953" t="s">
        <v>8</v>
      </c>
      <c r="B1953" t="s">
        <v>84</v>
      </c>
      <c r="C1953" t="s">
        <v>93</v>
      </c>
      <c r="D1953" t="s">
        <v>10</v>
      </c>
      <c r="E1953" t="s">
        <v>10</v>
      </c>
      <c r="F1953" s="7">
        <v>45661</v>
      </c>
      <c r="G1953" s="1">
        <v>45292</v>
      </c>
      <c r="H1953" s="14">
        <v>1711.2711999999995</v>
      </c>
      <c r="I1953">
        <v>1262835</v>
      </c>
      <c r="J1953" t="s">
        <v>86</v>
      </c>
      <c r="K1953" t="s">
        <v>94</v>
      </c>
      <c r="L1953" s="16" t="s">
        <v>10</v>
      </c>
    </row>
    <row r="1954" spans="1:12" x14ac:dyDescent="0.35">
      <c r="A1954" t="s">
        <v>8</v>
      </c>
      <c r="B1954" t="s">
        <v>84</v>
      </c>
      <c r="C1954" t="s">
        <v>93</v>
      </c>
      <c r="D1954" t="s">
        <v>10</v>
      </c>
      <c r="E1954" t="s">
        <v>10</v>
      </c>
      <c r="F1954" s="7">
        <v>45661</v>
      </c>
      <c r="G1954" s="1">
        <v>45658</v>
      </c>
      <c r="H1954" s="14">
        <v>988.49480000000005</v>
      </c>
      <c r="I1954">
        <v>743456</v>
      </c>
      <c r="J1954" t="s">
        <v>86</v>
      </c>
      <c r="K1954" t="s">
        <v>94</v>
      </c>
      <c r="L1954" s="16" t="s">
        <v>10</v>
      </c>
    </row>
    <row r="1955" spans="1:12" x14ac:dyDescent="0.35">
      <c r="A1955" t="s">
        <v>8</v>
      </c>
      <c r="B1955" t="s">
        <v>84</v>
      </c>
      <c r="C1955" t="s">
        <v>95</v>
      </c>
      <c r="D1955" t="s">
        <v>10</v>
      </c>
      <c r="E1955" t="s">
        <v>10</v>
      </c>
      <c r="F1955" s="7">
        <v>45661</v>
      </c>
      <c r="G1955" s="1">
        <v>45292</v>
      </c>
      <c r="H1955" s="14">
        <v>915.01</v>
      </c>
      <c r="I1955">
        <v>75914</v>
      </c>
      <c r="J1955" t="s">
        <v>86</v>
      </c>
      <c r="K1955" t="s">
        <v>96</v>
      </c>
      <c r="L1955" s="16" t="s">
        <v>10</v>
      </c>
    </row>
    <row r="1956" spans="1:12" x14ac:dyDescent="0.35">
      <c r="A1956" t="s">
        <v>8</v>
      </c>
      <c r="B1956" t="s">
        <v>84</v>
      </c>
      <c r="C1956" t="s">
        <v>95</v>
      </c>
      <c r="D1956" t="s">
        <v>10</v>
      </c>
      <c r="E1956" t="s">
        <v>10</v>
      </c>
      <c r="F1956" s="7">
        <v>45661</v>
      </c>
      <c r="G1956" s="1">
        <v>45658</v>
      </c>
      <c r="H1956" s="14">
        <v>1152.29</v>
      </c>
      <c r="I1956">
        <v>108518</v>
      </c>
      <c r="J1956" t="s">
        <v>86</v>
      </c>
      <c r="K1956" t="s">
        <v>96</v>
      </c>
      <c r="L1956" s="16" t="s">
        <v>10</v>
      </c>
    </row>
    <row r="1957" spans="1:12" x14ac:dyDescent="0.35">
      <c r="A1957" t="s">
        <v>8</v>
      </c>
      <c r="B1957" t="s">
        <v>17</v>
      </c>
      <c r="C1957" t="s">
        <v>93</v>
      </c>
      <c r="D1957" t="s">
        <v>10</v>
      </c>
      <c r="E1957" t="s">
        <v>10</v>
      </c>
      <c r="F1957" s="7">
        <v>45661</v>
      </c>
      <c r="G1957" s="1">
        <v>45292</v>
      </c>
      <c r="H1957" s="14">
        <v>2470.8179000000005</v>
      </c>
      <c r="I1957">
        <v>882198</v>
      </c>
      <c r="J1957" t="s">
        <v>86</v>
      </c>
      <c r="K1957" t="s">
        <v>94</v>
      </c>
      <c r="L1957" s="16" t="s">
        <v>10</v>
      </c>
    </row>
    <row r="1958" spans="1:12" x14ac:dyDescent="0.35">
      <c r="A1958" t="s">
        <v>8</v>
      </c>
      <c r="B1958" t="s">
        <v>17</v>
      </c>
      <c r="C1958" t="s">
        <v>93</v>
      </c>
      <c r="D1958" t="s">
        <v>10</v>
      </c>
      <c r="E1958" t="s">
        <v>10</v>
      </c>
      <c r="F1958" s="7">
        <v>45661</v>
      </c>
      <c r="G1958" s="1">
        <v>45658</v>
      </c>
      <c r="H1958" s="14">
        <v>4527.7916999999989</v>
      </c>
      <c r="I1958">
        <v>2090152</v>
      </c>
      <c r="J1958" t="s">
        <v>86</v>
      </c>
      <c r="K1958" t="s">
        <v>94</v>
      </c>
      <c r="L1958" s="16" t="s">
        <v>10</v>
      </c>
    </row>
    <row r="1959" spans="1:12" x14ac:dyDescent="0.35">
      <c r="A1959" t="s">
        <v>8</v>
      </c>
      <c r="B1959" t="s">
        <v>17</v>
      </c>
      <c r="C1959" t="s">
        <v>95</v>
      </c>
      <c r="D1959" t="s">
        <v>10</v>
      </c>
      <c r="E1959" t="s">
        <v>10</v>
      </c>
      <c r="F1959" s="7">
        <v>45661</v>
      </c>
      <c r="G1959" s="1">
        <v>45292</v>
      </c>
      <c r="H1959" s="14">
        <v>5394.5599999999986</v>
      </c>
      <c r="I1959">
        <v>518369</v>
      </c>
      <c r="J1959" t="s">
        <v>86</v>
      </c>
      <c r="K1959" t="s">
        <v>96</v>
      </c>
      <c r="L1959" s="16" t="s">
        <v>10</v>
      </c>
    </row>
    <row r="1960" spans="1:12" x14ac:dyDescent="0.35">
      <c r="A1960" t="s">
        <v>8</v>
      </c>
      <c r="B1960" t="s">
        <v>17</v>
      </c>
      <c r="C1960" t="s">
        <v>95</v>
      </c>
      <c r="D1960" t="s">
        <v>10</v>
      </c>
      <c r="E1960" t="s">
        <v>10</v>
      </c>
      <c r="F1960" s="7">
        <v>45661</v>
      </c>
      <c r="G1960" s="1">
        <v>45658</v>
      </c>
      <c r="H1960" s="14">
        <v>4735.8400000000011</v>
      </c>
      <c r="I1960">
        <v>423993</v>
      </c>
      <c r="J1960" t="s">
        <v>86</v>
      </c>
      <c r="K1960" t="s">
        <v>96</v>
      </c>
      <c r="L1960" s="16" t="s">
        <v>10</v>
      </c>
    </row>
    <row r="1961" spans="1:12" x14ac:dyDescent="0.35">
      <c r="A1961" t="s">
        <v>8</v>
      </c>
      <c r="B1961" t="s">
        <v>99</v>
      </c>
      <c r="C1961" t="s">
        <v>93</v>
      </c>
      <c r="D1961" t="s">
        <v>10</v>
      </c>
      <c r="E1961" t="s">
        <v>10</v>
      </c>
      <c r="F1961" s="7">
        <v>45661</v>
      </c>
      <c r="G1961" s="1">
        <v>45292</v>
      </c>
      <c r="H1961" s="14">
        <v>1385.2909</v>
      </c>
      <c r="I1961">
        <v>365275</v>
      </c>
      <c r="J1961" t="s">
        <v>86</v>
      </c>
      <c r="K1961" t="s">
        <v>94</v>
      </c>
      <c r="L1961" s="16" t="s">
        <v>10</v>
      </c>
    </row>
    <row r="1962" spans="1:12" x14ac:dyDescent="0.35">
      <c r="A1962" t="s">
        <v>8</v>
      </c>
      <c r="B1962" t="s">
        <v>99</v>
      </c>
      <c r="C1962" t="s">
        <v>93</v>
      </c>
      <c r="D1962" t="s">
        <v>10</v>
      </c>
      <c r="E1962" t="s">
        <v>10</v>
      </c>
      <c r="F1962" s="7">
        <v>45661</v>
      </c>
      <c r="G1962" s="1">
        <v>45658</v>
      </c>
      <c r="H1962" s="14">
        <v>2869.1986999999995</v>
      </c>
      <c r="I1962">
        <v>1123338</v>
      </c>
      <c r="J1962" t="s">
        <v>86</v>
      </c>
      <c r="K1962" t="s">
        <v>94</v>
      </c>
      <c r="L1962" s="16" t="s">
        <v>10</v>
      </c>
    </row>
    <row r="1963" spans="1:12" x14ac:dyDescent="0.35">
      <c r="A1963" t="s">
        <v>8</v>
      </c>
      <c r="B1963" t="s">
        <v>99</v>
      </c>
      <c r="C1963" t="s">
        <v>95</v>
      </c>
      <c r="D1963" t="s">
        <v>10</v>
      </c>
      <c r="E1963" t="s">
        <v>10</v>
      </c>
      <c r="F1963" s="7">
        <v>45661</v>
      </c>
      <c r="G1963" s="1">
        <v>45292</v>
      </c>
      <c r="H1963" s="14">
        <v>1072.8599999999999</v>
      </c>
      <c r="I1963">
        <v>164744</v>
      </c>
      <c r="J1963" t="s">
        <v>86</v>
      </c>
      <c r="K1963" t="s">
        <v>96</v>
      </c>
      <c r="L1963" s="16" t="s">
        <v>10</v>
      </c>
    </row>
    <row r="1964" spans="1:12" x14ac:dyDescent="0.35">
      <c r="A1964" t="s">
        <v>8</v>
      </c>
      <c r="B1964" t="s">
        <v>99</v>
      </c>
      <c r="C1964" t="s">
        <v>95</v>
      </c>
      <c r="D1964" t="s">
        <v>10</v>
      </c>
      <c r="E1964" t="s">
        <v>10</v>
      </c>
      <c r="F1964" s="7">
        <v>45661</v>
      </c>
      <c r="G1964" s="1">
        <v>45658</v>
      </c>
      <c r="H1964" s="14">
        <v>1305</v>
      </c>
      <c r="I1964">
        <v>255201</v>
      </c>
      <c r="J1964" t="s">
        <v>86</v>
      </c>
      <c r="K1964" t="s">
        <v>96</v>
      </c>
      <c r="L1964" s="16" t="s">
        <v>10</v>
      </c>
    </row>
    <row r="1965" spans="1:12" x14ac:dyDescent="0.35">
      <c r="A1965" t="s">
        <v>8</v>
      </c>
      <c r="B1965" t="s">
        <v>100</v>
      </c>
      <c r="C1965" t="s">
        <v>93</v>
      </c>
      <c r="D1965" t="s">
        <v>10</v>
      </c>
      <c r="E1965" t="s">
        <v>10</v>
      </c>
      <c r="F1965" s="7">
        <v>45661</v>
      </c>
      <c r="G1965" s="1">
        <v>45292</v>
      </c>
      <c r="H1965" s="14">
        <v>1731.0464000000004</v>
      </c>
      <c r="I1965">
        <v>508297</v>
      </c>
      <c r="J1965" t="s">
        <v>86</v>
      </c>
      <c r="K1965" t="s">
        <v>94</v>
      </c>
      <c r="L1965" s="16" t="s">
        <v>10</v>
      </c>
    </row>
    <row r="1966" spans="1:12" x14ac:dyDescent="0.35">
      <c r="A1966" t="s">
        <v>8</v>
      </c>
      <c r="B1966" t="s">
        <v>100</v>
      </c>
      <c r="C1966" t="s">
        <v>93</v>
      </c>
      <c r="D1966" t="s">
        <v>10</v>
      </c>
      <c r="E1966" t="s">
        <v>10</v>
      </c>
      <c r="F1966" s="7">
        <v>45661</v>
      </c>
      <c r="G1966" s="1">
        <v>45658</v>
      </c>
      <c r="H1966" s="14">
        <v>3109.6780000000012</v>
      </c>
      <c r="I1966">
        <v>1325025</v>
      </c>
      <c r="J1966" t="s">
        <v>86</v>
      </c>
      <c r="K1966" t="s">
        <v>94</v>
      </c>
      <c r="L1966" s="16" t="s">
        <v>10</v>
      </c>
    </row>
    <row r="1967" spans="1:12" x14ac:dyDescent="0.35">
      <c r="A1967" t="s">
        <v>8</v>
      </c>
      <c r="B1967" t="s">
        <v>100</v>
      </c>
      <c r="C1967" t="s">
        <v>95</v>
      </c>
      <c r="D1967" t="s">
        <v>10</v>
      </c>
      <c r="E1967" t="s">
        <v>10</v>
      </c>
      <c r="F1967" s="7">
        <v>45661</v>
      </c>
      <c r="G1967" s="1">
        <v>45292</v>
      </c>
      <c r="H1967" s="14">
        <v>735.82999999999993</v>
      </c>
      <c r="I1967">
        <v>98308</v>
      </c>
      <c r="J1967" t="s">
        <v>86</v>
      </c>
      <c r="K1967" t="s">
        <v>96</v>
      </c>
      <c r="L1967" s="16" t="s">
        <v>10</v>
      </c>
    </row>
    <row r="1968" spans="1:12" x14ac:dyDescent="0.35">
      <c r="A1968" t="s">
        <v>8</v>
      </c>
      <c r="B1968" t="s">
        <v>100</v>
      </c>
      <c r="C1968" t="s">
        <v>95</v>
      </c>
      <c r="D1968" t="s">
        <v>10</v>
      </c>
      <c r="E1968" t="s">
        <v>10</v>
      </c>
      <c r="F1968" s="7">
        <v>45661</v>
      </c>
      <c r="G1968" s="1">
        <v>45658</v>
      </c>
      <c r="H1968" s="14">
        <v>1475.0899999999995</v>
      </c>
      <c r="I1968">
        <v>232248</v>
      </c>
      <c r="J1968" t="s">
        <v>86</v>
      </c>
      <c r="K1968" t="s">
        <v>96</v>
      </c>
      <c r="L1968" s="16" t="s">
        <v>10</v>
      </c>
    </row>
    <row r="1969" spans="1:12" x14ac:dyDescent="0.35">
      <c r="A1969" t="s">
        <v>8</v>
      </c>
      <c r="B1969" t="s">
        <v>21</v>
      </c>
      <c r="C1969" t="s">
        <v>93</v>
      </c>
      <c r="D1969" t="s">
        <v>10</v>
      </c>
      <c r="E1969" t="s">
        <v>10</v>
      </c>
      <c r="F1969" s="7">
        <v>45661</v>
      </c>
      <c r="G1969" s="1">
        <v>45292</v>
      </c>
      <c r="H1969" s="14">
        <v>2009.1769999999999</v>
      </c>
      <c r="I1969">
        <v>652767</v>
      </c>
      <c r="J1969" t="s">
        <v>86</v>
      </c>
      <c r="K1969" t="s">
        <v>94</v>
      </c>
      <c r="L1969" s="16" t="s">
        <v>10</v>
      </c>
    </row>
    <row r="1970" spans="1:12" x14ac:dyDescent="0.35">
      <c r="A1970" t="s">
        <v>8</v>
      </c>
      <c r="B1970" t="s">
        <v>21</v>
      </c>
      <c r="C1970" t="s">
        <v>93</v>
      </c>
      <c r="D1970" t="s">
        <v>10</v>
      </c>
      <c r="E1970" t="s">
        <v>10</v>
      </c>
      <c r="F1970" s="7">
        <v>45661</v>
      </c>
      <c r="G1970" s="1">
        <v>45658</v>
      </c>
      <c r="H1970" s="14">
        <v>3347.6236999999996</v>
      </c>
      <c r="I1970">
        <v>1259206</v>
      </c>
      <c r="J1970" t="s">
        <v>86</v>
      </c>
      <c r="K1970" t="s">
        <v>94</v>
      </c>
      <c r="L1970" s="16" t="s">
        <v>10</v>
      </c>
    </row>
    <row r="1971" spans="1:12" x14ac:dyDescent="0.35">
      <c r="A1971" t="s">
        <v>8</v>
      </c>
      <c r="B1971" t="s">
        <v>21</v>
      </c>
      <c r="C1971" t="s">
        <v>95</v>
      </c>
      <c r="D1971" t="s">
        <v>10</v>
      </c>
      <c r="E1971" t="s">
        <v>10</v>
      </c>
      <c r="F1971" s="7">
        <v>45661</v>
      </c>
      <c r="G1971" s="1">
        <v>45292</v>
      </c>
      <c r="H1971" s="14">
        <v>3268.47</v>
      </c>
      <c r="I1971">
        <v>282577</v>
      </c>
      <c r="J1971" t="s">
        <v>86</v>
      </c>
      <c r="K1971" t="s">
        <v>96</v>
      </c>
      <c r="L1971" s="16" t="s">
        <v>10</v>
      </c>
    </row>
    <row r="1972" spans="1:12" x14ac:dyDescent="0.35">
      <c r="A1972" t="s">
        <v>8</v>
      </c>
      <c r="B1972" t="s">
        <v>21</v>
      </c>
      <c r="C1972" t="s">
        <v>95</v>
      </c>
      <c r="D1972" t="s">
        <v>10</v>
      </c>
      <c r="E1972" t="s">
        <v>10</v>
      </c>
      <c r="F1972" s="7">
        <v>45661</v>
      </c>
      <c r="G1972" s="1">
        <v>45658</v>
      </c>
      <c r="H1972" s="14">
        <v>3626.8399999999997</v>
      </c>
      <c r="I1972">
        <v>383873</v>
      </c>
      <c r="J1972" t="s">
        <v>86</v>
      </c>
      <c r="K1972" t="s">
        <v>96</v>
      </c>
      <c r="L1972" s="16" t="s">
        <v>10</v>
      </c>
    </row>
    <row r="1973" spans="1:12" x14ac:dyDescent="0.35">
      <c r="A1973" t="s">
        <v>8</v>
      </c>
      <c r="B1973" t="s">
        <v>101</v>
      </c>
      <c r="C1973" t="s">
        <v>93</v>
      </c>
      <c r="D1973" t="s">
        <v>10</v>
      </c>
      <c r="E1973" t="s">
        <v>10</v>
      </c>
      <c r="F1973" s="7">
        <v>45661</v>
      </c>
      <c r="G1973" s="1">
        <v>45292</v>
      </c>
      <c r="H1973" s="14">
        <v>1616.8164000000002</v>
      </c>
      <c r="I1973">
        <v>413468</v>
      </c>
      <c r="J1973" t="s">
        <v>86</v>
      </c>
      <c r="K1973" t="s">
        <v>94</v>
      </c>
      <c r="L1973" s="16" t="s">
        <v>10</v>
      </c>
    </row>
    <row r="1974" spans="1:12" x14ac:dyDescent="0.35">
      <c r="A1974" t="s">
        <v>8</v>
      </c>
      <c r="B1974" t="s">
        <v>101</v>
      </c>
      <c r="C1974" t="s">
        <v>93</v>
      </c>
      <c r="D1974" t="s">
        <v>10</v>
      </c>
      <c r="E1974" t="s">
        <v>10</v>
      </c>
      <c r="F1974" s="7">
        <v>45661</v>
      </c>
      <c r="G1974" s="1">
        <v>45658</v>
      </c>
      <c r="H1974" s="14">
        <v>0.30299999999999999</v>
      </c>
      <c r="I1974">
        <v>196</v>
      </c>
      <c r="J1974" t="s">
        <v>86</v>
      </c>
      <c r="K1974" t="s">
        <v>94</v>
      </c>
      <c r="L1974" s="16" t="s">
        <v>10</v>
      </c>
    </row>
    <row r="1975" spans="1:12" x14ac:dyDescent="0.35">
      <c r="A1975" t="s">
        <v>8</v>
      </c>
      <c r="B1975" t="s">
        <v>102</v>
      </c>
      <c r="C1975" t="s">
        <v>95</v>
      </c>
      <c r="D1975" t="s">
        <v>10</v>
      </c>
      <c r="E1975" t="s">
        <v>10</v>
      </c>
      <c r="F1975" s="7">
        <v>45661</v>
      </c>
      <c r="G1975" s="1">
        <v>45658</v>
      </c>
      <c r="H1975" s="14">
        <v>0.37</v>
      </c>
      <c r="I1975">
        <v>261</v>
      </c>
      <c r="J1975" t="s">
        <v>86</v>
      </c>
      <c r="K1975" t="s">
        <v>96</v>
      </c>
      <c r="L1975" s="16" t="s">
        <v>10</v>
      </c>
    </row>
    <row r="1976" spans="1:12" x14ac:dyDescent="0.35">
      <c r="A1976" t="s">
        <v>8</v>
      </c>
      <c r="B1976" t="s">
        <v>103</v>
      </c>
      <c r="C1976" t="s">
        <v>95</v>
      </c>
      <c r="D1976" t="s">
        <v>104</v>
      </c>
      <c r="E1976" t="s">
        <v>8</v>
      </c>
      <c r="F1976" s="7">
        <v>45661</v>
      </c>
      <c r="G1976" s="1">
        <v>45292</v>
      </c>
      <c r="H1976" s="14">
        <v>3.75</v>
      </c>
      <c r="I1976">
        <v>37</v>
      </c>
      <c r="J1976" t="s">
        <v>86</v>
      </c>
      <c r="K1976" t="s">
        <v>105</v>
      </c>
      <c r="L1976" s="16" t="s">
        <v>95</v>
      </c>
    </row>
    <row r="1977" spans="1:12" x14ac:dyDescent="0.35">
      <c r="A1977" t="s">
        <v>8</v>
      </c>
      <c r="B1977" t="s">
        <v>16</v>
      </c>
      <c r="C1977" t="s">
        <v>95</v>
      </c>
      <c r="D1977" t="s">
        <v>104</v>
      </c>
      <c r="E1977" t="s">
        <v>8</v>
      </c>
      <c r="F1977" s="7">
        <v>45661</v>
      </c>
      <c r="G1977" s="1">
        <v>45292</v>
      </c>
      <c r="H1977" s="14">
        <v>1.29</v>
      </c>
      <c r="I1977">
        <v>22</v>
      </c>
      <c r="J1977" t="s">
        <v>86</v>
      </c>
      <c r="K1977" t="s">
        <v>105</v>
      </c>
      <c r="L1977" s="16" t="s">
        <v>95</v>
      </c>
    </row>
    <row r="1978" spans="1:12" x14ac:dyDescent="0.35">
      <c r="A1978" t="s">
        <v>8</v>
      </c>
      <c r="B1978" t="s">
        <v>84</v>
      </c>
      <c r="C1978" t="s">
        <v>95</v>
      </c>
      <c r="D1978" t="s">
        <v>104</v>
      </c>
      <c r="E1978" t="s">
        <v>8</v>
      </c>
      <c r="F1978" s="7">
        <v>45661</v>
      </c>
      <c r="G1978" s="1">
        <v>45292</v>
      </c>
      <c r="H1978" s="14">
        <v>702.84051900000009</v>
      </c>
      <c r="I1978">
        <v>3018</v>
      </c>
      <c r="J1978" t="s">
        <v>86</v>
      </c>
      <c r="K1978" t="s">
        <v>105</v>
      </c>
      <c r="L1978" s="16" t="s">
        <v>95</v>
      </c>
    </row>
    <row r="1979" spans="1:12" x14ac:dyDescent="0.35">
      <c r="A1979" t="s">
        <v>8</v>
      </c>
      <c r="B1979" t="s">
        <v>17</v>
      </c>
      <c r="C1979" t="s">
        <v>95</v>
      </c>
      <c r="D1979" t="s">
        <v>104</v>
      </c>
      <c r="E1979" t="s">
        <v>8</v>
      </c>
      <c r="F1979" s="7">
        <v>45661</v>
      </c>
      <c r="G1979" s="1">
        <v>45292</v>
      </c>
      <c r="H1979" s="14">
        <v>2.0699999999999998</v>
      </c>
      <c r="I1979">
        <v>52</v>
      </c>
      <c r="J1979" t="s">
        <v>86</v>
      </c>
      <c r="K1979" t="s">
        <v>105</v>
      </c>
      <c r="L1979" s="16" t="s">
        <v>95</v>
      </c>
    </row>
    <row r="1980" spans="1:12" x14ac:dyDescent="0.35">
      <c r="A1980" t="s">
        <v>8</v>
      </c>
      <c r="B1980" t="s">
        <v>106</v>
      </c>
      <c r="C1980" t="s">
        <v>95</v>
      </c>
      <c r="D1980" t="s">
        <v>104</v>
      </c>
      <c r="E1980" t="s">
        <v>8</v>
      </c>
      <c r="F1980" s="7">
        <v>45661</v>
      </c>
      <c r="G1980" s="1">
        <v>45292</v>
      </c>
      <c r="H1980" s="14">
        <v>35.556491000000001</v>
      </c>
      <c r="I1980">
        <v>63</v>
      </c>
      <c r="J1980" t="s">
        <v>86</v>
      </c>
      <c r="K1980" t="s">
        <v>105</v>
      </c>
      <c r="L1980" s="16" t="s">
        <v>95</v>
      </c>
    </row>
    <row r="1981" spans="1:12" x14ac:dyDescent="0.35">
      <c r="A1981" t="s">
        <v>8</v>
      </c>
      <c r="B1981" t="s">
        <v>92</v>
      </c>
      <c r="C1981" t="s">
        <v>95</v>
      </c>
      <c r="D1981" t="s">
        <v>104</v>
      </c>
      <c r="E1981" t="s">
        <v>8</v>
      </c>
      <c r="F1981" s="7">
        <v>45661</v>
      </c>
      <c r="G1981" s="1">
        <v>45292</v>
      </c>
      <c r="H1981" s="14">
        <v>2.86</v>
      </c>
      <c r="I1981">
        <v>132</v>
      </c>
      <c r="J1981" t="s">
        <v>86</v>
      </c>
      <c r="K1981" t="s">
        <v>105</v>
      </c>
      <c r="L1981" s="16" t="s">
        <v>95</v>
      </c>
    </row>
    <row r="1982" spans="1:12" x14ac:dyDescent="0.35">
      <c r="A1982" t="s">
        <v>8</v>
      </c>
      <c r="B1982" t="s">
        <v>21</v>
      </c>
      <c r="C1982" t="s">
        <v>95</v>
      </c>
      <c r="D1982" t="s">
        <v>104</v>
      </c>
      <c r="E1982" t="s">
        <v>8</v>
      </c>
      <c r="F1982" s="7">
        <v>45661</v>
      </c>
      <c r="G1982" s="1">
        <v>45292</v>
      </c>
      <c r="H1982" s="14">
        <v>12.419084</v>
      </c>
      <c r="I1982">
        <v>177</v>
      </c>
      <c r="J1982" t="s">
        <v>86</v>
      </c>
      <c r="K1982" t="s">
        <v>105</v>
      </c>
      <c r="L1982" s="16" t="s">
        <v>95</v>
      </c>
    </row>
    <row r="1983" spans="1:12" x14ac:dyDescent="0.35">
      <c r="A1983" t="s">
        <v>8</v>
      </c>
      <c r="B1983" t="s">
        <v>101</v>
      </c>
      <c r="C1983" t="s">
        <v>95</v>
      </c>
      <c r="D1983" t="s">
        <v>104</v>
      </c>
      <c r="E1983" t="s">
        <v>8</v>
      </c>
      <c r="F1983" s="7">
        <v>45661</v>
      </c>
      <c r="G1983" s="1">
        <v>45292</v>
      </c>
      <c r="H1983" s="14">
        <v>1.88</v>
      </c>
      <c r="I1983">
        <v>23</v>
      </c>
      <c r="J1983" t="s">
        <v>86</v>
      </c>
      <c r="K1983" t="s">
        <v>105</v>
      </c>
      <c r="L1983" s="16" t="s">
        <v>95</v>
      </c>
    </row>
    <row r="1984" spans="1:12" x14ac:dyDescent="0.35">
      <c r="A1984" t="s">
        <v>8</v>
      </c>
      <c r="B1984" t="s">
        <v>99</v>
      </c>
      <c r="C1984" t="s">
        <v>95</v>
      </c>
      <c r="D1984" t="s">
        <v>104</v>
      </c>
      <c r="E1984" t="s">
        <v>8</v>
      </c>
      <c r="F1984" s="7">
        <v>45661</v>
      </c>
      <c r="G1984" s="1">
        <v>45292</v>
      </c>
      <c r="H1984" s="14">
        <v>3.2499999999999996</v>
      </c>
      <c r="I1984">
        <v>77</v>
      </c>
      <c r="J1984" t="s">
        <v>86</v>
      </c>
      <c r="K1984" t="s">
        <v>105</v>
      </c>
      <c r="L1984" s="16" t="s">
        <v>95</v>
      </c>
    </row>
    <row r="1985" spans="1:12" x14ac:dyDescent="0.35">
      <c r="A1985" t="s">
        <v>8</v>
      </c>
      <c r="B1985" t="s">
        <v>102</v>
      </c>
      <c r="C1985" t="s">
        <v>95</v>
      </c>
      <c r="D1985" t="s">
        <v>104</v>
      </c>
      <c r="E1985" t="s">
        <v>8</v>
      </c>
      <c r="F1985" s="7">
        <v>45661</v>
      </c>
      <c r="G1985" s="1">
        <v>45292</v>
      </c>
      <c r="H1985" s="14">
        <v>14.830401</v>
      </c>
      <c r="I1985">
        <v>106</v>
      </c>
      <c r="J1985" t="s">
        <v>86</v>
      </c>
      <c r="K1985" t="s">
        <v>105</v>
      </c>
      <c r="L1985" s="16" t="s">
        <v>95</v>
      </c>
    </row>
    <row r="1986" spans="1:12" x14ac:dyDescent="0.35">
      <c r="A1986" t="s">
        <v>8</v>
      </c>
      <c r="B1986" t="s">
        <v>100</v>
      </c>
      <c r="C1986" t="s">
        <v>95</v>
      </c>
      <c r="D1986" t="s">
        <v>104</v>
      </c>
      <c r="E1986" t="s">
        <v>8</v>
      </c>
      <c r="F1986" s="7">
        <v>45661</v>
      </c>
      <c r="G1986" s="1">
        <v>45292</v>
      </c>
      <c r="H1986" s="14">
        <v>9.07</v>
      </c>
      <c r="I1986">
        <v>66</v>
      </c>
      <c r="J1986" t="s">
        <v>86</v>
      </c>
      <c r="K1986" t="s">
        <v>105</v>
      </c>
      <c r="L1986" s="16" t="s">
        <v>95</v>
      </c>
    </row>
    <row r="1987" spans="1:12" x14ac:dyDescent="0.35">
      <c r="A1987" t="s">
        <v>8</v>
      </c>
      <c r="B1987" t="s">
        <v>92</v>
      </c>
      <c r="C1987" t="s">
        <v>93</v>
      </c>
      <c r="D1987" t="s">
        <v>10</v>
      </c>
      <c r="E1987" t="s">
        <v>10</v>
      </c>
      <c r="F1987" s="7">
        <v>45668</v>
      </c>
      <c r="G1987" s="1">
        <v>45658</v>
      </c>
      <c r="H1987" s="14">
        <v>8203.5282999999999</v>
      </c>
      <c r="I1987">
        <v>3777267</v>
      </c>
      <c r="J1987" t="s">
        <v>86</v>
      </c>
      <c r="K1987" t="s">
        <v>94</v>
      </c>
      <c r="L1987" s="16" t="s">
        <v>10</v>
      </c>
    </row>
    <row r="1988" spans="1:12" x14ac:dyDescent="0.35">
      <c r="A1988" t="s">
        <v>8</v>
      </c>
      <c r="B1988" t="s">
        <v>92</v>
      </c>
      <c r="C1988" t="s">
        <v>95</v>
      </c>
      <c r="D1988" t="s">
        <v>10</v>
      </c>
      <c r="E1988" t="s">
        <v>10</v>
      </c>
      <c r="F1988" s="7">
        <v>45668</v>
      </c>
      <c r="G1988" s="1">
        <v>45658</v>
      </c>
      <c r="H1988" s="14">
        <v>11389.490000000005</v>
      </c>
      <c r="I1988">
        <v>1333485</v>
      </c>
      <c r="J1988" t="s">
        <v>86</v>
      </c>
      <c r="K1988" t="s">
        <v>96</v>
      </c>
      <c r="L1988" s="16" t="s">
        <v>10</v>
      </c>
    </row>
    <row r="1989" spans="1:12" x14ac:dyDescent="0.35">
      <c r="A1989" t="s">
        <v>8</v>
      </c>
      <c r="B1989" t="s">
        <v>84</v>
      </c>
      <c r="C1989" t="s">
        <v>93</v>
      </c>
      <c r="D1989" t="s">
        <v>10</v>
      </c>
      <c r="E1989" t="s">
        <v>10</v>
      </c>
      <c r="F1989" s="7">
        <v>45668</v>
      </c>
      <c r="G1989" s="1">
        <v>45658</v>
      </c>
      <c r="H1989" s="14">
        <v>1757.7065</v>
      </c>
      <c r="I1989">
        <v>1306162</v>
      </c>
      <c r="J1989" t="s">
        <v>86</v>
      </c>
      <c r="K1989" t="s">
        <v>94</v>
      </c>
      <c r="L1989" s="16" t="s">
        <v>10</v>
      </c>
    </row>
    <row r="1990" spans="1:12" x14ac:dyDescent="0.35">
      <c r="A1990" t="s">
        <v>8</v>
      </c>
      <c r="B1990" t="s">
        <v>84</v>
      </c>
      <c r="C1990" t="s">
        <v>95</v>
      </c>
      <c r="D1990" t="s">
        <v>10</v>
      </c>
      <c r="E1990" t="s">
        <v>10</v>
      </c>
      <c r="F1990" s="7">
        <v>45668</v>
      </c>
      <c r="G1990" s="1">
        <v>45658</v>
      </c>
      <c r="H1990" s="14">
        <v>1522.27</v>
      </c>
      <c r="I1990">
        <v>148706</v>
      </c>
      <c r="J1990" t="s">
        <v>86</v>
      </c>
      <c r="K1990" t="s">
        <v>96</v>
      </c>
      <c r="L1990" s="16" t="s">
        <v>10</v>
      </c>
    </row>
    <row r="1991" spans="1:12" x14ac:dyDescent="0.35">
      <c r="A1991" t="s">
        <v>8</v>
      </c>
      <c r="B1991" t="s">
        <v>17</v>
      </c>
      <c r="C1991" t="s">
        <v>93</v>
      </c>
      <c r="D1991" t="s">
        <v>10</v>
      </c>
      <c r="E1991" t="s">
        <v>10</v>
      </c>
      <c r="F1991" s="7">
        <v>45668</v>
      </c>
      <c r="G1991" s="1">
        <v>45658</v>
      </c>
      <c r="H1991" s="14">
        <v>7785.6547999999975</v>
      </c>
      <c r="I1991">
        <v>2869641</v>
      </c>
      <c r="J1991" t="s">
        <v>86</v>
      </c>
      <c r="K1991" t="s">
        <v>94</v>
      </c>
      <c r="L1991" s="16" t="s">
        <v>10</v>
      </c>
    </row>
    <row r="1992" spans="1:12" x14ac:dyDescent="0.35">
      <c r="A1992" t="s">
        <v>8</v>
      </c>
      <c r="B1992" t="s">
        <v>17</v>
      </c>
      <c r="C1992" t="s">
        <v>95</v>
      </c>
      <c r="D1992" t="s">
        <v>10</v>
      </c>
      <c r="E1992" t="s">
        <v>10</v>
      </c>
      <c r="F1992" s="7">
        <v>45668</v>
      </c>
      <c r="G1992" s="1">
        <v>45658</v>
      </c>
      <c r="H1992" s="14">
        <v>7348.7800000000007</v>
      </c>
      <c r="I1992">
        <v>626984</v>
      </c>
      <c r="J1992" t="s">
        <v>86</v>
      </c>
      <c r="K1992" t="s">
        <v>96</v>
      </c>
      <c r="L1992" s="16" t="s">
        <v>10</v>
      </c>
    </row>
    <row r="1993" spans="1:12" x14ac:dyDescent="0.35">
      <c r="A1993" t="s">
        <v>8</v>
      </c>
      <c r="B1993" t="s">
        <v>99</v>
      </c>
      <c r="C1993" t="s">
        <v>93</v>
      </c>
      <c r="D1993" t="s">
        <v>10</v>
      </c>
      <c r="E1993" t="s">
        <v>10</v>
      </c>
      <c r="F1993" s="7">
        <v>45668</v>
      </c>
      <c r="G1993" s="1">
        <v>45658</v>
      </c>
      <c r="H1993" s="14">
        <v>5233.235200000001</v>
      </c>
      <c r="I1993">
        <v>2231767</v>
      </c>
      <c r="J1993" t="s">
        <v>86</v>
      </c>
      <c r="K1993" t="s">
        <v>94</v>
      </c>
      <c r="L1993" s="16" t="s">
        <v>10</v>
      </c>
    </row>
    <row r="1994" spans="1:12" x14ac:dyDescent="0.35">
      <c r="A1994" t="s">
        <v>8</v>
      </c>
      <c r="B1994" t="s">
        <v>99</v>
      </c>
      <c r="C1994" t="s">
        <v>95</v>
      </c>
      <c r="D1994" t="s">
        <v>10</v>
      </c>
      <c r="E1994" t="s">
        <v>10</v>
      </c>
      <c r="F1994" s="7">
        <v>45668</v>
      </c>
      <c r="G1994" s="1">
        <v>45658</v>
      </c>
      <c r="H1994" s="14">
        <v>3048.2499999999995</v>
      </c>
      <c r="I1994">
        <v>668127</v>
      </c>
      <c r="J1994" t="s">
        <v>86</v>
      </c>
      <c r="K1994" t="s">
        <v>96</v>
      </c>
      <c r="L1994" s="16" t="s">
        <v>10</v>
      </c>
    </row>
    <row r="1995" spans="1:12" x14ac:dyDescent="0.35">
      <c r="A1995" t="s">
        <v>8</v>
      </c>
      <c r="B1995" t="s">
        <v>100</v>
      </c>
      <c r="C1995" t="s">
        <v>93</v>
      </c>
      <c r="D1995" t="s">
        <v>10</v>
      </c>
      <c r="E1995" t="s">
        <v>10</v>
      </c>
      <c r="F1995" s="7">
        <v>45668</v>
      </c>
      <c r="G1995" s="1">
        <v>45658</v>
      </c>
      <c r="H1995" s="14">
        <v>5477.4909999999954</v>
      </c>
      <c r="I1995">
        <v>2100834</v>
      </c>
      <c r="J1995" t="s">
        <v>86</v>
      </c>
      <c r="K1995" t="s">
        <v>94</v>
      </c>
      <c r="L1995" s="16" t="s">
        <v>10</v>
      </c>
    </row>
    <row r="1996" spans="1:12" x14ac:dyDescent="0.35">
      <c r="A1996" t="s">
        <v>8</v>
      </c>
      <c r="B1996" t="s">
        <v>100</v>
      </c>
      <c r="C1996" t="s">
        <v>95</v>
      </c>
      <c r="D1996" t="s">
        <v>10</v>
      </c>
      <c r="E1996" t="s">
        <v>10</v>
      </c>
      <c r="F1996" s="7">
        <v>45668</v>
      </c>
      <c r="G1996" s="1">
        <v>45658</v>
      </c>
      <c r="H1996" s="14">
        <v>4227.16</v>
      </c>
      <c r="I1996">
        <v>615838</v>
      </c>
      <c r="J1996" t="s">
        <v>86</v>
      </c>
      <c r="K1996" t="s">
        <v>96</v>
      </c>
      <c r="L1996" s="16" t="s">
        <v>10</v>
      </c>
    </row>
    <row r="1997" spans="1:12" x14ac:dyDescent="0.35">
      <c r="A1997" t="s">
        <v>8</v>
      </c>
      <c r="B1997" t="s">
        <v>21</v>
      </c>
      <c r="C1997" t="s">
        <v>93</v>
      </c>
      <c r="D1997" t="s">
        <v>10</v>
      </c>
      <c r="E1997" t="s">
        <v>10</v>
      </c>
      <c r="F1997" s="7">
        <v>45668</v>
      </c>
      <c r="G1997" s="1">
        <v>45658</v>
      </c>
      <c r="H1997" s="14">
        <v>5952.5456999999988</v>
      </c>
      <c r="I1997">
        <v>2909633</v>
      </c>
      <c r="J1997" t="s">
        <v>86</v>
      </c>
      <c r="K1997" t="s">
        <v>94</v>
      </c>
      <c r="L1997" s="16" t="s">
        <v>10</v>
      </c>
    </row>
    <row r="1998" spans="1:12" x14ac:dyDescent="0.35">
      <c r="A1998" t="s">
        <v>8</v>
      </c>
      <c r="B1998" t="s">
        <v>21</v>
      </c>
      <c r="C1998" t="s">
        <v>95</v>
      </c>
      <c r="D1998" t="s">
        <v>10</v>
      </c>
      <c r="E1998" t="s">
        <v>10</v>
      </c>
      <c r="F1998" s="7">
        <v>45668</v>
      </c>
      <c r="G1998" s="1">
        <v>45658</v>
      </c>
      <c r="H1998" s="14">
        <v>6542.8199999999988</v>
      </c>
      <c r="I1998">
        <v>647820</v>
      </c>
      <c r="J1998" t="s">
        <v>86</v>
      </c>
      <c r="K1998" t="s">
        <v>96</v>
      </c>
      <c r="L1998" s="16" t="s">
        <v>10</v>
      </c>
    </row>
    <row r="1999" spans="1:12" x14ac:dyDescent="0.35">
      <c r="A1999" t="s">
        <v>8</v>
      </c>
      <c r="B1999" t="s">
        <v>84</v>
      </c>
      <c r="C1999" t="s">
        <v>85</v>
      </c>
      <c r="D1999" t="s">
        <v>9</v>
      </c>
      <c r="E1999" t="s">
        <v>12</v>
      </c>
      <c r="F1999" s="7">
        <v>45675</v>
      </c>
      <c r="G1999" s="1">
        <v>45658</v>
      </c>
      <c r="H1999" s="14">
        <v>5804.4600050000008</v>
      </c>
      <c r="I1999">
        <v>1003384</v>
      </c>
      <c r="J1999" t="s">
        <v>86</v>
      </c>
      <c r="K1999" t="s">
        <v>87</v>
      </c>
      <c r="L1999" s="16" t="s">
        <v>12</v>
      </c>
    </row>
    <row r="2000" spans="1:12" x14ac:dyDescent="0.35">
      <c r="A2000" t="s">
        <v>8</v>
      </c>
      <c r="B2000" t="s">
        <v>92</v>
      </c>
      <c r="C2000" t="s">
        <v>93</v>
      </c>
      <c r="D2000" t="s">
        <v>10</v>
      </c>
      <c r="E2000" t="s">
        <v>10</v>
      </c>
      <c r="F2000" s="7">
        <v>45675</v>
      </c>
      <c r="G2000" s="1">
        <v>45658</v>
      </c>
      <c r="H2000" s="14">
        <v>8326.5822999999946</v>
      </c>
      <c r="I2000">
        <v>3785766</v>
      </c>
      <c r="J2000" t="s">
        <v>86</v>
      </c>
      <c r="K2000" t="s">
        <v>94</v>
      </c>
      <c r="L2000" s="16" t="s">
        <v>10</v>
      </c>
    </row>
    <row r="2001" spans="1:12" x14ac:dyDescent="0.35">
      <c r="A2001" t="s">
        <v>8</v>
      </c>
      <c r="B2001" t="s">
        <v>92</v>
      </c>
      <c r="C2001" t="s">
        <v>95</v>
      </c>
      <c r="D2001" t="s">
        <v>10</v>
      </c>
      <c r="E2001" t="s">
        <v>10</v>
      </c>
      <c r="F2001" s="7">
        <v>45675</v>
      </c>
      <c r="G2001" s="1">
        <v>45658</v>
      </c>
      <c r="H2001" s="14">
        <v>11466.960000000006</v>
      </c>
      <c r="I2001">
        <v>1331746</v>
      </c>
      <c r="J2001" t="s">
        <v>86</v>
      </c>
      <c r="K2001" t="s">
        <v>96</v>
      </c>
      <c r="L2001" s="16" t="s">
        <v>10</v>
      </c>
    </row>
    <row r="2002" spans="1:12" x14ac:dyDescent="0.35">
      <c r="A2002" t="s">
        <v>8</v>
      </c>
      <c r="B2002" t="s">
        <v>84</v>
      </c>
      <c r="C2002" t="s">
        <v>93</v>
      </c>
      <c r="D2002" t="s">
        <v>10</v>
      </c>
      <c r="E2002" t="s">
        <v>10</v>
      </c>
      <c r="F2002" s="7">
        <v>45675</v>
      </c>
      <c r="G2002" s="1">
        <v>45658</v>
      </c>
      <c r="H2002" s="14">
        <v>1759.4276000000002</v>
      </c>
      <c r="I2002">
        <v>1289454</v>
      </c>
      <c r="J2002" t="s">
        <v>86</v>
      </c>
      <c r="K2002" t="s">
        <v>94</v>
      </c>
      <c r="L2002" s="16" t="s">
        <v>10</v>
      </c>
    </row>
    <row r="2003" spans="1:12" x14ac:dyDescent="0.35">
      <c r="A2003" t="s">
        <v>8</v>
      </c>
      <c r="B2003" t="s">
        <v>84</v>
      </c>
      <c r="C2003" t="s">
        <v>95</v>
      </c>
      <c r="D2003" t="s">
        <v>10</v>
      </c>
      <c r="E2003" t="s">
        <v>10</v>
      </c>
      <c r="F2003" s="7">
        <v>45675</v>
      </c>
      <c r="G2003" s="1">
        <v>45658</v>
      </c>
      <c r="H2003" s="14">
        <v>1540.3500000000001</v>
      </c>
      <c r="I2003">
        <v>149971</v>
      </c>
      <c r="J2003" t="s">
        <v>86</v>
      </c>
      <c r="K2003" t="s">
        <v>96</v>
      </c>
      <c r="L2003" s="16" t="s">
        <v>10</v>
      </c>
    </row>
    <row r="2004" spans="1:12" x14ac:dyDescent="0.35">
      <c r="A2004" t="s">
        <v>8</v>
      </c>
      <c r="B2004" t="s">
        <v>17</v>
      </c>
      <c r="C2004" t="s">
        <v>93</v>
      </c>
      <c r="D2004" t="s">
        <v>10</v>
      </c>
      <c r="E2004" t="s">
        <v>10</v>
      </c>
      <c r="F2004" s="7">
        <v>45675</v>
      </c>
      <c r="G2004" s="1">
        <v>45658</v>
      </c>
      <c r="H2004" s="14">
        <v>7734.9034999999994</v>
      </c>
      <c r="I2004">
        <v>2806902</v>
      </c>
      <c r="J2004" t="s">
        <v>86</v>
      </c>
      <c r="K2004" t="s">
        <v>94</v>
      </c>
      <c r="L2004" s="16" t="s">
        <v>10</v>
      </c>
    </row>
    <row r="2005" spans="1:12" x14ac:dyDescent="0.35">
      <c r="A2005" t="s">
        <v>8</v>
      </c>
      <c r="B2005" t="s">
        <v>17</v>
      </c>
      <c r="C2005" t="s">
        <v>95</v>
      </c>
      <c r="D2005" t="s">
        <v>10</v>
      </c>
      <c r="E2005" t="s">
        <v>10</v>
      </c>
      <c r="F2005" s="7">
        <v>45675</v>
      </c>
      <c r="G2005" s="1">
        <v>45658</v>
      </c>
      <c r="H2005" s="14">
        <v>7391.1700000000019</v>
      </c>
      <c r="I2005">
        <v>696930</v>
      </c>
      <c r="J2005" t="s">
        <v>86</v>
      </c>
      <c r="K2005" t="s">
        <v>96</v>
      </c>
      <c r="L2005" s="16" t="s">
        <v>10</v>
      </c>
    </row>
    <row r="2006" spans="1:12" x14ac:dyDescent="0.35">
      <c r="A2006" t="s">
        <v>8</v>
      </c>
      <c r="B2006" t="s">
        <v>99</v>
      </c>
      <c r="C2006" t="s">
        <v>93</v>
      </c>
      <c r="D2006" t="s">
        <v>10</v>
      </c>
      <c r="E2006" t="s">
        <v>10</v>
      </c>
      <c r="F2006" s="7">
        <v>45675</v>
      </c>
      <c r="G2006" s="1">
        <v>45658</v>
      </c>
      <c r="H2006" s="14">
        <v>5106.0614999999962</v>
      </c>
      <c r="I2006">
        <v>2053609</v>
      </c>
      <c r="J2006" t="s">
        <v>86</v>
      </c>
      <c r="K2006" t="s">
        <v>94</v>
      </c>
      <c r="L2006" s="16" t="s">
        <v>10</v>
      </c>
    </row>
    <row r="2007" spans="1:12" x14ac:dyDescent="0.35">
      <c r="A2007" t="s">
        <v>8</v>
      </c>
      <c r="B2007" t="s">
        <v>99</v>
      </c>
      <c r="C2007" t="s">
        <v>95</v>
      </c>
      <c r="D2007" t="s">
        <v>10</v>
      </c>
      <c r="E2007" t="s">
        <v>10</v>
      </c>
      <c r="F2007" s="7">
        <v>45675</v>
      </c>
      <c r="G2007" s="1">
        <v>45658</v>
      </c>
      <c r="H2007" s="14">
        <v>3125.7099999999987</v>
      </c>
      <c r="I2007">
        <v>767922</v>
      </c>
      <c r="J2007" t="s">
        <v>86</v>
      </c>
      <c r="K2007" t="s">
        <v>96</v>
      </c>
      <c r="L2007" s="16" t="s">
        <v>10</v>
      </c>
    </row>
    <row r="2008" spans="1:12" x14ac:dyDescent="0.35">
      <c r="A2008" t="s">
        <v>8</v>
      </c>
      <c r="B2008" t="s">
        <v>100</v>
      </c>
      <c r="C2008" t="s">
        <v>93</v>
      </c>
      <c r="D2008" t="s">
        <v>10</v>
      </c>
      <c r="E2008" t="s">
        <v>10</v>
      </c>
      <c r="F2008" s="7">
        <v>45675</v>
      </c>
      <c r="G2008" s="1">
        <v>45658</v>
      </c>
      <c r="H2008" s="14">
        <v>5626.1701000000012</v>
      </c>
      <c r="I2008">
        <v>1982006</v>
      </c>
      <c r="J2008" t="s">
        <v>86</v>
      </c>
      <c r="K2008" t="s">
        <v>94</v>
      </c>
      <c r="L2008" s="16" t="s">
        <v>10</v>
      </c>
    </row>
    <row r="2009" spans="1:12" x14ac:dyDescent="0.35">
      <c r="A2009" t="s">
        <v>8</v>
      </c>
      <c r="B2009" t="s">
        <v>100</v>
      </c>
      <c r="C2009" t="s">
        <v>95</v>
      </c>
      <c r="D2009" t="s">
        <v>10</v>
      </c>
      <c r="E2009" t="s">
        <v>10</v>
      </c>
      <c r="F2009" s="7">
        <v>45675</v>
      </c>
      <c r="G2009" s="1">
        <v>45658</v>
      </c>
      <c r="H2009" s="14">
        <v>4237.6699999999992</v>
      </c>
      <c r="I2009">
        <v>755747</v>
      </c>
      <c r="J2009" t="s">
        <v>86</v>
      </c>
      <c r="K2009" t="s">
        <v>96</v>
      </c>
      <c r="L2009" s="16" t="s">
        <v>10</v>
      </c>
    </row>
    <row r="2010" spans="1:12" x14ac:dyDescent="0.35">
      <c r="A2010" t="s">
        <v>8</v>
      </c>
      <c r="B2010" t="s">
        <v>21</v>
      </c>
      <c r="C2010" t="s">
        <v>93</v>
      </c>
      <c r="D2010" t="s">
        <v>10</v>
      </c>
      <c r="E2010" t="s">
        <v>10</v>
      </c>
      <c r="F2010" s="7">
        <v>45675</v>
      </c>
      <c r="G2010" s="1">
        <v>45658</v>
      </c>
      <c r="H2010" s="14">
        <v>5895.195200000001</v>
      </c>
      <c r="I2010">
        <v>2523138</v>
      </c>
      <c r="J2010" t="s">
        <v>86</v>
      </c>
      <c r="K2010" t="s">
        <v>94</v>
      </c>
      <c r="L2010" s="16" t="s">
        <v>10</v>
      </c>
    </row>
    <row r="2011" spans="1:12" x14ac:dyDescent="0.35">
      <c r="A2011" t="s">
        <v>8</v>
      </c>
      <c r="B2011" t="s">
        <v>21</v>
      </c>
      <c r="C2011" t="s">
        <v>95</v>
      </c>
      <c r="D2011" t="s">
        <v>10</v>
      </c>
      <c r="E2011" t="s">
        <v>10</v>
      </c>
      <c r="F2011" s="7">
        <v>45675</v>
      </c>
      <c r="G2011" s="1">
        <v>45658</v>
      </c>
      <c r="H2011" s="14">
        <v>6656.6100000000015</v>
      </c>
      <c r="I2011">
        <v>695609</v>
      </c>
      <c r="J2011" t="s">
        <v>86</v>
      </c>
      <c r="K2011" t="s">
        <v>96</v>
      </c>
      <c r="L2011" s="16" t="s">
        <v>10</v>
      </c>
    </row>
    <row r="2012" spans="1:12" x14ac:dyDescent="0.35">
      <c r="A2012" t="s">
        <v>8</v>
      </c>
      <c r="B2012" t="s">
        <v>102</v>
      </c>
      <c r="C2012" t="s">
        <v>95</v>
      </c>
      <c r="D2012" t="s">
        <v>10</v>
      </c>
      <c r="E2012" t="s">
        <v>10</v>
      </c>
      <c r="F2012" s="7">
        <v>45675</v>
      </c>
      <c r="G2012" s="1">
        <v>45658</v>
      </c>
      <c r="H2012" s="14">
        <v>0.74</v>
      </c>
      <c r="I2012">
        <v>48</v>
      </c>
      <c r="J2012" t="s">
        <v>86</v>
      </c>
      <c r="K2012" t="s">
        <v>96</v>
      </c>
      <c r="L2012" s="16" t="s">
        <v>10</v>
      </c>
    </row>
    <row r="2013" spans="1:12" x14ac:dyDescent="0.35">
      <c r="A2013" t="s">
        <v>8</v>
      </c>
      <c r="B2013" t="s">
        <v>84</v>
      </c>
      <c r="C2013" t="s">
        <v>85</v>
      </c>
      <c r="D2013" t="s">
        <v>9</v>
      </c>
      <c r="E2013" t="s">
        <v>12</v>
      </c>
      <c r="F2013" s="7">
        <v>45682</v>
      </c>
      <c r="G2013" s="1">
        <v>45658</v>
      </c>
      <c r="H2013" s="14">
        <v>24195.509997000001</v>
      </c>
      <c r="I2013">
        <v>3776336</v>
      </c>
      <c r="J2013" t="s">
        <v>86</v>
      </c>
      <c r="K2013" t="s">
        <v>87</v>
      </c>
      <c r="L2013" s="16" t="s">
        <v>12</v>
      </c>
    </row>
    <row r="2014" spans="1:12" x14ac:dyDescent="0.35">
      <c r="A2014" t="s">
        <v>8</v>
      </c>
      <c r="B2014" t="s">
        <v>92</v>
      </c>
      <c r="C2014" t="s">
        <v>93</v>
      </c>
      <c r="D2014" t="s">
        <v>10</v>
      </c>
      <c r="E2014" t="s">
        <v>10</v>
      </c>
      <c r="F2014" s="7">
        <v>45682</v>
      </c>
      <c r="G2014" s="1">
        <v>45658</v>
      </c>
      <c r="H2014" s="14">
        <v>7984.5153999999993</v>
      </c>
      <c r="I2014">
        <v>3488121</v>
      </c>
      <c r="J2014" t="s">
        <v>86</v>
      </c>
      <c r="K2014" t="s">
        <v>94</v>
      </c>
      <c r="L2014" s="16" t="s">
        <v>10</v>
      </c>
    </row>
    <row r="2015" spans="1:12" x14ac:dyDescent="0.35">
      <c r="A2015" t="s">
        <v>8</v>
      </c>
      <c r="B2015" t="s">
        <v>92</v>
      </c>
      <c r="C2015" t="s">
        <v>95</v>
      </c>
      <c r="D2015" t="s">
        <v>10</v>
      </c>
      <c r="E2015" t="s">
        <v>10</v>
      </c>
      <c r="F2015" s="7">
        <v>45682</v>
      </c>
      <c r="G2015" s="1">
        <v>45658</v>
      </c>
      <c r="H2015" s="14">
        <v>10937.379999999997</v>
      </c>
      <c r="I2015">
        <v>1337475</v>
      </c>
      <c r="J2015" t="s">
        <v>86</v>
      </c>
      <c r="K2015" t="s">
        <v>96</v>
      </c>
      <c r="L2015" s="16" t="s">
        <v>10</v>
      </c>
    </row>
    <row r="2016" spans="1:12" x14ac:dyDescent="0.35">
      <c r="A2016" t="s">
        <v>8</v>
      </c>
      <c r="B2016" t="s">
        <v>84</v>
      </c>
      <c r="C2016" t="s">
        <v>93</v>
      </c>
      <c r="D2016" t="s">
        <v>10</v>
      </c>
      <c r="E2016" t="s">
        <v>10</v>
      </c>
      <c r="F2016" s="7">
        <v>45682</v>
      </c>
      <c r="G2016" s="1">
        <v>45658</v>
      </c>
      <c r="H2016" s="14">
        <v>1755.7918</v>
      </c>
      <c r="I2016">
        <v>1314997</v>
      </c>
      <c r="J2016" t="s">
        <v>86</v>
      </c>
      <c r="K2016" t="s">
        <v>94</v>
      </c>
      <c r="L2016" s="16" t="s">
        <v>10</v>
      </c>
    </row>
    <row r="2017" spans="1:12" x14ac:dyDescent="0.35">
      <c r="A2017" t="s">
        <v>8</v>
      </c>
      <c r="B2017" t="s">
        <v>84</v>
      </c>
      <c r="C2017" t="s">
        <v>95</v>
      </c>
      <c r="D2017" t="s">
        <v>10</v>
      </c>
      <c r="E2017" t="s">
        <v>10</v>
      </c>
      <c r="F2017" s="7">
        <v>45682</v>
      </c>
      <c r="G2017" s="1">
        <v>45658</v>
      </c>
      <c r="H2017" s="14">
        <v>1490.12</v>
      </c>
      <c r="I2017">
        <v>148964</v>
      </c>
      <c r="J2017" t="s">
        <v>86</v>
      </c>
      <c r="K2017" t="s">
        <v>96</v>
      </c>
      <c r="L2017" s="16" t="s">
        <v>10</v>
      </c>
    </row>
    <row r="2018" spans="1:12" x14ac:dyDescent="0.35">
      <c r="A2018" t="s">
        <v>8</v>
      </c>
      <c r="B2018" t="s">
        <v>17</v>
      </c>
      <c r="C2018" t="s">
        <v>93</v>
      </c>
      <c r="D2018" t="s">
        <v>10</v>
      </c>
      <c r="E2018" t="s">
        <v>10</v>
      </c>
      <c r="F2018" s="7">
        <v>45682</v>
      </c>
      <c r="G2018" s="1">
        <v>45658</v>
      </c>
      <c r="H2018" s="14">
        <v>7683.4050000000007</v>
      </c>
      <c r="I2018">
        <v>3250881</v>
      </c>
      <c r="J2018" t="s">
        <v>86</v>
      </c>
      <c r="K2018" t="s">
        <v>94</v>
      </c>
      <c r="L2018" s="16" t="s">
        <v>10</v>
      </c>
    </row>
    <row r="2019" spans="1:12" x14ac:dyDescent="0.35">
      <c r="A2019" t="s">
        <v>8</v>
      </c>
      <c r="B2019" t="s">
        <v>17</v>
      </c>
      <c r="C2019" t="s">
        <v>95</v>
      </c>
      <c r="D2019" t="s">
        <v>10</v>
      </c>
      <c r="E2019" t="s">
        <v>10</v>
      </c>
      <c r="F2019" s="7">
        <v>45682</v>
      </c>
      <c r="G2019" s="1">
        <v>45658</v>
      </c>
      <c r="H2019" s="14">
        <v>12675.250000000004</v>
      </c>
      <c r="I2019">
        <v>1368185</v>
      </c>
      <c r="J2019" t="s">
        <v>86</v>
      </c>
      <c r="K2019" t="s">
        <v>96</v>
      </c>
      <c r="L2019" s="16" t="s">
        <v>10</v>
      </c>
    </row>
    <row r="2020" spans="1:12" x14ac:dyDescent="0.35">
      <c r="A2020" t="s">
        <v>8</v>
      </c>
      <c r="B2020" t="s">
        <v>99</v>
      </c>
      <c r="C2020" t="s">
        <v>93</v>
      </c>
      <c r="D2020" t="s">
        <v>10</v>
      </c>
      <c r="E2020" t="s">
        <v>10</v>
      </c>
      <c r="F2020" s="7">
        <v>45682</v>
      </c>
      <c r="G2020" s="1">
        <v>45658</v>
      </c>
      <c r="H2020" s="14">
        <v>4646.7890000000007</v>
      </c>
      <c r="I2020">
        <v>1949103</v>
      </c>
      <c r="J2020" t="s">
        <v>86</v>
      </c>
      <c r="K2020" t="s">
        <v>94</v>
      </c>
      <c r="L2020" s="16" t="s">
        <v>10</v>
      </c>
    </row>
    <row r="2021" spans="1:12" x14ac:dyDescent="0.35">
      <c r="A2021" t="s">
        <v>8</v>
      </c>
      <c r="B2021" t="s">
        <v>99</v>
      </c>
      <c r="C2021" t="s">
        <v>95</v>
      </c>
      <c r="D2021" t="s">
        <v>10</v>
      </c>
      <c r="E2021" t="s">
        <v>10</v>
      </c>
      <c r="F2021" s="7">
        <v>45682</v>
      </c>
      <c r="G2021" s="1">
        <v>45658</v>
      </c>
      <c r="H2021" s="14">
        <v>7073.2199999999993</v>
      </c>
      <c r="I2021">
        <v>1569889</v>
      </c>
      <c r="J2021" t="s">
        <v>86</v>
      </c>
      <c r="K2021" t="s">
        <v>96</v>
      </c>
      <c r="L2021" s="16" t="s">
        <v>10</v>
      </c>
    </row>
    <row r="2022" spans="1:12" x14ac:dyDescent="0.35">
      <c r="A2022" t="s">
        <v>8</v>
      </c>
      <c r="B2022" t="s">
        <v>100</v>
      </c>
      <c r="C2022" t="s">
        <v>93</v>
      </c>
      <c r="D2022" t="s">
        <v>10</v>
      </c>
      <c r="E2022" t="s">
        <v>10</v>
      </c>
      <c r="F2022" s="7">
        <v>45682</v>
      </c>
      <c r="G2022" s="1">
        <v>45658</v>
      </c>
      <c r="H2022" s="14">
        <v>5485.9715000000024</v>
      </c>
      <c r="I2022">
        <v>1918806</v>
      </c>
      <c r="J2022" t="s">
        <v>86</v>
      </c>
      <c r="K2022" t="s">
        <v>94</v>
      </c>
      <c r="L2022" s="16" t="s">
        <v>10</v>
      </c>
    </row>
    <row r="2023" spans="1:12" x14ac:dyDescent="0.35">
      <c r="A2023" t="s">
        <v>8</v>
      </c>
      <c r="B2023" t="s">
        <v>100</v>
      </c>
      <c r="C2023" t="s">
        <v>95</v>
      </c>
      <c r="D2023" t="s">
        <v>10</v>
      </c>
      <c r="E2023" t="s">
        <v>10</v>
      </c>
      <c r="F2023" s="7">
        <v>45682</v>
      </c>
      <c r="G2023" s="1">
        <v>45658</v>
      </c>
      <c r="H2023" s="14">
        <v>5789.3500000000013</v>
      </c>
      <c r="I2023">
        <v>1013864</v>
      </c>
      <c r="J2023" t="s">
        <v>86</v>
      </c>
      <c r="K2023" t="s">
        <v>96</v>
      </c>
      <c r="L2023" s="16" t="s">
        <v>10</v>
      </c>
    </row>
    <row r="2024" spans="1:12" x14ac:dyDescent="0.35">
      <c r="A2024" t="s">
        <v>8</v>
      </c>
      <c r="B2024" t="s">
        <v>21</v>
      </c>
      <c r="C2024" t="s">
        <v>93</v>
      </c>
      <c r="D2024" t="s">
        <v>10</v>
      </c>
      <c r="E2024" t="s">
        <v>10</v>
      </c>
      <c r="F2024" s="7">
        <v>45682</v>
      </c>
      <c r="G2024" s="1">
        <v>45658</v>
      </c>
      <c r="H2024" s="14">
        <v>6050.2441999999974</v>
      </c>
      <c r="I2024">
        <v>2517272</v>
      </c>
      <c r="J2024" t="s">
        <v>86</v>
      </c>
      <c r="K2024" t="s">
        <v>94</v>
      </c>
      <c r="L2024" s="16" t="s">
        <v>10</v>
      </c>
    </row>
    <row r="2025" spans="1:12" x14ac:dyDescent="0.35">
      <c r="A2025" t="s">
        <v>8</v>
      </c>
      <c r="B2025" t="s">
        <v>21</v>
      </c>
      <c r="C2025" t="s">
        <v>95</v>
      </c>
      <c r="D2025" t="s">
        <v>10</v>
      </c>
      <c r="E2025" t="s">
        <v>10</v>
      </c>
      <c r="F2025" s="7">
        <v>45682</v>
      </c>
      <c r="G2025" s="1">
        <v>45658</v>
      </c>
      <c r="H2025" s="14">
        <v>6550.2799999999988</v>
      </c>
      <c r="I2025">
        <v>674739</v>
      </c>
      <c r="J2025" t="s">
        <v>86</v>
      </c>
      <c r="K2025" t="s">
        <v>96</v>
      </c>
      <c r="L2025" s="16" t="s">
        <v>10</v>
      </c>
    </row>
    <row r="2026" spans="1:12" x14ac:dyDescent="0.35">
      <c r="A2026" t="s">
        <v>8</v>
      </c>
      <c r="B2026" t="s">
        <v>102</v>
      </c>
      <c r="C2026" t="s">
        <v>95</v>
      </c>
      <c r="D2026" t="s">
        <v>10</v>
      </c>
      <c r="E2026" t="s">
        <v>10</v>
      </c>
      <c r="F2026" s="7">
        <v>45682</v>
      </c>
      <c r="G2026" s="1">
        <v>45658</v>
      </c>
      <c r="H2026" s="14">
        <v>0.37</v>
      </c>
      <c r="I2026">
        <v>104</v>
      </c>
      <c r="J2026" t="s">
        <v>86</v>
      </c>
      <c r="K2026" t="s">
        <v>96</v>
      </c>
      <c r="L2026" s="16" t="s">
        <v>10</v>
      </c>
    </row>
    <row r="2027" spans="1:12" x14ac:dyDescent="0.35">
      <c r="A2027" t="s">
        <v>8</v>
      </c>
      <c r="B2027" t="s">
        <v>92</v>
      </c>
      <c r="C2027" t="s">
        <v>93</v>
      </c>
      <c r="D2027" t="s">
        <v>10</v>
      </c>
      <c r="E2027" t="s">
        <v>10</v>
      </c>
      <c r="F2027" s="7">
        <v>45689</v>
      </c>
      <c r="G2027" s="1">
        <v>45658</v>
      </c>
      <c r="H2027" s="14">
        <v>8173.970199999997</v>
      </c>
      <c r="I2027">
        <v>3087657</v>
      </c>
      <c r="J2027" t="s">
        <v>86</v>
      </c>
      <c r="K2027" t="s">
        <v>94</v>
      </c>
      <c r="L2027" s="16" t="s">
        <v>10</v>
      </c>
    </row>
    <row r="2028" spans="1:12" x14ac:dyDescent="0.35">
      <c r="A2028" t="s">
        <v>8</v>
      </c>
      <c r="B2028" t="s">
        <v>92</v>
      </c>
      <c r="C2028" t="s">
        <v>95</v>
      </c>
      <c r="D2028" t="s">
        <v>10</v>
      </c>
      <c r="E2028" t="s">
        <v>10</v>
      </c>
      <c r="F2028" s="7">
        <v>45689</v>
      </c>
      <c r="G2028" s="1">
        <v>45658</v>
      </c>
      <c r="H2028" s="14">
        <v>12559</v>
      </c>
      <c r="I2028">
        <v>3468489</v>
      </c>
      <c r="J2028" t="s">
        <v>86</v>
      </c>
      <c r="K2028" t="s">
        <v>96</v>
      </c>
      <c r="L2028" s="16" t="s">
        <v>10</v>
      </c>
    </row>
    <row r="2029" spans="1:12" x14ac:dyDescent="0.35">
      <c r="A2029" t="s">
        <v>8</v>
      </c>
      <c r="B2029" t="s">
        <v>84</v>
      </c>
      <c r="C2029" t="s">
        <v>93</v>
      </c>
      <c r="D2029" t="s">
        <v>10</v>
      </c>
      <c r="E2029" t="s">
        <v>10</v>
      </c>
      <c r="F2029" s="7">
        <v>45689</v>
      </c>
      <c r="G2029" s="1">
        <v>45658</v>
      </c>
      <c r="H2029" s="14">
        <v>1598.4122999999997</v>
      </c>
      <c r="I2029">
        <v>1193311</v>
      </c>
      <c r="J2029" t="s">
        <v>86</v>
      </c>
      <c r="K2029" t="s">
        <v>94</v>
      </c>
      <c r="L2029" s="16" t="s">
        <v>10</v>
      </c>
    </row>
    <row r="2030" spans="1:12" x14ac:dyDescent="0.35">
      <c r="A2030" t="s">
        <v>8</v>
      </c>
      <c r="B2030" t="s">
        <v>84</v>
      </c>
      <c r="C2030" t="s">
        <v>95</v>
      </c>
      <c r="D2030" t="s">
        <v>10</v>
      </c>
      <c r="E2030" t="s">
        <v>10</v>
      </c>
      <c r="F2030" s="7">
        <v>45689</v>
      </c>
      <c r="G2030" s="1">
        <v>45658</v>
      </c>
      <c r="H2030" s="14">
        <v>1851.49</v>
      </c>
      <c r="I2030">
        <v>250189</v>
      </c>
      <c r="J2030" t="s">
        <v>86</v>
      </c>
      <c r="K2030" t="s">
        <v>96</v>
      </c>
      <c r="L2030" s="16" t="s">
        <v>10</v>
      </c>
    </row>
    <row r="2031" spans="1:12" x14ac:dyDescent="0.35">
      <c r="A2031" t="s">
        <v>8</v>
      </c>
      <c r="B2031" t="s">
        <v>17</v>
      </c>
      <c r="C2031" t="s">
        <v>93</v>
      </c>
      <c r="D2031" t="s">
        <v>10</v>
      </c>
      <c r="E2031" t="s">
        <v>10</v>
      </c>
      <c r="F2031" s="7">
        <v>45689</v>
      </c>
      <c r="G2031" s="1">
        <v>45658</v>
      </c>
      <c r="H2031" s="14">
        <v>7874.2349000000004</v>
      </c>
      <c r="I2031">
        <v>3165551</v>
      </c>
      <c r="J2031" t="s">
        <v>86</v>
      </c>
      <c r="K2031" t="s">
        <v>94</v>
      </c>
      <c r="L2031" s="16" t="s">
        <v>10</v>
      </c>
    </row>
    <row r="2032" spans="1:12" x14ac:dyDescent="0.35">
      <c r="A2032" t="s">
        <v>8</v>
      </c>
      <c r="B2032" t="s">
        <v>17</v>
      </c>
      <c r="C2032" t="s">
        <v>95</v>
      </c>
      <c r="D2032" t="s">
        <v>10</v>
      </c>
      <c r="E2032" t="s">
        <v>10</v>
      </c>
      <c r="F2032" s="7">
        <v>45689</v>
      </c>
      <c r="G2032" s="1">
        <v>45658</v>
      </c>
      <c r="H2032" s="14">
        <v>10814.579999999998</v>
      </c>
      <c r="I2032">
        <v>2291145</v>
      </c>
      <c r="J2032" t="s">
        <v>86</v>
      </c>
      <c r="K2032" t="s">
        <v>96</v>
      </c>
      <c r="L2032" s="16" t="s">
        <v>10</v>
      </c>
    </row>
    <row r="2033" spans="1:12" x14ac:dyDescent="0.35">
      <c r="A2033" t="s">
        <v>8</v>
      </c>
      <c r="B2033" t="s">
        <v>99</v>
      </c>
      <c r="C2033" t="s">
        <v>93</v>
      </c>
      <c r="D2033" t="s">
        <v>10</v>
      </c>
      <c r="E2033" t="s">
        <v>10</v>
      </c>
      <c r="F2033" s="7">
        <v>45689</v>
      </c>
      <c r="G2033" s="1">
        <v>45658</v>
      </c>
      <c r="H2033" s="14">
        <v>5485.3549999999996</v>
      </c>
      <c r="I2033">
        <v>1838178</v>
      </c>
      <c r="J2033" t="s">
        <v>86</v>
      </c>
      <c r="K2033" t="s">
        <v>94</v>
      </c>
      <c r="L2033" s="16" t="s">
        <v>10</v>
      </c>
    </row>
    <row r="2034" spans="1:12" x14ac:dyDescent="0.35">
      <c r="A2034" t="s">
        <v>8</v>
      </c>
      <c r="B2034" t="s">
        <v>99</v>
      </c>
      <c r="C2034" t="s">
        <v>95</v>
      </c>
      <c r="D2034" t="s">
        <v>10</v>
      </c>
      <c r="E2034" t="s">
        <v>10</v>
      </c>
      <c r="F2034" s="7">
        <v>45689</v>
      </c>
      <c r="G2034" s="1">
        <v>45658</v>
      </c>
      <c r="H2034" s="14">
        <v>7290.6299999999992</v>
      </c>
      <c r="I2034">
        <v>1661418</v>
      </c>
      <c r="J2034" t="s">
        <v>86</v>
      </c>
      <c r="K2034" t="s">
        <v>96</v>
      </c>
      <c r="L2034" s="16" t="s">
        <v>10</v>
      </c>
    </row>
    <row r="2035" spans="1:12" x14ac:dyDescent="0.35">
      <c r="A2035" t="s">
        <v>8</v>
      </c>
      <c r="B2035" t="s">
        <v>100</v>
      </c>
      <c r="C2035" t="s">
        <v>93</v>
      </c>
      <c r="D2035" t="s">
        <v>10</v>
      </c>
      <c r="E2035" t="s">
        <v>10</v>
      </c>
      <c r="F2035" s="7">
        <v>45689</v>
      </c>
      <c r="G2035" s="1">
        <v>45658</v>
      </c>
      <c r="H2035" s="14">
        <v>5613.6606999999985</v>
      </c>
      <c r="I2035">
        <v>1876996</v>
      </c>
      <c r="J2035" t="s">
        <v>86</v>
      </c>
      <c r="K2035" t="s">
        <v>94</v>
      </c>
      <c r="L2035" s="16" t="s">
        <v>10</v>
      </c>
    </row>
    <row r="2036" spans="1:12" x14ac:dyDescent="0.35">
      <c r="A2036" t="s">
        <v>8</v>
      </c>
      <c r="B2036" t="s">
        <v>100</v>
      </c>
      <c r="C2036" t="s">
        <v>95</v>
      </c>
      <c r="D2036" t="s">
        <v>10</v>
      </c>
      <c r="E2036" t="s">
        <v>10</v>
      </c>
      <c r="F2036" s="7">
        <v>45689</v>
      </c>
      <c r="G2036" s="1">
        <v>45658</v>
      </c>
      <c r="H2036" s="14">
        <v>5812.6900000000032</v>
      </c>
      <c r="I2036">
        <v>1635917</v>
      </c>
      <c r="J2036" t="s">
        <v>86</v>
      </c>
      <c r="K2036" t="s">
        <v>96</v>
      </c>
      <c r="L2036" s="16" t="s">
        <v>10</v>
      </c>
    </row>
    <row r="2037" spans="1:12" x14ac:dyDescent="0.35">
      <c r="A2037" t="s">
        <v>8</v>
      </c>
      <c r="B2037" t="s">
        <v>21</v>
      </c>
      <c r="C2037" t="s">
        <v>93</v>
      </c>
      <c r="D2037" t="s">
        <v>10</v>
      </c>
      <c r="E2037" t="s">
        <v>10</v>
      </c>
      <c r="F2037" s="7">
        <v>45689</v>
      </c>
      <c r="G2037" s="1">
        <v>45658</v>
      </c>
      <c r="H2037" s="14">
        <v>5448.7428</v>
      </c>
      <c r="I2037">
        <v>2284187</v>
      </c>
      <c r="J2037" t="s">
        <v>86</v>
      </c>
      <c r="K2037" t="s">
        <v>94</v>
      </c>
      <c r="L2037" s="16" t="s">
        <v>10</v>
      </c>
    </row>
    <row r="2038" spans="1:12" x14ac:dyDescent="0.35">
      <c r="A2038" t="s">
        <v>8</v>
      </c>
      <c r="B2038" t="s">
        <v>21</v>
      </c>
      <c r="C2038" t="s">
        <v>95</v>
      </c>
      <c r="D2038" t="s">
        <v>10</v>
      </c>
      <c r="E2038" t="s">
        <v>10</v>
      </c>
      <c r="F2038" s="7">
        <v>45689</v>
      </c>
      <c r="G2038" s="1">
        <v>45658</v>
      </c>
      <c r="H2038" s="14">
        <v>12131.689999999993</v>
      </c>
      <c r="I2038">
        <v>1081496</v>
      </c>
      <c r="J2038" t="s">
        <v>86</v>
      </c>
      <c r="K2038" t="s">
        <v>96</v>
      </c>
      <c r="L2038" s="16" t="s">
        <v>10</v>
      </c>
    </row>
    <row r="2039" spans="1:12" x14ac:dyDescent="0.35">
      <c r="A2039" t="s">
        <v>8</v>
      </c>
      <c r="B2039" t="s">
        <v>92</v>
      </c>
      <c r="C2039" t="s">
        <v>93</v>
      </c>
      <c r="D2039" t="s">
        <v>10</v>
      </c>
      <c r="E2039" t="s">
        <v>10</v>
      </c>
      <c r="F2039" s="7">
        <v>45696</v>
      </c>
      <c r="G2039" s="1">
        <v>45658</v>
      </c>
      <c r="H2039" s="14">
        <v>9944.7208999999984</v>
      </c>
      <c r="I2039">
        <v>4020213</v>
      </c>
      <c r="J2039" t="s">
        <v>86</v>
      </c>
      <c r="K2039" t="s">
        <v>94</v>
      </c>
      <c r="L2039" s="16" t="s">
        <v>10</v>
      </c>
    </row>
    <row r="2040" spans="1:12" x14ac:dyDescent="0.35">
      <c r="A2040" t="s">
        <v>8</v>
      </c>
      <c r="B2040" t="s">
        <v>92</v>
      </c>
      <c r="C2040" t="s">
        <v>95</v>
      </c>
      <c r="D2040" t="s">
        <v>10</v>
      </c>
      <c r="E2040" t="s">
        <v>10</v>
      </c>
      <c r="F2040" s="7">
        <v>45696</v>
      </c>
      <c r="G2040" s="1">
        <v>45658</v>
      </c>
      <c r="H2040" s="14">
        <v>16696.709999999992</v>
      </c>
      <c r="I2040">
        <v>6818785</v>
      </c>
      <c r="J2040" t="s">
        <v>86</v>
      </c>
      <c r="K2040" t="s">
        <v>96</v>
      </c>
      <c r="L2040" s="16" t="s">
        <v>10</v>
      </c>
    </row>
    <row r="2041" spans="1:12" x14ac:dyDescent="0.35">
      <c r="A2041" t="s">
        <v>8</v>
      </c>
      <c r="B2041" t="s">
        <v>84</v>
      </c>
      <c r="C2041" t="s">
        <v>93</v>
      </c>
      <c r="D2041" t="s">
        <v>10</v>
      </c>
      <c r="E2041" t="s">
        <v>10</v>
      </c>
      <c r="F2041" s="7">
        <v>45696</v>
      </c>
      <c r="G2041" s="1">
        <v>45658</v>
      </c>
      <c r="H2041" s="14">
        <v>2101.4010000000003</v>
      </c>
      <c r="I2041">
        <v>1554426</v>
      </c>
      <c r="J2041" t="s">
        <v>86</v>
      </c>
      <c r="K2041" t="s">
        <v>94</v>
      </c>
      <c r="L2041" s="16" t="s">
        <v>10</v>
      </c>
    </row>
    <row r="2042" spans="1:12" x14ac:dyDescent="0.35">
      <c r="A2042" t="s">
        <v>8</v>
      </c>
      <c r="B2042" t="s">
        <v>84</v>
      </c>
      <c r="C2042" t="s">
        <v>95</v>
      </c>
      <c r="D2042" t="s">
        <v>10</v>
      </c>
      <c r="E2042" t="s">
        <v>10</v>
      </c>
      <c r="F2042" s="7">
        <v>45696</v>
      </c>
      <c r="G2042" s="1">
        <v>45658</v>
      </c>
      <c r="H2042" s="14">
        <v>2438.8000000000002</v>
      </c>
      <c r="I2042">
        <v>338295</v>
      </c>
      <c r="J2042" t="s">
        <v>86</v>
      </c>
      <c r="K2042" t="s">
        <v>96</v>
      </c>
      <c r="L2042" s="16" t="s">
        <v>10</v>
      </c>
    </row>
    <row r="2043" spans="1:12" x14ac:dyDescent="0.35">
      <c r="A2043" t="s">
        <v>8</v>
      </c>
      <c r="B2043" t="s">
        <v>17</v>
      </c>
      <c r="C2043" t="s">
        <v>93</v>
      </c>
      <c r="D2043" t="s">
        <v>10</v>
      </c>
      <c r="E2043" t="s">
        <v>10</v>
      </c>
      <c r="F2043" s="7">
        <v>45696</v>
      </c>
      <c r="G2043" s="1">
        <v>45658</v>
      </c>
      <c r="H2043" s="14">
        <v>9317.4222999999965</v>
      </c>
      <c r="I2043">
        <v>3930576</v>
      </c>
      <c r="J2043" t="s">
        <v>86</v>
      </c>
      <c r="K2043" t="s">
        <v>94</v>
      </c>
      <c r="L2043" s="16" t="s">
        <v>10</v>
      </c>
    </row>
    <row r="2044" spans="1:12" x14ac:dyDescent="0.35">
      <c r="A2044" t="s">
        <v>8</v>
      </c>
      <c r="B2044" t="s">
        <v>17</v>
      </c>
      <c r="C2044" t="s">
        <v>95</v>
      </c>
      <c r="D2044" t="s">
        <v>10</v>
      </c>
      <c r="E2044" t="s">
        <v>10</v>
      </c>
      <c r="F2044" s="7">
        <v>45696</v>
      </c>
      <c r="G2044" s="1">
        <v>45658</v>
      </c>
      <c r="H2044" s="14">
        <v>10648.5</v>
      </c>
      <c r="I2044">
        <v>2420628</v>
      </c>
      <c r="J2044" t="s">
        <v>86</v>
      </c>
      <c r="K2044" t="s">
        <v>96</v>
      </c>
      <c r="L2044" s="16" t="s">
        <v>10</v>
      </c>
    </row>
    <row r="2045" spans="1:12" x14ac:dyDescent="0.35">
      <c r="A2045" t="s">
        <v>8</v>
      </c>
      <c r="B2045" t="s">
        <v>99</v>
      </c>
      <c r="C2045" t="s">
        <v>93</v>
      </c>
      <c r="D2045" t="s">
        <v>10</v>
      </c>
      <c r="E2045" t="s">
        <v>10</v>
      </c>
      <c r="F2045" s="7">
        <v>45696</v>
      </c>
      <c r="G2045" s="1">
        <v>45658</v>
      </c>
      <c r="H2045" s="14">
        <v>6054.2161000000033</v>
      </c>
      <c r="I2045">
        <v>2263315</v>
      </c>
      <c r="J2045" t="s">
        <v>86</v>
      </c>
      <c r="K2045" t="s">
        <v>94</v>
      </c>
      <c r="L2045" s="16" t="s">
        <v>10</v>
      </c>
    </row>
    <row r="2046" spans="1:12" x14ac:dyDescent="0.35">
      <c r="A2046" t="s">
        <v>8</v>
      </c>
      <c r="B2046" t="s">
        <v>99</v>
      </c>
      <c r="C2046" t="s">
        <v>95</v>
      </c>
      <c r="D2046" t="s">
        <v>10</v>
      </c>
      <c r="E2046" t="s">
        <v>10</v>
      </c>
      <c r="F2046" s="7">
        <v>45696</v>
      </c>
      <c r="G2046" s="1">
        <v>45658</v>
      </c>
      <c r="H2046" s="14">
        <v>6991.0099999999993</v>
      </c>
      <c r="I2046">
        <v>1615521</v>
      </c>
      <c r="J2046" t="s">
        <v>86</v>
      </c>
      <c r="K2046" t="s">
        <v>96</v>
      </c>
      <c r="L2046" s="16" t="s">
        <v>10</v>
      </c>
    </row>
    <row r="2047" spans="1:12" x14ac:dyDescent="0.35">
      <c r="A2047" t="s">
        <v>8</v>
      </c>
      <c r="B2047" t="s">
        <v>100</v>
      </c>
      <c r="C2047" t="s">
        <v>93</v>
      </c>
      <c r="D2047" t="s">
        <v>10</v>
      </c>
      <c r="E2047" t="s">
        <v>10</v>
      </c>
      <c r="F2047" s="7">
        <v>45696</v>
      </c>
      <c r="G2047" s="1">
        <v>45658</v>
      </c>
      <c r="H2047" s="14">
        <v>6531.9242000000022</v>
      </c>
      <c r="I2047">
        <v>2359367</v>
      </c>
      <c r="J2047" t="s">
        <v>86</v>
      </c>
      <c r="K2047" t="s">
        <v>94</v>
      </c>
      <c r="L2047" s="16" t="s">
        <v>10</v>
      </c>
    </row>
    <row r="2048" spans="1:12" x14ac:dyDescent="0.35">
      <c r="A2048" t="s">
        <v>8</v>
      </c>
      <c r="B2048" t="s">
        <v>100</v>
      </c>
      <c r="C2048" t="s">
        <v>95</v>
      </c>
      <c r="D2048" t="s">
        <v>10</v>
      </c>
      <c r="E2048" t="s">
        <v>10</v>
      </c>
      <c r="F2048" s="7">
        <v>45696</v>
      </c>
      <c r="G2048" s="1">
        <v>45658</v>
      </c>
      <c r="H2048" s="14">
        <v>5722.4999999999991</v>
      </c>
      <c r="I2048">
        <v>2324076</v>
      </c>
      <c r="J2048" t="s">
        <v>86</v>
      </c>
      <c r="K2048" t="s">
        <v>96</v>
      </c>
      <c r="L2048" s="16" t="s">
        <v>10</v>
      </c>
    </row>
    <row r="2049" spans="1:12" x14ac:dyDescent="0.35">
      <c r="A2049" t="s">
        <v>8</v>
      </c>
      <c r="B2049" t="s">
        <v>21</v>
      </c>
      <c r="C2049" t="s">
        <v>93</v>
      </c>
      <c r="D2049" t="s">
        <v>10</v>
      </c>
      <c r="E2049" t="s">
        <v>10</v>
      </c>
      <c r="F2049" s="7">
        <v>45696</v>
      </c>
      <c r="G2049" s="1">
        <v>45658</v>
      </c>
      <c r="H2049" s="14">
        <v>7088.3945000000012</v>
      </c>
      <c r="I2049">
        <v>2878351</v>
      </c>
      <c r="J2049" t="s">
        <v>86</v>
      </c>
      <c r="K2049" t="s">
        <v>94</v>
      </c>
      <c r="L2049" s="16" t="s">
        <v>10</v>
      </c>
    </row>
    <row r="2050" spans="1:12" x14ac:dyDescent="0.35">
      <c r="A2050" t="s">
        <v>8</v>
      </c>
      <c r="B2050" t="s">
        <v>21</v>
      </c>
      <c r="C2050" t="s">
        <v>95</v>
      </c>
      <c r="D2050" t="s">
        <v>10</v>
      </c>
      <c r="E2050" t="s">
        <v>10</v>
      </c>
      <c r="F2050" s="7">
        <v>45696</v>
      </c>
      <c r="G2050" s="1">
        <v>45658</v>
      </c>
      <c r="H2050" s="14">
        <v>15144.279999999997</v>
      </c>
      <c r="I2050">
        <v>1274106</v>
      </c>
      <c r="J2050" t="s">
        <v>86</v>
      </c>
      <c r="K2050" t="s">
        <v>96</v>
      </c>
      <c r="L2050" s="16" t="s">
        <v>10</v>
      </c>
    </row>
    <row r="2051" spans="1:12" x14ac:dyDescent="0.35">
      <c r="A2051" t="s">
        <v>8</v>
      </c>
      <c r="B2051" t="s">
        <v>92</v>
      </c>
      <c r="C2051" t="s">
        <v>93</v>
      </c>
      <c r="D2051" t="s">
        <v>10</v>
      </c>
      <c r="E2051" t="s">
        <v>10</v>
      </c>
      <c r="F2051" s="7">
        <v>45703</v>
      </c>
      <c r="G2051" s="1">
        <v>45658</v>
      </c>
      <c r="H2051" s="14">
        <v>10005.922899999998</v>
      </c>
      <c r="I2051">
        <v>3709228</v>
      </c>
      <c r="J2051" t="s">
        <v>86</v>
      </c>
      <c r="K2051" t="s">
        <v>94</v>
      </c>
      <c r="L2051" s="16" t="s">
        <v>10</v>
      </c>
    </row>
    <row r="2052" spans="1:12" x14ac:dyDescent="0.35">
      <c r="A2052" t="s">
        <v>8</v>
      </c>
      <c r="B2052" t="s">
        <v>92</v>
      </c>
      <c r="C2052" t="s">
        <v>95</v>
      </c>
      <c r="D2052" t="s">
        <v>10</v>
      </c>
      <c r="E2052" t="s">
        <v>10</v>
      </c>
      <c r="F2052" s="7">
        <v>45703</v>
      </c>
      <c r="G2052" s="1">
        <v>45658</v>
      </c>
      <c r="H2052" s="14">
        <v>12439.130000000001</v>
      </c>
      <c r="I2052">
        <v>4839528</v>
      </c>
      <c r="J2052" t="s">
        <v>86</v>
      </c>
      <c r="K2052" t="s">
        <v>96</v>
      </c>
      <c r="L2052" s="16" t="s">
        <v>10</v>
      </c>
    </row>
    <row r="2053" spans="1:12" x14ac:dyDescent="0.35">
      <c r="A2053" t="s">
        <v>8</v>
      </c>
      <c r="B2053" t="s">
        <v>84</v>
      </c>
      <c r="C2053" t="s">
        <v>93</v>
      </c>
      <c r="D2053" t="s">
        <v>10</v>
      </c>
      <c r="E2053" t="s">
        <v>10</v>
      </c>
      <c r="F2053" s="7">
        <v>45703</v>
      </c>
      <c r="G2053" s="1">
        <v>45658</v>
      </c>
      <c r="H2053" s="14">
        <v>2128.8376999999996</v>
      </c>
      <c r="I2053">
        <v>1518048</v>
      </c>
      <c r="J2053" t="s">
        <v>86</v>
      </c>
      <c r="K2053" t="s">
        <v>94</v>
      </c>
      <c r="L2053" s="16" t="s">
        <v>10</v>
      </c>
    </row>
    <row r="2054" spans="1:12" x14ac:dyDescent="0.35">
      <c r="A2054" t="s">
        <v>8</v>
      </c>
      <c r="B2054" t="s">
        <v>84</v>
      </c>
      <c r="C2054" t="s">
        <v>95</v>
      </c>
      <c r="D2054" t="s">
        <v>10</v>
      </c>
      <c r="E2054" t="s">
        <v>10</v>
      </c>
      <c r="F2054" s="7">
        <v>45703</v>
      </c>
      <c r="G2054" s="1">
        <v>45658</v>
      </c>
      <c r="H2054" s="14">
        <v>2402.8199999999993</v>
      </c>
      <c r="I2054">
        <v>261360</v>
      </c>
      <c r="J2054" t="s">
        <v>86</v>
      </c>
      <c r="K2054" t="s">
        <v>96</v>
      </c>
      <c r="L2054" s="16" t="s">
        <v>10</v>
      </c>
    </row>
    <row r="2055" spans="1:12" x14ac:dyDescent="0.35">
      <c r="A2055" t="s">
        <v>8</v>
      </c>
      <c r="B2055" t="s">
        <v>17</v>
      </c>
      <c r="C2055" t="s">
        <v>93</v>
      </c>
      <c r="D2055" t="s">
        <v>10</v>
      </c>
      <c r="E2055" t="s">
        <v>10</v>
      </c>
      <c r="F2055" s="7">
        <v>45703</v>
      </c>
      <c r="G2055" s="1">
        <v>45658</v>
      </c>
      <c r="H2055" s="14">
        <v>9457.8002000000033</v>
      </c>
      <c r="I2055">
        <v>3671654</v>
      </c>
      <c r="J2055" t="s">
        <v>86</v>
      </c>
      <c r="K2055" t="s">
        <v>94</v>
      </c>
      <c r="L2055" s="16" t="s">
        <v>10</v>
      </c>
    </row>
    <row r="2056" spans="1:12" x14ac:dyDescent="0.35">
      <c r="A2056" t="s">
        <v>8</v>
      </c>
      <c r="B2056" t="s">
        <v>17</v>
      </c>
      <c r="C2056" t="s">
        <v>95</v>
      </c>
      <c r="D2056" t="s">
        <v>10</v>
      </c>
      <c r="E2056" t="s">
        <v>10</v>
      </c>
      <c r="F2056" s="7">
        <v>45703</v>
      </c>
      <c r="G2056" s="1">
        <v>45658</v>
      </c>
      <c r="H2056" s="14">
        <v>11220.300000000001</v>
      </c>
      <c r="I2056">
        <v>1890806</v>
      </c>
      <c r="J2056" t="s">
        <v>86</v>
      </c>
      <c r="K2056" t="s">
        <v>96</v>
      </c>
      <c r="L2056" s="16" t="s">
        <v>10</v>
      </c>
    </row>
    <row r="2057" spans="1:12" x14ac:dyDescent="0.35">
      <c r="A2057" t="s">
        <v>8</v>
      </c>
      <c r="B2057" t="s">
        <v>99</v>
      </c>
      <c r="C2057" t="s">
        <v>93</v>
      </c>
      <c r="D2057" t="s">
        <v>10</v>
      </c>
      <c r="E2057" t="s">
        <v>10</v>
      </c>
      <c r="F2057" s="7">
        <v>45703</v>
      </c>
      <c r="G2057" s="1">
        <v>45658</v>
      </c>
      <c r="H2057" s="14">
        <v>6314.694300000001</v>
      </c>
      <c r="I2057">
        <v>2115332</v>
      </c>
      <c r="J2057" t="s">
        <v>86</v>
      </c>
      <c r="K2057" t="s">
        <v>94</v>
      </c>
      <c r="L2057" s="16" t="s">
        <v>10</v>
      </c>
    </row>
    <row r="2058" spans="1:12" x14ac:dyDescent="0.35">
      <c r="A2058" t="s">
        <v>8</v>
      </c>
      <c r="B2058" t="s">
        <v>99</v>
      </c>
      <c r="C2058" t="s">
        <v>95</v>
      </c>
      <c r="D2058" t="s">
        <v>10</v>
      </c>
      <c r="E2058" t="s">
        <v>10</v>
      </c>
      <c r="F2058" s="7">
        <v>45703</v>
      </c>
      <c r="G2058" s="1">
        <v>45658</v>
      </c>
      <c r="H2058" s="14">
        <v>8257.9299999999985</v>
      </c>
      <c r="I2058">
        <v>1732362</v>
      </c>
      <c r="J2058" t="s">
        <v>86</v>
      </c>
      <c r="K2058" t="s">
        <v>96</v>
      </c>
      <c r="L2058" s="16" t="s">
        <v>10</v>
      </c>
    </row>
    <row r="2059" spans="1:12" x14ac:dyDescent="0.35">
      <c r="A2059" t="s">
        <v>8</v>
      </c>
      <c r="B2059" t="s">
        <v>100</v>
      </c>
      <c r="C2059" t="s">
        <v>93</v>
      </c>
      <c r="D2059" t="s">
        <v>10</v>
      </c>
      <c r="E2059" t="s">
        <v>10</v>
      </c>
      <c r="F2059" s="7">
        <v>45703</v>
      </c>
      <c r="G2059" s="1">
        <v>45658</v>
      </c>
      <c r="H2059" s="14">
        <v>6550.547599999999</v>
      </c>
      <c r="I2059">
        <v>2406420</v>
      </c>
      <c r="J2059" t="s">
        <v>86</v>
      </c>
      <c r="K2059" t="s">
        <v>94</v>
      </c>
      <c r="L2059" s="16" t="s">
        <v>10</v>
      </c>
    </row>
    <row r="2060" spans="1:12" x14ac:dyDescent="0.35">
      <c r="A2060" t="s">
        <v>8</v>
      </c>
      <c r="B2060" t="s">
        <v>100</v>
      </c>
      <c r="C2060" t="s">
        <v>95</v>
      </c>
      <c r="D2060" t="s">
        <v>10</v>
      </c>
      <c r="E2060" t="s">
        <v>10</v>
      </c>
      <c r="F2060" s="7">
        <v>45703</v>
      </c>
      <c r="G2060" s="1">
        <v>45658</v>
      </c>
      <c r="H2060" s="14">
        <v>8752.9200000000019</v>
      </c>
      <c r="I2060">
        <v>2344105</v>
      </c>
      <c r="J2060" t="s">
        <v>86</v>
      </c>
      <c r="K2060" t="s">
        <v>96</v>
      </c>
      <c r="L2060" s="16" t="s">
        <v>10</v>
      </c>
    </row>
    <row r="2061" spans="1:12" x14ac:dyDescent="0.35">
      <c r="A2061" t="s">
        <v>8</v>
      </c>
      <c r="B2061" t="s">
        <v>21</v>
      </c>
      <c r="C2061" t="s">
        <v>93</v>
      </c>
      <c r="D2061" t="s">
        <v>10</v>
      </c>
      <c r="E2061" t="s">
        <v>10</v>
      </c>
      <c r="F2061" s="7">
        <v>45703</v>
      </c>
      <c r="G2061" s="1">
        <v>45658</v>
      </c>
      <c r="H2061" s="14">
        <v>7235.3378000000002</v>
      </c>
      <c r="I2061">
        <v>2779387</v>
      </c>
      <c r="J2061" t="s">
        <v>86</v>
      </c>
      <c r="K2061" t="s">
        <v>94</v>
      </c>
      <c r="L2061" s="16" t="s">
        <v>10</v>
      </c>
    </row>
    <row r="2062" spans="1:12" x14ac:dyDescent="0.35">
      <c r="A2062" t="s">
        <v>8</v>
      </c>
      <c r="B2062" t="s">
        <v>21</v>
      </c>
      <c r="C2062" t="s">
        <v>95</v>
      </c>
      <c r="D2062" t="s">
        <v>10</v>
      </c>
      <c r="E2062" t="s">
        <v>10</v>
      </c>
      <c r="F2062" s="7">
        <v>45703</v>
      </c>
      <c r="G2062" s="1">
        <v>45658</v>
      </c>
      <c r="H2062" s="14">
        <v>10918.710000000005</v>
      </c>
      <c r="I2062">
        <v>1032067</v>
      </c>
      <c r="J2062" t="s">
        <v>86</v>
      </c>
      <c r="K2062" t="s">
        <v>96</v>
      </c>
      <c r="L2062" s="16" t="s">
        <v>10</v>
      </c>
    </row>
    <row r="2063" spans="1:12" x14ac:dyDescent="0.35">
      <c r="A2063" t="s">
        <v>8</v>
      </c>
      <c r="B2063" t="s">
        <v>84</v>
      </c>
      <c r="C2063" t="s">
        <v>85</v>
      </c>
      <c r="D2063" t="s">
        <v>9</v>
      </c>
      <c r="E2063" t="s">
        <v>12</v>
      </c>
      <c r="F2063" s="7">
        <v>45710</v>
      </c>
      <c r="G2063" s="1">
        <v>45658</v>
      </c>
      <c r="H2063" s="14">
        <v>26652.779999000002</v>
      </c>
      <c r="I2063">
        <v>3787287</v>
      </c>
      <c r="J2063" t="s">
        <v>86</v>
      </c>
      <c r="K2063" t="s">
        <v>87</v>
      </c>
      <c r="L2063" s="16" t="s">
        <v>12</v>
      </c>
    </row>
    <row r="2064" spans="1:12" x14ac:dyDescent="0.35">
      <c r="A2064" t="s">
        <v>8</v>
      </c>
      <c r="B2064" t="s">
        <v>92</v>
      </c>
      <c r="C2064" t="s">
        <v>93</v>
      </c>
      <c r="D2064" t="s">
        <v>10</v>
      </c>
      <c r="E2064" t="s">
        <v>10</v>
      </c>
      <c r="F2064" s="7">
        <v>45710</v>
      </c>
      <c r="G2064" s="1">
        <v>45658</v>
      </c>
      <c r="H2064" s="14">
        <v>9931.4879999999976</v>
      </c>
      <c r="I2064">
        <v>3303879</v>
      </c>
      <c r="J2064" t="s">
        <v>86</v>
      </c>
      <c r="K2064" t="s">
        <v>94</v>
      </c>
      <c r="L2064" s="16" t="s">
        <v>10</v>
      </c>
    </row>
    <row r="2065" spans="1:12" x14ac:dyDescent="0.35">
      <c r="A2065" t="s">
        <v>8</v>
      </c>
      <c r="B2065" t="s">
        <v>92</v>
      </c>
      <c r="C2065" t="s">
        <v>95</v>
      </c>
      <c r="D2065" t="s">
        <v>10</v>
      </c>
      <c r="E2065" t="s">
        <v>10</v>
      </c>
      <c r="F2065" s="7">
        <v>45710</v>
      </c>
      <c r="G2065" s="1">
        <v>45658</v>
      </c>
      <c r="H2065" s="14">
        <v>9900.7900000000027</v>
      </c>
      <c r="I2065">
        <v>1781045</v>
      </c>
      <c r="J2065" t="s">
        <v>86</v>
      </c>
      <c r="K2065" t="s">
        <v>96</v>
      </c>
      <c r="L2065" s="16" t="s">
        <v>10</v>
      </c>
    </row>
    <row r="2066" spans="1:12" x14ac:dyDescent="0.35">
      <c r="A2066" t="s">
        <v>8</v>
      </c>
      <c r="B2066" t="s">
        <v>84</v>
      </c>
      <c r="C2066" t="s">
        <v>93</v>
      </c>
      <c r="D2066" t="s">
        <v>10</v>
      </c>
      <c r="E2066" t="s">
        <v>10</v>
      </c>
      <c r="F2066" s="7">
        <v>45710</v>
      </c>
      <c r="G2066" s="1">
        <v>45658</v>
      </c>
      <c r="H2066" s="14">
        <v>2135.8888999999999</v>
      </c>
      <c r="I2066">
        <v>1288906</v>
      </c>
      <c r="J2066" t="s">
        <v>86</v>
      </c>
      <c r="K2066" t="s">
        <v>94</v>
      </c>
      <c r="L2066" s="16" t="s">
        <v>10</v>
      </c>
    </row>
    <row r="2067" spans="1:12" x14ac:dyDescent="0.35">
      <c r="A2067" t="s">
        <v>8</v>
      </c>
      <c r="B2067" t="s">
        <v>84</v>
      </c>
      <c r="C2067" t="s">
        <v>95</v>
      </c>
      <c r="D2067" t="s">
        <v>10</v>
      </c>
      <c r="E2067" t="s">
        <v>10</v>
      </c>
      <c r="F2067" s="7">
        <v>45710</v>
      </c>
      <c r="G2067" s="1">
        <v>45658</v>
      </c>
      <c r="H2067" s="14">
        <v>2451.9500000000003</v>
      </c>
      <c r="I2067">
        <v>221318</v>
      </c>
      <c r="J2067" t="s">
        <v>86</v>
      </c>
      <c r="K2067" t="s">
        <v>96</v>
      </c>
      <c r="L2067" s="16" t="s">
        <v>10</v>
      </c>
    </row>
    <row r="2068" spans="1:12" x14ac:dyDescent="0.35">
      <c r="A2068" t="s">
        <v>8</v>
      </c>
      <c r="B2068" t="s">
        <v>17</v>
      </c>
      <c r="C2068" t="s">
        <v>93</v>
      </c>
      <c r="D2068" t="s">
        <v>10</v>
      </c>
      <c r="E2068" t="s">
        <v>10</v>
      </c>
      <c r="F2068" s="7">
        <v>45710</v>
      </c>
      <c r="G2068" s="1">
        <v>45658</v>
      </c>
      <c r="H2068" s="14">
        <v>9391.854099999995</v>
      </c>
      <c r="I2068">
        <v>3470966</v>
      </c>
      <c r="J2068" t="s">
        <v>86</v>
      </c>
      <c r="K2068" t="s">
        <v>94</v>
      </c>
      <c r="L2068" s="16" t="s">
        <v>10</v>
      </c>
    </row>
    <row r="2069" spans="1:12" x14ac:dyDescent="0.35">
      <c r="A2069" t="s">
        <v>8</v>
      </c>
      <c r="B2069" t="s">
        <v>17</v>
      </c>
      <c r="C2069" t="s">
        <v>95</v>
      </c>
      <c r="D2069" t="s">
        <v>10</v>
      </c>
      <c r="E2069" t="s">
        <v>10</v>
      </c>
      <c r="F2069" s="7">
        <v>45710</v>
      </c>
      <c r="G2069" s="1">
        <v>45658</v>
      </c>
      <c r="H2069" s="14">
        <v>13415.84</v>
      </c>
      <c r="I2069">
        <v>2078140</v>
      </c>
      <c r="J2069" t="s">
        <v>86</v>
      </c>
      <c r="K2069" t="s">
        <v>96</v>
      </c>
      <c r="L2069" s="16" t="s">
        <v>10</v>
      </c>
    </row>
    <row r="2070" spans="1:12" x14ac:dyDescent="0.35">
      <c r="A2070" t="s">
        <v>8</v>
      </c>
      <c r="B2070" t="s">
        <v>99</v>
      </c>
      <c r="C2070" t="s">
        <v>93</v>
      </c>
      <c r="D2070" t="s">
        <v>10</v>
      </c>
      <c r="E2070" t="s">
        <v>10</v>
      </c>
      <c r="F2070" s="7">
        <v>45710</v>
      </c>
      <c r="G2070" s="1">
        <v>45658</v>
      </c>
      <c r="H2070" s="14">
        <v>6082.183299999997</v>
      </c>
      <c r="I2070">
        <v>1720229</v>
      </c>
      <c r="J2070" t="s">
        <v>86</v>
      </c>
      <c r="K2070" t="s">
        <v>94</v>
      </c>
      <c r="L2070" s="16" t="s">
        <v>10</v>
      </c>
    </row>
    <row r="2071" spans="1:12" x14ac:dyDescent="0.35">
      <c r="A2071" t="s">
        <v>8</v>
      </c>
      <c r="B2071" t="s">
        <v>99</v>
      </c>
      <c r="C2071" t="s">
        <v>95</v>
      </c>
      <c r="D2071" t="s">
        <v>10</v>
      </c>
      <c r="E2071" t="s">
        <v>10</v>
      </c>
      <c r="F2071" s="7">
        <v>45710</v>
      </c>
      <c r="G2071" s="1">
        <v>45658</v>
      </c>
      <c r="H2071" s="14">
        <v>10187.25</v>
      </c>
      <c r="I2071">
        <v>1953684</v>
      </c>
      <c r="J2071" t="s">
        <v>86</v>
      </c>
      <c r="K2071" t="s">
        <v>96</v>
      </c>
      <c r="L2071" s="16" t="s">
        <v>10</v>
      </c>
    </row>
    <row r="2072" spans="1:12" x14ac:dyDescent="0.35">
      <c r="A2072" t="s">
        <v>8</v>
      </c>
      <c r="B2072" t="s">
        <v>100</v>
      </c>
      <c r="C2072" t="s">
        <v>93</v>
      </c>
      <c r="D2072" t="s">
        <v>10</v>
      </c>
      <c r="E2072" t="s">
        <v>10</v>
      </c>
      <c r="F2072" s="7">
        <v>45710</v>
      </c>
      <c r="G2072" s="1">
        <v>45658</v>
      </c>
      <c r="H2072" s="14">
        <v>6568.3112999999967</v>
      </c>
      <c r="I2072">
        <v>1912617</v>
      </c>
      <c r="J2072" t="s">
        <v>86</v>
      </c>
      <c r="K2072" t="s">
        <v>94</v>
      </c>
      <c r="L2072" s="16" t="s">
        <v>10</v>
      </c>
    </row>
    <row r="2073" spans="1:12" x14ac:dyDescent="0.35">
      <c r="A2073" t="s">
        <v>8</v>
      </c>
      <c r="B2073" t="s">
        <v>100</v>
      </c>
      <c r="C2073" t="s">
        <v>95</v>
      </c>
      <c r="D2073" t="s">
        <v>10</v>
      </c>
      <c r="E2073" t="s">
        <v>10</v>
      </c>
      <c r="F2073" s="7">
        <v>45710</v>
      </c>
      <c r="G2073" s="1">
        <v>45658</v>
      </c>
      <c r="H2073" s="14">
        <v>10576.800000000001</v>
      </c>
      <c r="I2073">
        <v>2183192</v>
      </c>
      <c r="J2073" t="s">
        <v>86</v>
      </c>
      <c r="K2073" t="s">
        <v>96</v>
      </c>
      <c r="L2073" s="16" t="s">
        <v>10</v>
      </c>
    </row>
    <row r="2074" spans="1:12" x14ac:dyDescent="0.35">
      <c r="A2074" t="s">
        <v>8</v>
      </c>
      <c r="B2074" t="s">
        <v>21</v>
      </c>
      <c r="C2074" t="s">
        <v>93</v>
      </c>
      <c r="D2074" t="s">
        <v>10</v>
      </c>
      <c r="E2074" t="s">
        <v>10</v>
      </c>
      <c r="F2074" s="7">
        <v>45710</v>
      </c>
      <c r="G2074" s="1">
        <v>45658</v>
      </c>
      <c r="H2074" s="14">
        <v>6757.6293999999998</v>
      </c>
      <c r="I2074">
        <v>2736418</v>
      </c>
      <c r="J2074" t="s">
        <v>86</v>
      </c>
      <c r="K2074" t="s">
        <v>94</v>
      </c>
      <c r="L2074" s="16" t="s">
        <v>10</v>
      </c>
    </row>
    <row r="2075" spans="1:12" x14ac:dyDescent="0.35">
      <c r="A2075" t="s">
        <v>8</v>
      </c>
      <c r="B2075" t="s">
        <v>21</v>
      </c>
      <c r="C2075" t="s">
        <v>95</v>
      </c>
      <c r="D2075" t="s">
        <v>10</v>
      </c>
      <c r="E2075" t="s">
        <v>10</v>
      </c>
      <c r="F2075" s="7">
        <v>45710</v>
      </c>
      <c r="G2075" s="1">
        <v>45658</v>
      </c>
      <c r="H2075" s="14">
        <v>9980.2199999999993</v>
      </c>
      <c r="I2075">
        <v>1287822</v>
      </c>
      <c r="J2075" t="s">
        <v>86</v>
      </c>
      <c r="K2075" t="s">
        <v>96</v>
      </c>
      <c r="L2075" s="16" t="s">
        <v>10</v>
      </c>
    </row>
    <row r="2076" spans="1:12" x14ac:dyDescent="0.35">
      <c r="A2076" t="s">
        <v>8</v>
      </c>
      <c r="B2076" t="s">
        <v>102</v>
      </c>
      <c r="C2076" t="s">
        <v>95</v>
      </c>
      <c r="D2076" t="s">
        <v>10</v>
      </c>
      <c r="E2076" t="s">
        <v>10</v>
      </c>
      <c r="F2076" s="7">
        <v>45710</v>
      </c>
      <c r="G2076" s="1">
        <v>45658</v>
      </c>
      <c r="H2076" s="14">
        <v>0.37</v>
      </c>
      <c r="I2076">
        <v>94</v>
      </c>
      <c r="J2076" t="s">
        <v>86</v>
      </c>
      <c r="K2076" t="s">
        <v>96</v>
      </c>
      <c r="L2076" s="16" t="s">
        <v>10</v>
      </c>
    </row>
    <row r="2077" spans="1:12" x14ac:dyDescent="0.35">
      <c r="A2077" t="s">
        <v>8</v>
      </c>
      <c r="B2077" t="s">
        <v>84</v>
      </c>
      <c r="C2077" t="s">
        <v>85</v>
      </c>
      <c r="D2077" t="s">
        <v>9</v>
      </c>
      <c r="E2077" t="s">
        <v>12</v>
      </c>
      <c r="F2077" s="7">
        <v>45717</v>
      </c>
      <c r="G2077" s="1">
        <v>45658</v>
      </c>
      <c r="H2077" s="14">
        <v>43347.220003999995</v>
      </c>
      <c r="I2077">
        <v>5214614</v>
      </c>
      <c r="J2077" t="s">
        <v>86</v>
      </c>
      <c r="K2077" t="s">
        <v>87</v>
      </c>
      <c r="L2077" s="16" t="s">
        <v>12</v>
      </c>
    </row>
    <row r="2078" spans="1:12" x14ac:dyDescent="0.35">
      <c r="A2078" t="s">
        <v>8</v>
      </c>
      <c r="B2078" t="s">
        <v>92</v>
      </c>
      <c r="C2078" t="s">
        <v>93</v>
      </c>
      <c r="D2078" t="s">
        <v>10</v>
      </c>
      <c r="E2078" t="s">
        <v>10</v>
      </c>
      <c r="F2078" s="7">
        <v>45717</v>
      </c>
      <c r="G2078" s="1">
        <v>45658</v>
      </c>
      <c r="H2078" s="14">
        <v>8369.6576000000023</v>
      </c>
      <c r="I2078">
        <v>2246282</v>
      </c>
      <c r="J2078" t="s">
        <v>86</v>
      </c>
      <c r="K2078" t="s">
        <v>94</v>
      </c>
      <c r="L2078" s="16" t="s">
        <v>10</v>
      </c>
    </row>
    <row r="2079" spans="1:12" x14ac:dyDescent="0.35">
      <c r="A2079" t="s">
        <v>8</v>
      </c>
      <c r="B2079" t="s">
        <v>92</v>
      </c>
      <c r="C2079" t="s">
        <v>95</v>
      </c>
      <c r="D2079" t="s">
        <v>10</v>
      </c>
      <c r="E2079" t="s">
        <v>10</v>
      </c>
      <c r="F2079" s="7">
        <v>45717</v>
      </c>
      <c r="G2079" s="1">
        <v>45658</v>
      </c>
      <c r="H2079" s="14">
        <v>14493.76</v>
      </c>
      <c r="I2079">
        <v>3076731</v>
      </c>
      <c r="J2079" t="s">
        <v>86</v>
      </c>
      <c r="K2079" t="s">
        <v>96</v>
      </c>
      <c r="L2079" s="16" t="s">
        <v>10</v>
      </c>
    </row>
    <row r="2080" spans="1:12" x14ac:dyDescent="0.35">
      <c r="A2080" t="s">
        <v>8</v>
      </c>
      <c r="B2080" t="s">
        <v>84</v>
      </c>
      <c r="C2080" t="s">
        <v>93</v>
      </c>
      <c r="D2080" t="s">
        <v>10</v>
      </c>
      <c r="E2080" t="s">
        <v>10</v>
      </c>
      <c r="F2080" s="7">
        <v>45717</v>
      </c>
      <c r="G2080" s="1">
        <v>45658</v>
      </c>
      <c r="H2080" s="14">
        <v>1759.0863999999999</v>
      </c>
      <c r="I2080">
        <v>152196</v>
      </c>
      <c r="J2080" t="s">
        <v>86</v>
      </c>
      <c r="K2080" t="s">
        <v>94</v>
      </c>
      <c r="L2080" s="16" t="s">
        <v>10</v>
      </c>
    </row>
    <row r="2081" spans="1:12" x14ac:dyDescent="0.35">
      <c r="A2081" t="s">
        <v>8</v>
      </c>
      <c r="B2081" t="s">
        <v>84</v>
      </c>
      <c r="C2081" t="s">
        <v>95</v>
      </c>
      <c r="D2081" t="s">
        <v>10</v>
      </c>
      <c r="E2081" t="s">
        <v>10</v>
      </c>
      <c r="F2081" s="7">
        <v>45717</v>
      </c>
      <c r="G2081" s="1">
        <v>45658</v>
      </c>
      <c r="H2081" s="14">
        <v>4396.07</v>
      </c>
      <c r="I2081">
        <v>423272</v>
      </c>
      <c r="J2081" t="s">
        <v>86</v>
      </c>
      <c r="K2081" t="s">
        <v>96</v>
      </c>
      <c r="L2081" s="16" t="s">
        <v>10</v>
      </c>
    </row>
    <row r="2082" spans="1:12" x14ac:dyDescent="0.35">
      <c r="A2082" t="s">
        <v>8</v>
      </c>
      <c r="B2082" t="s">
        <v>17</v>
      </c>
      <c r="C2082" t="s">
        <v>93</v>
      </c>
      <c r="D2082" t="s">
        <v>10</v>
      </c>
      <c r="E2082" t="s">
        <v>10</v>
      </c>
      <c r="F2082" s="7">
        <v>45717</v>
      </c>
      <c r="G2082" s="1">
        <v>45658</v>
      </c>
      <c r="H2082" s="14">
        <v>8587.9166000000023</v>
      </c>
      <c r="I2082">
        <v>2679552</v>
      </c>
      <c r="J2082" t="s">
        <v>86</v>
      </c>
      <c r="K2082" t="s">
        <v>94</v>
      </c>
      <c r="L2082" s="16" t="s">
        <v>10</v>
      </c>
    </row>
    <row r="2083" spans="1:12" x14ac:dyDescent="0.35">
      <c r="A2083" t="s">
        <v>8</v>
      </c>
      <c r="B2083" t="s">
        <v>17</v>
      </c>
      <c r="C2083" t="s">
        <v>95</v>
      </c>
      <c r="D2083" t="s">
        <v>10</v>
      </c>
      <c r="E2083" t="s">
        <v>10</v>
      </c>
      <c r="F2083" s="7">
        <v>45717</v>
      </c>
      <c r="G2083" s="1">
        <v>45658</v>
      </c>
      <c r="H2083" s="14">
        <v>17359.29</v>
      </c>
      <c r="I2083">
        <v>2818319</v>
      </c>
      <c r="J2083" t="s">
        <v>86</v>
      </c>
      <c r="K2083" t="s">
        <v>96</v>
      </c>
      <c r="L2083" s="16" t="s">
        <v>10</v>
      </c>
    </row>
    <row r="2084" spans="1:12" x14ac:dyDescent="0.35">
      <c r="A2084" t="s">
        <v>8</v>
      </c>
      <c r="B2084" t="s">
        <v>99</v>
      </c>
      <c r="C2084" t="s">
        <v>93</v>
      </c>
      <c r="D2084" t="s">
        <v>10</v>
      </c>
      <c r="E2084" t="s">
        <v>10</v>
      </c>
      <c r="F2084" s="7">
        <v>45717</v>
      </c>
      <c r="G2084" s="1">
        <v>45658</v>
      </c>
      <c r="H2084" s="14">
        <v>7846.6367999999993</v>
      </c>
      <c r="I2084">
        <v>1537693</v>
      </c>
      <c r="J2084" t="s">
        <v>86</v>
      </c>
      <c r="K2084" t="s">
        <v>94</v>
      </c>
      <c r="L2084" s="16" t="s">
        <v>10</v>
      </c>
    </row>
    <row r="2085" spans="1:12" x14ac:dyDescent="0.35">
      <c r="A2085" t="s">
        <v>8</v>
      </c>
      <c r="B2085" t="s">
        <v>99</v>
      </c>
      <c r="C2085" t="s">
        <v>95</v>
      </c>
      <c r="D2085" t="s">
        <v>10</v>
      </c>
      <c r="E2085" t="s">
        <v>10</v>
      </c>
      <c r="F2085" s="7">
        <v>45717</v>
      </c>
      <c r="G2085" s="1">
        <v>45658</v>
      </c>
      <c r="H2085" s="14">
        <v>16391.220000000008</v>
      </c>
      <c r="I2085">
        <v>2427377</v>
      </c>
      <c r="J2085" t="s">
        <v>86</v>
      </c>
      <c r="K2085" t="s">
        <v>96</v>
      </c>
      <c r="L2085" s="16" t="s">
        <v>10</v>
      </c>
    </row>
    <row r="2086" spans="1:12" x14ac:dyDescent="0.35">
      <c r="A2086" t="s">
        <v>8</v>
      </c>
      <c r="B2086" t="s">
        <v>100</v>
      </c>
      <c r="C2086" t="s">
        <v>93</v>
      </c>
      <c r="D2086" t="s">
        <v>10</v>
      </c>
      <c r="E2086" t="s">
        <v>10</v>
      </c>
      <c r="F2086" s="7">
        <v>45717</v>
      </c>
      <c r="G2086" s="1">
        <v>45658</v>
      </c>
      <c r="H2086" s="14">
        <v>8286.0642000000007</v>
      </c>
      <c r="I2086">
        <v>1709882</v>
      </c>
      <c r="J2086" t="s">
        <v>86</v>
      </c>
      <c r="K2086" t="s">
        <v>94</v>
      </c>
      <c r="L2086" s="16" t="s">
        <v>10</v>
      </c>
    </row>
    <row r="2087" spans="1:12" x14ac:dyDescent="0.35">
      <c r="A2087" t="s">
        <v>8</v>
      </c>
      <c r="B2087" t="s">
        <v>100</v>
      </c>
      <c r="C2087" t="s">
        <v>95</v>
      </c>
      <c r="D2087" t="s">
        <v>10</v>
      </c>
      <c r="E2087" t="s">
        <v>10</v>
      </c>
      <c r="F2087" s="7">
        <v>45717</v>
      </c>
      <c r="G2087" s="1">
        <v>45658</v>
      </c>
      <c r="H2087" s="14">
        <v>7956.619999999999</v>
      </c>
      <c r="I2087">
        <v>1733366</v>
      </c>
      <c r="J2087" t="s">
        <v>86</v>
      </c>
      <c r="K2087" t="s">
        <v>96</v>
      </c>
      <c r="L2087" s="16" t="s">
        <v>10</v>
      </c>
    </row>
    <row r="2088" spans="1:12" x14ac:dyDescent="0.35">
      <c r="A2088" t="s">
        <v>8</v>
      </c>
      <c r="B2088" t="s">
        <v>21</v>
      </c>
      <c r="C2088" t="s">
        <v>93</v>
      </c>
      <c r="D2088" t="s">
        <v>10</v>
      </c>
      <c r="E2088" t="s">
        <v>10</v>
      </c>
      <c r="F2088" s="7">
        <v>45717</v>
      </c>
      <c r="G2088" s="1">
        <v>45658</v>
      </c>
      <c r="H2088" s="14">
        <v>6705.1400000000012</v>
      </c>
      <c r="I2088">
        <v>2627144</v>
      </c>
      <c r="J2088" t="s">
        <v>86</v>
      </c>
      <c r="K2088" t="s">
        <v>94</v>
      </c>
      <c r="L2088" s="16" t="s">
        <v>10</v>
      </c>
    </row>
    <row r="2089" spans="1:12" x14ac:dyDescent="0.35">
      <c r="A2089" t="s">
        <v>8</v>
      </c>
      <c r="B2089" t="s">
        <v>21</v>
      </c>
      <c r="C2089" t="s">
        <v>95</v>
      </c>
      <c r="D2089" t="s">
        <v>10</v>
      </c>
      <c r="E2089" t="s">
        <v>10</v>
      </c>
      <c r="F2089" s="7">
        <v>45717</v>
      </c>
      <c r="G2089" s="1">
        <v>45658</v>
      </c>
      <c r="H2089" s="14">
        <v>8337.6399999999976</v>
      </c>
      <c r="I2089">
        <v>1125513</v>
      </c>
      <c r="J2089" t="s">
        <v>86</v>
      </c>
      <c r="K2089" t="s">
        <v>96</v>
      </c>
      <c r="L2089" s="16" t="s">
        <v>10</v>
      </c>
    </row>
    <row r="2090" spans="1:12" x14ac:dyDescent="0.35">
      <c r="A2090" t="s">
        <v>8</v>
      </c>
      <c r="B2090" t="s">
        <v>84</v>
      </c>
      <c r="C2090" t="s">
        <v>95</v>
      </c>
      <c r="D2090" t="s">
        <v>104</v>
      </c>
      <c r="E2090" t="s">
        <v>8</v>
      </c>
      <c r="F2090" s="7">
        <v>45717</v>
      </c>
      <c r="G2090" s="1">
        <v>45658</v>
      </c>
      <c r="H2090" s="14">
        <v>2.9959999999999997E-2</v>
      </c>
      <c r="I2090">
        <v>23</v>
      </c>
      <c r="J2090" t="s">
        <v>86</v>
      </c>
      <c r="K2090" t="s">
        <v>105</v>
      </c>
      <c r="L2090" s="16" t="s">
        <v>95</v>
      </c>
    </row>
    <row r="2091" spans="1:12" x14ac:dyDescent="0.35">
      <c r="A2091" t="s">
        <v>8</v>
      </c>
      <c r="B2091" t="s">
        <v>92</v>
      </c>
      <c r="C2091" t="s">
        <v>95</v>
      </c>
      <c r="D2091" t="s">
        <v>104</v>
      </c>
      <c r="E2091" t="s">
        <v>8</v>
      </c>
      <c r="F2091" s="7">
        <v>45717</v>
      </c>
      <c r="G2091" s="1">
        <v>45658</v>
      </c>
      <c r="H2091" s="14">
        <v>0.96</v>
      </c>
      <c r="I2091">
        <v>1</v>
      </c>
      <c r="J2091" t="s">
        <v>86</v>
      </c>
      <c r="K2091" t="s">
        <v>105</v>
      </c>
      <c r="L2091" s="16" t="s">
        <v>95</v>
      </c>
    </row>
    <row r="2092" spans="1:12" x14ac:dyDescent="0.35">
      <c r="A2092" t="s">
        <v>8</v>
      </c>
      <c r="B2092" t="s">
        <v>21</v>
      </c>
      <c r="C2092" t="s">
        <v>95</v>
      </c>
      <c r="D2092" t="s">
        <v>104</v>
      </c>
      <c r="E2092" t="s">
        <v>8</v>
      </c>
      <c r="F2092" s="7">
        <v>45717</v>
      </c>
      <c r="G2092" s="1">
        <v>45658</v>
      </c>
      <c r="H2092" s="14">
        <v>0.01</v>
      </c>
      <c r="I2092">
        <v>5</v>
      </c>
      <c r="J2092" t="s">
        <v>86</v>
      </c>
      <c r="K2092" t="s">
        <v>105</v>
      </c>
      <c r="L2092" s="16" t="s">
        <v>95</v>
      </c>
    </row>
    <row r="2093" spans="1:12" x14ac:dyDescent="0.35">
      <c r="A2093" t="s">
        <v>8</v>
      </c>
      <c r="B2093" t="s">
        <v>92</v>
      </c>
      <c r="C2093" t="s">
        <v>93</v>
      </c>
      <c r="D2093" t="s">
        <v>10</v>
      </c>
      <c r="E2093" t="s">
        <v>10</v>
      </c>
      <c r="F2093" s="7">
        <v>45724</v>
      </c>
      <c r="G2093" s="1">
        <v>45658</v>
      </c>
      <c r="H2093" s="14">
        <v>8323.6876000000029</v>
      </c>
      <c r="I2093">
        <v>3114484</v>
      </c>
      <c r="J2093" t="s">
        <v>86</v>
      </c>
      <c r="K2093" t="s">
        <v>94</v>
      </c>
      <c r="L2093" s="16" t="s">
        <v>10</v>
      </c>
    </row>
    <row r="2094" spans="1:12" x14ac:dyDescent="0.35">
      <c r="A2094" t="s">
        <v>8</v>
      </c>
      <c r="B2094" t="s">
        <v>92</v>
      </c>
      <c r="C2094" t="s">
        <v>95</v>
      </c>
      <c r="D2094" t="s">
        <v>10</v>
      </c>
      <c r="E2094" t="s">
        <v>10</v>
      </c>
      <c r="F2094" s="7">
        <v>45724</v>
      </c>
      <c r="G2094" s="1">
        <v>45658</v>
      </c>
      <c r="H2094" s="14">
        <v>15953.409999999994</v>
      </c>
      <c r="I2094">
        <v>3387851</v>
      </c>
      <c r="J2094" t="s">
        <v>86</v>
      </c>
      <c r="K2094" t="s">
        <v>96</v>
      </c>
      <c r="L2094" s="16" t="s">
        <v>10</v>
      </c>
    </row>
    <row r="2095" spans="1:12" x14ac:dyDescent="0.35">
      <c r="A2095" t="s">
        <v>8</v>
      </c>
      <c r="B2095" t="s">
        <v>84</v>
      </c>
      <c r="C2095" t="s">
        <v>93</v>
      </c>
      <c r="D2095" t="s">
        <v>10</v>
      </c>
      <c r="E2095" t="s">
        <v>10</v>
      </c>
      <c r="F2095" s="7">
        <v>45724</v>
      </c>
      <c r="G2095" s="1">
        <v>45658</v>
      </c>
      <c r="H2095" s="14">
        <v>1678.5273999999999</v>
      </c>
      <c r="I2095">
        <v>141641</v>
      </c>
      <c r="J2095" t="s">
        <v>86</v>
      </c>
      <c r="K2095" t="s">
        <v>94</v>
      </c>
      <c r="L2095" s="16" t="s">
        <v>10</v>
      </c>
    </row>
    <row r="2096" spans="1:12" x14ac:dyDescent="0.35">
      <c r="A2096" t="s">
        <v>8</v>
      </c>
      <c r="B2096" t="s">
        <v>84</v>
      </c>
      <c r="C2096" t="s">
        <v>95</v>
      </c>
      <c r="D2096" t="s">
        <v>10</v>
      </c>
      <c r="E2096" t="s">
        <v>10</v>
      </c>
      <c r="F2096" s="7">
        <v>45724</v>
      </c>
      <c r="G2096" s="1">
        <v>45658</v>
      </c>
      <c r="H2096" s="14">
        <v>4948.2299999999996</v>
      </c>
      <c r="I2096">
        <v>354715</v>
      </c>
      <c r="J2096" t="s">
        <v>86</v>
      </c>
      <c r="K2096" t="s">
        <v>96</v>
      </c>
      <c r="L2096" s="16" t="s">
        <v>10</v>
      </c>
    </row>
    <row r="2097" spans="1:12" x14ac:dyDescent="0.35">
      <c r="A2097" t="s">
        <v>8</v>
      </c>
      <c r="B2097" t="s">
        <v>17</v>
      </c>
      <c r="C2097" t="s">
        <v>93</v>
      </c>
      <c r="D2097" t="s">
        <v>10</v>
      </c>
      <c r="E2097" t="s">
        <v>10</v>
      </c>
      <c r="F2097" s="7">
        <v>45724</v>
      </c>
      <c r="G2097" s="1">
        <v>45658</v>
      </c>
      <c r="H2097" s="14">
        <v>7960.5798999999997</v>
      </c>
      <c r="I2097">
        <v>2778758</v>
      </c>
      <c r="J2097" t="s">
        <v>86</v>
      </c>
      <c r="K2097" t="s">
        <v>94</v>
      </c>
      <c r="L2097" s="16" t="s">
        <v>10</v>
      </c>
    </row>
    <row r="2098" spans="1:12" x14ac:dyDescent="0.35">
      <c r="A2098" t="s">
        <v>8</v>
      </c>
      <c r="B2098" t="s">
        <v>17</v>
      </c>
      <c r="C2098" t="s">
        <v>95</v>
      </c>
      <c r="D2098" t="s">
        <v>10</v>
      </c>
      <c r="E2098" t="s">
        <v>10</v>
      </c>
      <c r="F2098" s="7">
        <v>45724</v>
      </c>
      <c r="G2098" s="1">
        <v>45658</v>
      </c>
      <c r="H2098" s="14">
        <v>15311.380000000006</v>
      </c>
      <c r="I2098">
        <v>2293520</v>
      </c>
      <c r="J2098" t="s">
        <v>86</v>
      </c>
      <c r="K2098" t="s">
        <v>96</v>
      </c>
      <c r="L2098" s="16" t="s">
        <v>10</v>
      </c>
    </row>
    <row r="2099" spans="1:12" x14ac:dyDescent="0.35">
      <c r="A2099" t="s">
        <v>8</v>
      </c>
      <c r="B2099" t="s">
        <v>99</v>
      </c>
      <c r="C2099" t="s">
        <v>93</v>
      </c>
      <c r="D2099" t="s">
        <v>10</v>
      </c>
      <c r="E2099" t="s">
        <v>10</v>
      </c>
      <c r="F2099" s="7">
        <v>45724</v>
      </c>
      <c r="G2099" s="1">
        <v>45658</v>
      </c>
      <c r="H2099" s="14">
        <v>9415.9598000000005</v>
      </c>
      <c r="I2099">
        <v>1733998</v>
      </c>
      <c r="J2099" t="s">
        <v>86</v>
      </c>
      <c r="K2099" t="s">
        <v>94</v>
      </c>
      <c r="L2099" s="16" t="s">
        <v>10</v>
      </c>
    </row>
    <row r="2100" spans="1:12" x14ac:dyDescent="0.35">
      <c r="A2100" t="s">
        <v>8</v>
      </c>
      <c r="B2100" t="s">
        <v>99</v>
      </c>
      <c r="C2100" t="s">
        <v>95</v>
      </c>
      <c r="D2100" t="s">
        <v>10</v>
      </c>
      <c r="E2100" t="s">
        <v>10</v>
      </c>
      <c r="F2100" s="7">
        <v>45724</v>
      </c>
      <c r="G2100" s="1">
        <v>45658</v>
      </c>
      <c r="H2100" s="14">
        <v>11619.620000000003</v>
      </c>
      <c r="I2100">
        <v>2128617</v>
      </c>
      <c r="J2100" t="s">
        <v>86</v>
      </c>
      <c r="K2100" t="s">
        <v>96</v>
      </c>
      <c r="L2100" s="16" t="s">
        <v>10</v>
      </c>
    </row>
    <row r="2101" spans="1:12" x14ac:dyDescent="0.35">
      <c r="A2101" t="s">
        <v>8</v>
      </c>
      <c r="B2101" t="s">
        <v>100</v>
      </c>
      <c r="C2101" t="s">
        <v>93</v>
      </c>
      <c r="D2101" t="s">
        <v>10</v>
      </c>
      <c r="E2101" t="s">
        <v>10</v>
      </c>
      <c r="F2101" s="7">
        <v>45724</v>
      </c>
      <c r="G2101" s="1">
        <v>45658</v>
      </c>
      <c r="H2101" s="14">
        <v>10020.850700000001</v>
      </c>
      <c r="I2101">
        <v>2018966</v>
      </c>
      <c r="J2101" t="s">
        <v>86</v>
      </c>
      <c r="K2101" t="s">
        <v>94</v>
      </c>
      <c r="L2101" s="16" t="s">
        <v>10</v>
      </c>
    </row>
    <row r="2102" spans="1:12" x14ac:dyDescent="0.35">
      <c r="A2102" t="s">
        <v>8</v>
      </c>
      <c r="B2102" t="s">
        <v>100</v>
      </c>
      <c r="C2102" t="s">
        <v>95</v>
      </c>
      <c r="D2102" t="s">
        <v>10</v>
      </c>
      <c r="E2102" t="s">
        <v>10</v>
      </c>
      <c r="F2102" s="7">
        <v>45724</v>
      </c>
      <c r="G2102" s="1">
        <v>45658</v>
      </c>
      <c r="H2102" s="14">
        <v>8487.9</v>
      </c>
      <c r="I2102">
        <v>1908382</v>
      </c>
      <c r="J2102" t="s">
        <v>86</v>
      </c>
      <c r="K2102" t="s">
        <v>96</v>
      </c>
      <c r="L2102" s="16" t="s">
        <v>10</v>
      </c>
    </row>
    <row r="2103" spans="1:12" x14ac:dyDescent="0.35">
      <c r="A2103" t="s">
        <v>8</v>
      </c>
      <c r="B2103" t="s">
        <v>21</v>
      </c>
      <c r="C2103" t="s">
        <v>93</v>
      </c>
      <c r="D2103" t="s">
        <v>10</v>
      </c>
      <c r="E2103" t="s">
        <v>10</v>
      </c>
      <c r="F2103" s="7">
        <v>45724</v>
      </c>
      <c r="G2103" s="1">
        <v>45658</v>
      </c>
      <c r="H2103" s="14">
        <v>6131.3653999999988</v>
      </c>
      <c r="I2103">
        <v>3012539</v>
      </c>
      <c r="J2103" t="s">
        <v>86</v>
      </c>
      <c r="K2103" t="s">
        <v>94</v>
      </c>
      <c r="L2103" s="16" t="s">
        <v>10</v>
      </c>
    </row>
    <row r="2104" spans="1:12" x14ac:dyDescent="0.35">
      <c r="A2104" t="s">
        <v>8</v>
      </c>
      <c r="B2104" t="s">
        <v>21</v>
      </c>
      <c r="C2104" t="s">
        <v>95</v>
      </c>
      <c r="D2104" t="s">
        <v>10</v>
      </c>
      <c r="E2104" t="s">
        <v>10</v>
      </c>
      <c r="F2104" s="7">
        <v>45724</v>
      </c>
      <c r="G2104" s="1">
        <v>45658</v>
      </c>
      <c r="H2104" s="14">
        <v>9833.7699999999986</v>
      </c>
      <c r="I2104">
        <v>1218589</v>
      </c>
      <c r="J2104" t="s">
        <v>86</v>
      </c>
      <c r="K2104" t="s">
        <v>96</v>
      </c>
      <c r="L2104" s="16" t="s">
        <v>10</v>
      </c>
    </row>
    <row r="2105" spans="1:12" x14ac:dyDescent="0.35">
      <c r="A2105" t="s">
        <v>8</v>
      </c>
      <c r="B2105" t="s">
        <v>84</v>
      </c>
      <c r="C2105" t="s">
        <v>95</v>
      </c>
      <c r="D2105" t="s">
        <v>104</v>
      </c>
      <c r="E2105" t="s">
        <v>8</v>
      </c>
      <c r="F2105" s="7">
        <v>45724</v>
      </c>
      <c r="G2105" s="1">
        <v>45658</v>
      </c>
      <c r="H2105" s="14">
        <v>0.01</v>
      </c>
      <c r="I2105">
        <v>2</v>
      </c>
      <c r="J2105" t="s">
        <v>86</v>
      </c>
      <c r="K2105" t="s">
        <v>105</v>
      </c>
      <c r="L2105" s="16" t="s">
        <v>95</v>
      </c>
    </row>
    <row r="2106" spans="1:12" x14ac:dyDescent="0.35">
      <c r="A2106" t="s">
        <v>8</v>
      </c>
      <c r="B2106" t="s">
        <v>84</v>
      </c>
      <c r="C2106" t="s">
        <v>85</v>
      </c>
      <c r="D2106" t="s">
        <v>9</v>
      </c>
      <c r="E2106" t="s">
        <v>12</v>
      </c>
      <c r="F2106" s="7">
        <v>45731</v>
      </c>
      <c r="G2106" s="1">
        <v>45658</v>
      </c>
      <c r="H2106" s="14">
        <v>7546.5899999999983</v>
      </c>
      <c r="I2106">
        <v>1370912</v>
      </c>
      <c r="J2106" t="s">
        <v>86</v>
      </c>
      <c r="K2106" t="s">
        <v>87</v>
      </c>
      <c r="L2106" s="16" t="s">
        <v>12</v>
      </c>
    </row>
    <row r="2107" spans="1:12" x14ac:dyDescent="0.35">
      <c r="A2107" t="s">
        <v>8</v>
      </c>
      <c r="B2107" t="s">
        <v>92</v>
      </c>
      <c r="C2107" t="s">
        <v>93</v>
      </c>
      <c r="D2107" t="s">
        <v>10</v>
      </c>
      <c r="E2107" t="s">
        <v>10</v>
      </c>
      <c r="F2107" s="7">
        <v>45731</v>
      </c>
      <c r="G2107" s="1">
        <v>45658</v>
      </c>
      <c r="H2107" s="14">
        <v>10098.442699999994</v>
      </c>
      <c r="I2107">
        <v>2942522</v>
      </c>
      <c r="J2107" t="s">
        <v>86</v>
      </c>
      <c r="K2107" t="s">
        <v>94</v>
      </c>
      <c r="L2107" s="16" t="s">
        <v>10</v>
      </c>
    </row>
    <row r="2108" spans="1:12" x14ac:dyDescent="0.35">
      <c r="A2108" t="s">
        <v>8</v>
      </c>
      <c r="B2108" t="s">
        <v>92</v>
      </c>
      <c r="C2108" t="s">
        <v>95</v>
      </c>
      <c r="D2108" t="s">
        <v>10</v>
      </c>
      <c r="E2108" t="s">
        <v>10</v>
      </c>
      <c r="F2108" s="7">
        <v>45731</v>
      </c>
      <c r="G2108" s="1">
        <v>45658</v>
      </c>
      <c r="H2108" s="14">
        <v>15533.49</v>
      </c>
      <c r="I2108">
        <v>3114023</v>
      </c>
      <c r="J2108" t="s">
        <v>86</v>
      </c>
      <c r="K2108" t="s">
        <v>96</v>
      </c>
      <c r="L2108" s="16" t="s">
        <v>10</v>
      </c>
    </row>
    <row r="2109" spans="1:12" x14ac:dyDescent="0.35">
      <c r="A2109" t="s">
        <v>8</v>
      </c>
      <c r="B2109" t="s">
        <v>84</v>
      </c>
      <c r="C2109" t="s">
        <v>93</v>
      </c>
      <c r="D2109" t="s">
        <v>10</v>
      </c>
      <c r="E2109" t="s">
        <v>10</v>
      </c>
      <c r="F2109" s="7">
        <v>45731</v>
      </c>
      <c r="G2109" s="1">
        <v>45658</v>
      </c>
      <c r="H2109" s="14">
        <v>1920.0640000000001</v>
      </c>
      <c r="I2109">
        <v>172241</v>
      </c>
      <c r="J2109" t="s">
        <v>86</v>
      </c>
      <c r="K2109" t="s">
        <v>94</v>
      </c>
      <c r="L2109" s="16" t="s">
        <v>10</v>
      </c>
    </row>
    <row r="2110" spans="1:12" x14ac:dyDescent="0.35">
      <c r="A2110" t="s">
        <v>8</v>
      </c>
      <c r="B2110" t="s">
        <v>84</v>
      </c>
      <c r="C2110" t="s">
        <v>95</v>
      </c>
      <c r="D2110" t="s">
        <v>10</v>
      </c>
      <c r="E2110" t="s">
        <v>10</v>
      </c>
      <c r="F2110" s="7">
        <v>45731</v>
      </c>
      <c r="G2110" s="1">
        <v>45658</v>
      </c>
      <c r="H2110" s="14">
        <v>5018.949999999998</v>
      </c>
      <c r="I2110">
        <v>316729</v>
      </c>
      <c r="J2110" t="s">
        <v>86</v>
      </c>
      <c r="K2110" t="s">
        <v>96</v>
      </c>
      <c r="L2110" s="16" t="s">
        <v>10</v>
      </c>
    </row>
    <row r="2111" spans="1:12" x14ac:dyDescent="0.35">
      <c r="A2111" t="s">
        <v>8</v>
      </c>
      <c r="B2111" t="s">
        <v>17</v>
      </c>
      <c r="C2111" t="s">
        <v>93</v>
      </c>
      <c r="D2111" t="s">
        <v>10</v>
      </c>
      <c r="E2111" t="s">
        <v>10</v>
      </c>
      <c r="F2111" s="7">
        <v>45731</v>
      </c>
      <c r="G2111" s="1">
        <v>45658</v>
      </c>
      <c r="H2111" s="14">
        <v>8602.3359000000037</v>
      </c>
      <c r="I2111">
        <v>2668676</v>
      </c>
      <c r="J2111" t="s">
        <v>86</v>
      </c>
      <c r="K2111" t="s">
        <v>94</v>
      </c>
      <c r="L2111" s="16" t="s">
        <v>10</v>
      </c>
    </row>
    <row r="2112" spans="1:12" x14ac:dyDescent="0.35">
      <c r="A2112" t="s">
        <v>8</v>
      </c>
      <c r="B2112" t="s">
        <v>17</v>
      </c>
      <c r="C2112" t="s">
        <v>95</v>
      </c>
      <c r="D2112" t="s">
        <v>10</v>
      </c>
      <c r="E2112" t="s">
        <v>10</v>
      </c>
      <c r="F2112" s="7">
        <v>45731</v>
      </c>
      <c r="G2112" s="1">
        <v>45658</v>
      </c>
      <c r="H2112" s="14">
        <v>15049.17</v>
      </c>
      <c r="I2112">
        <v>2204845</v>
      </c>
      <c r="J2112" t="s">
        <v>86</v>
      </c>
      <c r="K2112" t="s">
        <v>96</v>
      </c>
      <c r="L2112" s="16" t="s">
        <v>10</v>
      </c>
    </row>
    <row r="2113" spans="1:12" x14ac:dyDescent="0.35">
      <c r="A2113" t="s">
        <v>8</v>
      </c>
      <c r="B2113" t="s">
        <v>99</v>
      </c>
      <c r="C2113" t="s">
        <v>93</v>
      </c>
      <c r="D2113" t="s">
        <v>10</v>
      </c>
      <c r="E2113" t="s">
        <v>10</v>
      </c>
      <c r="F2113" s="7">
        <v>45731</v>
      </c>
      <c r="G2113" s="1">
        <v>45658</v>
      </c>
      <c r="H2113" s="14">
        <v>10466.7904</v>
      </c>
      <c r="I2113">
        <v>1600171</v>
      </c>
      <c r="J2113" t="s">
        <v>86</v>
      </c>
      <c r="K2113" t="s">
        <v>94</v>
      </c>
      <c r="L2113" s="16" t="s">
        <v>10</v>
      </c>
    </row>
    <row r="2114" spans="1:12" x14ac:dyDescent="0.35">
      <c r="A2114" t="s">
        <v>8</v>
      </c>
      <c r="B2114" t="s">
        <v>99</v>
      </c>
      <c r="C2114" t="s">
        <v>95</v>
      </c>
      <c r="D2114" t="s">
        <v>10</v>
      </c>
      <c r="E2114" t="s">
        <v>10</v>
      </c>
      <c r="F2114" s="7">
        <v>45731</v>
      </c>
      <c r="G2114" s="1">
        <v>45658</v>
      </c>
      <c r="H2114" s="14">
        <v>11602.000000000004</v>
      </c>
      <c r="I2114">
        <v>1919597</v>
      </c>
      <c r="J2114" t="s">
        <v>86</v>
      </c>
      <c r="K2114" t="s">
        <v>96</v>
      </c>
      <c r="L2114" s="16" t="s">
        <v>10</v>
      </c>
    </row>
    <row r="2115" spans="1:12" x14ac:dyDescent="0.35">
      <c r="A2115" t="s">
        <v>8</v>
      </c>
      <c r="B2115" t="s">
        <v>100</v>
      </c>
      <c r="C2115" t="s">
        <v>93</v>
      </c>
      <c r="D2115" t="s">
        <v>10</v>
      </c>
      <c r="E2115" t="s">
        <v>10</v>
      </c>
      <c r="F2115" s="7">
        <v>45731</v>
      </c>
      <c r="G2115" s="1">
        <v>45658</v>
      </c>
      <c r="H2115" s="14">
        <v>10508.572899999996</v>
      </c>
      <c r="I2115">
        <v>1920551</v>
      </c>
      <c r="J2115" t="s">
        <v>86</v>
      </c>
      <c r="K2115" t="s">
        <v>94</v>
      </c>
      <c r="L2115" s="16" t="s">
        <v>10</v>
      </c>
    </row>
    <row r="2116" spans="1:12" x14ac:dyDescent="0.35">
      <c r="A2116" t="s">
        <v>8</v>
      </c>
      <c r="B2116" t="s">
        <v>100</v>
      </c>
      <c r="C2116" t="s">
        <v>95</v>
      </c>
      <c r="D2116" t="s">
        <v>10</v>
      </c>
      <c r="E2116" t="s">
        <v>10</v>
      </c>
      <c r="F2116" s="7">
        <v>45731</v>
      </c>
      <c r="G2116" s="1">
        <v>45658</v>
      </c>
      <c r="H2116" s="14">
        <v>8638.9000000000015</v>
      </c>
      <c r="I2116">
        <v>1873703</v>
      </c>
      <c r="J2116" t="s">
        <v>86</v>
      </c>
      <c r="K2116" t="s">
        <v>96</v>
      </c>
      <c r="L2116" s="16" t="s">
        <v>10</v>
      </c>
    </row>
    <row r="2117" spans="1:12" x14ac:dyDescent="0.35">
      <c r="A2117" t="s">
        <v>8</v>
      </c>
      <c r="B2117" t="s">
        <v>21</v>
      </c>
      <c r="C2117" t="s">
        <v>93</v>
      </c>
      <c r="D2117" t="s">
        <v>10</v>
      </c>
      <c r="E2117" t="s">
        <v>10</v>
      </c>
      <c r="F2117" s="7">
        <v>45731</v>
      </c>
      <c r="G2117" s="1">
        <v>45658</v>
      </c>
      <c r="H2117" s="14">
        <v>6477.2156999999988</v>
      </c>
      <c r="I2117">
        <v>2651959</v>
      </c>
      <c r="J2117" t="s">
        <v>86</v>
      </c>
      <c r="K2117" t="s">
        <v>94</v>
      </c>
      <c r="L2117" s="16" t="s">
        <v>10</v>
      </c>
    </row>
    <row r="2118" spans="1:12" x14ac:dyDescent="0.35">
      <c r="A2118" t="s">
        <v>8</v>
      </c>
      <c r="B2118" t="s">
        <v>21</v>
      </c>
      <c r="C2118" t="s">
        <v>95</v>
      </c>
      <c r="D2118" t="s">
        <v>10</v>
      </c>
      <c r="E2118" t="s">
        <v>10</v>
      </c>
      <c r="F2118" s="7">
        <v>45731</v>
      </c>
      <c r="G2118" s="1">
        <v>45658</v>
      </c>
      <c r="H2118" s="14">
        <v>10403.389999999996</v>
      </c>
      <c r="I2118">
        <v>1315053</v>
      </c>
      <c r="J2118" t="s">
        <v>86</v>
      </c>
      <c r="K2118" t="s">
        <v>96</v>
      </c>
      <c r="L2118" s="16" t="s">
        <v>10</v>
      </c>
    </row>
    <row r="2119" spans="1:12" x14ac:dyDescent="0.35">
      <c r="A2119" t="s">
        <v>8</v>
      </c>
      <c r="B2119" t="s">
        <v>84</v>
      </c>
      <c r="C2119" t="s">
        <v>85</v>
      </c>
      <c r="D2119" t="s">
        <v>9</v>
      </c>
      <c r="E2119" t="s">
        <v>12</v>
      </c>
      <c r="F2119" s="7">
        <v>45738</v>
      </c>
      <c r="G2119" s="1">
        <v>45658</v>
      </c>
      <c r="H2119" s="14">
        <v>18925.250002999997</v>
      </c>
      <c r="I2119">
        <v>3502057</v>
      </c>
      <c r="J2119" t="s">
        <v>86</v>
      </c>
      <c r="K2119" t="s">
        <v>87</v>
      </c>
      <c r="L2119" s="16" t="s">
        <v>12</v>
      </c>
    </row>
    <row r="2120" spans="1:12" x14ac:dyDescent="0.35">
      <c r="A2120" t="s">
        <v>8</v>
      </c>
      <c r="B2120" t="s">
        <v>84</v>
      </c>
      <c r="C2120" t="s">
        <v>85</v>
      </c>
      <c r="D2120" t="s">
        <v>14</v>
      </c>
      <c r="E2120" t="s">
        <v>12</v>
      </c>
      <c r="F2120" s="7">
        <v>45738</v>
      </c>
      <c r="G2120" s="1">
        <v>45658</v>
      </c>
      <c r="H2120" s="14">
        <v>11760.94</v>
      </c>
      <c r="I2120">
        <v>2857659</v>
      </c>
      <c r="J2120" t="s">
        <v>86</v>
      </c>
      <c r="K2120" t="s">
        <v>91</v>
      </c>
      <c r="L2120" s="16" t="s">
        <v>12</v>
      </c>
    </row>
    <row r="2121" spans="1:12" x14ac:dyDescent="0.35">
      <c r="A2121" t="s">
        <v>8</v>
      </c>
      <c r="B2121" t="s">
        <v>92</v>
      </c>
      <c r="C2121" t="s">
        <v>93</v>
      </c>
      <c r="D2121" t="s">
        <v>10</v>
      </c>
      <c r="E2121" t="s">
        <v>10</v>
      </c>
      <c r="F2121" s="7">
        <v>45738</v>
      </c>
      <c r="G2121" s="1">
        <v>45658</v>
      </c>
      <c r="H2121" s="14">
        <v>11773.835599999999</v>
      </c>
      <c r="I2121">
        <v>2307420</v>
      </c>
      <c r="J2121" t="s">
        <v>86</v>
      </c>
      <c r="K2121" t="s">
        <v>94</v>
      </c>
      <c r="L2121" s="16" t="s">
        <v>10</v>
      </c>
    </row>
    <row r="2122" spans="1:12" x14ac:dyDescent="0.35">
      <c r="A2122" t="s">
        <v>8</v>
      </c>
      <c r="B2122" t="s">
        <v>92</v>
      </c>
      <c r="C2122" t="s">
        <v>95</v>
      </c>
      <c r="D2122" t="s">
        <v>10</v>
      </c>
      <c r="E2122" t="s">
        <v>10</v>
      </c>
      <c r="F2122" s="7">
        <v>45738</v>
      </c>
      <c r="G2122" s="1">
        <v>45658</v>
      </c>
      <c r="H2122" s="14">
        <v>12907.130000000003</v>
      </c>
      <c r="I2122">
        <v>2676143</v>
      </c>
      <c r="J2122" t="s">
        <v>86</v>
      </c>
      <c r="K2122" t="s">
        <v>96</v>
      </c>
      <c r="L2122" s="16" t="s">
        <v>10</v>
      </c>
    </row>
    <row r="2123" spans="1:12" x14ac:dyDescent="0.35">
      <c r="A2123" t="s">
        <v>8</v>
      </c>
      <c r="B2123" t="s">
        <v>84</v>
      </c>
      <c r="C2123" t="s">
        <v>93</v>
      </c>
      <c r="D2123" t="s">
        <v>10</v>
      </c>
      <c r="E2123" t="s">
        <v>10</v>
      </c>
      <c r="F2123" s="7">
        <v>45738</v>
      </c>
      <c r="G2123" s="1">
        <v>45658</v>
      </c>
      <c r="H2123" s="14">
        <v>1920.2330999999999</v>
      </c>
      <c r="I2123">
        <v>158637</v>
      </c>
      <c r="J2123" t="s">
        <v>86</v>
      </c>
      <c r="K2123" t="s">
        <v>94</v>
      </c>
      <c r="L2123" s="16" t="s">
        <v>10</v>
      </c>
    </row>
    <row r="2124" spans="1:12" x14ac:dyDescent="0.35">
      <c r="A2124" t="s">
        <v>8</v>
      </c>
      <c r="B2124" t="s">
        <v>84</v>
      </c>
      <c r="C2124" t="s">
        <v>95</v>
      </c>
      <c r="D2124" t="s">
        <v>10</v>
      </c>
      <c r="E2124" t="s">
        <v>10</v>
      </c>
      <c r="F2124" s="7">
        <v>45738</v>
      </c>
      <c r="G2124" s="1">
        <v>45658</v>
      </c>
      <c r="H2124" s="14">
        <v>4964.97</v>
      </c>
      <c r="I2124">
        <v>344319</v>
      </c>
      <c r="J2124" t="s">
        <v>86</v>
      </c>
      <c r="K2124" t="s">
        <v>96</v>
      </c>
      <c r="L2124" s="16" t="s">
        <v>10</v>
      </c>
    </row>
    <row r="2125" spans="1:12" x14ac:dyDescent="0.35">
      <c r="A2125" t="s">
        <v>8</v>
      </c>
      <c r="B2125" t="s">
        <v>17</v>
      </c>
      <c r="C2125" t="s">
        <v>93</v>
      </c>
      <c r="D2125" t="s">
        <v>10</v>
      </c>
      <c r="E2125" t="s">
        <v>10</v>
      </c>
      <c r="F2125" s="7">
        <v>45738</v>
      </c>
      <c r="G2125" s="1">
        <v>45658</v>
      </c>
      <c r="H2125" s="14">
        <v>8361.9835999999996</v>
      </c>
      <c r="I2125">
        <v>1941711</v>
      </c>
      <c r="J2125" t="s">
        <v>86</v>
      </c>
      <c r="K2125" t="s">
        <v>94</v>
      </c>
      <c r="L2125" s="16" t="s">
        <v>10</v>
      </c>
    </row>
    <row r="2126" spans="1:12" x14ac:dyDescent="0.35">
      <c r="A2126" t="s">
        <v>8</v>
      </c>
      <c r="B2126" t="s">
        <v>17</v>
      </c>
      <c r="C2126" t="s">
        <v>95</v>
      </c>
      <c r="D2126" t="s">
        <v>10</v>
      </c>
      <c r="E2126" t="s">
        <v>10</v>
      </c>
      <c r="F2126" s="7">
        <v>45738</v>
      </c>
      <c r="G2126" s="1">
        <v>45658</v>
      </c>
      <c r="H2126" s="14">
        <v>12368.700000000004</v>
      </c>
      <c r="I2126">
        <v>1827911</v>
      </c>
      <c r="J2126" t="s">
        <v>86</v>
      </c>
      <c r="K2126" t="s">
        <v>96</v>
      </c>
      <c r="L2126" s="16" t="s">
        <v>10</v>
      </c>
    </row>
    <row r="2127" spans="1:12" x14ac:dyDescent="0.35">
      <c r="A2127" t="s">
        <v>8</v>
      </c>
      <c r="B2127" t="s">
        <v>99</v>
      </c>
      <c r="C2127" t="s">
        <v>93</v>
      </c>
      <c r="D2127" t="s">
        <v>10</v>
      </c>
      <c r="E2127" t="s">
        <v>10</v>
      </c>
      <c r="F2127" s="7">
        <v>45738</v>
      </c>
      <c r="G2127" s="1">
        <v>45658</v>
      </c>
      <c r="H2127" s="14">
        <v>9543.1287999999986</v>
      </c>
      <c r="I2127">
        <v>1181010</v>
      </c>
      <c r="J2127" t="s">
        <v>86</v>
      </c>
      <c r="K2127" t="s">
        <v>94</v>
      </c>
      <c r="L2127" s="16" t="s">
        <v>10</v>
      </c>
    </row>
    <row r="2128" spans="1:12" x14ac:dyDescent="0.35">
      <c r="A2128" t="s">
        <v>8</v>
      </c>
      <c r="B2128" t="s">
        <v>99</v>
      </c>
      <c r="C2128" t="s">
        <v>95</v>
      </c>
      <c r="D2128" t="s">
        <v>10</v>
      </c>
      <c r="E2128" t="s">
        <v>10</v>
      </c>
      <c r="F2128" s="7">
        <v>45738</v>
      </c>
      <c r="G2128" s="1">
        <v>45658</v>
      </c>
      <c r="H2128" s="14">
        <v>10035.230000000003</v>
      </c>
      <c r="I2128">
        <v>1419487</v>
      </c>
      <c r="J2128" t="s">
        <v>86</v>
      </c>
      <c r="K2128" t="s">
        <v>96</v>
      </c>
      <c r="L2128" s="16" t="s">
        <v>10</v>
      </c>
    </row>
    <row r="2129" spans="1:12" x14ac:dyDescent="0.35">
      <c r="A2129" t="s">
        <v>8</v>
      </c>
      <c r="B2129" t="s">
        <v>100</v>
      </c>
      <c r="C2129" t="s">
        <v>93</v>
      </c>
      <c r="D2129" t="s">
        <v>10</v>
      </c>
      <c r="E2129" t="s">
        <v>10</v>
      </c>
      <c r="F2129" s="7">
        <v>45738</v>
      </c>
      <c r="G2129" s="1">
        <v>45658</v>
      </c>
      <c r="H2129" s="14">
        <v>10253.666600000006</v>
      </c>
      <c r="I2129">
        <v>1799015</v>
      </c>
      <c r="J2129" t="s">
        <v>86</v>
      </c>
      <c r="K2129" t="s">
        <v>94</v>
      </c>
      <c r="L2129" s="16" t="s">
        <v>10</v>
      </c>
    </row>
    <row r="2130" spans="1:12" x14ac:dyDescent="0.35">
      <c r="A2130" t="s">
        <v>8</v>
      </c>
      <c r="B2130" t="s">
        <v>100</v>
      </c>
      <c r="C2130" t="s">
        <v>95</v>
      </c>
      <c r="D2130" t="s">
        <v>10</v>
      </c>
      <c r="E2130" t="s">
        <v>10</v>
      </c>
      <c r="F2130" s="7">
        <v>45738</v>
      </c>
      <c r="G2130" s="1">
        <v>45658</v>
      </c>
      <c r="H2130" s="14">
        <v>8810.0499999999993</v>
      </c>
      <c r="I2130">
        <v>2017348</v>
      </c>
      <c r="J2130" t="s">
        <v>86</v>
      </c>
      <c r="K2130" t="s">
        <v>96</v>
      </c>
      <c r="L2130" s="16" t="s">
        <v>10</v>
      </c>
    </row>
    <row r="2131" spans="1:12" x14ac:dyDescent="0.35">
      <c r="A2131" t="s">
        <v>8</v>
      </c>
      <c r="B2131" t="s">
        <v>21</v>
      </c>
      <c r="C2131" t="s">
        <v>93</v>
      </c>
      <c r="D2131" t="s">
        <v>10</v>
      </c>
      <c r="E2131" t="s">
        <v>10</v>
      </c>
      <c r="F2131" s="7">
        <v>45738</v>
      </c>
      <c r="G2131" s="1">
        <v>45658</v>
      </c>
      <c r="H2131" s="14">
        <v>6327.8667999999989</v>
      </c>
      <c r="I2131">
        <v>2321712</v>
      </c>
      <c r="J2131" t="s">
        <v>86</v>
      </c>
      <c r="K2131" t="s">
        <v>94</v>
      </c>
      <c r="L2131" s="16" t="s">
        <v>10</v>
      </c>
    </row>
    <row r="2132" spans="1:12" x14ac:dyDescent="0.35">
      <c r="A2132" t="s">
        <v>8</v>
      </c>
      <c r="B2132" t="s">
        <v>21</v>
      </c>
      <c r="C2132" t="s">
        <v>95</v>
      </c>
      <c r="D2132" t="s">
        <v>10</v>
      </c>
      <c r="E2132" t="s">
        <v>10</v>
      </c>
      <c r="F2132" s="7">
        <v>45738</v>
      </c>
      <c r="G2132" s="1">
        <v>45658</v>
      </c>
      <c r="H2132" s="14">
        <v>9522.8599999999988</v>
      </c>
      <c r="I2132">
        <v>1533291</v>
      </c>
      <c r="J2132" t="s">
        <v>86</v>
      </c>
      <c r="K2132" t="s">
        <v>96</v>
      </c>
      <c r="L2132" s="16" t="s">
        <v>10</v>
      </c>
    </row>
    <row r="2133" spans="1:12" x14ac:dyDescent="0.35">
      <c r="A2133" t="s">
        <v>8</v>
      </c>
      <c r="B2133" t="s">
        <v>84</v>
      </c>
      <c r="C2133" t="s">
        <v>85</v>
      </c>
      <c r="D2133" t="s">
        <v>9</v>
      </c>
      <c r="E2133" t="s">
        <v>12</v>
      </c>
      <c r="F2133" s="7">
        <v>45745</v>
      </c>
      <c r="G2133" s="1">
        <v>45658</v>
      </c>
      <c r="H2133" s="14">
        <v>18260.460003</v>
      </c>
      <c r="I2133">
        <v>2690512</v>
      </c>
      <c r="J2133" t="s">
        <v>86</v>
      </c>
      <c r="K2133" t="s">
        <v>87</v>
      </c>
      <c r="L2133" s="16" t="s">
        <v>12</v>
      </c>
    </row>
    <row r="2134" spans="1:12" x14ac:dyDescent="0.35">
      <c r="A2134" t="s">
        <v>8</v>
      </c>
      <c r="B2134" t="s">
        <v>84</v>
      </c>
      <c r="C2134" t="s">
        <v>85</v>
      </c>
      <c r="D2134" t="s">
        <v>14</v>
      </c>
      <c r="E2134" t="s">
        <v>12</v>
      </c>
      <c r="F2134" s="7">
        <v>45745</v>
      </c>
      <c r="G2134" s="1">
        <v>45658</v>
      </c>
      <c r="H2134" s="14">
        <v>14221.56</v>
      </c>
      <c r="I2134">
        <v>3488612</v>
      </c>
      <c r="J2134" t="s">
        <v>86</v>
      </c>
      <c r="K2134" t="s">
        <v>91</v>
      </c>
      <c r="L2134" s="16" t="s">
        <v>12</v>
      </c>
    </row>
    <row r="2135" spans="1:12" x14ac:dyDescent="0.35">
      <c r="A2135" t="s">
        <v>8</v>
      </c>
      <c r="B2135" t="s">
        <v>92</v>
      </c>
      <c r="C2135" t="s">
        <v>93</v>
      </c>
      <c r="D2135" t="s">
        <v>10</v>
      </c>
      <c r="E2135" t="s">
        <v>10</v>
      </c>
      <c r="F2135" s="7">
        <v>45745</v>
      </c>
      <c r="G2135" s="1">
        <v>45658</v>
      </c>
      <c r="H2135" s="14">
        <v>11550.473700000006</v>
      </c>
      <c r="I2135">
        <v>2067510</v>
      </c>
      <c r="J2135" t="s">
        <v>86</v>
      </c>
      <c r="K2135" t="s">
        <v>94</v>
      </c>
      <c r="L2135" s="16" t="s">
        <v>10</v>
      </c>
    </row>
    <row r="2136" spans="1:12" x14ac:dyDescent="0.35">
      <c r="A2136" t="s">
        <v>8</v>
      </c>
      <c r="B2136" t="s">
        <v>92</v>
      </c>
      <c r="C2136" t="s">
        <v>95</v>
      </c>
      <c r="D2136" t="s">
        <v>10</v>
      </c>
      <c r="E2136" t="s">
        <v>10</v>
      </c>
      <c r="F2136" s="7">
        <v>45745</v>
      </c>
      <c r="G2136" s="1">
        <v>45658</v>
      </c>
      <c r="H2136" s="14">
        <v>8336.0499999999993</v>
      </c>
      <c r="I2136">
        <v>1513575</v>
      </c>
      <c r="J2136" t="s">
        <v>86</v>
      </c>
      <c r="K2136" t="s">
        <v>96</v>
      </c>
      <c r="L2136" s="16" t="s">
        <v>10</v>
      </c>
    </row>
    <row r="2137" spans="1:12" x14ac:dyDescent="0.35">
      <c r="A2137" t="s">
        <v>8</v>
      </c>
      <c r="B2137" t="s">
        <v>84</v>
      </c>
      <c r="C2137" t="s">
        <v>93</v>
      </c>
      <c r="D2137" t="s">
        <v>10</v>
      </c>
      <c r="E2137" t="s">
        <v>10</v>
      </c>
      <c r="F2137" s="7">
        <v>45745</v>
      </c>
      <c r="G2137" s="1">
        <v>45658</v>
      </c>
      <c r="H2137" s="14">
        <v>1932.2510999999997</v>
      </c>
      <c r="I2137">
        <v>141295</v>
      </c>
      <c r="J2137" t="s">
        <v>86</v>
      </c>
      <c r="K2137" t="s">
        <v>94</v>
      </c>
      <c r="L2137" s="16" t="s">
        <v>10</v>
      </c>
    </row>
    <row r="2138" spans="1:12" x14ac:dyDescent="0.35">
      <c r="A2138" t="s">
        <v>8</v>
      </c>
      <c r="B2138" t="s">
        <v>84</v>
      </c>
      <c r="C2138" t="s">
        <v>95</v>
      </c>
      <c r="D2138" t="s">
        <v>10</v>
      </c>
      <c r="E2138" t="s">
        <v>10</v>
      </c>
      <c r="F2138" s="7">
        <v>45745</v>
      </c>
      <c r="G2138" s="1">
        <v>45658</v>
      </c>
      <c r="H2138" s="14">
        <v>3387.6600000000003</v>
      </c>
      <c r="I2138">
        <v>290217</v>
      </c>
      <c r="J2138" t="s">
        <v>86</v>
      </c>
      <c r="K2138" t="s">
        <v>96</v>
      </c>
      <c r="L2138" s="16" t="s">
        <v>10</v>
      </c>
    </row>
    <row r="2139" spans="1:12" x14ac:dyDescent="0.35">
      <c r="A2139" t="s">
        <v>8</v>
      </c>
      <c r="B2139" t="s">
        <v>17</v>
      </c>
      <c r="C2139" t="s">
        <v>93</v>
      </c>
      <c r="D2139" t="s">
        <v>10</v>
      </c>
      <c r="E2139" t="s">
        <v>10</v>
      </c>
      <c r="F2139" s="7">
        <v>45745</v>
      </c>
      <c r="G2139" s="1">
        <v>45658</v>
      </c>
      <c r="H2139" s="14">
        <v>8353.868400000003</v>
      </c>
      <c r="I2139">
        <v>2061773</v>
      </c>
      <c r="J2139" t="s">
        <v>86</v>
      </c>
      <c r="K2139" t="s">
        <v>94</v>
      </c>
      <c r="L2139" s="16" t="s">
        <v>10</v>
      </c>
    </row>
    <row r="2140" spans="1:12" x14ac:dyDescent="0.35">
      <c r="A2140" t="s">
        <v>8</v>
      </c>
      <c r="B2140" t="s">
        <v>17</v>
      </c>
      <c r="C2140" t="s">
        <v>95</v>
      </c>
      <c r="D2140" t="s">
        <v>10</v>
      </c>
      <c r="E2140" t="s">
        <v>10</v>
      </c>
      <c r="F2140" s="7">
        <v>45745</v>
      </c>
      <c r="G2140" s="1">
        <v>45658</v>
      </c>
      <c r="H2140" s="14">
        <v>7813.1600000000017</v>
      </c>
      <c r="I2140">
        <v>963845</v>
      </c>
      <c r="J2140" t="s">
        <v>86</v>
      </c>
      <c r="K2140" t="s">
        <v>96</v>
      </c>
      <c r="L2140" s="16" t="s">
        <v>10</v>
      </c>
    </row>
    <row r="2141" spans="1:12" x14ac:dyDescent="0.35">
      <c r="A2141" t="s">
        <v>8</v>
      </c>
      <c r="B2141" t="s">
        <v>99</v>
      </c>
      <c r="C2141" t="s">
        <v>93</v>
      </c>
      <c r="D2141" t="s">
        <v>10</v>
      </c>
      <c r="E2141" t="s">
        <v>10</v>
      </c>
      <c r="F2141" s="7">
        <v>45745</v>
      </c>
      <c r="G2141" s="1">
        <v>45658</v>
      </c>
      <c r="H2141" s="14">
        <v>9954.8606</v>
      </c>
      <c r="I2141">
        <v>1327317</v>
      </c>
      <c r="J2141" t="s">
        <v>86</v>
      </c>
      <c r="K2141" t="s">
        <v>94</v>
      </c>
      <c r="L2141" s="16" t="s">
        <v>10</v>
      </c>
    </row>
    <row r="2142" spans="1:12" x14ac:dyDescent="0.35">
      <c r="A2142" t="s">
        <v>8</v>
      </c>
      <c r="B2142" t="s">
        <v>99</v>
      </c>
      <c r="C2142" t="s">
        <v>95</v>
      </c>
      <c r="D2142" t="s">
        <v>10</v>
      </c>
      <c r="E2142" t="s">
        <v>10</v>
      </c>
      <c r="F2142" s="7">
        <v>45745</v>
      </c>
      <c r="G2142" s="1">
        <v>45658</v>
      </c>
      <c r="H2142" s="14">
        <v>4012.2799999999988</v>
      </c>
      <c r="I2142">
        <v>1142963</v>
      </c>
      <c r="J2142" t="s">
        <v>86</v>
      </c>
      <c r="K2142" t="s">
        <v>96</v>
      </c>
      <c r="L2142" s="16" t="s">
        <v>10</v>
      </c>
    </row>
    <row r="2143" spans="1:12" x14ac:dyDescent="0.35">
      <c r="A2143" t="s">
        <v>8</v>
      </c>
      <c r="B2143" t="s">
        <v>100</v>
      </c>
      <c r="C2143" t="s">
        <v>93</v>
      </c>
      <c r="D2143" t="s">
        <v>10</v>
      </c>
      <c r="E2143" t="s">
        <v>10</v>
      </c>
      <c r="F2143" s="7">
        <v>45745</v>
      </c>
      <c r="G2143" s="1">
        <v>45658</v>
      </c>
      <c r="H2143" s="14">
        <v>10192.703600000003</v>
      </c>
      <c r="I2143">
        <v>1895955</v>
      </c>
      <c r="J2143" t="s">
        <v>86</v>
      </c>
      <c r="K2143" t="s">
        <v>94</v>
      </c>
      <c r="L2143" s="16" t="s">
        <v>10</v>
      </c>
    </row>
    <row r="2144" spans="1:12" x14ac:dyDescent="0.35">
      <c r="A2144" t="s">
        <v>8</v>
      </c>
      <c r="B2144" t="s">
        <v>100</v>
      </c>
      <c r="C2144" t="s">
        <v>95</v>
      </c>
      <c r="D2144" t="s">
        <v>10</v>
      </c>
      <c r="E2144" t="s">
        <v>10</v>
      </c>
      <c r="F2144" s="7">
        <v>45745</v>
      </c>
      <c r="G2144" s="1">
        <v>45658</v>
      </c>
      <c r="H2144" s="14">
        <v>8141.2699999999995</v>
      </c>
      <c r="I2144">
        <v>2206850</v>
      </c>
      <c r="J2144" t="s">
        <v>86</v>
      </c>
      <c r="K2144" t="s">
        <v>96</v>
      </c>
      <c r="L2144" s="16" t="s">
        <v>10</v>
      </c>
    </row>
    <row r="2145" spans="1:12" x14ac:dyDescent="0.35">
      <c r="A2145" t="s">
        <v>8</v>
      </c>
      <c r="B2145" t="s">
        <v>21</v>
      </c>
      <c r="C2145" t="s">
        <v>93</v>
      </c>
      <c r="D2145" t="s">
        <v>10</v>
      </c>
      <c r="E2145" t="s">
        <v>10</v>
      </c>
      <c r="F2145" s="7">
        <v>45745</v>
      </c>
      <c r="G2145" s="1">
        <v>45658</v>
      </c>
      <c r="H2145" s="14">
        <v>6269.0170000000007</v>
      </c>
      <c r="I2145">
        <v>2232030</v>
      </c>
      <c r="J2145" t="s">
        <v>86</v>
      </c>
      <c r="K2145" t="s">
        <v>94</v>
      </c>
      <c r="L2145" s="16" t="s">
        <v>10</v>
      </c>
    </row>
    <row r="2146" spans="1:12" x14ac:dyDescent="0.35">
      <c r="A2146" t="s">
        <v>8</v>
      </c>
      <c r="B2146" t="s">
        <v>21</v>
      </c>
      <c r="C2146" t="s">
        <v>95</v>
      </c>
      <c r="D2146" t="s">
        <v>10</v>
      </c>
      <c r="E2146" t="s">
        <v>10</v>
      </c>
      <c r="F2146" s="7">
        <v>45745</v>
      </c>
      <c r="G2146" s="1">
        <v>45658</v>
      </c>
      <c r="H2146" s="14">
        <v>7047.7100000000028</v>
      </c>
      <c r="I2146">
        <v>1220603</v>
      </c>
      <c r="J2146" t="s">
        <v>86</v>
      </c>
      <c r="K2146" t="s">
        <v>96</v>
      </c>
      <c r="L2146" s="16" t="s">
        <v>10</v>
      </c>
    </row>
    <row r="2147" spans="1:12" x14ac:dyDescent="0.35">
      <c r="A2147" t="s">
        <v>8</v>
      </c>
      <c r="B2147" t="s">
        <v>84</v>
      </c>
      <c r="C2147" t="s">
        <v>85</v>
      </c>
      <c r="D2147" t="s">
        <v>9</v>
      </c>
      <c r="E2147" t="s">
        <v>12</v>
      </c>
      <c r="F2147" s="7">
        <v>45752</v>
      </c>
      <c r="G2147" s="1">
        <v>45658</v>
      </c>
      <c r="H2147" s="14">
        <v>3644.5400000000004</v>
      </c>
      <c r="I2147">
        <v>226723</v>
      </c>
      <c r="J2147" t="s">
        <v>86</v>
      </c>
      <c r="K2147" t="s">
        <v>87</v>
      </c>
      <c r="L2147" s="16" t="s">
        <v>12</v>
      </c>
    </row>
    <row r="2148" spans="1:12" x14ac:dyDescent="0.35">
      <c r="A2148" t="s">
        <v>8</v>
      </c>
      <c r="B2148" t="s">
        <v>84</v>
      </c>
      <c r="C2148" t="s">
        <v>85</v>
      </c>
      <c r="D2148" t="s">
        <v>14</v>
      </c>
      <c r="E2148" t="s">
        <v>12</v>
      </c>
      <c r="F2148" s="7">
        <v>45752</v>
      </c>
      <c r="G2148" s="1">
        <v>45658</v>
      </c>
      <c r="H2148" s="14">
        <v>2789.37</v>
      </c>
      <c r="I2148">
        <v>747517</v>
      </c>
      <c r="J2148" t="s">
        <v>86</v>
      </c>
      <c r="K2148" t="s">
        <v>91</v>
      </c>
      <c r="L2148" s="16" t="s">
        <v>12</v>
      </c>
    </row>
    <row r="2149" spans="1:12" x14ac:dyDescent="0.35">
      <c r="A2149" t="s">
        <v>8</v>
      </c>
      <c r="B2149" t="s">
        <v>92</v>
      </c>
      <c r="C2149" t="s">
        <v>85</v>
      </c>
      <c r="D2149" t="s">
        <v>9</v>
      </c>
      <c r="E2149" t="s">
        <v>10</v>
      </c>
      <c r="F2149" s="7">
        <v>45752</v>
      </c>
      <c r="G2149" s="1">
        <v>45658</v>
      </c>
      <c r="H2149" s="14">
        <v>3726.9300020000001</v>
      </c>
      <c r="I2149">
        <v>232186</v>
      </c>
      <c r="J2149" t="s">
        <v>86</v>
      </c>
      <c r="K2149" t="s">
        <v>87</v>
      </c>
      <c r="L2149" s="16" t="s">
        <v>9</v>
      </c>
    </row>
    <row r="2150" spans="1:12" x14ac:dyDescent="0.35">
      <c r="A2150" t="s">
        <v>8</v>
      </c>
      <c r="B2150" t="s">
        <v>92</v>
      </c>
      <c r="C2150" t="s">
        <v>85</v>
      </c>
      <c r="D2150" t="s">
        <v>9</v>
      </c>
      <c r="E2150" t="s">
        <v>12</v>
      </c>
      <c r="F2150" s="7">
        <v>45752</v>
      </c>
      <c r="G2150" s="1">
        <v>45658</v>
      </c>
      <c r="H2150" s="14">
        <v>26332.670003000007</v>
      </c>
      <c r="I2150">
        <v>3413285</v>
      </c>
      <c r="J2150" t="s">
        <v>86</v>
      </c>
      <c r="K2150" t="s">
        <v>87</v>
      </c>
      <c r="L2150" s="16" t="s">
        <v>12</v>
      </c>
    </row>
    <row r="2151" spans="1:12" x14ac:dyDescent="0.35">
      <c r="A2151" t="s">
        <v>8</v>
      </c>
      <c r="B2151" t="s">
        <v>92</v>
      </c>
      <c r="C2151" t="s">
        <v>85</v>
      </c>
      <c r="D2151" t="s">
        <v>14</v>
      </c>
      <c r="E2151" t="s">
        <v>10</v>
      </c>
      <c r="F2151" s="7">
        <v>45752</v>
      </c>
      <c r="G2151" s="1">
        <v>45658</v>
      </c>
      <c r="H2151" s="14">
        <v>16008.249999999996</v>
      </c>
      <c r="I2151">
        <v>3832689</v>
      </c>
      <c r="J2151" t="s">
        <v>86</v>
      </c>
      <c r="K2151" t="s">
        <v>91</v>
      </c>
      <c r="L2151" s="16" t="s">
        <v>14</v>
      </c>
    </row>
    <row r="2152" spans="1:12" x14ac:dyDescent="0.35">
      <c r="A2152" t="s">
        <v>8</v>
      </c>
      <c r="B2152" t="s">
        <v>92</v>
      </c>
      <c r="C2152" t="s">
        <v>85</v>
      </c>
      <c r="D2152" t="s">
        <v>14</v>
      </c>
      <c r="E2152" t="s">
        <v>12</v>
      </c>
      <c r="F2152" s="7">
        <v>45752</v>
      </c>
      <c r="G2152" s="1">
        <v>45658</v>
      </c>
      <c r="H2152" s="14">
        <v>26816.47</v>
      </c>
      <c r="I2152">
        <v>6081499</v>
      </c>
      <c r="J2152" t="s">
        <v>86</v>
      </c>
      <c r="K2152" t="s">
        <v>91</v>
      </c>
      <c r="L2152" s="16" t="s">
        <v>12</v>
      </c>
    </row>
    <row r="2153" spans="1:12" x14ac:dyDescent="0.35">
      <c r="A2153" t="s">
        <v>8</v>
      </c>
      <c r="B2153" t="s">
        <v>92</v>
      </c>
      <c r="C2153" t="s">
        <v>93</v>
      </c>
      <c r="D2153" t="s">
        <v>10</v>
      </c>
      <c r="E2153" t="s">
        <v>10</v>
      </c>
      <c r="F2153" s="7">
        <v>45752</v>
      </c>
      <c r="G2153" s="1">
        <v>45658</v>
      </c>
      <c r="H2153" s="14">
        <v>8426.232299999996</v>
      </c>
      <c r="I2153">
        <v>1891431</v>
      </c>
      <c r="J2153" t="s">
        <v>86</v>
      </c>
      <c r="K2153" t="s">
        <v>94</v>
      </c>
      <c r="L2153" s="16" t="s">
        <v>10</v>
      </c>
    </row>
    <row r="2154" spans="1:12" x14ac:dyDescent="0.35">
      <c r="A2154" t="s">
        <v>8</v>
      </c>
      <c r="B2154" t="s">
        <v>92</v>
      </c>
      <c r="C2154" t="s">
        <v>95</v>
      </c>
      <c r="D2154" t="s">
        <v>10</v>
      </c>
      <c r="E2154" t="s">
        <v>10</v>
      </c>
      <c r="F2154" s="7">
        <v>45752</v>
      </c>
      <c r="G2154" s="1">
        <v>45658</v>
      </c>
      <c r="H2154" s="14">
        <v>7284.9599999999973</v>
      </c>
      <c r="I2154">
        <v>1533959</v>
      </c>
      <c r="J2154" t="s">
        <v>86</v>
      </c>
      <c r="K2154" t="s">
        <v>96</v>
      </c>
      <c r="L2154" s="16" t="s">
        <v>10</v>
      </c>
    </row>
    <row r="2155" spans="1:12" x14ac:dyDescent="0.35">
      <c r="A2155" t="s">
        <v>8</v>
      </c>
      <c r="B2155" t="s">
        <v>84</v>
      </c>
      <c r="C2155" t="s">
        <v>93</v>
      </c>
      <c r="D2155" t="s">
        <v>10</v>
      </c>
      <c r="E2155" t="s">
        <v>10</v>
      </c>
      <c r="F2155" s="7">
        <v>45752</v>
      </c>
      <c r="G2155" s="1">
        <v>45658</v>
      </c>
      <c r="H2155" s="14">
        <v>1631.0289</v>
      </c>
      <c r="I2155">
        <v>160879</v>
      </c>
      <c r="J2155" t="s">
        <v>86</v>
      </c>
      <c r="K2155" t="s">
        <v>94</v>
      </c>
      <c r="L2155" s="16" t="s">
        <v>10</v>
      </c>
    </row>
    <row r="2156" spans="1:12" x14ac:dyDescent="0.35">
      <c r="A2156" t="s">
        <v>8</v>
      </c>
      <c r="B2156" t="s">
        <v>84</v>
      </c>
      <c r="C2156" t="s">
        <v>95</v>
      </c>
      <c r="D2156" t="s">
        <v>10</v>
      </c>
      <c r="E2156" t="s">
        <v>10</v>
      </c>
      <c r="F2156" s="7">
        <v>45752</v>
      </c>
      <c r="G2156" s="1">
        <v>45658</v>
      </c>
      <c r="H2156" s="14">
        <v>3302.6099999999988</v>
      </c>
      <c r="I2156">
        <v>197669</v>
      </c>
      <c r="J2156" t="s">
        <v>86</v>
      </c>
      <c r="K2156" t="s">
        <v>96</v>
      </c>
      <c r="L2156" s="16" t="s">
        <v>10</v>
      </c>
    </row>
    <row r="2157" spans="1:12" x14ac:dyDescent="0.35">
      <c r="A2157" t="s">
        <v>8</v>
      </c>
      <c r="B2157" t="s">
        <v>17</v>
      </c>
      <c r="C2157" t="s">
        <v>93</v>
      </c>
      <c r="D2157" t="s">
        <v>10</v>
      </c>
      <c r="E2157" t="s">
        <v>10</v>
      </c>
      <c r="F2157" s="7">
        <v>45752</v>
      </c>
      <c r="G2157" s="1">
        <v>45658</v>
      </c>
      <c r="H2157" s="14">
        <v>8246.2480999999989</v>
      </c>
      <c r="I2157">
        <v>2078375</v>
      </c>
      <c r="J2157" t="s">
        <v>86</v>
      </c>
      <c r="K2157" t="s">
        <v>94</v>
      </c>
      <c r="L2157" s="16" t="s">
        <v>10</v>
      </c>
    </row>
    <row r="2158" spans="1:12" x14ac:dyDescent="0.35">
      <c r="A2158" t="s">
        <v>8</v>
      </c>
      <c r="B2158" t="s">
        <v>17</v>
      </c>
      <c r="C2158" t="s">
        <v>95</v>
      </c>
      <c r="D2158" t="s">
        <v>10</v>
      </c>
      <c r="E2158" t="s">
        <v>10</v>
      </c>
      <c r="F2158" s="7">
        <v>45752</v>
      </c>
      <c r="G2158" s="1">
        <v>45658</v>
      </c>
      <c r="H2158" s="14">
        <v>7786.7500000000018</v>
      </c>
      <c r="I2158">
        <v>1536387</v>
      </c>
      <c r="J2158" t="s">
        <v>86</v>
      </c>
      <c r="K2158" t="s">
        <v>96</v>
      </c>
      <c r="L2158" s="16" t="s">
        <v>10</v>
      </c>
    </row>
    <row r="2159" spans="1:12" x14ac:dyDescent="0.35">
      <c r="A2159" t="s">
        <v>8</v>
      </c>
      <c r="B2159" t="s">
        <v>99</v>
      </c>
      <c r="C2159" t="s">
        <v>93</v>
      </c>
      <c r="D2159" t="s">
        <v>10</v>
      </c>
      <c r="E2159" t="s">
        <v>10</v>
      </c>
      <c r="F2159" s="7">
        <v>45752</v>
      </c>
      <c r="G2159" s="1">
        <v>45658</v>
      </c>
      <c r="H2159" s="14">
        <v>6163.0784000000003</v>
      </c>
      <c r="I2159">
        <v>1813170</v>
      </c>
      <c r="J2159" t="s">
        <v>86</v>
      </c>
      <c r="K2159" t="s">
        <v>94</v>
      </c>
      <c r="L2159" s="16" t="s">
        <v>10</v>
      </c>
    </row>
    <row r="2160" spans="1:12" x14ac:dyDescent="0.35">
      <c r="A2160" t="s">
        <v>8</v>
      </c>
      <c r="B2160" t="s">
        <v>99</v>
      </c>
      <c r="C2160" t="s">
        <v>95</v>
      </c>
      <c r="D2160" t="s">
        <v>10</v>
      </c>
      <c r="E2160" t="s">
        <v>10</v>
      </c>
      <c r="F2160" s="7">
        <v>45752</v>
      </c>
      <c r="G2160" s="1">
        <v>45658</v>
      </c>
      <c r="H2160" s="14">
        <v>3301.03</v>
      </c>
      <c r="I2160">
        <v>956670</v>
      </c>
      <c r="J2160" t="s">
        <v>86</v>
      </c>
      <c r="K2160" t="s">
        <v>96</v>
      </c>
      <c r="L2160" s="16" t="s">
        <v>10</v>
      </c>
    </row>
    <row r="2161" spans="1:12" x14ac:dyDescent="0.35">
      <c r="A2161" t="s">
        <v>8</v>
      </c>
      <c r="B2161" t="s">
        <v>100</v>
      </c>
      <c r="C2161" t="s">
        <v>93</v>
      </c>
      <c r="D2161" t="s">
        <v>10</v>
      </c>
      <c r="E2161" t="s">
        <v>10</v>
      </c>
      <c r="F2161" s="7">
        <v>45752</v>
      </c>
      <c r="G2161" s="1">
        <v>45658</v>
      </c>
      <c r="H2161" s="14">
        <v>6386.5364000000018</v>
      </c>
      <c r="I2161">
        <v>1491745</v>
      </c>
      <c r="J2161" t="s">
        <v>86</v>
      </c>
      <c r="K2161" t="s">
        <v>94</v>
      </c>
      <c r="L2161" s="16" t="s">
        <v>10</v>
      </c>
    </row>
    <row r="2162" spans="1:12" x14ac:dyDescent="0.35">
      <c r="A2162" t="s">
        <v>8</v>
      </c>
      <c r="B2162" t="s">
        <v>100</v>
      </c>
      <c r="C2162" t="s">
        <v>95</v>
      </c>
      <c r="D2162" t="s">
        <v>10</v>
      </c>
      <c r="E2162" t="s">
        <v>10</v>
      </c>
      <c r="F2162" s="7">
        <v>45752</v>
      </c>
      <c r="G2162" s="1">
        <v>45658</v>
      </c>
      <c r="H2162" s="14">
        <v>6811.37</v>
      </c>
      <c r="I2162">
        <v>1755277</v>
      </c>
      <c r="J2162" t="s">
        <v>86</v>
      </c>
      <c r="K2162" t="s">
        <v>96</v>
      </c>
      <c r="L2162" s="16" t="s">
        <v>10</v>
      </c>
    </row>
    <row r="2163" spans="1:12" x14ac:dyDescent="0.35">
      <c r="A2163" t="s">
        <v>8</v>
      </c>
      <c r="B2163" t="s">
        <v>21</v>
      </c>
      <c r="C2163" t="s">
        <v>93</v>
      </c>
      <c r="D2163" t="s">
        <v>10</v>
      </c>
      <c r="E2163" t="s">
        <v>10</v>
      </c>
      <c r="F2163" s="7">
        <v>45752</v>
      </c>
      <c r="G2163" s="1">
        <v>45658</v>
      </c>
      <c r="H2163" s="14">
        <v>5841.7979999999989</v>
      </c>
      <c r="I2163">
        <v>1995757</v>
      </c>
      <c r="J2163" t="s">
        <v>86</v>
      </c>
      <c r="K2163" t="s">
        <v>94</v>
      </c>
      <c r="L2163" s="16" t="s">
        <v>10</v>
      </c>
    </row>
    <row r="2164" spans="1:12" x14ac:dyDescent="0.35">
      <c r="A2164" t="s">
        <v>8</v>
      </c>
      <c r="B2164" t="s">
        <v>21</v>
      </c>
      <c r="C2164" t="s">
        <v>95</v>
      </c>
      <c r="D2164" t="s">
        <v>10</v>
      </c>
      <c r="E2164" t="s">
        <v>10</v>
      </c>
      <c r="F2164" s="7">
        <v>45752</v>
      </c>
      <c r="G2164" s="1">
        <v>45658</v>
      </c>
      <c r="H2164" s="14">
        <v>3827.4199999999996</v>
      </c>
      <c r="I2164">
        <v>979614</v>
      </c>
      <c r="J2164" t="s">
        <v>86</v>
      </c>
      <c r="K2164" t="s">
        <v>96</v>
      </c>
      <c r="L2164" s="16" t="s">
        <v>10</v>
      </c>
    </row>
    <row r="2165" spans="1:12" x14ac:dyDescent="0.35">
      <c r="A2165" t="s">
        <v>8</v>
      </c>
      <c r="B2165" t="s">
        <v>84</v>
      </c>
      <c r="C2165" t="s">
        <v>85</v>
      </c>
      <c r="D2165" t="s">
        <v>9</v>
      </c>
      <c r="E2165" t="s">
        <v>10</v>
      </c>
      <c r="F2165" s="7">
        <v>45759</v>
      </c>
      <c r="G2165" s="1">
        <v>45658</v>
      </c>
      <c r="H2165" s="14">
        <v>4942.9600009999995</v>
      </c>
      <c r="I2165">
        <v>1050863</v>
      </c>
      <c r="J2165" t="s">
        <v>86</v>
      </c>
      <c r="K2165" t="s">
        <v>87</v>
      </c>
      <c r="L2165" s="16" t="s">
        <v>9</v>
      </c>
    </row>
    <row r="2166" spans="1:12" x14ac:dyDescent="0.35">
      <c r="A2166" t="s">
        <v>8</v>
      </c>
      <c r="B2166" t="s">
        <v>84</v>
      </c>
      <c r="C2166" t="s">
        <v>85</v>
      </c>
      <c r="D2166" t="s">
        <v>9</v>
      </c>
      <c r="E2166" t="s">
        <v>12</v>
      </c>
      <c r="F2166" s="7">
        <v>45759</v>
      </c>
      <c r="G2166" s="1">
        <v>45658</v>
      </c>
      <c r="H2166" s="14">
        <v>5154.8000030000003</v>
      </c>
      <c r="I2166">
        <v>1128016</v>
      </c>
      <c r="J2166" t="s">
        <v>86</v>
      </c>
      <c r="K2166" t="s">
        <v>87</v>
      </c>
      <c r="L2166" s="16" t="s">
        <v>12</v>
      </c>
    </row>
    <row r="2167" spans="1:12" x14ac:dyDescent="0.35">
      <c r="A2167" t="s">
        <v>8</v>
      </c>
      <c r="B2167" t="s">
        <v>84</v>
      </c>
      <c r="C2167" t="s">
        <v>85</v>
      </c>
      <c r="D2167" t="s">
        <v>14</v>
      </c>
      <c r="E2167" t="s">
        <v>10</v>
      </c>
      <c r="F2167" s="7">
        <v>45759</v>
      </c>
      <c r="G2167" s="1">
        <v>45658</v>
      </c>
      <c r="H2167" s="14">
        <v>7626.22</v>
      </c>
      <c r="I2167">
        <v>2104100</v>
      </c>
      <c r="J2167" t="s">
        <v>86</v>
      </c>
      <c r="K2167" t="s">
        <v>91</v>
      </c>
      <c r="L2167" s="16" t="s">
        <v>14</v>
      </c>
    </row>
    <row r="2168" spans="1:12" x14ac:dyDescent="0.35">
      <c r="A2168" t="s">
        <v>8</v>
      </c>
      <c r="B2168" t="s">
        <v>84</v>
      </c>
      <c r="C2168" t="s">
        <v>85</v>
      </c>
      <c r="D2168" t="s">
        <v>14</v>
      </c>
      <c r="E2168" t="s">
        <v>12</v>
      </c>
      <c r="F2168" s="7">
        <v>45759</v>
      </c>
      <c r="G2168" s="1">
        <v>45658</v>
      </c>
      <c r="H2168" s="14">
        <v>12.309999999999999</v>
      </c>
      <c r="I2168">
        <v>4888</v>
      </c>
      <c r="J2168" t="s">
        <v>86</v>
      </c>
      <c r="K2168" t="s">
        <v>91</v>
      </c>
      <c r="L2168" s="16" t="s">
        <v>12</v>
      </c>
    </row>
    <row r="2169" spans="1:12" x14ac:dyDescent="0.35">
      <c r="A2169" t="s">
        <v>8</v>
      </c>
      <c r="B2169" t="s">
        <v>92</v>
      </c>
      <c r="C2169" t="s">
        <v>85</v>
      </c>
      <c r="D2169" t="s">
        <v>9</v>
      </c>
      <c r="E2169" t="s">
        <v>10</v>
      </c>
      <c r="F2169" s="7">
        <v>45759</v>
      </c>
      <c r="G2169" s="1">
        <v>45658</v>
      </c>
      <c r="H2169" s="14">
        <v>5037.8300049999998</v>
      </c>
      <c r="I2169">
        <v>247387</v>
      </c>
      <c r="J2169" t="s">
        <v>86</v>
      </c>
      <c r="K2169" t="s">
        <v>87</v>
      </c>
      <c r="L2169" s="16" t="s">
        <v>9</v>
      </c>
    </row>
    <row r="2170" spans="1:12" x14ac:dyDescent="0.35">
      <c r="A2170" t="s">
        <v>8</v>
      </c>
      <c r="B2170" t="s">
        <v>92</v>
      </c>
      <c r="C2170" t="s">
        <v>85</v>
      </c>
      <c r="D2170" t="s">
        <v>9</v>
      </c>
      <c r="E2170" t="s">
        <v>12</v>
      </c>
      <c r="F2170" s="7">
        <v>45759</v>
      </c>
      <c r="G2170" s="1">
        <v>45658</v>
      </c>
      <c r="H2170" s="14">
        <v>40211.920011999995</v>
      </c>
      <c r="I2170">
        <v>4730431</v>
      </c>
      <c r="J2170" t="s">
        <v>86</v>
      </c>
      <c r="K2170" t="s">
        <v>87</v>
      </c>
      <c r="L2170" s="16" t="s">
        <v>12</v>
      </c>
    </row>
    <row r="2171" spans="1:12" x14ac:dyDescent="0.35">
      <c r="A2171" t="s">
        <v>8</v>
      </c>
      <c r="B2171" t="s">
        <v>92</v>
      </c>
      <c r="C2171" t="s">
        <v>85</v>
      </c>
      <c r="D2171" t="s">
        <v>14</v>
      </c>
      <c r="E2171" t="s">
        <v>10</v>
      </c>
      <c r="F2171" s="7">
        <v>45759</v>
      </c>
      <c r="G2171" s="1">
        <v>45658</v>
      </c>
      <c r="H2171" s="14">
        <v>13261.870000000003</v>
      </c>
      <c r="I2171">
        <v>3129366</v>
      </c>
      <c r="J2171" t="s">
        <v>86</v>
      </c>
      <c r="K2171" t="s">
        <v>91</v>
      </c>
      <c r="L2171" s="16" t="s">
        <v>14</v>
      </c>
    </row>
    <row r="2172" spans="1:12" x14ac:dyDescent="0.35">
      <c r="A2172" t="s">
        <v>8</v>
      </c>
      <c r="B2172" t="s">
        <v>92</v>
      </c>
      <c r="C2172" t="s">
        <v>85</v>
      </c>
      <c r="D2172" t="s">
        <v>14</v>
      </c>
      <c r="E2172" t="s">
        <v>12</v>
      </c>
      <c r="F2172" s="7">
        <v>45759</v>
      </c>
      <c r="G2172" s="1">
        <v>45658</v>
      </c>
      <c r="H2172" s="14">
        <v>51198.000000000007</v>
      </c>
      <c r="I2172">
        <v>11661361</v>
      </c>
      <c r="J2172" t="s">
        <v>86</v>
      </c>
      <c r="K2172" t="s">
        <v>91</v>
      </c>
      <c r="L2172" s="16" t="s">
        <v>12</v>
      </c>
    </row>
    <row r="2173" spans="1:12" x14ac:dyDescent="0.35">
      <c r="A2173" t="s">
        <v>8</v>
      </c>
      <c r="B2173" t="s">
        <v>92</v>
      </c>
      <c r="C2173" t="s">
        <v>93</v>
      </c>
      <c r="D2173" t="s">
        <v>10</v>
      </c>
      <c r="E2173" t="s">
        <v>10</v>
      </c>
      <c r="F2173" s="7">
        <v>45759</v>
      </c>
      <c r="G2173" s="1">
        <v>45658</v>
      </c>
      <c r="H2173" s="14">
        <v>8804.8670000000002</v>
      </c>
      <c r="I2173">
        <v>1698382</v>
      </c>
      <c r="J2173" t="s">
        <v>86</v>
      </c>
      <c r="K2173" t="s">
        <v>94</v>
      </c>
      <c r="L2173" s="16" t="s">
        <v>10</v>
      </c>
    </row>
    <row r="2174" spans="1:12" x14ac:dyDescent="0.35">
      <c r="A2174" t="s">
        <v>8</v>
      </c>
      <c r="B2174" t="s">
        <v>92</v>
      </c>
      <c r="C2174" t="s">
        <v>95</v>
      </c>
      <c r="D2174" t="s">
        <v>10</v>
      </c>
      <c r="E2174" t="s">
        <v>10</v>
      </c>
      <c r="F2174" s="7">
        <v>45759</v>
      </c>
      <c r="G2174" s="1">
        <v>45658</v>
      </c>
      <c r="H2174" s="14">
        <v>8843.8899999999958</v>
      </c>
      <c r="I2174">
        <v>1689439</v>
      </c>
      <c r="J2174" t="s">
        <v>86</v>
      </c>
      <c r="K2174" t="s">
        <v>96</v>
      </c>
      <c r="L2174" s="16" t="s">
        <v>10</v>
      </c>
    </row>
    <row r="2175" spans="1:12" x14ac:dyDescent="0.35">
      <c r="A2175" t="s">
        <v>8</v>
      </c>
      <c r="B2175" t="s">
        <v>84</v>
      </c>
      <c r="C2175" t="s">
        <v>93</v>
      </c>
      <c r="D2175" t="s">
        <v>10</v>
      </c>
      <c r="E2175" t="s">
        <v>10</v>
      </c>
      <c r="F2175" s="7">
        <v>45759</v>
      </c>
      <c r="G2175" s="1">
        <v>45658</v>
      </c>
      <c r="H2175" s="14">
        <v>1826.5108</v>
      </c>
      <c r="I2175">
        <v>244107</v>
      </c>
      <c r="J2175" t="s">
        <v>86</v>
      </c>
      <c r="K2175" t="s">
        <v>94</v>
      </c>
      <c r="L2175" s="16" t="s">
        <v>10</v>
      </c>
    </row>
    <row r="2176" spans="1:12" x14ac:dyDescent="0.35">
      <c r="A2176" t="s">
        <v>8</v>
      </c>
      <c r="B2176" t="s">
        <v>84</v>
      </c>
      <c r="C2176" t="s">
        <v>95</v>
      </c>
      <c r="D2176" t="s">
        <v>10</v>
      </c>
      <c r="E2176" t="s">
        <v>10</v>
      </c>
      <c r="F2176" s="7">
        <v>45759</v>
      </c>
      <c r="G2176" s="1">
        <v>45658</v>
      </c>
      <c r="H2176" s="14">
        <v>4614.1000000000004</v>
      </c>
      <c r="I2176">
        <v>239080</v>
      </c>
      <c r="J2176" t="s">
        <v>86</v>
      </c>
      <c r="K2176" t="s">
        <v>96</v>
      </c>
      <c r="L2176" s="16" t="s">
        <v>10</v>
      </c>
    </row>
    <row r="2177" spans="1:12" x14ac:dyDescent="0.35">
      <c r="A2177" t="s">
        <v>8</v>
      </c>
      <c r="B2177" t="s">
        <v>17</v>
      </c>
      <c r="C2177" t="s">
        <v>93</v>
      </c>
      <c r="D2177" t="s">
        <v>10</v>
      </c>
      <c r="E2177" t="s">
        <v>10</v>
      </c>
      <c r="F2177" s="7">
        <v>45759</v>
      </c>
      <c r="G2177" s="1">
        <v>45658</v>
      </c>
      <c r="H2177" s="14">
        <v>8496.5743000000002</v>
      </c>
      <c r="I2177">
        <v>2150744</v>
      </c>
      <c r="J2177" t="s">
        <v>86</v>
      </c>
      <c r="K2177" t="s">
        <v>94</v>
      </c>
      <c r="L2177" s="16" t="s">
        <v>10</v>
      </c>
    </row>
    <row r="2178" spans="1:12" x14ac:dyDescent="0.35">
      <c r="A2178" t="s">
        <v>8</v>
      </c>
      <c r="B2178" t="s">
        <v>17</v>
      </c>
      <c r="C2178" t="s">
        <v>95</v>
      </c>
      <c r="D2178" t="s">
        <v>10</v>
      </c>
      <c r="E2178" t="s">
        <v>10</v>
      </c>
      <c r="F2178" s="7">
        <v>45759</v>
      </c>
      <c r="G2178" s="1">
        <v>45658</v>
      </c>
      <c r="H2178" s="14">
        <v>9899.9800000000014</v>
      </c>
      <c r="I2178">
        <v>1704203</v>
      </c>
      <c r="J2178" t="s">
        <v>86</v>
      </c>
      <c r="K2178" t="s">
        <v>96</v>
      </c>
      <c r="L2178" s="16" t="s">
        <v>10</v>
      </c>
    </row>
    <row r="2179" spans="1:12" x14ac:dyDescent="0.35">
      <c r="A2179" t="s">
        <v>8</v>
      </c>
      <c r="B2179" t="s">
        <v>99</v>
      </c>
      <c r="C2179" t="s">
        <v>93</v>
      </c>
      <c r="D2179" t="s">
        <v>10</v>
      </c>
      <c r="E2179" t="s">
        <v>10</v>
      </c>
      <c r="F2179" s="7">
        <v>45759</v>
      </c>
      <c r="G2179" s="1">
        <v>45658</v>
      </c>
      <c r="H2179" s="14">
        <v>4744.9227000000001</v>
      </c>
      <c r="I2179">
        <v>1036727</v>
      </c>
      <c r="J2179" t="s">
        <v>86</v>
      </c>
      <c r="K2179" t="s">
        <v>94</v>
      </c>
      <c r="L2179" s="16" t="s">
        <v>10</v>
      </c>
    </row>
    <row r="2180" spans="1:12" x14ac:dyDescent="0.35">
      <c r="A2180" t="s">
        <v>8</v>
      </c>
      <c r="B2180" t="s">
        <v>99</v>
      </c>
      <c r="C2180" t="s">
        <v>95</v>
      </c>
      <c r="D2180" t="s">
        <v>10</v>
      </c>
      <c r="E2180" t="s">
        <v>10</v>
      </c>
      <c r="F2180" s="7">
        <v>45759</v>
      </c>
      <c r="G2180" s="1">
        <v>45658</v>
      </c>
      <c r="H2180" s="14">
        <v>3316.6000000000004</v>
      </c>
      <c r="I2180">
        <v>582146</v>
      </c>
      <c r="J2180" t="s">
        <v>86</v>
      </c>
      <c r="K2180" t="s">
        <v>96</v>
      </c>
      <c r="L2180" s="16" t="s">
        <v>10</v>
      </c>
    </row>
    <row r="2181" spans="1:12" x14ac:dyDescent="0.35">
      <c r="A2181" t="s">
        <v>8</v>
      </c>
      <c r="B2181" t="s">
        <v>100</v>
      </c>
      <c r="C2181" t="s">
        <v>93</v>
      </c>
      <c r="D2181" t="s">
        <v>10</v>
      </c>
      <c r="E2181" t="s">
        <v>10</v>
      </c>
      <c r="F2181" s="7">
        <v>45759</v>
      </c>
      <c r="G2181" s="1">
        <v>45658</v>
      </c>
      <c r="H2181" s="14">
        <v>5975.5874000000013</v>
      </c>
      <c r="I2181">
        <v>1266838</v>
      </c>
      <c r="J2181" t="s">
        <v>86</v>
      </c>
      <c r="K2181" t="s">
        <v>94</v>
      </c>
      <c r="L2181" s="16" t="s">
        <v>10</v>
      </c>
    </row>
    <row r="2182" spans="1:12" x14ac:dyDescent="0.35">
      <c r="A2182" t="s">
        <v>8</v>
      </c>
      <c r="B2182" t="s">
        <v>100</v>
      </c>
      <c r="C2182" t="s">
        <v>95</v>
      </c>
      <c r="D2182" t="s">
        <v>10</v>
      </c>
      <c r="E2182" t="s">
        <v>10</v>
      </c>
      <c r="F2182" s="7">
        <v>45759</v>
      </c>
      <c r="G2182" s="1">
        <v>45658</v>
      </c>
      <c r="H2182" s="14">
        <v>8798.41</v>
      </c>
      <c r="I2182">
        <v>2276153</v>
      </c>
      <c r="J2182" t="s">
        <v>86</v>
      </c>
      <c r="K2182" t="s">
        <v>96</v>
      </c>
      <c r="L2182" s="16" t="s">
        <v>10</v>
      </c>
    </row>
    <row r="2183" spans="1:12" x14ac:dyDescent="0.35">
      <c r="A2183" t="s">
        <v>8</v>
      </c>
      <c r="B2183" t="s">
        <v>21</v>
      </c>
      <c r="C2183" t="s">
        <v>93</v>
      </c>
      <c r="D2183" t="s">
        <v>10</v>
      </c>
      <c r="E2183" t="s">
        <v>10</v>
      </c>
      <c r="F2183" s="7">
        <v>45759</v>
      </c>
      <c r="G2183" s="1">
        <v>45658</v>
      </c>
      <c r="H2183" s="14">
        <v>6214.7729000000018</v>
      </c>
      <c r="I2183">
        <v>1984605</v>
      </c>
      <c r="J2183" t="s">
        <v>86</v>
      </c>
      <c r="K2183" t="s">
        <v>94</v>
      </c>
      <c r="L2183" s="16" t="s">
        <v>10</v>
      </c>
    </row>
    <row r="2184" spans="1:12" x14ac:dyDescent="0.35">
      <c r="A2184" t="s">
        <v>8</v>
      </c>
      <c r="B2184" t="s">
        <v>21</v>
      </c>
      <c r="C2184" t="s">
        <v>95</v>
      </c>
      <c r="D2184" t="s">
        <v>10</v>
      </c>
      <c r="E2184" t="s">
        <v>10</v>
      </c>
      <c r="F2184" s="7">
        <v>45759</v>
      </c>
      <c r="G2184" s="1">
        <v>45658</v>
      </c>
      <c r="H2184" s="14">
        <v>3990.9199999999996</v>
      </c>
      <c r="I2184">
        <v>656607</v>
      </c>
      <c r="J2184" t="s">
        <v>86</v>
      </c>
      <c r="K2184" t="s">
        <v>96</v>
      </c>
      <c r="L2184" s="16" t="s">
        <v>10</v>
      </c>
    </row>
    <row r="2185" spans="1:12" x14ac:dyDescent="0.35">
      <c r="A2185" t="s">
        <v>8</v>
      </c>
      <c r="B2185" t="s">
        <v>84</v>
      </c>
      <c r="C2185" t="s">
        <v>85</v>
      </c>
      <c r="D2185" t="s">
        <v>9</v>
      </c>
      <c r="E2185" t="s">
        <v>10</v>
      </c>
      <c r="F2185" s="7">
        <v>45766</v>
      </c>
      <c r="G2185" s="1">
        <v>45658</v>
      </c>
      <c r="H2185" s="14">
        <v>5373.9300010000006</v>
      </c>
      <c r="I2185">
        <v>1140281</v>
      </c>
      <c r="J2185" t="s">
        <v>86</v>
      </c>
      <c r="K2185" t="s">
        <v>87</v>
      </c>
      <c r="L2185" s="16" t="s">
        <v>9</v>
      </c>
    </row>
    <row r="2186" spans="1:12" x14ac:dyDescent="0.35">
      <c r="A2186" t="s">
        <v>8</v>
      </c>
      <c r="B2186" t="s">
        <v>84</v>
      </c>
      <c r="C2186" t="s">
        <v>85</v>
      </c>
      <c r="D2186" t="s">
        <v>9</v>
      </c>
      <c r="E2186" t="s">
        <v>12</v>
      </c>
      <c r="F2186" s="7">
        <v>45766</v>
      </c>
      <c r="G2186" s="1">
        <v>45658</v>
      </c>
      <c r="H2186" s="14">
        <v>7308.6299969999982</v>
      </c>
      <c r="I2186">
        <v>1688612</v>
      </c>
      <c r="J2186" t="s">
        <v>86</v>
      </c>
      <c r="K2186" t="s">
        <v>87</v>
      </c>
      <c r="L2186" s="16" t="s">
        <v>12</v>
      </c>
    </row>
    <row r="2187" spans="1:12" x14ac:dyDescent="0.35">
      <c r="A2187" t="s">
        <v>8</v>
      </c>
      <c r="B2187" t="s">
        <v>84</v>
      </c>
      <c r="C2187" t="s">
        <v>85</v>
      </c>
      <c r="D2187" t="s">
        <v>14</v>
      </c>
      <c r="E2187" t="s">
        <v>10</v>
      </c>
      <c r="F2187" s="7">
        <v>45766</v>
      </c>
      <c r="G2187" s="1">
        <v>45658</v>
      </c>
      <c r="H2187" s="14">
        <v>9972.65</v>
      </c>
      <c r="I2187">
        <v>2634706</v>
      </c>
      <c r="J2187" t="s">
        <v>86</v>
      </c>
      <c r="K2187" t="s">
        <v>91</v>
      </c>
      <c r="L2187" s="16" t="s">
        <v>14</v>
      </c>
    </row>
    <row r="2188" spans="1:12" x14ac:dyDescent="0.35">
      <c r="A2188" t="s">
        <v>8</v>
      </c>
      <c r="B2188" t="s">
        <v>84</v>
      </c>
      <c r="C2188" t="s">
        <v>85</v>
      </c>
      <c r="D2188" t="s">
        <v>14</v>
      </c>
      <c r="E2188" t="s">
        <v>12</v>
      </c>
      <c r="F2188" s="7">
        <v>45766</v>
      </c>
      <c r="G2188" s="1">
        <v>45658</v>
      </c>
      <c r="H2188" s="14">
        <v>2.4</v>
      </c>
      <c r="I2188">
        <v>676</v>
      </c>
      <c r="J2188" t="s">
        <v>86</v>
      </c>
      <c r="K2188" t="s">
        <v>91</v>
      </c>
      <c r="L2188" s="16" t="s">
        <v>12</v>
      </c>
    </row>
    <row r="2189" spans="1:12" x14ac:dyDescent="0.35">
      <c r="A2189" t="s">
        <v>8</v>
      </c>
      <c r="B2189" t="s">
        <v>92</v>
      </c>
      <c r="C2189" t="s">
        <v>85</v>
      </c>
      <c r="D2189" t="s">
        <v>9</v>
      </c>
      <c r="E2189" t="s">
        <v>10</v>
      </c>
      <c r="F2189" s="7">
        <v>45766</v>
      </c>
      <c r="G2189" s="1">
        <v>45658</v>
      </c>
      <c r="H2189" s="14">
        <v>2128.89</v>
      </c>
      <c r="I2189">
        <v>92467</v>
      </c>
      <c r="J2189" t="s">
        <v>86</v>
      </c>
      <c r="K2189" t="s">
        <v>87</v>
      </c>
      <c r="L2189" s="16" t="s">
        <v>9</v>
      </c>
    </row>
    <row r="2190" spans="1:12" x14ac:dyDescent="0.35">
      <c r="A2190" t="s">
        <v>8</v>
      </c>
      <c r="B2190" t="s">
        <v>92</v>
      </c>
      <c r="C2190" t="s">
        <v>85</v>
      </c>
      <c r="D2190" t="s">
        <v>9</v>
      </c>
      <c r="E2190" t="s">
        <v>12</v>
      </c>
      <c r="F2190" s="7">
        <v>45766</v>
      </c>
      <c r="G2190" s="1">
        <v>45658</v>
      </c>
      <c r="H2190" s="14">
        <v>42568.719991999991</v>
      </c>
      <c r="I2190">
        <v>4636260</v>
      </c>
      <c r="J2190" t="s">
        <v>86</v>
      </c>
      <c r="K2190" t="s">
        <v>87</v>
      </c>
      <c r="L2190" s="16" t="s">
        <v>12</v>
      </c>
    </row>
    <row r="2191" spans="1:12" x14ac:dyDescent="0.35">
      <c r="A2191" t="s">
        <v>8</v>
      </c>
      <c r="B2191" t="s">
        <v>92</v>
      </c>
      <c r="C2191" t="s">
        <v>85</v>
      </c>
      <c r="D2191" t="s">
        <v>14</v>
      </c>
      <c r="E2191" t="s">
        <v>10</v>
      </c>
      <c r="F2191" s="7">
        <v>45766</v>
      </c>
      <c r="G2191" s="1">
        <v>45658</v>
      </c>
      <c r="H2191" s="14">
        <v>5356.93</v>
      </c>
      <c r="I2191">
        <v>1402504</v>
      </c>
      <c r="J2191" t="s">
        <v>86</v>
      </c>
      <c r="K2191" t="s">
        <v>91</v>
      </c>
      <c r="L2191" s="16" t="s">
        <v>14</v>
      </c>
    </row>
    <row r="2192" spans="1:12" x14ac:dyDescent="0.35">
      <c r="A2192" t="s">
        <v>8</v>
      </c>
      <c r="B2192" t="s">
        <v>92</v>
      </c>
      <c r="C2192" t="s">
        <v>85</v>
      </c>
      <c r="D2192" t="s">
        <v>14</v>
      </c>
      <c r="E2192" t="s">
        <v>12</v>
      </c>
      <c r="F2192" s="7">
        <v>45766</v>
      </c>
      <c r="G2192" s="1">
        <v>45658</v>
      </c>
      <c r="H2192" s="14">
        <v>59325.53</v>
      </c>
      <c r="I2192">
        <v>13602599</v>
      </c>
      <c r="J2192" t="s">
        <v>86</v>
      </c>
      <c r="K2192" t="s">
        <v>91</v>
      </c>
      <c r="L2192" s="16" t="s">
        <v>12</v>
      </c>
    </row>
    <row r="2193" spans="1:12" x14ac:dyDescent="0.35">
      <c r="A2193" t="s">
        <v>8</v>
      </c>
      <c r="B2193" t="s">
        <v>92</v>
      </c>
      <c r="C2193" t="s">
        <v>93</v>
      </c>
      <c r="D2193" t="s">
        <v>10</v>
      </c>
      <c r="E2193" t="s">
        <v>10</v>
      </c>
      <c r="F2193" s="7">
        <v>45766</v>
      </c>
      <c r="G2193" s="1">
        <v>45658</v>
      </c>
      <c r="H2193" s="14">
        <v>8489.9249</v>
      </c>
      <c r="I2193">
        <v>1704680</v>
      </c>
      <c r="J2193" t="s">
        <v>86</v>
      </c>
      <c r="K2193" t="s">
        <v>94</v>
      </c>
      <c r="L2193" s="16" t="s">
        <v>10</v>
      </c>
    </row>
    <row r="2194" spans="1:12" x14ac:dyDescent="0.35">
      <c r="A2194" t="s">
        <v>8</v>
      </c>
      <c r="B2194" t="s">
        <v>92</v>
      </c>
      <c r="C2194" t="s">
        <v>95</v>
      </c>
      <c r="D2194" t="s">
        <v>10</v>
      </c>
      <c r="E2194" t="s">
        <v>10</v>
      </c>
      <c r="F2194" s="7">
        <v>45766</v>
      </c>
      <c r="G2194" s="1">
        <v>45658</v>
      </c>
      <c r="H2194" s="14">
        <v>14288.950000000006</v>
      </c>
      <c r="I2194">
        <v>1980216</v>
      </c>
      <c r="J2194" t="s">
        <v>86</v>
      </c>
      <c r="K2194" t="s">
        <v>96</v>
      </c>
      <c r="L2194" s="16" t="s">
        <v>10</v>
      </c>
    </row>
    <row r="2195" spans="1:12" x14ac:dyDescent="0.35">
      <c r="A2195" t="s">
        <v>8</v>
      </c>
      <c r="B2195" t="s">
        <v>84</v>
      </c>
      <c r="C2195" t="s">
        <v>93</v>
      </c>
      <c r="D2195" t="s">
        <v>10</v>
      </c>
      <c r="E2195" t="s">
        <v>10</v>
      </c>
      <c r="F2195" s="7">
        <v>45766</v>
      </c>
      <c r="G2195" s="1">
        <v>45658</v>
      </c>
      <c r="H2195" s="14">
        <v>1816.3647999999998</v>
      </c>
      <c r="I2195">
        <v>260773</v>
      </c>
      <c r="J2195" t="s">
        <v>86</v>
      </c>
      <c r="K2195" t="s">
        <v>94</v>
      </c>
      <c r="L2195" s="16" t="s">
        <v>10</v>
      </c>
    </row>
    <row r="2196" spans="1:12" x14ac:dyDescent="0.35">
      <c r="A2196" t="s">
        <v>8</v>
      </c>
      <c r="B2196" t="s">
        <v>84</v>
      </c>
      <c r="C2196" t="s">
        <v>95</v>
      </c>
      <c r="D2196" t="s">
        <v>10</v>
      </c>
      <c r="E2196" t="s">
        <v>10</v>
      </c>
      <c r="F2196" s="7">
        <v>45766</v>
      </c>
      <c r="G2196" s="1">
        <v>45658</v>
      </c>
      <c r="H2196" s="14">
        <v>5812.74</v>
      </c>
      <c r="I2196">
        <v>235145</v>
      </c>
      <c r="J2196" t="s">
        <v>86</v>
      </c>
      <c r="K2196" t="s">
        <v>96</v>
      </c>
      <c r="L2196" s="16" t="s">
        <v>10</v>
      </c>
    </row>
    <row r="2197" spans="1:12" x14ac:dyDescent="0.35">
      <c r="A2197" t="s">
        <v>8</v>
      </c>
      <c r="B2197" t="s">
        <v>17</v>
      </c>
      <c r="C2197" t="s">
        <v>93</v>
      </c>
      <c r="D2197" t="s">
        <v>10</v>
      </c>
      <c r="E2197" t="s">
        <v>10</v>
      </c>
      <c r="F2197" s="7">
        <v>45766</v>
      </c>
      <c r="G2197" s="1">
        <v>45658</v>
      </c>
      <c r="H2197" s="14">
        <v>8466.5890000000054</v>
      </c>
      <c r="I2197">
        <v>2033389</v>
      </c>
      <c r="J2197" t="s">
        <v>86</v>
      </c>
      <c r="K2197" t="s">
        <v>94</v>
      </c>
      <c r="L2197" s="16" t="s">
        <v>10</v>
      </c>
    </row>
    <row r="2198" spans="1:12" x14ac:dyDescent="0.35">
      <c r="A2198" t="s">
        <v>8</v>
      </c>
      <c r="B2198" t="s">
        <v>17</v>
      </c>
      <c r="C2198" t="s">
        <v>95</v>
      </c>
      <c r="D2198" t="s">
        <v>10</v>
      </c>
      <c r="E2198" t="s">
        <v>10</v>
      </c>
      <c r="F2198" s="7">
        <v>45766</v>
      </c>
      <c r="G2198" s="1">
        <v>45658</v>
      </c>
      <c r="H2198" s="14">
        <v>14805.809999999998</v>
      </c>
      <c r="I2198">
        <v>2129684</v>
      </c>
      <c r="J2198" t="s">
        <v>86</v>
      </c>
      <c r="K2198" t="s">
        <v>96</v>
      </c>
      <c r="L2198" s="16" t="s">
        <v>10</v>
      </c>
    </row>
    <row r="2199" spans="1:12" x14ac:dyDescent="0.35">
      <c r="A2199" t="s">
        <v>8</v>
      </c>
      <c r="B2199" t="s">
        <v>99</v>
      </c>
      <c r="C2199" t="s">
        <v>93</v>
      </c>
      <c r="D2199" t="s">
        <v>10</v>
      </c>
      <c r="E2199" t="s">
        <v>10</v>
      </c>
      <c r="F2199" s="7">
        <v>45766</v>
      </c>
      <c r="G2199" s="1">
        <v>45658</v>
      </c>
      <c r="H2199" s="14">
        <v>5896.0440999999973</v>
      </c>
      <c r="I2199">
        <v>959634</v>
      </c>
      <c r="J2199" t="s">
        <v>86</v>
      </c>
      <c r="K2199" t="s">
        <v>94</v>
      </c>
      <c r="L2199" s="16" t="s">
        <v>10</v>
      </c>
    </row>
    <row r="2200" spans="1:12" x14ac:dyDescent="0.35">
      <c r="A2200" t="s">
        <v>8</v>
      </c>
      <c r="B2200" t="s">
        <v>99</v>
      </c>
      <c r="C2200" t="s">
        <v>95</v>
      </c>
      <c r="D2200" t="s">
        <v>10</v>
      </c>
      <c r="E2200" t="s">
        <v>10</v>
      </c>
      <c r="F2200" s="7">
        <v>45766</v>
      </c>
      <c r="G2200" s="1">
        <v>45658</v>
      </c>
      <c r="H2200" s="14">
        <v>5024.0800000000027</v>
      </c>
      <c r="I2200">
        <v>696722</v>
      </c>
      <c r="J2200" t="s">
        <v>86</v>
      </c>
      <c r="K2200" t="s">
        <v>96</v>
      </c>
      <c r="L2200" s="16" t="s">
        <v>10</v>
      </c>
    </row>
    <row r="2201" spans="1:12" x14ac:dyDescent="0.35">
      <c r="A2201" t="s">
        <v>8</v>
      </c>
      <c r="B2201" t="s">
        <v>100</v>
      </c>
      <c r="C2201" t="s">
        <v>93</v>
      </c>
      <c r="D2201" t="s">
        <v>10</v>
      </c>
      <c r="E2201" t="s">
        <v>10</v>
      </c>
      <c r="F2201" s="7">
        <v>45766</v>
      </c>
      <c r="G2201" s="1">
        <v>45658</v>
      </c>
      <c r="H2201" s="14">
        <v>5866.896200000001</v>
      </c>
      <c r="I2201">
        <v>1164750</v>
      </c>
      <c r="J2201" t="s">
        <v>86</v>
      </c>
      <c r="K2201" t="s">
        <v>94</v>
      </c>
      <c r="L2201" s="16" t="s">
        <v>10</v>
      </c>
    </row>
    <row r="2202" spans="1:12" x14ac:dyDescent="0.35">
      <c r="A2202" t="s">
        <v>8</v>
      </c>
      <c r="B2202" t="s">
        <v>100</v>
      </c>
      <c r="C2202" t="s">
        <v>95</v>
      </c>
      <c r="D2202" t="s">
        <v>10</v>
      </c>
      <c r="E2202" t="s">
        <v>10</v>
      </c>
      <c r="F2202" s="7">
        <v>45766</v>
      </c>
      <c r="G2202" s="1">
        <v>45658</v>
      </c>
      <c r="H2202" s="14">
        <v>12109.039999999997</v>
      </c>
      <c r="I2202">
        <v>2199563</v>
      </c>
      <c r="J2202" t="s">
        <v>86</v>
      </c>
      <c r="K2202" t="s">
        <v>96</v>
      </c>
      <c r="L2202" s="16" t="s">
        <v>10</v>
      </c>
    </row>
    <row r="2203" spans="1:12" x14ac:dyDescent="0.35">
      <c r="A2203" t="s">
        <v>8</v>
      </c>
      <c r="B2203" t="s">
        <v>21</v>
      </c>
      <c r="C2203" t="s">
        <v>93</v>
      </c>
      <c r="D2203" t="s">
        <v>10</v>
      </c>
      <c r="E2203" t="s">
        <v>10</v>
      </c>
      <c r="F2203" s="7">
        <v>45766</v>
      </c>
      <c r="G2203" s="1">
        <v>45658</v>
      </c>
      <c r="H2203" s="14">
        <v>6216.9302000000007</v>
      </c>
      <c r="I2203">
        <v>2042814</v>
      </c>
      <c r="J2203" t="s">
        <v>86</v>
      </c>
      <c r="K2203" t="s">
        <v>94</v>
      </c>
      <c r="L2203" s="16" t="s">
        <v>10</v>
      </c>
    </row>
    <row r="2204" spans="1:12" x14ac:dyDescent="0.35">
      <c r="A2204" t="s">
        <v>8</v>
      </c>
      <c r="B2204" t="s">
        <v>21</v>
      </c>
      <c r="C2204" t="s">
        <v>95</v>
      </c>
      <c r="D2204" t="s">
        <v>10</v>
      </c>
      <c r="E2204" t="s">
        <v>10</v>
      </c>
      <c r="F2204" s="7">
        <v>45766</v>
      </c>
      <c r="G2204" s="1">
        <v>45658</v>
      </c>
      <c r="H2204" s="14">
        <v>4831.3300000000008</v>
      </c>
      <c r="I2204">
        <v>720939</v>
      </c>
      <c r="J2204" t="s">
        <v>86</v>
      </c>
      <c r="K2204" t="s">
        <v>96</v>
      </c>
      <c r="L2204" s="16" t="s">
        <v>10</v>
      </c>
    </row>
    <row r="2205" spans="1:12" x14ac:dyDescent="0.35">
      <c r="A2205" t="s">
        <v>8</v>
      </c>
      <c r="B2205" t="s">
        <v>84</v>
      </c>
      <c r="C2205" t="s">
        <v>85</v>
      </c>
      <c r="D2205" t="s">
        <v>9</v>
      </c>
      <c r="E2205" t="s">
        <v>10</v>
      </c>
      <c r="F2205" s="7">
        <v>45773</v>
      </c>
      <c r="G2205" s="1">
        <v>45658</v>
      </c>
      <c r="H2205" s="14">
        <v>5650.3099989999992</v>
      </c>
      <c r="I2205">
        <v>1197599</v>
      </c>
      <c r="J2205" t="s">
        <v>86</v>
      </c>
      <c r="K2205" t="s">
        <v>87</v>
      </c>
      <c r="L2205" s="16" t="s">
        <v>9</v>
      </c>
    </row>
    <row r="2206" spans="1:12" x14ac:dyDescent="0.35">
      <c r="A2206" t="s">
        <v>8</v>
      </c>
      <c r="B2206" t="s">
        <v>84</v>
      </c>
      <c r="C2206" t="s">
        <v>85</v>
      </c>
      <c r="D2206" t="s">
        <v>9</v>
      </c>
      <c r="E2206" t="s">
        <v>12</v>
      </c>
      <c r="F2206" s="7">
        <v>45773</v>
      </c>
      <c r="G2206" s="1">
        <v>45658</v>
      </c>
      <c r="H2206" s="14">
        <v>6649.5000030000001</v>
      </c>
      <c r="I2206">
        <v>1573947</v>
      </c>
      <c r="J2206" t="s">
        <v>86</v>
      </c>
      <c r="K2206" t="s">
        <v>87</v>
      </c>
      <c r="L2206" s="16" t="s">
        <v>12</v>
      </c>
    </row>
    <row r="2207" spans="1:12" x14ac:dyDescent="0.35">
      <c r="A2207" t="s">
        <v>8</v>
      </c>
      <c r="B2207" t="s">
        <v>84</v>
      </c>
      <c r="C2207" t="s">
        <v>85</v>
      </c>
      <c r="D2207" t="s">
        <v>14</v>
      </c>
      <c r="E2207" t="s">
        <v>10</v>
      </c>
      <c r="F2207" s="7">
        <v>45773</v>
      </c>
      <c r="G2207" s="1">
        <v>45658</v>
      </c>
      <c r="H2207" s="14">
        <v>10644.05</v>
      </c>
      <c r="I2207">
        <v>2784382</v>
      </c>
      <c r="J2207" t="s">
        <v>86</v>
      </c>
      <c r="K2207" t="s">
        <v>91</v>
      </c>
      <c r="L2207" s="16" t="s">
        <v>14</v>
      </c>
    </row>
    <row r="2208" spans="1:12" x14ac:dyDescent="0.35">
      <c r="A2208" t="s">
        <v>8</v>
      </c>
      <c r="B2208" t="s">
        <v>84</v>
      </c>
      <c r="C2208" t="s">
        <v>85</v>
      </c>
      <c r="D2208" t="s">
        <v>14</v>
      </c>
      <c r="E2208" t="s">
        <v>12</v>
      </c>
      <c r="F2208" s="7">
        <v>45773</v>
      </c>
      <c r="G2208" s="1">
        <v>45658</v>
      </c>
      <c r="H2208" s="14">
        <v>12.120000000000001</v>
      </c>
      <c r="I2208">
        <v>3731</v>
      </c>
      <c r="J2208" t="s">
        <v>86</v>
      </c>
      <c r="K2208" t="s">
        <v>91</v>
      </c>
      <c r="L2208" s="16" t="s">
        <v>12</v>
      </c>
    </row>
    <row r="2209" spans="1:12" x14ac:dyDescent="0.35">
      <c r="A2209" t="s">
        <v>8</v>
      </c>
      <c r="B2209" t="s">
        <v>92</v>
      </c>
      <c r="C2209" t="s">
        <v>85</v>
      </c>
      <c r="D2209" t="s">
        <v>9</v>
      </c>
      <c r="E2209" t="s">
        <v>10</v>
      </c>
      <c r="F2209" s="7">
        <v>45773</v>
      </c>
      <c r="G2209" s="1">
        <v>45658</v>
      </c>
      <c r="H2209" s="14">
        <v>2959.32</v>
      </c>
      <c r="I2209">
        <v>133079</v>
      </c>
      <c r="J2209" t="s">
        <v>86</v>
      </c>
      <c r="K2209" t="s">
        <v>87</v>
      </c>
      <c r="L2209" s="16" t="s">
        <v>9</v>
      </c>
    </row>
    <row r="2210" spans="1:12" x14ac:dyDescent="0.35">
      <c r="A2210" t="s">
        <v>8</v>
      </c>
      <c r="B2210" t="s">
        <v>92</v>
      </c>
      <c r="C2210" t="s">
        <v>85</v>
      </c>
      <c r="D2210" t="s">
        <v>9</v>
      </c>
      <c r="E2210" t="s">
        <v>12</v>
      </c>
      <c r="F2210" s="7">
        <v>45773</v>
      </c>
      <c r="G2210" s="1">
        <v>45658</v>
      </c>
      <c r="H2210" s="14">
        <v>41346.440005000004</v>
      </c>
      <c r="I2210">
        <v>4796712</v>
      </c>
      <c r="J2210" t="s">
        <v>86</v>
      </c>
      <c r="K2210" t="s">
        <v>87</v>
      </c>
      <c r="L2210" s="16" t="s">
        <v>12</v>
      </c>
    </row>
    <row r="2211" spans="1:12" x14ac:dyDescent="0.35">
      <c r="A2211" t="s">
        <v>8</v>
      </c>
      <c r="B2211" t="s">
        <v>92</v>
      </c>
      <c r="C2211" t="s">
        <v>85</v>
      </c>
      <c r="D2211" t="s">
        <v>14</v>
      </c>
      <c r="E2211" t="s">
        <v>10</v>
      </c>
      <c r="F2211" s="7">
        <v>45773</v>
      </c>
      <c r="G2211" s="1">
        <v>45658</v>
      </c>
      <c r="H2211" s="14">
        <v>662.24999999999989</v>
      </c>
      <c r="I2211">
        <v>179329</v>
      </c>
      <c r="J2211" t="s">
        <v>86</v>
      </c>
      <c r="K2211" t="s">
        <v>91</v>
      </c>
      <c r="L2211" s="16" t="s">
        <v>14</v>
      </c>
    </row>
    <row r="2212" spans="1:12" x14ac:dyDescent="0.35">
      <c r="A2212" t="s">
        <v>8</v>
      </c>
      <c r="B2212" t="s">
        <v>92</v>
      </c>
      <c r="C2212" t="s">
        <v>85</v>
      </c>
      <c r="D2212" t="s">
        <v>14</v>
      </c>
      <c r="E2212" t="s">
        <v>12</v>
      </c>
      <c r="F2212" s="7">
        <v>45773</v>
      </c>
      <c r="G2212" s="1">
        <v>45658</v>
      </c>
      <c r="H2212" s="14">
        <v>27364.320000000003</v>
      </c>
      <c r="I2212">
        <v>6632512</v>
      </c>
      <c r="J2212" t="s">
        <v>86</v>
      </c>
      <c r="K2212" t="s">
        <v>91</v>
      </c>
      <c r="L2212" s="16" t="s">
        <v>12</v>
      </c>
    </row>
    <row r="2213" spans="1:12" x14ac:dyDescent="0.35">
      <c r="A2213" t="s">
        <v>8</v>
      </c>
      <c r="B2213" t="s">
        <v>92</v>
      </c>
      <c r="C2213" t="s">
        <v>93</v>
      </c>
      <c r="D2213" t="s">
        <v>10</v>
      </c>
      <c r="E2213" t="s">
        <v>10</v>
      </c>
      <c r="F2213" s="7">
        <v>45773</v>
      </c>
      <c r="G2213" s="1">
        <v>45658</v>
      </c>
      <c r="H2213" s="14">
        <v>8787.3733999999949</v>
      </c>
      <c r="I2213">
        <v>1801179</v>
      </c>
      <c r="J2213" t="s">
        <v>86</v>
      </c>
      <c r="K2213" t="s">
        <v>94</v>
      </c>
      <c r="L2213" s="16" t="s">
        <v>10</v>
      </c>
    </row>
    <row r="2214" spans="1:12" x14ac:dyDescent="0.35">
      <c r="A2214" t="s">
        <v>8</v>
      </c>
      <c r="B2214" t="s">
        <v>92</v>
      </c>
      <c r="C2214" t="s">
        <v>95</v>
      </c>
      <c r="D2214" t="s">
        <v>10</v>
      </c>
      <c r="E2214" t="s">
        <v>10</v>
      </c>
      <c r="F2214" s="7">
        <v>45773</v>
      </c>
      <c r="G2214" s="1">
        <v>45658</v>
      </c>
      <c r="H2214" s="14">
        <v>18167.260000000013</v>
      </c>
      <c r="I2214">
        <v>2142866</v>
      </c>
      <c r="J2214" t="s">
        <v>86</v>
      </c>
      <c r="K2214" t="s">
        <v>96</v>
      </c>
      <c r="L2214" s="16" t="s">
        <v>10</v>
      </c>
    </row>
    <row r="2215" spans="1:12" x14ac:dyDescent="0.35">
      <c r="A2215" t="s">
        <v>8</v>
      </c>
      <c r="B2215" t="s">
        <v>84</v>
      </c>
      <c r="C2215" t="s">
        <v>93</v>
      </c>
      <c r="D2215" t="s">
        <v>10</v>
      </c>
      <c r="E2215" t="s">
        <v>10</v>
      </c>
      <c r="F2215" s="7">
        <v>45773</v>
      </c>
      <c r="G2215" s="1">
        <v>45658</v>
      </c>
      <c r="H2215" s="14">
        <v>1835.7950999999998</v>
      </c>
      <c r="I2215">
        <v>237395</v>
      </c>
      <c r="J2215" t="s">
        <v>86</v>
      </c>
      <c r="K2215" t="s">
        <v>94</v>
      </c>
      <c r="L2215" s="16" t="s">
        <v>10</v>
      </c>
    </row>
    <row r="2216" spans="1:12" x14ac:dyDescent="0.35">
      <c r="A2216" t="s">
        <v>8</v>
      </c>
      <c r="B2216" t="s">
        <v>84</v>
      </c>
      <c r="C2216" t="s">
        <v>95</v>
      </c>
      <c r="D2216" t="s">
        <v>10</v>
      </c>
      <c r="E2216" t="s">
        <v>10</v>
      </c>
      <c r="F2216" s="7">
        <v>45773</v>
      </c>
      <c r="G2216" s="1">
        <v>45658</v>
      </c>
      <c r="H2216" s="14">
        <v>7921.6600000000035</v>
      </c>
      <c r="I2216">
        <v>291939</v>
      </c>
      <c r="J2216" t="s">
        <v>86</v>
      </c>
      <c r="K2216" t="s">
        <v>96</v>
      </c>
      <c r="L2216" s="16" t="s">
        <v>10</v>
      </c>
    </row>
    <row r="2217" spans="1:12" x14ac:dyDescent="0.35">
      <c r="A2217" t="s">
        <v>8</v>
      </c>
      <c r="B2217" t="s">
        <v>17</v>
      </c>
      <c r="C2217" t="s">
        <v>93</v>
      </c>
      <c r="D2217" t="s">
        <v>10</v>
      </c>
      <c r="E2217" t="s">
        <v>10</v>
      </c>
      <c r="F2217" s="7">
        <v>45773</v>
      </c>
      <c r="G2217" s="1">
        <v>45658</v>
      </c>
      <c r="H2217" s="14">
        <v>8463.5318999999981</v>
      </c>
      <c r="I2217">
        <v>2121624</v>
      </c>
      <c r="J2217" t="s">
        <v>86</v>
      </c>
      <c r="K2217" t="s">
        <v>94</v>
      </c>
      <c r="L2217" s="16" t="s">
        <v>10</v>
      </c>
    </row>
    <row r="2218" spans="1:12" x14ac:dyDescent="0.35">
      <c r="A2218" t="s">
        <v>8</v>
      </c>
      <c r="B2218" t="s">
        <v>17</v>
      </c>
      <c r="C2218" t="s">
        <v>95</v>
      </c>
      <c r="D2218" t="s">
        <v>10</v>
      </c>
      <c r="E2218" t="s">
        <v>10</v>
      </c>
      <c r="F2218" s="7">
        <v>45773</v>
      </c>
      <c r="G2218" s="1">
        <v>45658</v>
      </c>
      <c r="H2218" s="14">
        <v>19654.550000000003</v>
      </c>
      <c r="I2218">
        <v>2718498</v>
      </c>
      <c r="J2218" t="s">
        <v>86</v>
      </c>
      <c r="K2218" t="s">
        <v>96</v>
      </c>
      <c r="L2218" s="16" t="s">
        <v>10</v>
      </c>
    </row>
    <row r="2219" spans="1:12" x14ac:dyDescent="0.35">
      <c r="A2219" t="s">
        <v>8</v>
      </c>
      <c r="B2219" t="s">
        <v>99</v>
      </c>
      <c r="C2219" t="s">
        <v>93</v>
      </c>
      <c r="D2219" t="s">
        <v>10</v>
      </c>
      <c r="E2219" t="s">
        <v>10</v>
      </c>
      <c r="F2219" s="7">
        <v>45773</v>
      </c>
      <c r="G2219" s="1">
        <v>45658</v>
      </c>
      <c r="H2219" s="14">
        <v>5758.6119000000008</v>
      </c>
      <c r="I2219">
        <v>905307</v>
      </c>
      <c r="J2219" t="s">
        <v>86</v>
      </c>
      <c r="K2219" t="s">
        <v>94</v>
      </c>
      <c r="L2219" s="16" t="s">
        <v>10</v>
      </c>
    </row>
    <row r="2220" spans="1:12" x14ac:dyDescent="0.35">
      <c r="A2220" t="s">
        <v>8</v>
      </c>
      <c r="B2220" t="s">
        <v>99</v>
      </c>
      <c r="C2220" t="s">
        <v>95</v>
      </c>
      <c r="D2220" t="s">
        <v>10</v>
      </c>
      <c r="E2220" t="s">
        <v>10</v>
      </c>
      <c r="F2220" s="7">
        <v>45773</v>
      </c>
      <c r="G2220" s="1">
        <v>45658</v>
      </c>
      <c r="H2220" s="14">
        <v>8380.9799999999959</v>
      </c>
      <c r="I2220">
        <v>980084</v>
      </c>
      <c r="J2220" t="s">
        <v>86</v>
      </c>
      <c r="K2220" t="s">
        <v>96</v>
      </c>
      <c r="L2220" s="16" t="s">
        <v>10</v>
      </c>
    </row>
    <row r="2221" spans="1:12" x14ac:dyDescent="0.35">
      <c r="A2221" t="s">
        <v>8</v>
      </c>
      <c r="B2221" t="s">
        <v>100</v>
      </c>
      <c r="C2221" t="s">
        <v>93</v>
      </c>
      <c r="D2221" t="s">
        <v>10</v>
      </c>
      <c r="E2221" t="s">
        <v>10</v>
      </c>
      <c r="F2221" s="7">
        <v>45773</v>
      </c>
      <c r="G2221" s="1">
        <v>45658</v>
      </c>
      <c r="H2221" s="14">
        <v>5831.7265000000034</v>
      </c>
      <c r="I2221">
        <v>1290810</v>
      </c>
      <c r="J2221" t="s">
        <v>86</v>
      </c>
      <c r="K2221" t="s">
        <v>94</v>
      </c>
      <c r="L2221" s="16" t="s">
        <v>10</v>
      </c>
    </row>
    <row r="2222" spans="1:12" x14ac:dyDescent="0.35">
      <c r="A2222" t="s">
        <v>8</v>
      </c>
      <c r="B2222" t="s">
        <v>100</v>
      </c>
      <c r="C2222" t="s">
        <v>95</v>
      </c>
      <c r="D2222" t="s">
        <v>10</v>
      </c>
      <c r="E2222" t="s">
        <v>10</v>
      </c>
      <c r="F2222" s="7">
        <v>45773</v>
      </c>
      <c r="G2222" s="1">
        <v>45658</v>
      </c>
      <c r="H2222" s="14">
        <v>11552.710000000005</v>
      </c>
      <c r="I2222">
        <v>2126641</v>
      </c>
      <c r="J2222" t="s">
        <v>86</v>
      </c>
      <c r="K2222" t="s">
        <v>96</v>
      </c>
      <c r="L2222" s="16" t="s">
        <v>10</v>
      </c>
    </row>
    <row r="2223" spans="1:12" x14ac:dyDescent="0.35">
      <c r="A2223" t="s">
        <v>8</v>
      </c>
      <c r="B2223" t="s">
        <v>21</v>
      </c>
      <c r="C2223" t="s">
        <v>93</v>
      </c>
      <c r="D2223" t="s">
        <v>10</v>
      </c>
      <c r="E2223" t="s">
        <v>10</v>
      </c>
      <c r="F2223" s="7">
        <v>45773</v>
      </c>
      <c r="G2223" s="1">
        <v>45658</v>
      </c>
      <c r="H2223" s="14">
        <v>6159.4135000000006</v>
      </c>
      <c r="I2223">
        <v>1991466</v>
      </c>
      <c r="J2223" t="s">
        <v>86</v>
      </c>
      <c r="K2223" t="s">
        <v>94</v>
      </c>
      <c r="L2223" s="16" t="s">
        <v>10</v>
      </c>
    </row>
    <row r="2224" spans="1:12" x14ac:dyDescent="0.35">
      <c r="A2224" t="s">
        <v>8</v>
      </c>
      <c r="B2224" t="s">
        <v>21</v>
      </c>
      <c r="C2224" t="s">
        <v>95</v>
      </c>
      <c r="D2224" t="s">
        <v>10</v>
      </c>
      <c r="E2224" t="s">
        <v>10</v>
      </c>
      <c r="F2224" s="7">
        <v>45773</v>
      </c>
      <c r="G2224" s="1">
        <v>45658</v>
      </c>
      <c r="H2224" s="14">
        <v>4236.9599999999991</v>
      </c>
      <c r="I2224">
        <v>649349</v>
      </c>
      <c r="J2224" t="s">
        <v>86</v>
      </c>
      <c r="K2224" t="s">
        <v>96</v>
      </c>
      <c r="L2224" s="16" t="s">
        <v>10</v>
      </c>
    </row>
    <row r="2225" spans="1:12" x14ac:dyDescent="0.35">
      <c r="A2225" t="s">
        <v>8</v>
      </c>
      <c r="B2225" t="s">
        <v>84</v>
      </c>
      <c r="C2225" t="s">
        <v>85</v>
      </c>
      <c r="D2225" t="s">
        <v>9</v>
      </c>
      <c r="E2225" t="s">
        <v>10</v>
      </c>
      <c r="F2225" s="7">
        <v>45780</v>
      </c>
      <c r="G2225" s="1">
        <v>45658</v>
      </c>
      <c r="H2225" s="14">
        <v>3226.4100000000008</v>
      </c>
      <c r="I2225">
        <v>644320</v>
      </c>
      <c r="J2225" t="s">
        <v>86</v>
      </c>
      <c r="K2225" t="s">
        <v>87</v>
      </c>
      <c r="L2225" s="16" t="s">
        <v>9</v>
      </c>
    </row>
    <row r="2226" spans="1:12" x14ac:dyDescent="0.35">
      <c r="A2226" t="s">
        <v>8</v>
      </c>
      <c r="B2226" t="s">
        <v>84</v>
      </c>
      <c r="C2226" t="s">
        <v>85</v>
      </c>
      <c r="D2226" t="s">
        <v>9</v>
      </c>
      <c r="E2226" t="s">
        <v>12</v>
      </c>
      <c r="F2226" s="7">
        <v>45780</v>
      </c>
      <c r="G2226" s="1">
        <v>45658</v>
      </c>
      <c r="H2226" s="14">
        <v>3316.6100040000001</v>
      </c>
      <c r="I2226">
        <v>746214</v>
      </c>
      <c r="J2226" t="s">
        <v>86</v>
      </c>
      <c r="K2226" t="s">
        <v>87</v>
      </c>
      <c r="L2226" s="16" t="s">
        <v>12</v>
      </c>
    </row>
    <row r="2227" spans="1:12" x14ac:dyDescent="0.35">
      <c r="A2227" t="s">
        <v>8</v>
      </c>
      <c r="B2227" t="s">
        <v>84</v>
      </c>
      <c r="C2227" t="s">
        <v>85</v>
      </c>
      <c r="D2227" t="s">
        <v>14</v>
      </c>
      <c r="E2227" t="s">
        <v>10</v>
      </c>
      <c r="F2227" s="7">
        <v>45780</v>
      </c>
      <c r="G2227" s="1">
        <v>45658</v>
      </c>
      <c r="H2227" s="14">
        <v>2939.98</v>
      </c>
      <c r="I2227">
        <v>707774</v>
      </c>
      <c r="J2227" t="s">
        <v>86</v>
      </c>
      <c r="K2227" t="s">
        <v>91</v>
      </c>
      <c r="L2227" s="16" t="s">
        <v>14</v>
      </c>
    </row>
    <row r="2228" spans="1:12" x14ac:dyDescent="0.35">
      <c r="A2228" t="s">
        <v>8</v>
      </c>
      <c r="B2228" t="s">
        <v>84</v>
      </c>
      <c r="C2228" t="s">
        <v>85</v>
      </c>
      <c r="D2228" t="s">
        <v>14</v>
      </c>
      <c r="E2228" t="s">
        <v>12</v>
      </c>
      <c r="F2228" s="7">
        <v>45780</v>
      </c>
      <c r="G2228" s="1">
        <v>45658</v>
      </c>
      <c r="H2228" s="14">
        <v>8.01</v>
      </c>
      <c r="I2228">
        <v>2643</v>
      </c>
      <c r="J2228" t="s">
        <v>86</v>
      </c>
      <c r="K2228" t="s">
        <v>91</v>
      </c>
      <c r="L2228" s="16" t="s">
        <v>12</v>
      </c>
    </row>
    <row r="2229" spans="1:12" x14ac:dyDescent="0.35">
      <c r="A2229" t="s">
        <v>8</v>
      </c>
      <c r="B2229" t="s">
        <v>18</v>
      </c>
      <c r="C2229" t="s">
        <v>85</v>
      </c>
      <c r="D2229" t="s">
        <v>9</v>
      </c>
      <c r="E2229" t="s">
        <v>10</v>
      </c>
      <c r="F2229" s="7">
        <v>45780</v>
      </c>
      <c r="G2229" s="1">
        <v>45658</v>
      </c>
      <c r="H2229" s="14">
        <v>2330.3100000000004</v>
      </c>
      <c r="I2229">
        <v>617631</v>
      </c>
      <c r="J2229" t="s">
        <v>86</v>
      </c>
      <c r="K2229" t="s">
        <v>87</v>
      </c>
      <c r="L2229" s="16" t="s">
        <v>9</v>
      </c>
    </row>
    <row r="2230" spans="1:12" x14ac:dyDescent="0.35">
      <c r="A2230" t="s">
        <v>8</v>
      </c>
      <c r="B2230" t="s">
        <v>18</v>
      </c>
      <c r="C2230" t="s">
        <v>85</v>
      </c>
      <c r="D2230" t="s">
        <v>9</v>
      </c>
      <c r="E2230" t="s">
        <v>12</v>
      </c>
      <c r="F2230" s="7">
        <v>45780</v>
      </c>
      <c r="G2230" s="1">
        <v>45658</v>
      </c>
      <c r="H2230" s="14">
        <v>6046.8999989999993</v>
      </c>
      <c r="I2230">
        <v>761793</v>
      </c>
      <c r="J2230" t="s">
        <v>86</v>
      </c>
      <c r="K2230" t="s">
        <v>87</v>
      </c>
      <c r="L2230" s="16" t="s">
        <v>12</v>
      </c>
    </row>
    <row r="2231" spans="1:12" x14ac:dyDescent="0.35">
      <c r="A2231" t="s">
        <v>8</v>
      </c>
      <c r="B2231" t="s">
        <v>92</v>
      </c>
      <c r="C2231" t="s">
        <v>85</v>
      </c>
      <c r="D2231" t="s">
        <v>9</v>
      </c>
      <c r="E2231" t="s">
        <v>10</v>
      </c>
      <c r="F2231" s="7">
        <v>45780</v>
      </c>
      <c r="G2231" s="1">
        <v>45658</v>
      </c>
      <c r="H2231" s="14">
        <v>2386.4699969999997</v>
      </c>
      <c r="I2231">
        <v>102518</v>
      </c>
      <c r="J2231" t="s">
        <v>86</v>
      </c>
      <c r="K2231" t="s">
        <v>87</v>
      </c>
      <c r="L2231" s="16" t="s">
        <v>9</v>
      </c>
    </row>
    <row r="2232" spans="1:12" x14ac:dyDescent="0.35">
      <c r="A2232" t="s">
        <v>8</v>
      </c>
      <c r="B2232" t="s">
        <v>92</v>
      </c>
      <c r="C2232" t="s">
        <v>85</v>
      </c>
      <c r="D2232" t="s">
        <v>9</v>
      </c>
      <c r="E2232" t="s">
        <v>12</v>
      </c>
      <c r="F2232" s="7">
        <v>45780</v>
      </c>
      <c r="G2232" s="1">
        <v>45658</v>
      </c>
      <c r="H2232" s="14">
        <v>33299.620000000003</v>
      </c>
      <c r="I2232">
        <v>3939938</v>
      </c>
      <c r="J2232" t="s">
        <v>86</v>
      </c>
      <c r="K2232" t="s">
        <v>87</v>
      </c>
      <c r="L2232" s="16" t="s">
        <v>12</v>
      </c>
    </row>
    <row r="2233" spans="1:12" x14ac:dyDescent="0.35">
      <c r="A2233" t="s">
        <v>8</v>
      </c>
      <c r="B2233" t="s">
        <v>92</v>
      </c>
      <c r="C2233" t="s">
        <v>93</v>
      </c>
      <c r="D2233" t="s">
        <v>10</v>
      </c>
      <c r="E2233" t="s">
        <v>10</v>
      </c>
      <c r="F2233" s="7">
        <v>45780</v>
      </c>
      <c r="G2233" s="1">
        <v>45658</v>
      </c>
      <c r="H2233" s="14">
        <v>7860.3681000000006</v>
      </c>
      <c r="I2233">
        <v>1353918</v>
      </c>
      <c r="J2233" t="s">
        <v>86</v>
      </c>
      <c r="K2233" t="s">
        <v>94</v>
      </c>
      <c r="L2233" s="16" t="s">
        <v>10</v>
      </c>
    </row>
    <row r="2234" spans="1:12" x14ac:dyDescent="0.35">
      <c r="A2234" t="s">
        <v>8</v>
      </c>
      <c r="B2234" t="s">
        <v>92</v>
      </c>
      <c r="C2234" t="s">
        <v>95</v>
      </c>
      <c r="D2234" t="s">
        <v>10</v>
      </c>
      <c r="E2234" t="s">
        <v>10</v>
      </c>
      <c r="F2234" s="7">
        <v>45780</v>
      </c>
      <c r="G2234" s="1">
        <v>45658</v>
      </c>
      <c r="H2234" s="14">
        <v>20544.129999999997</v>
      </c>
      <c r="I2234">
        <v>2686119</v>
      </c>
      <c r="J2234" t="s">
        <v>86</v>
      </c>
      <c r="K2234" t="s">
        <v>96</v>
      </c>
      <c r="L2234" s="16" t="s">
        <v>10</v>
      </c>
    </row>
    <row r="2235" spans="1:12" x14ac:dyDescent="0.35">
      <c r="A2235" t="s">
        <v>8</v>
      </c>
      <c r="B2235" t="s">
        <v>84</v>
      </c>
      <c r="C2235" t="s">
        <v>93</v>
      </c>
      <c r="D2235" t="s">
        <v>10</v>
      </c>
      <c r="E2235" t="s">
        <v>10</v>
      </c>
      <c r="F2235" s="7">
        <v>45780</v>
      </c>
      <c r="G2235" s="1">
        <v>45658</v>
      </c>
      <c r="H2235" s="14">
        <v>1593.8263000000002</v>
      </c>
      <c r="I2235">
        <v>249500</v>
      </c>
      <c r="J2235" t="s">
        <v>86</v>
      </c>
      <c r="K2235" t="s">
        <v>94</v>
      </c>
      <c r="L2235" s="16" t="s">
        <v>10</v>
      </c>
    </row>
    <row r="2236" spans="1:12" x14ac:dyDescent="0.35">
      <c r="A2236" t="s">
        <v>8</v>
      </c>
      <c r="B2236" t="s">
        <v>84</v>
      </c>
      <c r="C2236" t="s">
        <v>97</v>
      </c>
      <c r="D2236" t="s">
        <v>10</v>
      </c>
      <c r="E2236" t="s">
        <v>10</v>
      </c>
      <c r="F2236" s="7">
        <v>45780</v>
      </c>
      <c r="G2236" s="1">
        <v>45658</v>
      </c>
      <c r="H2236" s="14">
        <v>8507.5246000000006</v>
      </c>
      <c r="I2236">
        <v>777792</v>
      </c>
      <c r="J2236" t="s">
        <v>86</v>
      </c>
      <c r="K2236" t="s">
        <v>98</v>
      </c>
      <c r="L2236" s="16" t="s">
        <v>10</v>
      </c>
    </row>
    <row r="2237" spans="1:12" x14ac:dyDescent="0.35">
      <c r="A2237" t="s">
        <v>8</v>
      </c>
      <c r="B2237" t="s">
        <v>84</v>
      </c>
      <c r="C2237" t="s">
        <v>95</v>
      </c>
      <c r="D2237" t="s">
        <v>10</v>
      </c>
      <c r="E2237" t="s">
        <v>10</v>
      </c>
      <c r="F2237" s="7">
        <v>45780</v>
      </c>
      <c r="G2237" s="1">
        <v>45658</v>
      </c>
      <c r="H2237" s="14">
        <v>12181.109999999993</v>
      </c>
      <c r="I2237">
        <v>480182</v>
      </c>
      <c r="J2237" t="s">
        <v>86</v>
      </c>
      <c r="K2237" t="s">
        <v>96</v>
      </c>
      <c r="L2237" s="16" t="s">
        <v>10</v>
      </c>
    </row>
    <row r="2238" spans="1:12" x14ac:dyDescent="0.35">
      <c r="A2238" t="s">
        <v>8</v>
      </c>
      <c r="B2238" t="s">
        <v>17</v>
      </c>
      <c r="C2238" t="s">
        <v>93</v>
      </c>
      <c r="D2238" t="s">
        <v>10</v>
      </c>
      <c r="E2238" t="s">
        <v>10</v>
      </c>
      <c r="F2238" s="7">
        <v>45780</v>
      </c>
      <c r="G2238" s="1">
        <v>45658</v>
      </c>
      <c r="H2238" s="14">
        <v>7546.3607000000011</v>
      </c>
      <c r="I2238">
        <v>1884361</v>
      </c>
      <c r="J2238" t="s">
        <v>86</v>
      </c>
      <c r="K2238" t="s">
        <v>94</v>
      </c>
      <c r="L2238" s="16" t="s">
        <v>10</v>
      </c>
    </row>
    <row r="2239" spans="1:12" x14ac:dyDescent="0.35">
      <c r="A2239" t="s">
        <v>8</v>
      </c>
      <c r="B2239" t="s">
        <v>17</v>
      </c>
      <c r="C2239" t="s">
        <v>95</v>
      </c>
      <c r="D2239" t="s">
        <v>10</v>
      </c>
      <c r="E2239" t="s">
        <v>10</v>
      </c>
      <c r="F2239" s="7">
        <v>45780</v>
      </c>
      <c r="G2239" s="1">
        <v>45658</v>
      </c>
      <c r="H2239" s="14">
        <v>19391.520000000004</v>
      </c>
      <c r="I2239">
        <v>2725620</v>
      </c>
      <c r="J2239" t="s">
        <v>86</v>
      </c>
      <c r="K2239" t="s">
        <v>96</v>
      </c>
      <c r="L2239" s="16" t="s">
        <v>10</v>
      </c>
    </row>
    <row r="2240" spans="1:12" x14ac:dyDescent="0.35">
      <c r="A2240" t="s">
        <v>8</v>
      </c>
      <c r="B2240" t="s">
        <v>99</v>
      </c>
      <c r="C2240" t="s">
        <v>93</v>
      </c>
      <c r="D2240" t="s">
        <v>10</v>
      </c>
      <c r="E2240" t="s">
        <v>10</v>
      </c>
      <c r="F2240" s="7">
        <v>45780</v>
      </c>
      <c r="G2240" s="1">
        <v>45658</v>
      </c>
      <c r="H2240" s="14">
        <v>5251.421000000003</v>
      </c>
      <c r="I2240">
        <v>981304</v>
      </c>
      <c r="J2240" t="s">
        <v>86</v>
      </c>
      <c r="K2240" t="s">
        <v>94</v>
      </c>
      <c r="L2240" s="16" t="s">
        <v>10</v>
      </c>
    </row>
    <row r="2241" spans="1:12" x14ac:dyDescent="0.35">
      <c r="A2241" t="s">
        <v>8</v>
      </c>
      <c r="B2241" t="s">
        <v>99</v>
      </c>
      <c r="C2241" t="s">
        <v>95</v>
      </c>
      <c r="D2241" t="s">
        <v>10</v>
      </c>
      <c r="E2241" t="s">
        <v>10</v>
      </c>
      <c r="F2241" s="7">
        <v>45780</v>
      </c>
      <c r="G2241" s="1">
        <v>45658</v>
      </c>
      <c r="H2241" s="14">
        <v>8360.7899999999972</v>
      </c>
      <c r="I2241">
        <v>1071401</v>
      </c>
      <c r="J2241" t="s">
        <v>86</v>
      </c>
      <c r="K2241" t="s">
        <v>96</v>
      </c>
      <c r="L2241" s="16" t="s">
        <v>10</v>
      </c>
    </row>
    <row r="2242" spans="1:12" x14ac:dyDescent="0.35">
      <c r="A2242" t="s">
        <v>8</v>
      </c>
      <c r="B2242" t="s">
        <v>100</v>
      </c>
      <c r="C2242" t="s">
        <v>93</v>
      </c>
      <c r="D2242" t="s">
        <v>10</v>
      </c>
      <c r="E2242" t="s">
        <v>10</v>
      </c>
      <c r="F2242" s="7">
        <v>45780</v>
      </c>
      <c r="G2242" s="1">
        <v>45658</v>
      </c>
      <c r="H2242" s="14">
        <v>5033.9136000000008</v>
      </c>
      <c r="I2242">
        <v>1292797</v>
      </c>
      <c r="J2242" t="s">
        <v>86</v>
      </c>
      <c r="K2242" t="s">
        <v>94</v>
      </c>
      <c r="L2242" s="16" t="s">
        <v>10</v>
      </c>
    </row>
    <row r="2243" spans="1:12" x14ac:dyDescent="0.35">
      <c r="A2243" t="s">
        <v>8</v>
      </c>
      <c r="B2243" t="s">
        <v>100</v>
      </c>
      <c r="C2243" t="s">
        <v>95</v>
      </c>
      <c r="D2243" t="s">
        <v>10</v>
      </c>
      <c r="E2243" t="s">
        <v>10</v>
      </c>
      <c r="F2243" s="7">
        <v>45780</v>
      </c>
      <c r="G2243" s="1">
        <v>45658</v>
      </c>
      <c r="H2243" s="14">
        <v>10520.53</v>
      </c>
      <c r="I2243">
        <v>2178083</v>
      </c>
      <c r="J2243" t="s">
        <v>86</v>
      </c>
      <c r="K2243" t="s">
        <v>96</v>
      </c>
      <c r="L2243" s="16" t="s">
        <v>10</v>
      </c>
    </row>
    <row r="2244" spans="1:12" x14ac:dyDescent="0.35">
      <c r="A2244" t="s">
        <v>8</v>
      </c>
      <c r="B2244" t="s">
        <v>21</v>
      </c>
      <c r="C2244" t="s">
        <v>93</v>
      </c>
      <c r="D2244" t="s">
        <v>10</v>
      </c>
      <c r="E2244" t="s">
        <v>10</v>
      </c>
      <c r="F2244" s="7">
        <v>45780</v>
      </c>
      <c r="G2244" s="1">
        <v>45658</v>
      </c>
      <c r="H2244" s="14">
        <v>5433.8285999999998</v>
      </c>
      <c r="I2244">
        <v>1600027</v>
      </c>
      <c r="J2244" t="s">
        <v>86</v>
      </c>
      <c r="K2244" t="s">
        <v>94</v>
      </c>
      <c r="L2244" s="16" t="s">
        <v>10</v>
      </c>
    </row>
    <row r="2245" spans="1:12" x14ac:dyDescent="0.35">
      <c r="A2245" t="s">
        <v>8</v>
      </c>
      <c r="B2245" t="s">
        <v>21</v>
      </c>
      <c r="C2245" t="s">
        <v>95</v>
      </c>
      <c r="D2245" t="s">
        <v>10</v>
      </c>
      <c r="E2245" t="s">
        <v>10</v>
      </c>
      <c r="F2245" s="7">
        <v>45780</v>
      </c>
      <c r="G2245" s="1">
        <v>45658</v>
      </c>
      <c r="H2245" s="14">
        <v>3745.2</v>
      </c>
      <c r="I2245">
        <v>592822</v>
      </c>
      <c r="J2245" t="s">
        <v>86</v>
      </c>
      <c r="K2245" t="s">
        <v>96</v>
      </c>
      <c r="L2245" s="16" t="s">
        <v>10</v>
      </c>
    </row>
    <row r="2246" spans="1:12" x14ac:dyDescent="0.35">
      <c r="A2246" t="s">
        <v>8</v>
      </c>
      <c r="B2246" t="s">
        <v>84</v>
      </c>
      <c r="C2246" t="s">
        <v>85</v>
      </c>
      <c r="D2246" t="s">
        <v>9</v>
      </c>
      <c r="E2246" t="s">
        <v>10</v>
      </c>
      <c r="F2246" s="7">
        <v>45787</v>
      </c>
      <c r="G2246" s="1">
        <v>45658</v>
      </c>
      <c r="H2246" s="14">
        <v>8820.0599899999997</v>
      </c>
      <c r="I2246">
        <v>1753731</v>
      </c>
      <c r="J2246" t="s">
        <v>86</v>
      </c>
      <c r="K2246" t="s">
        <v>87</v>
      </c>
      <c r="L2246" s="16" t="s">
        <v>9</v>
      </c>
    </row>
    <row r="2247" spans="1:12" x14ac:dyDescent="0.35">
      <c r="A2247" t="s">
        <v>8</v>
      </c>
      <c r="B2247" t="s">
        <v>84</v>
      </c>
      <c r="C2247" t="s">
        <v>85</v>
      </c>
      <c r="D2247" t="s">
        <v>9</v>
      </c>
      <c r="E2247" t="s">
        <v>12</v>
      </c>
      <c r="F2247" s="7">
        <v>45787</v>
      </c>
      <c r="G2247" s="1">
        <v>45658</v>
      </c>
      <c r="H2247" s="14">
        <v>646.54000299999996</v>
      </c>
      <c r="I2247">
        <v>131682</v>
      </c>
      <c r="J2247" t="s">
        <v>86</v>
      </c>
      <c r="K2247" t="s">
        <v>87</v>
      </c>
      <c r="L2247" s="16" t="s">
        <v>12</v>
      </c>
    </row>
    <row r="2248" spans="1:12" x14ac:dyDescent="0.35">
      <c r="A2248" t="s">
        <v>8</v>
      </c>
      <c r="B2248" t="s">
        <v>84</v>
      </c>
      <c r="C2248" t="s">
        <v>85</v>
      </c>
      <c r="D2248" t="s">
        <v>14</v>
      </c>
      <c r="E2248" t="s">
        <v>12</v>
      </c>
      <c r="F2248" s="7">
        <v>45787</v>
      </c>
      <c r="G2248" s="1">
        <v>45658</v>
      </c>
      <c r="H2248" s="14">
        <v>4403.91</v>
      </c>
      <c r="I2248">
        <v>1469491</v>
      </c>
      <c r="J2248" t="s">
        <v>86</v>
      </c>
      <c r="K2248" t="s">
        <v>91</v>
      </c>
      <c r="L2248" s="16" t="s">
        <v>12</v>
      </c>
    </row>
    <row r="2249" spans="1:12" x14ac:dyDescent="0.35">
      <c r="A2249" t="s">
        <v>8</v>
      </c>
      <c r="B2249" t="s">
        <v>18</v>
      </c>
      <c r="C2249" t="s">
        <v>85</v>
      </c>
      <c r="D2249" t="s">
        <v>9</v>
      </c>
      <c r="E2249" t="s">
        <v>10</v>
      </c>
      <c r="F2249" s="7">
        <v>45787</v>
      </c>
      <c r="G2249" s="1">
        <v>45658</v>
      </c>
      <c r="H2249" s="14">
        <v>9358.3799990000007</v>
      </c>
      <c r="I2249">
        <v>2475528</v>
      </c>
      <c r="J2249" t="s">
        <v>86</v>
      </c>
      <c r="K2249" t="s">
        <v>87</v>
      </c>
      <c r="L2249" s="16" t="s">
        <v>9</v>
      </c>
    </row>
    <row r="2250" spans="1:12" x14ac:dyDescent="0.35">
      <c r="A2250" t="s">
        <v>8</v>
      </c>
      <c r="B2250" t="s">
        <v>18</v>
      </c>
      <c r="C2250" t="s">
        <v>85</v>
      </c>
      <c r="D2250" t="s">
        <v>9</v>
      </c>
      <c r="E2250" t="s">
        <v>12</v>
      </c>
      <c r="F2250" s="7">
        <v>45787</v>
      </c>
      <c r="G2250" s="1">
        <v>45658</v>
      </c>
      <c r="H2250" s="14">
        <v>22076.550007999998</v>
      </c>
      <c r="I2250">
        <v>2728434</v>
      </c>
      <c r="J2250" t="s">
        <v>86</v>
      </c>
      <c r="K2250" t="s">
        <v>87</v>
      </c>
      <c r="L2250" s="16" t="s">
        <v>12</v>
      </c>
    </row>
    <row r="2251" spans="1:12" x14ac:dyDescent="0.35">
      <c r="A2251" t="s">
        <v>8</v>
      </c>
      <c r="B2251" t="s">
        <v>92</v>
      </c>
      <c r="C2251" t="s">
        <v>93</v>
      </c>
      <c r="D2251" t="s">
        <v>10</v>
      </c>
      <c r="E2251" t="s">
        <v>10</v>
      </c>
      <c r="F2251" s="7">
        <v>45787</v>
      </c>
      <c r="G2251" s="1">
        <v>45658</v>
      </c>
      <c r="H2251" s="14">
        <v>8512.7600999999977</v>
      </c>
      <c r="I2251">
        <v>1332419</v>
      </c>
      <c r="J2251" t="s">
        <v>86</v>
      </c>
      <c r="K2251" t="s">
        <v>94</v>
      </c>
      <c r="L2251" s="16" t="s">
        <v>10</v>
      </c>
    </row>
    <row r="2252" spans="1:12" x14ac:dyDescent="0.35">
      <c r="A2252" t="s">
        <v>8</v>
      </c>
      <c r="B2252" t="s">
        <v>92</v>
      </c>
      <c r="C2252" t="s">
        <v>95</v>
      </c>
      <c r="D2252" t="s">
        <v>10</v>
      </c>
      <c r="E2252" t="s">
        <v>10</v>
      </c>
      <c r="F2252" s="7">
        <v>45787</v>
      </c>
      <c r="G2252" s="1">
        <v>45658</v>
      </c>
      <c r="H2252" s="14">
        <v>15275.289999999997</v>
      </c>
      <c r="I2252">
        <v>1817983</v>
      </c>
      <c r="J2252" t="s">
        <v>86</v>
      </c>
      <c r="K2252" t="s">
        <v>96</v>
      </c>
      <c r="L2252" s="16" t="s">
        <v>10</v>
      </c>
    </row>
    <row r="2253" spans="1:12" x14ac:dyDescent="0.35">
      <c r="A2253" t="s">
        <v>8</v>
      </c>
      <c r="B2253" t="s">
        <v>84</v>
      </c>
      <c r="C2253" t="s">
        <v>93</v>
      </c>
      <c r="D2253" t="s">
        <v>10</v>
      </c>
      <c r="E2253" t="s">
        <v>10</v>
      </c>
      <c r="F2253" s="7">
        <v>45787</v>
      </c>
      <c r="G2253" s="1">
        <v>45658</v>
      </c>
      <c r="H2253" s="14">
        <v>1781.6534000000001</v>
      </c>
      <c r="I2253">
        <v>281602</v>
      </c>
      <c r="J2253" t="s">
        <v>86</v>
      </c>
      <c r="K2253" t="s">
        <v>94</v>
      </c>
      <c r="L2253" s="16" t="s">
        <v>10</v>
      </c>
    </row>
    <row r="2254" spans="1:12" x14ac:dyDescent="0.35">
      <c r="A2254" t="s">
        <v>8</v>
      </c>
      <c r="B2254" t="s">
        <v>84</v>
      </c>
      <c r="C2254" t="s">
        <v>97</v>
      </c>
      <c r="D2254" t="s">
        <v>10</v>
      </c>
      <c r="E2254" t="s">
        <v>10</v>
      </c>
      <c r="F2254" s="7">
        <v>45787</v>
      </c>
      <c r="G2254" s="1">
        <v>45658</v>
      </c>
      <c r="H2254" s="14">
        <v>22785.651300000005</v>
      </c>
      <c r="I2254">
        <v>2619662</v>
      </c>
      <c r="J2254" t="s">
        <v>86</v>
      </c>
      <c r="K2254" t="s">
        <v>98</v>
      </c>
      <c r="L2254" s="16" t="s">
        <v>10</v>
      </c>
    </row>
    <row r="2255" spans="1:12" x14ac:dyDescent="0.35">
      <c r="A2255" t="s">
        <v>8</v>
      </c>
      <c r="B2255" t="s">
        <v>84</v>
      </c>
      <c r="C2255" t="s">
        <v>95</v>
      </c>
      <c r="D2255" t="s">
        <v>10</v>
      </c>
      <c r="E2255" t="s">
        <v>10</v>
      </c>
      <c r="F2255" s="7">
        <v>45787</v>
      </c>
      <c r="G2255" s="1">
        <v>45658</v>
      </c>
      <c r="H2255" s="14">
        <v>13053.08</v>
      </c>
      <c r="I2255">
        <v>598982</v>
      </c>
      <c r="J2255" t="s">
        <v>86</v>
      </c>
      <c r="K2255" t="s">
        <v>96</v>
      </c>
      <c r="L2255" s="16" t="s">
        <v>10</v>
      </c>
    </row>
    <row r="2256" spans="1:12" x14ac:dyDescent="0.35">
      <c r="A2256" t="s">
        <v>8</v>
      </c>
      <c r="B2256" t="s">
        <v>17</v>
      </c>
      <c r="C2256" t="s">
        <v>93</v>
      </c>
      <c r="D2256" t="s">
        <v>10</v>
      </c>
      <c r="E2256" t="s">
        <v>10</v>
      </c>
      <c r="F2256" s="7">
        <v>45787</v>
      </c>
      <c r="G2256" s="1">
        <v>45658</v>
      </c>
      <c r="H2256" s="14">
        <v>8126.6434000000063</v>
      </c>
      <c r="I2256">
        <v>1756260</v>
      </c>
      <c r="J2256" t="s">
        <v>86</v>
      </c>
      <c r="K2256" t="s">
        <v>94</v>
      </c>
      <c r="L2256" s="16" t="s">
        <v>10</v>
      </c>
    </row>
    <row r="2257" spans="1:12" x14ac:dyDescent="0.35">
      <c r="A2257" t="s">
        <v>8</v>
      </c>
      <c r="B2257" t="s">
        <v>17</v>
      </c>
      <c r="C2257" t="s">
        <v>95</v>
      </c>
      <c r="D2257" t="s">
        <v>10</v>
      </c>
      <c r="E2257" t="s">
        <v>10</v>
      </c>
      <c r="F2257" s="7">
        <v>45787</v>
      </c>
      <c r="G2257" s="1">
        <v>45658</v>
      </c>
      <c r="H2257" s="14">
        <v>14111.450000000004</v>
      </c>
      <c r="I2257">
        <v>2089023</v>
      </c>
      <c r="J2257" t="s">
        <v>86</v>
      </c>
      <c r="K2257" t="s">
        <v>96</v>
      </c>
      <c r="L2257" s="16" t="s">
        <v>10</v>
      </c>
    </row>
    <row r="2258" spans="1:12" x14ac:dyDescent="0.35">
      <c r="A2258" t="s">
        <v>8</v>
      </c>
      <c r="B2258" t="s">
        <v>99</v>
      </c>
      <c r="C2258" t="s">
        <v>93</v>
      </c>
      <c r="D2258" t="s">
        <v>10</v>
      </c>
      <c r="E2258" t="s">
        <v>10</v>
      </c>
      <c r="F2258" s="7">
        <v>45787</v>
      </c>
      <c r="G2258" s="1">
        <v>45658</v>
      </c>
      <c r="H2258" s="14">
        <v>5619.1816000000026</v>
      </c>
      <c r="I2258">
        <v>993272</v>
      </c>
      <c r="J2258" t="s">
        <v>86</v>
      </c>
      <c r="K2258" t="s">
        <v>94</v>
      </c>
      <c r="L2258" s="16" t="s">
        <v>10</v>
      </c>
    </row>
    <row r="2259" spans="1:12" x14ac:dyDescent="0.35">
      <c r="A2259" t="s">
        <v>8</v>
      </c>
      <c r="B2259" t="s">
        <v>99</v>
      </c>
      <c r="C2259" t="s">
        <v>95</v>
      </c>
      <c r="D2259" t="s">
        <v>10</v>
      </c>
      <c r="E2259" t="s">
        <v>10</v>
      </c>
      <c r="F2259" s="7">
        <v>45787</v>
      </c>
      <c r="G2259" s="1">
        <v>45658</v>
      </c>
      <c r="H2259" s="14">
        <v>4768.9700000000012</v>
      </c>
      <c r="I2259">
        <v>770234</v>
      </c>
      <c r="J2259" t="s">
        <v>86</v>
      </c>
      <c r="K2259" t="s">
        <v>96</v>
      </c>
      <c r="L2259" s="16" t="s">
        <v>10</v>
      </c>
    </row>
    <row r="2260" spans="1:12" x14ac:dyDescent="0.35">
      <c r="A2260" t="s">
        <v>8</v>
      </c>
      <c r="B2260" t="s">
        <v>100</v>
      </c>
      <c r="C2260" t="s">
        <v>93</v>
      </c>
      <c r="D2260" t="s">
        <v>10</v>
      </c>
      <c r="E2260" t="s">
        <v>10</v>
      </c>
      <c r="F2260" s="7">
        <v>45787</v>
      </c>
      <c r="G2260" s="1">
        <v>45658</v>
      </c>
      <c r="H2260" s="14">
        <v>5087.9211000000005</v>
      </c>
      <c r="I2260">
        <v>1049895</v>
      </c>
      <c r="J2260" t="s">
        <v>86</v>
      </c>
      <c r="K2260" t="s">
        <v>94</v>
      </c>
      <c r="L2260" s="16" t="s">
        <v>10</v>
      </c>
    </row>
    <row r="2261" spans="1:12" x14ac:dyDescent="0.35">
      <c r="A2261" t="s">
        <v>8</v>
      </c>
      <c r="B2261" t="s">
        <v>100</v>
      </c>
      <c r="C2261" t="s">
        <v>95</v>
      </c>
      <c r="D2261" t="s">
        <v>10</v>
      </c>
      <c r="E2261" t="s">
        <v>10</v>
      </c>
      <c r="F2261" s="7">
        <v>45787</v>
      </c>
      <c r="G2261" s="1">
        <v>45658</v>
      </c>
      <c r="H2261" s="14">
        <v>8137.5899999999965</v>
      </c>
      <c r="I2261">
        <v>2037439</v>
      </c>
      <c r="J2261" t="s">
        <v>86</v>
      </c>
      <c r="K2261" t="s">
        <v>96</v>
      </c>
      <c r="L2261" s="16" t="s">
        <v>10</v>
      </c>
    </row>
    <row r="2262" spans="1:12" x14ac:dyDescent="0.35">
      <c r="A2262" t="s">
        <v>8</v>
      </c>
      <c r="B2262" t="s">
        <v>21</v>
      </c>
      <c r="C2262" t="s">
        <v>93</v>
      </c>
      <c r="D2262" t="s">
        <v>10</v>
      </c>
      <c r="E2262" t="s">
        <v>10</v>
      </c>
      <c r="F2262" s="7">
        <v>45787</v>
      </c>
      <c r="G2262" s="1">
        <v>45658</v>
      </c>
      <c r="H2262" s="14">
        <v>5672.4155000000028</v>
      </c>
      <c r="I2262">
        <v>1651281</v>
      </c>
      <c r="J2262" t="s">
        <v>86</v>
      </c>
      <c r="K2262" t="s">
        <v>94</v>
      </c>
      <c r="L2262" s="16" t="s">
        <v>10</v>
      </c>
    </row>
    <row r="2263" spans="1:12" x14ac:dyDescent="0.35">
      <c r="A2263" t="s">
        <v>8</v>
      </c>
      <c r="B2263" t="s">
        <v>21</v>
      </c>
      <c r="C2263" t="s">
        <v>95</v>
      </c>
      <c r="D2263" t="s">
        <v>10</v>
      </c>
      <c r="E2263" t="s">
        <v>10</v>
      </c>
      <c r="F2263" s="7">
        <v>45787</v>
      </c>
      <c r="G2263" s="1">
        <v>45658</v>
      </c>
      <c r="H2263" s="14">
        <v>3084.9799999999996</v>
      </c>
      <c r="I2263">
        <v>607753</v>
      </c>
      <c r="J2263" t="s">
        <v>86</v>
      </c>
      <c r="K2263" t="s">
        <v>96</v>
      </c>
      <c r="L2263" s="16" t="s">
        <v>10</v>
      </c>
    </row>
    <row r="2264" spans="1:12" x14ac:dyDescent="0.35">
      <c r="A2264" t="s">
        <v>8</v>
      </c>
      <c r="B2264" t="s">
        <v>84</v>
      </c>
      <c r="C2264" t="s">
        <v>85</v>
      </c>
      <c r="D2264" t="s">
        <v>9</v>
      </c>
      <c r="E2264" t="s">
        <v>10</v>
      </c>
      <c r="F2264" s="7">
        <v>45794</v>
      </c>
      <c r="G2264" s="1">
        <v>45658</v>
      </c>
      <c r="H2264" s="14">
        <v>9400.390003999999</v>
      </c>
      <c r="I2264">
        <v>1598978</v>
      </c>
      <c r="J2264" t="s">
        <v>86</v>
      </c>
      <c r="K2264" t="s">
        <v>87</v>
      </c>
      <c r="L2264" s="16" t="s">
        <v>9</v>
      </c>
    </row>
    <row r="2265" spans="1:12" x14ac:dyDescent="0.35">
      <c r="A2265" t="s">
        <v>8</v>
      </c>
      <c r="B2265" t="s">
        <v>84</v>
      </c>
      <c r="C2265" t="s">
        <v>85</v>
      </c>
      <c r="D2265" t="s">
        <v>9</v>
      </c>
      <c r="E2265" t="s">
        <v>12</v>
      </c>
      <c r="F2265" s="7">
        <v>45794</v>
      </c>
      <c r="G2265" s="1">
        <v>45658</v>
      </c>
      <c r="H2265" s="14">
        <v>1895.3499980000001</v>
      </c>
      <c r="I2265">
        <v>337849</v>
      </c>
      <c r="J2265" t="s">
        <v>86</v>
      </c>
      <c r="K2265" t="s">
        <v>87</v>
      </c>
      <c r="L2265" s="16" t="s">
        <v>12</v>
      </c>
    </row>
    <row r="2266" spans="1:12" x14ac:dyDescent="0.35">
      <c r="A2266" t="s">
        <v>8</v>
      </c>
      <c r="B2266" t="s">
        <v>84</v>
      </c>
      <c r="C2266" t="s">
        <v>85</v>
      </c>
      <c r="D2266" t="s">
        <v>14</v>
      </c>
      <c r="E2266" t="s">
        <v>12</v>
      </c>
      <c r="F2266" s="7">
        <v>45794</v>
      </c>
      <c r="G2266" s="1">
        <v>45658</v>
      </c>
      <c r="H2266" s="14">
        <v>13499.82</v>
      </c>
      <c r="I2266">
        <v>3456088</v>
      </c>
      <c r="J2266" t="s">
        <v>86</v>
      </c>
      <c r="K2266" t="s">
        <v>91</v>
      </c>
      <c r="L2266" s="16" t="s">
        <v>12</v>
      </c>
    </row>
    <row r="2267" spans="1:12" x14ac:dyDescent="0.35">
      <c r="A2267" t="s">
        <v>8</v>
      </c>
      <c r="B2267" t="s">
        <v>18</v>
      </c>
      <c r="C2267" t="s">
        <v>85</v>
      </c>
      <c r="D2267" t="s">
        <v>9</v>
      </c>
      <c r="E2267" t="s">
        <v>10</v>
      </c>
      <c r="F2267" s="7">
        <v>45794</v>
      </c>
      <c r="G2267" s="1">
        <v>45658</v>
      </c>
      <c r="H2267" s="14">
        <v>9370.0399949999992</v>
      </c>
      <c r="I2267">
        <v>1944035</v>
      </c>
      <c r="J2267" t="s">
        <v>86</v>
      </c>
      <c r="K2267" t="s">
        <v>87</v>
      </c>
      <c r="L2267" s="16" t="s">
        <v>9</v>
      </c>
    </row>
    <row r="2268" spans="1:12" x14ac:dyDescent="0.35">
      <c r="A2268" t="s">
        <v>8</v>
      </c>
      <c r="B2268" t="s">
        <v>18</v>
      </c>
      <c r="C2268" t="s">
        <v>85</v>
      </c>
      <c r="D2268" t="s">
        <v>9</v>
      </c>
      <c r="E2268" t="s">
        <v>12</v>
      </c>
      <c r="F2268" s="7">
        <v>45794</v>
      </c>
      <c r="G2268" s="1">
        <v>45658</v>
      </c>
      <c r="H2268" s="14">
        <v>21287.130004000002</v>
      </c>
      <c r="I2268">
        <v>2518405</v>
      </c>
      <c r="J2268" t="s">
        <v>86</v>
      </c>
      <c r="K2268" t="s">
        <v>87</v>
      </c>
      <c r="L2268" s="16" t="s">
        <v>12</v>
      </c>
    </row>
    <row r="2269" spans="1:12" x14ac:dyDescent="0.35">
      <c r="A2269" t="s">
        <v>8</v>
      </c>
      <c r="B2269" t="s">
        <v>92</v>
      </c>
      <c r="C2269" t="s">
        <v>93</v>
      </c>
      <c r="D2269" t="s">
        <v>10</v>
      </c>
      <c r="E2269" t="s">
        <v>10</v>
      </c>
      <c r="F2269" s="7">
        <v>45794</v>
      </c>
      <c r="G2269" s="1">
        <v>45658</v>
      </c>
      <c r="H2269" s="14">
        <v>8517.9958000000006</v>
      </c>
      <c r="I2269">
        <v>1368903</v>
      </c>
      <c r="J2269" t="s">
        <v>86</v>
      </c>
      <c r="K2269" t="s">
        <v>94</v>
      </c>
      <c r="L2269" s="16" t="s">
        <v>10</v>
      </c>
    </row>
    <row r="2270" spans="1:12" x14ac:dyDescent="0.35">
      <c r="A2270" t="s">
        <v>8</v>
      </c>
      <c r="B2270" t="s">
        <v>92</v>
      </c>
      <c r="C2270" t="s">
        <v>95</v>
      </c>
      <c r="D2270" t="s">
        <v>10</v>
      </c>
      <c r="E2270" t="s">
        <v>10</v>
      </c>
      <c r="F2270" s="7">
        <v>45794</v>
      </c>
      <c r="G2270" s="1">
        <v>45658</v>
      </c>
      <c r="H2270" s="14">
        <v>14610.63</v>
      </c>
      <c r="I2270">
        <v>1991510</v>
      </c>
      <c r="J2270" t="s">
        <v>86</v>
      </c>
      <c r="K2270" t="s">
        <v>96</v>
      </c>
      <c r="L2270" s="16" t="s">
        <v>10</v>
      </c>
    </row>
    <row r="2271" spans="1:12" x14ac:dyDescent="0.35">
      <c r="A2271" t="s">
        <v>8</v>
      </c>
      <c r="B2271" t="s">
        <v>84</v>
      </c>
      <c r="C2271" t="s">
        <v>93</v>
      </c>
      <c r="D2271" t="s">
        <v>10</v>
      </c>
      <c r="E2271" t="s">
        <v>10</v>
      </c>
      <c r="F2271" s="7">
        <v>45794</v>
      </c>
      <c r="G2271" s="1">
        <v>45658</v>
      </c>
      <c r="H2271" s="14">
        <v>1811.604</v>
      </c>
      <c r="I2271">
        <v>275084</v>
      </c>
      <c r="J2271" t="s">
        <v>86</v>
      </c>
      <c r="K2271" t="s">
        <v>94</v>
      </c>
      <c r="L2271" s="16" t="s">
        <v>10</v>
      </c>
    </row>
    <row r="2272" spans="1:12" x14ac:dyDescent="0.35">
      <c r="A2272" t="s">
        <v>8</v>
      </c>
      <c r="B2272" t="s">
        <v>84</v>
      </c>
      <c r="C2272" t="s">
        <v>97</v>
      </c>
      <c r="D2272" t="s">
        <v>10</v>
      </c>
      <c r="E2272" t="s">
        <v>10</v>
      </c>
      <c r="F2272" s="7">
        <v>45794</v>
      </c>
      <c r="G2272" s="1">
        <v>45658</v>
      </c>
      <c r="H2272" s="14">
        <v>24157.396700000001</v>
      </c>
      <c r="I2272">
        <v>2716818</v>
      </c>
      <c r="J2272" t="s">
        <v>86</v>
      </c>
      <c r="K2272" t="s">
        <v>98</v>
      </c>
      <c r="L2272" s="16" t="s">
        <v>10</v>
      </c>
    </row>
    <row r="2273" spans="1:12" x14ac:dyDescent="0.35">
      <c r="A2273" t="s">
        <v>8</v>
      </c>
      <c r="B2273" t="s">
        <v>84</v>
      </c>
      <c r="C2273" t="s">
        <v>95</v>
      </c>
      <c r="D2273" t="s">
        <v>10</v>
      </c>
      <c r="E2273" t="s">
        <v>10</v>
      </c>
      <c r="F2273" s="7">
        <v>45794</v>
      </c>
      <c r="G2273" s="1">
        <v>45658</v>
      </c>
      <c r="H2273" s="14">
        <v>16050.230000000005</v>
      </c>
      <c r="I2273">
        <v>735038</v>
      </c>
      <c r="J2273" t="s">
        <v>86</v>
      </c>
      <c r="K2273" t="s">
        <v>96</v>
      </c>
      <c r="L2273" s="16" t="s">
        <v>10</v>
      </c>
    </row>
    <row r="2274" spans="1:12" x14ac:dyDescent="0.35">
      <c r="A2274" t="s">
        <v>8</v>
      </c>
      <c r="B2274" t="s">
        <v>17</v>
      </c>
      <c r="C2274" t="s">
        <v>93</v>
      </c>
      <c r="D2274" t="s">
        <v>10</v>
      </c>
      <c r="E2274" t="s">
        <v>10</v>
      </c>
      <c r="F2274" s="7">
        <v>45794</v>
      </c>
      <c r="G2274" s="1">
        <v>45658</v>
      </c>
      <c r="H2274" s="14">
        <v>8172.514000000001</v>
      </c>
      <c r="I2274">
        <v>1993530</v>
      </c>
      <c r="J2274" t="s">
        <v>86</v>
      </c>
      <c r="K2274" t="s">
        <v>94</v>
      </c>
      <c r="L2274" s="16" t="s">
        <v>10</v>
      </c>
    </row>
    <row r="2275" spans="1:12" x14ac:dyDescent="0.35">
      <c r="A2275" t="s">
        <v>8</v>
      </c>
      <c r="B2275" t="s">
        <v>17</v>
      </c>
      <c r="C2275" t="s">
        <v>95</v>
      </c>
      <c r="D2275" t="s">
        <v>10</v>
      </c>
      <c r="E2275" t="s">
        <v>10</v>
      </c>
      <c r="F2275" s="7">
        <v>45794</v>
      </c>
      <c r="G2275" s="1">
        <v>45658</v>
      </c>
      <c r="H2275" s="14">
        <v>13057.840000000006</v>
      </c>
      <c r="I2275">
        <v>1948863</v>
      </c>
      <c r="J2275" t="s">
        <v>86</v>
      </c>
      <c r="K2275" t="s">
        <v>96</v>
      </c>
      <c r="L2275" s="16" t="s">
        <v>10</v>
      </c>
    </row>
    <row r="2276" spans="1:12" x14ac:dyDescent="0.35">
      <c r="A2276" t="s">
        <v>8</v>
      </c>
      <c r="B2276" t="s">
        <v>99</v>
      </c>
      <c r="C2276" t="s">
        <v>93</v>
      </c>
      <c r="D2276" t="s">
        <v>10</v>
      </c>
      <c r="E2276" t="s">
        <v>10</v>
      </c>
      <c r="F2276" s="7">
        <v>45794</v>
      </c>
      <c r="G2276" s="1">
        <v>45658</v>
      </c>
      <c r="H2276" s="14">
        <v>5533.3743000000004</v>
      </c>
      <c r="I2276">
        <v>944163</v>
      </c>
      <c r="J2276" t="s">
        <v>86</v>
      </c>
      <c r="K2276" t="s">
        <v>94</v>
      </c>
      <c r="L2276" s="16" t="s">
        <v>10</v>
      </c>
    </row>
    <row r="2277" spans="1:12" x14ac:dyDescent="0.35">
      <c r="A2277" t="s">
        <v>8</v>
      </c>
      <c r="B2277" t="s">
        <v>99</v>
      </c>
      <c r="C2277" t="s">
        <v>95</v>
      </c>
      <c r="D2277" t="s">
        <v>10</v>
      </c>
      <c r="E2277" t="s">
        <v>10</v>
      </c>
      <c r="F2277" s="7">
        <v>45794</v>
      </c>
      <c r="G2277" s="1">
        <v>45658</v>
      </c>
      <c r="H2277" s="14">
        <v>4099.3500000000004</v>
      </c>
      <c r="I2277">
        <v>743408</v>
      </c>
      <c r="J2277" t="s">
        <v>86</v>
      </c>
      <c r="K2277" t="s">
        <v>96</v>
      </c>
      <c r="L2277" s="16" t="s">
        <v>10</v>
      </c>
    </row>
    <row r="2278" spans="1:12" x14ac:dyDescent="0.35">
      <c r="A2278" t="s">
        <v>8</v>
      </c>
      <c r="B2278" t="s">
        <v>100</v>
      </c>
      <c r="C2278" t="s">
        <v>93</v>
      </c>
      <c r="D2278" t="s">
        <v>10</v>
      </c>
      <c r="E2278" t="s">
        <v>10</v>
      </c>
      <c r="F2278" s="7">
        <v>45794</v>
      </c>
      <c r="G2278" s="1">
        <v>45658</v>
      </c>
      <c r="H2278" s="14">
        <v>5092.7151999999996</v>
      </c>
      <c r="I2278">
        <v>1084087</v>
      </c>
      <c r="J2278" t="s">
        <v>86</v>
      </c>
      <c r="K2278" t="s">
        <v>94</v>
      </c>
      <c r="L2278" s="16" t="s">
        <v>10</v>
      </c>
    </row>
    <row r="2279" spans="1:12" x14ac:dyDescent="0.35">
      <c r="A2279" t="s">
        <v>8</v>
      </c>
      <c r="B2279" t="s">
        <v>100</v>
      </c>
      <c r="C2279" t="s">
        <v>95</v>
      </c>
      <c r="D2279" t="s">
        <v>10</v>
      </c>
      <c r="E2279" t="s">
        <v>10</v>
      </c>
      <c r="F2279" s="7">
        <v>45794</v>
      </c>
      <c r="G2279" s="1">
        <v>45658</v>
      </c>
      <c r="H2279" s="14">
        <v>7662.8600000000015</v>
      </c>
      <c r="I2279">
        <v>1994089</v>
      </c>
      <c r="J2279" t="s">
        <v>86</v>
      </c>
      <c r="K2279" t="s">
        <v>96</v>
      </c>
      <c r="L2279" s="16" t="s">
        <v>10</v>
      </c>
    </row>
    <row r="2280" spans="1:12" x14ac:dyDescent="0.35">
      <c r="A2280" t="s">
        <v>8</v>
      </c>
      <c r="B2280" t="s">
        <v>21</v>
      </c>
      <c r="C2280" t="s">
        <v>93</v>
      </c>
      <c r="D2280" t="s">
        <v>10</v>
      </c>
      <c r="E2280" t="s">
        <v>10</v>
      </c>
      <c r="F2280" s="7">
        <v>45794</v>
      </c>
      <c r="G2280" s="1">
        <v>45658</v>
      </c>
      <c r="H2280" s="14">
        <v>5726.5898000000016</v>
      </c>
      <c r="I2280">
        <v>1699015</v>
      </c>
      <c r="J2280" t="s">
        <v>86</v>
      </c>
      <c r="K2280" t="s">
        <v>94</v>
      </c>
      <c r="L2280" s="16" t="s">
        <v>10</v>
      </c>
    </row>
    <row r="2281" spans="1:12" x14ac:dyDescent="0.35">
      <c r="A2281" t="s">
        <v>8</v>
      </c>
      <c r="B2281" t="s">
        <v>21</v>
      </c>
      <c r="C2281" t="s">
        <v>95</v>
      </c>
      <c r="D2281" t="s">
        <v>10</v>
      </c>
      <c r="E2281" t="s">
        <v>10</v>
      </c>
      <c r="F2281" s="7">
        <v>45794</v>
      </c>
      <c r="G2281" s="1">
        <v>45658</v>
      </c>
      <c r="H2281" s="14">
        <v>2678.1899999999991</v>
      </c>
      <c r="I2281">
        <v>675526</v>
      </c>
      <c r="J2281" t="s">
        <v>86</v>
      </c>
      <c r="K2281" t="s">
        <v>96</v>
      </c>
      <c r="L2281" s="16" t="s">
        <v>10</v>
      </c>
    </row>
    <row r="2282" spans="1:12" x14ac:dyDescent="0.35">
      <c r="A2282" t="s">
        <v>8</v>
      </c>
      <c r="B2282" t="s">
        <v>84</v>
      </c>
      <c r="C2282" t="s">
        <v>85</v>
      </c>
      <c r="D2282" t="s">
        <v>9</v>
      </c>
      <c r="E2282" t="s">
        <v>10</v>
      </c>
      <c r="F2282" s="7">
        <v>45801</v>
      </c>
      <c r="G2282" s="1">
        <v>45658</v>
      </c>
      <c r="H2282" s="14">
        <v>10024.770003999998</v>
      </c>
      <c r="I2282">
        <v>1577712</v>
      </c>
      <c r="J2282" t="s">
        <v>86</v>
      </c>
      <c r="K2282" t="s">
        <v>87</v>
      </c>
      <c r="L2282" s="16" t="s">
        <v>9</v>
      </c>
    </row>
    <row r="2283" spans="1:12" x14ac:dyDescent="0.35">
      <c r="A2283" t="s">
        <v>8</v>
      </c>
      <c r="B2283" t="s">
        <v>84</v>
      </c>
      <c r="C2283" t="s">
        <v>85</v>
      </c>
      <c r="D2283" t="s">
        <v>9</v>
      </c>
      <c r="E2283" t="s">
        <v>12</v>
      </c>
      <c r="F2283" s="7">
        <v>45801</v>
      </c>
      <c r="G2283" s="1">
        <v>45658</v>
      </c>
      <c r="H2283" s="14">
        <v>1296.4499979999998</v>
      </c>
      <c r="I2283">
        <v>216258</v>
      </c>
      <c r="J2283" t="s">
        <v>86</v>
      </c>
      <c r="K2283" t="s">
        <v>87</v>
      </c>
      <c r="L2283" s="16" t="s">
        <v>12</v>
      </c>
    </row>
    <row r="2284" spans="1:12" x14ac:dyDescent="0.35">
      <c r="A2284" t="s">
        <v>8</v>
      </c>
      <c r="B2284" t="s">
        <v>84</v>
      </c>
      <c r="C2284" t="s">
        <v>85</v>
      </c>
      <c r="D2284" t="s">
        <v>14</v>
      </c>
      <c r="E2284" t="s">
        <v>12</v>
      </c>
      <c r="F2284" s="7">
        <v>45801</v>
      </c>
      <c r="G2284" s="1">
        <v>45658</v>
      </c>
      <c r="H2284" s="14">
        <v>2106.66</v>
      </c>
      <c r="I2284">
        <v>514820</v>
      </c>
      <c r="J2284" t="s">
        <v>86</v>
      </c>
      <c r="K2284" t="s">
        <v>91</v>
      </c>
      <c r="L2284" s="16" t="s">
        <v>12</v>
      </c>
    </row>
    <row r="2285" spans="1:12" x14ac:dyDescent="0.35">
      <c r="A2285" t="s">
        <v>8</v>
      </c>
      <c r="B2285" t="s">
        <v>18</v>
      </c>
      <c r="C2285" t="s">
        <v>85</v>
      </c>
      <c r="D2285" t="s">
        <v>9</v>
      </c>
      <c r="E2285" t="s">
        <v>10</v>
      </c>
      <c r="F2285" s="7">
        <v>45801</v>
      </c>
      <c r="G2285" s="1">
        <v>45658</v>
      </c>
      <c r="H2285" s="14">
        <v>164.18</v>
      </c>
      <c r="I2285">
        <v>12632</v>
      </c>
      <c r="J2285" t="s">
        <v>86</v>
      </c>
      <c r="K2285" t="s">
        <v>87</v>
      </c>
      <c r="L2285" s="16" t="s">
        <v>9</v>
      </c>
    </row>
    <row r="2286" spans="1:12" x14ac:dyDescent="0.35">
      <c r="A2286" t="s">
        <v>8</v>
      </c>
      <c r="B2286" t="s">
        <v>18</v>
      </c>
      <c r="C2286" t="s">
        <v>85</v>
      </c>
      <c r="D2286" t="s">
        <v>9</v>
      </c>
      <c r="E2286" t="s">
        <v>12</v>
      </c>
      <c r="F2286" s="7">
        <v>45801</v>
      </c>
      <c r="G2286" s="1">
        <v>45658</v>
      </c>
      <c r="H2286" s="14">
        <v>30498.509989000002</v>
      </c>
      <c r="I2286">
        <v>3855759</v>
      </c>
      <c r="J2286" t="s">
        <v>86</v>
      </c>
      <c r="K2286" t="s">
        <v>87</v>
      </c>
      <c r="L2286" s="16" t="s">
        <v>12</v>
      </c>
    </row>
    <row r="2287" spans="1:12" x14ac:dyDescent="0.35">
      <c r="A2287" t="s">
        <v>8</v>
      </c>
      <c r="B2287" t="s">
        <v>92</v>
      </c>
      <c r="C2287" t="s">
        <v>93</v>
      </c>
      <c r="D2287" t="s">
        <v>10</v>
      </c>
      <c r="E2287" t="s">
        <v>10</v>
      </c>
      <c r="F2287" s="7">
        <v>45801</v>
      </c>
      <c r="G2287" s="1">
        <v>45658</v>
      </c>
      <c r="H2287" s="14">
        <v>8670.7272999999986</v>
      </c>
      <c r="I2287">
        <v>1722083</v>
      </c>
      <c r="J2287" t="s">
        <v>86</v>
      </c>
      <c r="K2287" t="s">
        <v>94</v>
      </c>
      <c r="L2287" s="16" t="s">
        <v>10</v>
      </c>
    </row>
    <row r="2288" spans="1:12" x14ac:dyDescent="0.35">
      <c r="A2288" t="s">
        <v>8</v>
      </c>
      <c r="B2288" t="s">
        <v>92</v>
      </c>
      <c r="C2288" t="s">
        <v>95</v>
      </c>
      <c r="D2288" t="s">
        <v>10</v>
      </c>
      <c r="E2288" t="s">
        <v>10</v>
      </c>
      <c r="F2288" s="7">
        <v>45801</v>
      </c>
      <c r="G2288" s="1">
        <v>45658</v>
      </c>
      <c r="H2288" s="14">
        <v>23826.120000000003</v>
      </c>
      <c r="I2288">
        <v>2803426</v>
      </c>
      <c r="J2288" t="s">
        <v>86</v>
      </c>
      <c r="K2288" t="s">
        <v>96</v>
      </c>
      <c r="L2288" s="16" t="s">
        <v>10</v>
      </c>
    </row>
    <row r="2289" spans="1:12" x14ac:dyDescent="0.35">
      <c r="A2289" t="s">
        <v>8</v>
      </c>
      <c r="B2289" t="s">
        <v>84</v>
      </c>
      <c r="C2289" t="s">
        <v>93</v>
      </c>
      <c r="D2289" t="s">
        <v>10</v>
      </c>
      <c r="E2289" t="s">
        <v>10</v>
      </c>
      <c r="F2289" s="7">
        <v>45801</v>
      </c>
      <c r="G2289" s="1">
        <v>45658</v>
      </c>
      <c r="H2289" s="14">
        <v>1781.5704000000001</v>
      </c>
      <c r="I2289">
        <v>236495</v>
      </c>
      <c r="J2289" t="s">
        <v>86</v>
      </c>
      <c r="K2289" t="s">
        <v>94</v>
      </c>
      <c r="L2289" s="16" t="s">
        <v>10</v>
      </c>
    </row>
    <row r="2290" spans="1:12" x14ac:dyDescent="0.35">
      <c r="A2290" t="s">
        <v>8</v>
      </c>
      <c r="B2290" t="s">
        <v>84</v>
      </c>
      <c r="C2290" t="s">
        <v>97</v>
      </c>
      <c r="D2290" t="s">
        <v>10</v>
      </c>
      <c r="E2290" t="s">
        <v>10</v>
      </c>
      <c r="F2290" s="7">
        <v>45801</v>
      </c>
      <c r="G2290" s="1">
        <v>45658</v>
      </c>
      <c r="H2290" s="14">
        <v>24013.282599999995</v>
      </c>
      <c r="I2290">
        <v>2839878</v>
      </c>
      <c r="J2290" t="s">
        <v>86</v>
      </c>
      <c r="K2290" t="s">
        <v>98</v>
      </c>
      <c r="L2290" s="16" t="s">
        <v>10</v>
      </c>
    </row>
    <row r="2291" spans="1:12" x14ac:dyDescent="0.35">
      <c r="A2291" t="s">
        <v>8</v>
      </c>
      <c r="B2291" t="s">
        <v>84</v>
      </c>
      <c r="C2291" t="s">
        <v>95</v>
      </c>
      <c r="D2291" t="s">
        <v>10</v>
      </c>
      <c r="E2291" t="s">
        <v>10</v>
      </c>
      <c r="F2291" s="7">
        <v>45801</v>
      </c>
      <c r="G2291" s="1">
        <v>45658</v>
      </c>
      <c r="H2291" s="14">
        <v>8414.84</v>
      </c>
      <c r="I2291">
        <v>497238</v>
      </c>
      <c r="J2291" t="s">
        <v>86</v>
      </c>
      <c r="K2291" t="s">
        <v>96</v>
      </c>
      <c r="L2291" s="16" t="s">
        <v>10</v>
      </c>
    </row>
    <row r="2292" spans="1:12" x14ac:dyDescent="0.35">
      <c r="A2292" t="s">
        <v>8</v>
      </c>
      <c r="B2292" t="s">
        <v>17</v>
      </c>
      <c r="C2292" t="s">
        <v>93</v>
      </c>
      <c r="D2292" t="s">
        <v>10</v>
      </c>
      <c r="E2292" t="s">
        <v>10</v>
      </c>
      <c r="F2292" s="7">
        <v>45801</v>
      </c>
      <c r="G2292" s="1">
        <v>45658</v>
      </c>
      <c r="H2292" s="14">
        <v>8177.1677</v>
      </c>
      <c r="I2292">
        <v>1978199</v>
      </c>
      <c r="J2292" t="s">
        <v>86</v>
      </c>
      <c r="K2292" t="s">
        <v>94</v>
      </c>
      <c r="L2292" s="16" t="s">
        <v>10</v>
      </c>
    </row>
    <row r="2293" spans="1:12" x14ac:dyDescent="0.35">
      <c r="A2293" t="s">
        <v>8</v>
      </c>
      <c r="B2293" t="s">
        <v>17</v>
      </c>
      <c r="C2293" t="s">
        <v>95</v>
      </c>
      <c r="D2293" t="s">
        <v>10</v>
      </c>
      <c r="E2293" t="s">
        <v>10</v>
      </c>
      <c r="F2293" s="7">
        <v>45801</v>
      </c>
      <c r="G2293" s="1">
        <v>45658</v>
      </c>
      <c r="H2293" s="14">
        <v>10933.79</v>
      </c>
      <c r="I2293">
        <v>1571145</v>
      </c>
      <c r="J2293" t="s">
        <v>86</v>
      </c>
      <c r="K2293" t="s">
        <v>96</v>
      </c>
      <c r="L2293" s="16" t="s">
        <v>10</v>
      </c>
    </row>
    <row r="2294" spans="1:12" x14ac:dyDescent="0.35">
      <c r="A2294" t="s">
        <v>8</v>
      </c>
      <c r="B2294" t="s">
        <v>99</v>
      </c>
      <c r="C2294" t="s">
        <v>93</v>
      </c>
      <c r="D2294" t="s">
        <v>10</v>
      </c>
      <c r="E2294" t="s">
        <v>10</v>
      </c>
      <c r="F2294" s="7">
        <v>45801</v>
      </c>
      <c r="G2294" s="1">
        <v>45658</v>
      </c>
      <c r="H2294" s="14">
        <v>5642.2011999999941</v>
      </c>
      <c r="I2294">
        <v>1003548</v>
      </c>
      <c r="J2294" t="s">
        <v>86</v>
      </c>
      <c r="K2294" t="s">
        <v>94</v>
      </c>
      <c r="L2294" s="16" t="s">
        <v>10</v>
      </c>
    </row>
    <row r="2295" spans="1:12" x14ac:dyDescent="0.35">
      <c r="A2295" t="s">
        <v>8</v>
      </c>
      <c r="B2295" t="s">
        <v>99</v>
      </c>
      <c r="C2295" t="s">
        <v>95</v>
      </c>
      <c r="D2295" t="s">
        <v>10</v>
      </c>
      <c r="E2295" t="s">
        <v>10</v>
      </c>
      <c r="F2295" s="7">
        <v>45801</v>
      </c>
      <c r="G2295" s="1">
        <v>45658</v>
      </c>
      <c r="H2295" s="14">
        <v>4343.9799999999977</v>
      </c>
      <c r="I2295">
        <v>792197</v>
      </c>
      <c r="J2295" t="s">
        <v>86</v>
      </c>
      <c r="K2295" t="s">
        <v>96</v>
      </c>
      <c r="L2295" s="16" t="s">
        <v>10</v>
      </c>
    </row>
    <row r="2296" spans="1:12" x14ac:dyDescent="0.35">
      <c r="A2296" t="s">
        <v>8</v>
      </c>
      <c r="B2296" t="s">
        <v>100</v>
      </c>
      <c r="C2296" t="s">
        <v>93</v>
      </c>
      <c r="D2296" t="s">
        <v>10</v>
      </c>
      <c r="E2296" t="s">
        <v>10</v>
      </c>
      <c r="F2296" s="7">
        <v>45801</v>
      </c>
      <c r="G2296" s="1">
        <v>45658</v>
      </c>
      <c r="H2296" s="14">
        <v>5059.7958999999983</v>
      </c>
      <c r="I2296">
        <v>1355982</v>
      </c>
      <c r="J2296" t="s">
        <v>86</v>
      </c>
      <c r="K2296" t="s">
        <v>94</v>
      </c>
      <c r="L2296" s="16" t="s">
        <v>10</v>
      </c>
    </row>
    <row r="2297" spans="1:12" x14ac:dyDescent="0.35">
      <c r="A2297" t="s">
        <v>8</v>
      </c>
      <c r="B2297" t="s">
        <v>100</v>
      </c>
      <c r="C2297" t="s">
        <v>95</v>
      </c>
      <c r="D2297" t="s">
        <v>10</v>
      </c>
      <c r="E2297" t="s">
        <v>10</v>
      </c>
      <c r="F2297" s="7">
        <v>45801</v>
      </c>
      <c r="G2297" s="1">
        <v>45658</v>
      </c>
      <c r="H2297" s="14">
        <v>7587.0799999999981</v>
      </c>
      <c r="I2297">
        <v>2132222</v>
      </c>
      <c r="J2297" t="s">
        <v>86</v>
      </c>
      <c r="K2297" t="s">
        <v>96</v>
      </c>
      <c r="L2297" s="16" t="s">
        <v>10</v>
      </c>
    </row>
    <row r="2298" spans="1:12" x14ac:dyDescent="0.35">
      <c r="A2298" t="s">
        <v>8</v>
      </c>
      <c r="B2298" t="s">
        <v>21</v>
      </c>
      <c r="C2298" t="s">
        <v>93</v>
      </c>
      <c r="D2298" t="s">
        <v>10</v>
      </c>
      <c r="E2298" t="s">
        <v>10</v>
      </c>
      <c r="F2298" s="7">
        <v>45801</v>
      </c>
      <c r="G2298" s="1">
        <v>45658</v>
      </c>
      <c r="H2298" s="14">
        <v>5762.631800000001</v>
      </c>
      <c r="I2298">
        <v>1955709</v>
      </c>
      <c r="J2298" t="s">
        <v>86</v>
      </c>
      <c r="K2298" t="s">
        <v>94</v>
      </c>
      <c r="L2298" s="16" t="s">
        <v>10</v>
      </c>
    </row>
    <row r="2299" spans="1:12" x14ac:dyDescent="0.35">
      <c r="A2299" t="s">
        <v>8</v>
      </c>
      <c r="B2299" t="s">
        <v>21</v>
      </c>
      <c r="C2299" t="s">
        <v>95</v>
      </c>
      <c r="D2299" t="s">
        <v>10</v>
      </c>
      <c r="E2299" t="s">
        <v>10</v>
      </c>
      <c r="F2299" s="7">
        <v>45801</v>
      </c>
      <c r="G2299" s="1">
        <v>45658</v>
      </c>
      <c r="H2299" s="14">
        <v>2704.1</v>
      </c>
      <c r="I2299">
        <v>595901</v>
      </c>
      <c r="J2299" t="s">
        <v>86</v>
      </c>
      <c r="K2299" t="s">
        <v>96</v>
      </c>
      <c r="L2299" s="16" t="s">
        <v>10</v>
      </c>
    </row>
    <row r="2300" spans="1:12" x14ac:dyDescent="0.35">
      <c r="A2300" t="s">
        <v>8</v>
      </c>
      <c r="B2300" t="s">
        <v>84</v>
      </c>
      <c r="C2300" t="s">
        <v>85</v>
      </c>
      <c r="D2300" t="s">
        <v>9</v>
      </c>
      <c r="E2300" t="s">
        <v>10</v>
      </c>
      <c r="F2300" s="7">
        <v>45808</v>
      </c>
      <c r="G2300" s="1">
        <v>45658</v>
      </c>
      <c r="H2300" s="14">
        <v>8309.740006</v>
      </c>
      <c r="I2300">
        <v>1366302</v>
      </c>
      <c r="J2300" t="s">
        <v>86</v>
      </c>
      <c r="K2300" t="s">
        <v>87</v>
      </c>
      <c r="L2300" s="16" t="s">
        <v>9</v>
      </c>
    </row>
    <row r="2301" spans="1:12" x14ac:dyDescent="0.35">
      <c r="A2301" t="s">
        <v>8</v>
      </c>
      <c r="B2301" t="s">
        <v>84</v>
      </c>
      <c r="C2301" t="s">
        <v>85</v>
      </c>
      <c r="D2301" t="s">
        <v>9</v>
      </c>
      <c r="E2301" t="s">
        <v>12</v>
      </c>
      <c r="F2301" s="7">
        <v>45808</v>
      </c>
      <c r="G2301" s="1">
        <v>45658</v>
      </c>
      <c r="H2301" s="14">
        <v>1263.8499999999997</v>
      </c>
      <c r="I2301">
        <v>218948</v>
      </c>
      <c r="J2301" t="s">
        <v>86</v>
      </c>
      <c r="K2301" t="s">
        <v>87</v>
      </c>
      <c r="L2301" s="16" t="s">
        <v>12</v>
      </c>
    </row>
    <row r="2302" spans="1:12" x14ac:dyDescent="0.35">
      <c r="A2302" t="s">
        <v>8</v>
      </c>
      <c r="B2302" t="s">
        <v>84</v>
      </c>
      <c r="C2302" t="s">
        <v>85</v>
      </c>
      <c r="D2302" t="s">
        <v>14</v>
      </c>
      <c r="E2302" t="s">
        <v>10</v>
      </c>
      <c r="F2302" s="7">
        <v>45808</v>
      </c>
      <c r="G2302" s="1">
        <v>45658</v>
      </c>
      <c r="H2302" s="14">
        <v>1495.19</v>
      </c>
      <c r="I2302">
        <v>345275</v>
      </c>
      <c r="J2302" t="s">
        <v>86</v>
      </c>
      <c r="K2302" t="s">
        <v>91</v>
      </c>
      <c r="L2302" s="16" t="s">
        <v>14</v>
      </c>
    </row>
    <row r="2303" spans="1:12" x14ac:dyDescent="0.35">
      <c r="A2303" t="s">
        <v>8</v>
      </c>
      <c r="B2303" t="s">
        <v>18</v>
      </c>
      <c r="C2303" t="s">
        <v>85</v>
      </c>
      <c r="D2303" t="s">
        <v>9</v>
      </c>
      <c r="E2303" t="s">
        <v>10</v>
      </c>
      <c r="F2303" s="7">
        <v>45808</v>
      </c>
      <c r="G2303" s="1">
        <v>45658</v>
      </c>
      <c r="H2303" s="14">
        <v>279.79999800000002</v>
      </c>
      <c r="I2303">
        <v>17816</v>
      </c>
      <c r="J2303" t="s">
        <v>86</v>
      </c>
      <c r="K2303" t="s">
        <v>87</v>
      </c>
      <c r="L2303" s="16" t="s">
        <v>9</v>
      </c>
    </row>
    <row r="2304" spans="1:12" x14ac:dyDescent="0.35">
      <c r="A2304" t="s">
        <v>8</v>
      </c>
      <c r="B2304" t="s">
        <v>18</v>
      </c>
      <c r="C2304" t="s">
        <v>85</v>
      </c>
      <c r="D2304" t="s">
        <v>9</v>
      </c>
      <c r="E2304" t="s">
        <v>12</v>
      </c>
      <c r="F2304" s="7">
        <v>45808</v>
      </c>
      <c r="G2304" s="1">
        <v>45658</v>
      </c>
      <c r="H2304" s="14">
        <v>29961.190005000004</v>
      </c>
      <c r="I2304">
        <v>3828078</v>
      </c>
      <c r="J2304" t="s">
        <v>86</v>
      </c>
      <c r="K2304" t="s">
        <v>87</v>
      </c>
      <c r="L2304" s="16" t="s">
        <v>12</v>
      </c>
    </row>
    <row r="2305" spans="1:12" x14ac:dyDescent="0.35">
      <c r="A2305" t="s">
        <v>8</v>
      </c>
      <c r="B2305" t="s">
        <v>92</v>
      </c>
      <c r="C2305" t="s">
        <v>93</v>
      </c>
      <c r="D2305" t="s">
        <v>10</v>
      </c>
      <c r="E2305" t="s">
        <v>10</v>
      </c>
      <c r="F2305" s="7">
        <v>45808</v>
      </c>
      <c r="G2305" s="1">
        <v>45658</v>
      </c>
      <c r="H2305" s="14">
        <v>7711.7775000000047</v>
      </c>
      <c r="I2305">
        <v>2280198</v>
      </c>
      <c r="J2305" t="s">
        <v>86</v>
      </c>
      <c r="K2305" t="s">
        <v>94</v>
      </c>
      <c r="L2305" s="16" t="s">
        <v>10</v>
      </c>
    </row>
    <row r="2306" spans="1:12" x14ac:dyDescent="0.35">
      <c r="A2306" t="s">
        <v>8</v>
      </c>
      <c r="B2306" t="s">
        <v>92</v>
      </c>
      <c r="C2306" t="s">
        <v>95</v>
      </c>
      <c r="D2306" t="s">
        <v>10</v>
      </c>
      <c r="E2306" t="s">
        <v>10</v>
      </c>
      <c r="F2306" s="7">
        <v>45808</v>
      </c>
      <c r="G2306" s="1">
        <v>45658</v>
      </c>
      <c r="H2306" s="14">
        <v>18021.63</v>
      </c>
      <c r="I2306">
        <v>2014084</v>
      </c>
      <c r="J2306" t="s">
        <v>86</v>
      </c>
      <c r="K2306" t="s">
        <v>96</v>
      </c>
      <c r="L2306" s="16" t="s">
        <v>10</v>
      </c>
    </row>
    <row r="2307" spans="1:12" x14ac:dyDescent="0.35">
      <c r="A2307" t="s">
        <v>8</v>
      </c>
      <c r="B2307" t="s">
        <v>84</v>
      </c>
      <c r="C2307" t="s">
        <v>93</v>
      </c>
      <c r="D2307" t="s">
        <v>10</v>
      </c>
      <c r="E2307" t="s">
        <v>10</v>
      </c>
      <c r="F2307" s="7">
        <v>45808</v>
      </c>
      <c r="G2307" s="1">
        <v>45658</v>
      </c>
      <c r="H2307" s="14">
        <v>1606.3448999999998</v>
      </c>
      <c r="I2307">
        <v>197920</v>
      </c>
      <c r="J2307" t="s">
        <v>86</v>
      </c>
      <c r="K2307" t="s">
        <v>94</v>
      </c>
      <c r="L2307" s="16" t="s">
        <v>10</v>
      </c>
    </row>
    <row r="2308" spans="1:12" x14ac:dyDescent="0.35">
      <c r="A2308" t="s">
        <v>8</v>
      </c>
      <c r="B2308" t="s">
        <v>84</v>
      </c>
      <c r="C2308" t="s">
        <v>97</v>
      </c>
      <c r="D2308" t="s">
        <v>10</v>
      </c>
      <c r="E2308" t="s">
        <v>10</v>
      </c>
      <c r="F2308" s="7">
        <v>45808</v>
      </c>
      <c r="G2308" s="1">
        <v>45658</v>
      </c>
      <c r="H2308" s="14">
        <v>44444.99629999997</v>
      </c>
      <c r="I2308">
        <v>3834368</v>
      </c>
      <c r="J2308" t="s">
        <v>86</v>
      </c>
      <c r="K2308" t="s">
        <v>98</v>
      </c>
      <c r="L2308" s="16" t="s">
        <v>10</v>
      </c>
    </row>
    <row r="2309" spans="1:12" x14ac:dyDescent="0.35">
      <c r="A2309" t="s">
        <v>8</v>
      </c>
      <c r="B2309" t="s">
        <v>84</v>
      </c>
      <c r="C2309" t="s">
        <v>95</v>
      </c>
      <c r="D2309" t="s">
        <v>10</v>
      </c>
      <c r="E2309" t="s">
        <v>10</v>
      </c>
      <c r="F2309" s="7">
        <v>45808</v>
      </c>
      <c r="G2309" s="1">
        <v>45658</v>
      </c>
      <c r="H2309" s="14">
        <v>12189.31</v>
      </c>
      <c r="I2309">
        <v>893453</v>
      </c>
      <c r="J2309" t="s">
        <v>86</v>
      </c>
      <c r="K2309" t="s">
        <v>96</v>
      </c>
      <c r="L2309" s="16" t="s">
        <v>10</v>
      </c>
    </row>
    <row r="2310" spans="1:12" x14ac:dyDescent="0.35">
      <c r="A2310" t="s">
        <v>8</v>
      </c>
      <c r="B2310" t="s">
        <v>17</v>
      </c>
      <c r="C2310" t="s">
        <v>93</v>
      </c>
      <c r="D2310" t="s">
        <v>10</v>
      </c>
      <c r="E2310" t="s">
        <v>10</v>
      </c>
      <c r="F2310" s="7">
        <v>45808</v>
      </c>
      <c r="G2310" s="1">
        <v>45658</v>
      </c>
      <c r="H2310" s="14">
        <v>7496.534700000002</v>
      </c>
      <c r="I2310">
        <v>2333585</v>
      </c>
      <c r="J2310" t="s">
        <v>86</v>
      </c>
      <c r="K2310" t="s">
        <v>94</v>
      </c>
      <c r="L2310" s="16" t="s">
        <v>10</v>
      </c>
    </row>
    <row r="2311" spans="1:12" x14ac:dyDescent="0.35">
      <c r="A2311" t="s">
        <v>8</v>
      </c>
      <c r="B2311" t="s">
        <v>17</v>
      </c>
      <c r="C2311" t="s">
        <v>95</v>
      </c>
      <c r="D2311" t="s">
        <v>10</v>
      </c>
      <c r="E2311" t="s">
        <v>10</v>
      </c>
      <c r="F2311" s="7">
        <v>45808</v>
      </c>
      <c r="G2311" s="1">
        <v>45658</v>
      </c>
      <c r="H2311" s="14">
        <v>8796.4200000000037</v>
      </c>
      <c r="I2311">
        <v>1437208</v>
      </c>
      <c r="J2311" t="s">
        <v>86</v>
      </c>
      <c r="K2311" t="s">
        <v>96</v>
      </c>
      <c r="L2311" s="16" t="s">
        <v>10</v>
      </c>
    </row>
    <row r="2312" spans="1:12" x14ac:dyDescent="0.35">
      <c r="A2312" t="s">
        <v>8</v>
      </c>
      <c r="B2312" t="s">
        <v>99</v>
      </c>
      <c r="C2312" t="s">
        <v>93</v>
      </c>
      <c r="D2312" t="s">
        <v>10</v>
      </c>
      <c r="E2312" t="s">
        <v>10</v>
      </c>
      <c r="F2312" s="7">
        <v>45808</v>
      </c>
      <c r="G2312" s="1">
        <v>45658</v>
      </c>
      <c r="H2312" s="14">
        <v>5526.1924000000017</v>
      </c>
      <c r="I2312">
        <v>1267171</v>
      </c>
      <c r="J2312" t="s">
        <v>86</v>
      </c>
      <c r="K2312" t="s">
        <v>94</v>
      </c>
      <c r="L2312" s="16" t="s">
        <v>10</v>
      </c>
    </row>
    <row r="2313" spans="1:12" x14ac:dyDescent="0.35">
      <c r="A2313" t="s">
        <v>8</v>
      </c>
      <c r="B2313" t="s">
        <v>99</v>
      </c>
      <c r="C2313" t="s">
        <v>95</v>
      </c>
      <c r="D2313" t="s">
        <v>10</v>
      </c>
      <c r="E2313" t="s">
        <v>10</v>
      </c>
      <c r="F2313" s="7">
        <v>45808</v>
      </c>
      <c r="G2313" s="1">
        <v>45658</v>
      </c>
      <c r="H2313" s="14">
        <v>4381.47</v>
      </c>
      <c r="I2313">
        <v>868333</v>
      </c>
      <c r="J2313" t="s">
        <v>86</v>
      </c>
      <c r="K2313" t="s">
        <v>96</v>
      </c>
      <c r="L2313" s="16" t="s">
        <v>10</v>
      </c>
    </row>
    <row r="2314" spans="1:12" x14ac:dyDescent="0.35">
      <c r="A2314" t="s">
        <v>8</v>
      </c>
      <c r="B2314" t="s">
        <v>100</v>
      </c>
      <c r="C2314" t="s">
        <v>93</v>
      </c>
      <c r="D2314" t="s">
        <v>10</v>
      </c>
      <c r="E2314" t="s">
        <v>10</v>
      </c>
      <c r="F2314" s="7">
        <v>45808</v>
      </c>
      <c r="G2314" s="1">
        <v>45658</v>
      </c>
      <c r="H2314" s="14">
        <v>4628.8854000000001</v>
      </c>
      <c r="I2314">
        <v>1417167</v>
      </c>
      <c r="J2314" t="s">
        <v>86</v>
      </c>
      <c r="K2314" t="s">
        <v>94</v>
      </c>
      <c r="L2314" s="16" t="s">
        <v>10</v>
      </c>
    </row>
    <row r="2315" spans="1:12" x14ac:dyDescent="0.35">
      <c r="A2315" t="s">
        <v>8</v>
      </c>
      <c r="B2315" t="s">
        <v>100</v>
      </c>
      <c r="C2315" t="s">
        <v>95</v>
      </c>
      <c r="D2315" t="s">
        <v>10</v>
      </c>
      <c r="E2315" t="s">
        <v>10</v>
      </c>
      <c r="F2315" s="7">
        <v>45808</v>
      </c>
      <c r="G2315" s="1">
        <v>45658</v>
      </c>
      <c r="H2315" s="14">
        <v>6687.4899999999971</v>
      </c>
      <c r="I2315">
        <v>1775091</v>
      </c>
      <c r="J2315" t="s">
        <v>86</v>
      </c>
      <c r="K2315" t="s">
        <v>96</v>
      </c>
      <c r="L2315" s="16" t="s">
        <v>10</v>
      </c>
    </row>
    <row r="2316" spans="1:12" x14ac:dyDescent="0.35">
      <c r="A2316" t="s">
        <v>8</v>
      </c>
      <c r="B2316" t="s">
        <v>21</v>
      </c>
      <c r="C2316" t="s">
        <v>93</v>
      </c>
      <c r="D2316" t="s">
        <v>10</v>
      </c>
      <c r="E2316" t="s">
        <v>10</v>
      </c>
      <c r="F2316" s="7">
        <v>45808</v>
      </c>
      <c r="G2316" s="1">
        <v>45658</v>
      </c>
      <c r="H2316" s="14">
        <v>5237.7758000000003</v>
      </c>
      <c r="I2316">
        <v>2042748</v>
      </c>
      <c r="J2316" t="s">
        <v>86</v>
      </c>
      <c r="K2316" t="s">
        <v>94</v>
      </c>
      <c r="L2316" s="16" t="s">
        <v>10</v>
      </c>
    </row>
    <row r="2317" spans="1:12" x14ac:dyDescent="0.35">
      <c r="A2317" t="s">
        <v>8</v>
      </c>
      <c r="B2317" t="s">
        <v>21</v>
      </c>
      <c r="C2317" t="s">
        <v>95</v>
      </c>
      <c r="D2317" t="s">
        <v>10</v>
      </c>
      <c r="E2317" t="s">
        <v>10</v>
      </c>
      <c r="F2317" s="7">
        <v>45808</v>
      </c>
      <c r="G2317" s="1">
        <v>45658</v>
      </c>
      <c r="H2317" s="14">
        <v>2360.1700000000005</v>
      </c>
      <c r="I2317">
        <v>472228</v>
      </c>
      <c r="J2317" t="s">
        <v>86</v>
      </c>
      <c r="K2317" t="s">
        <v>96</v>
      </c>
      <c r="L2317" s="16" t="s">
        <v>10</v>
      </c>
    </row>
    <row r="2318" spans="1:12" x14ac:dyDescent="0.35">
      <c r="A2318" t="s">
        <v>8</v>
      </c>
      <c r="B2318" t="s">
        <v>84</v>
      </c>
      <c r="C2318" t="s">
        <v>85</v>
      </c>
      <c r="D2318" t="s">
        <v>9</v>
      </c>
      <c r="E2318" t="s">
        <v>10</v>
      </c>
      <c r="F2318" s="7">
        <v>45815</v>
      </c>
      <c r="G2318" s="1">
        <v>45658</v>
      </c>
      <c r="H2318" s="14">
        <v>8981.6999919999998</v>
      </c>
      <c r="I2318">
        <v>1381280</v>
      </c>
      <c r="J2318" t="s">
        <v>86</v>
      </c>
      <c r="K2318" t="s">
        <v>87</v>
      </c>
      <c r="L2318" s="16" t="s">
        <v>9</v>
      </c>
    </row>
    <row r="2319" spans="1:12" x14ac:dyDescent="0.35">
      <c r="A2319" t="s">
        <v>8</v>
      </c>
      <c r="B2319" t="s">
        <v>84</v>
      </c>
      <c r="C2319" t="s">
        <v>85</v>
      </c>
      <c r="D2319" t="s">
        <v>14</v>
      </c>
      <c r="E2319" t="s">
        <v>10</v>
      </c>
      <c r="F2319" s="7">
        <v>45815</v>
      </c>
      <c r="G2319" s="1">
        <v>45658</v>
      </c>
      <c r="H2319" s="14">
        <v>5354.1999999999989</v>
      </c>
      <c r="I2319">
        <v>1448678</v>
      </c>
      <c r="J2319" t="s">
        <v>86</v>
      </c>
      <c r="K2319" t="s">
        <v>91</v>
      </c>
      <c r="L2319" s="16" t="s">
        <v>14</v>
      </c>
    </row>
    <row r="2320" spans="1:12" x14ac:dyDescent="0.35">
      <c r="A2320" t="s">
        <v>8</v>
      </c>
      <c r="B2320" t="s">
        <v>84</v>
      </c>
      <c r="C2320" t="s">
        <v>85</v>
      </c>
      <c r="D2320" t="s">
        <v>14</v>
      </c>
      <c r="E2320" t="s">
        <v>12</v>
      </c>
      <c r="F2320" s="7">
        <v>45815</v>
      </c>
      <c r="G2320" s="1">
        <v>45658</v>
      </c>
      <c r="H2320" s="14">
        <v>4319.22</v>
      </c>
      <c r="I2320">
        <v>956796</v>
      </c>
      <c r="J2320" t="s">
        <v>86</v>
      </c>
      <c r="K2320" t="s">
        <v>91</v>
      </c>
      <c r="L2320" s="16" t="s">
        <v>12</v>
      </c>
    </row>
    <row r="2321" spans="1:12" x14ac:dyDescent="0.35">
      <c r="A2321" t="s">
        <v>8</v>
      </c>
      <c r="B2321" t="s">
        <v>18</v>
      </c>
      <c r="C2321" t="s">
        <v>85</v>
      </c>
      <c r="D2321" t="s">
        <v>9</v>
      </c>
      <c r="E2321" t="s">
        <v>10</v>
      </c>
      <c r="F2321" s="7">
        <v>45815</v>
      </c>
      <c r="G2321" s="1">
        <v>45658</v>
      </c>
      <c r="H2321" s="14">
        <v>12307.289990999998</v>
      </c>
      <c r="I2321">
        <v>1810566</v>
      </c>
      <c r="J2321" t="s">
        <v>86</v>
      </c>
      <c r="K2321" t="s">
        <v>87</v>
      </c>
      <c r="L2321" s="16" t="s">
        <v>9</v>
      </c>
    </row>
    <row r="2322" spans="1:12" x14ac:dyDescent="0.35">
      <c r="A2322" t="s">
        <v>8</v>
      </c>
      <c r="B2322" t="s">
        <v>18</v>
      </c>
      <c r="C2322" t="s">
        <v>85</v>
      </c>
      <c r="D2322" t="s">
        <v>9</v>
      </c>
      <c r="E2322" t="s">
        <v>12</v>
      </c>
      <c r="F2322" s="7">
        <v>45815</v>
      </c>
      <c r="G2322" s="1">
        <v>45658</v>
      </c>
      <c r="H2322" s="14">
        <v>17945.27</v>
      </c>
      <c r="I2322">
        <v>1955408</v>
      </c>
      <c r="J2322" t="s">
        <v>86</v>
      </c>
      <c r="K2322" t="s">
        <v>87</v>
      </c>
      <c r="L2322" s="16" t="s">
        <v>12</v>
      </c>
    </row>
    <row r="2323" spans="1:12" x14ac:dyDescent="0.35">
      <c r="A2323" t="s">
        <v>8</v>
      </c>
      <c r="B2323" t="s">
        <v>18</v>
      </c>
      <c r="C2323" t="s">
        <v>85</v>
      </c>
      <c r="D2323" t="s">
        <v>13</v>
      </c>
      <c r="E2323" t="s">
        <v>10</v>
      </c>
      <c r="F2323" s="7">
        <v>45815</v>
      </c>
      <c r="G2323" s="1">
        <v>45658</v>
      </c>
      <c r="H2323" s="14">
        <v>2709.0638840000001</v>
      </c>
      <c r="I2323">
        <v>1247646</v>
      </c>
      <c r="J2323" t="s">
        <v>86</v>
      </c>
      <c r="K2323" t="s">
        <v>90</v>
      </c>
      <c r="L2323" s="16" t="s">
        <v>13</v>
      </c>
    </row>
    <row r="2324" spans="1:12" x14ac:dyDescent="0.35">
      <c r="A2324" t="s">
        <v>8</v>
      </c>
      <c r="B2324" t="s">
        <v>18</v>
      </c>
      <c r="C2324" t="s">
        <v>85</v>
      </c>
      <c r="D2324" t="s">
        <v>13</v>
      </c>
      <c r="E2324" t="s">
        <v>12</v>
      </c>
      <c r="F2324" s="7">
        <v>45815</v>
      </c>
      <c r="G2324" s="1">
        <v>45658</v>
      </c>
      <c r="H2324" s="14">
        <v>7321.2670310000003</v>
      </c>
      <c r="I2324">
        <v>3384057</v>
      </c>
      <c r="J2324" t="s">
        <v>86</v>
      </c>
      <c r="K2324" t="s">
        <v>90</v>
      </c>
      <c r="L2324" s="16" t="s">
        <v>12</v>
      </c>
    </row>
    <row r="2325" spans="1:12" x14ac:dyDescent="0.35">
      <c r="A2325" t="s">
        <v>8</v>
      </c>
      <c r="B2325" t="s">
        <v>18</v>
      </c>
      <c r="C2325" t="s">
        <v>85</v>
      </c>
      <c r="D2325" t="s">
        <v>14</v>
      </c>
      <c r="E2325" t="s">
        <v>10</v>
      </c>
      <c r="F2325" s="7">
        <v>45815</v>
      </c>
      <c r="G2325" s="1">
        <v>45658</v>
      </c>
      <c r="H2325" s="14">
        <v>98617.08</v>
      </c>
      <c r="I2325">
        <v>8351986</v>
      </c>
      <c r="J2325" t="s">
        <v>86</v>
      </c>
      <c r="K2325" t="s">
        <v>91</v>
      </c>
      <c r="L2325" s="16" t="s">
        <v>14</v>
      </c>
    </row>
    <row r="2326" spans="1:12" x14ac:dyDescent="0.35">
      <c r="A2326" t="s">
        <v>8</v>
      </c>
      <c r="B2326" t="s">
        <v>18</v>
      </c>
      <c r="C2326" t="s">
        <v>85</v>
      </c>
      <c r="D2326" t="s">
        <v>14</v>
      </c>
      <c r="E2326" t="s">
        <v>12</v>
      </c>
      <c r="F2326" s="7">
        <v>45815</v>
      </c>
      <c r="G2326" s="1">
        <v>45658</v>
      </c>
      <c r="H2326" s="14">
        <v>74899.410000000018</v>
      </c>
      <c r="I2326">
        <v>10147501</v>
      </c>
      <c r="J2326" t="s">
        <v>86</v>
      </c>
      <c r="K2326" t="s">
        <v>91</v>
      </c>
      <c r="L2326" s="16" t="s">
        <v>12</v>
      </c>
    </row>
    <row r="2327" spans="1:12" x14ac:dyDescent="0.35">
      <c r="A2327" t="s">
        <v>8</v>
      </c>
      <c r="B2327" t="s">
        <v>92</v>
      </c>
      <c r="C2327" t="s">
        <v>93</v>
      </c>
      <c r="D2327" t="s">
        <v>10</v>
      </c>
      <c r="E2327" t="s">
        <v>10</v>
      </c>
      <c r="F2327" s="7">
        <v>45815</v>
      </c>
      <c r="G2327" s="1">
        <v>45658</v>
      </c>
      <c r="H2327" s="14">
        <v>11190.289600000002</v>
      </c>
      <c r="I2327">
        <v>5696476</v>
      </c>
      <c r="J2327" t="s">
        <v>86</v>
      </c>
      <c r="K2327" t="s">
        <v>94</v>
      </c>
      <c r="L2327" s="16" t="s">
        <v>10</v>
      </c>
    </row>
    <row r="2328" spans="1:12" x14ac:dyDescent="0.35">
      <c r="A2328" t="s">
        <v>8</v>
      </c>
      <c r="B2328" t="s">
        <v>92</v>
      </c>
      <c r="C2328" t="s">
        <v>95</v>
      </c>
      <c r="D2328" t="s">
        <v>10</v>
      </c>
      <c r="E2328" t="s">
        <v>10</v>
      </c>
      <c r="F2328" s="7">
        <v>45815</v>
      </c>
      <c r="G2328" s="1">
        <v>45658</v>
      </c>
      <c r="H2328" s="14">
        <v>20905.919999999995</v>
      </c>
      <c r="I2328">
        <v>2356586</v>
      </c>
      <c r="J2328" t="s">
        <v>86</v>
      </c>
      <c r="K2328" t="s">
        <v>96</v>
      </c>
      <c r="L2328" s="16" t="s">
        <v>10</v>
      </c>
    </row>
    <row r="2329" spans="1:12" x14ac:dyDescent="0.35">
      <c r="A2329" t="s">
        <v>8</v>
      </c>
      <c r="B2329" t="s">
        <v>84</v>
      </c>
      <c r="C2329" t="s">
        <v>93</v>
      </c>
      <c r="D2329" t="s">
        <v>10</v>
      </c>
      <c r="E2329" t="s">
        <v>10</v>
      </c>
      <c r="F2329" s="7">
        <v>45815</v>
      </c>
      <c r="G2329" s="1">
        <v>45658</v>
      </c>
      <c r="H2329" s="14">
        <v>9534.2357999999986</v>
      </c>
      <c r="I2329">
        <v>5864470</v>
      </c>
      <c r="J2329" t="s">
        <v>86</v>
      </c>
      <c r="K2329" t="s">
        <v>94</v>
      </c>
      <c r="L2329" s="16" t="s">
        <v>10</v>
      </c>
    </row>
    <row r="2330" spans="1:12" x14ac:dyDescent="0.35">
      <c r="A2330" t="s">
        <v>8</v>
      </c>
      <c r="B2330" t="s">
        <v>84</v>
      </c>
      <c r="C2330" t="s">
        <v>97</v>
      </c>
      <c r="D2330" t="s">
        <v>10</v>
      </c>
      <c r="E2330" t="s">
        <v>10</v>
      </c>
      <c r="F2330" s="7">
        <v>45815</v>
      </c>
      <c r="G2330" s="1">
        <v>45658</v>
      </c>
      <c r="H2330" s="14">
        <v>41723.29730000002</v>
      </c>
      <c r="I2330">
        <v>3529942</v>
      </c>
      <c r="J2330" t="s">
        <v>86</v>
      </c>
      <c r="K2330" t="s">
        <v>98</v>
      </c>
      <c r="L2330" s="16" t="s">
        <v>10</v>
      </c>
    </row>
    <row r="2331" spans="1:12" x14ac:dyDescent="0.35">
      <c r="A2331" t="s">
        <v>8</v>
      </c>
      <c r="B2331" t="s">
        <v>84</v>
      </c>
      <c r="C2331" t="s">
        <v>95</v>
      </c>
      <c r="D2331" t="s">
        <v>10</v>
      </c>
      <c r="E2331" t="s">
        <v>10</v>
      </c>
      <c r="F2331" s="7">
        <v>45815</v>
      </c>
      <c r="G2331" s="1">
        <v>45658</v>
      </c>
      <c r="H2331" s="14">
        <v>14789.17</v>
      </c>
      <c r="I2331">
        <v>864833</v>
      </c>
      <c r="J2331" t="s">
        <v>86</v>
      </c>
      <c r="K2331" t="s">
        <v>96</v>
      </c>
      <c r="L2331" s="16" t="s">
        <v>10</v>
      </c>
    </row>
    <row r="2332" spans="1:12" x14ac:dyDescent="0.35">
      <c r="A2332" t="s">
        <v>8</v>
      </c>
      <c r="B2332" t="s">
        <v>17</v>
      </c>
      <c r="C2332" t="s">
        <v>93</v>
      </c>
      <c r="D2332" t="s">
        <v>10</v>
      </c>
      <c r="E2332" t="s">
        <v>10</v>
      </c>
      <c r="F2332" s="7">
        <v>45815</v>
      </c>
      <c r="G2332" s="1">
        <v>45658</v>
      </c>
      <c r="H2332" s="14">
        <v>10693.669100000005</v>
      </c>
      <c r="I2332">
        <v>5307333</v>
      </c>
      <c r="J2332" t="s">
        <v>86</v>
      </c>
      <c r="K2332" t="s">
        <v>94</v>
      </c>
      <c r="L2332" s="16" t="s">
        <v>10</v>
      </c>
    </row>
    <row r="2333" spans="1:12" x14ac:dyDescent="0.35">
      <c r="A2333" t="s">
        <v>8</v>
      </c>
      <c r="B2333" t="s">
        <v>17</v>
      </c>
      <c r="C2333" t="s">
        <v>95</v>
      </c>
      <c r="D2333" t="s">
        <v>10</v>
      </c>
      <c r="E2333" t="s">
        <v>10</v>
      </c>
      <c r="F2333" s="7">
        <v>45815</v>
      </c>
      <c r="G2333" s="1">
        <v>45658</v>
      </c>
      <c r="H2333" s="14">
        <v>17545.849999999999</v>
      </c>
      <c r="I2333">
        <v>2237688</v>
      </c>
      <c r="J2333" t="s">
        <v>86</v>
      </c>
      <c r="K2333" t="s">
        <v>96</v>
      </c>
      <c r="L2333" s="16" t="s">
        <v>10</v>
      </c>
    </row>
    <row r="2334" spans="1:12" x14ac:dyDescent="0.35">
      <c r="A2334" t="s">
        <v>8</v>
      </c>
      <c r="B2334" t="s">
        <v>99</v>
      </c>
      <c r="C2334" t="s">
        <v>93</v>
      </c>
      <c r="D2334" t="s">
        <v>10</v>
      </c>
      <c r="E2334" t="s">
        <v>10</v>
      </c>
      <c r="F2334" s="7">
        <v>45815</v>
      </c>
      <c r="G2334" s="1">
        <v>45658</v>
      </c>
      <c r="H2334" s="14">
        <v>9485.8097000000016</v>
      </c>
      <c r="I2334">
        <v>2035215</v>
      </c>
      <c r="J2334" t="s">
        <v>86</v>
      </c>
      <c r="K2334" t="s">
        <v>94</v>
      </c>
      <c r="L2334" s="16" t="s">
        <v>10</v>
      </c>
    </row>
    <row r="2335" spans="1:12" x14ac:dyDescent="0.35">
      <c r="A2335" t="s">
        <v>8</v>
      </c>
      <c r="B2335" t="s">
        <v>99</v>
      </c>
      <c r="C2335" t="s">
        <v>95</v>
      </c>
      <c r="D2335" t="s">
        <v>10</v>
      </c>
      <c r="E2335" t="s">
        <v>10</v>
      </c>
      <c r="F2335" s="7">
        <v>45815</v>
      </c>
      <c r="G2335" s="1">
        <v>45658</v>
      </c>
      <c r="H2335" s="14">
        <v>6329.3999999999969</v>
      </c>
      <c r="I2335">
        <v>1182353</v>
      </c>
      <c r="J2335" t="s">
        <v>86</v>
      </c>
      <c r="K2335" t="s">
        <v>96</v>
      </c>
      <c r="L2335" s="16" t="s">
        <v>10</v>
      </c>
    </row>
    <row r="2336" spans="1:12" x14ac:dyDescent="0.35">
      <c r="A2336" t="s">
        <v>8</v>
      </c>
      <c r="B2336" t="s">
        <v>100</v>
      </c>
      <c r="C2336" t="s">
        <v>93</v>
      </c>
      <c r="D2336" t="s">
        <v>10</v>
      </c>
      <c r="E2336" t="s">
        <v>10</v>
      </c>
      <c r="F2336" s="7">
        <v>45815</v>
      </c>
      <c r="G2336" s="1">
        <v>45658</v>
      </c>
      <c r="H2336" s="14">
        <v>8768.9116999999987</v>
      </c>
      <c r="I2336">
        <v>3505624</v>
      </c>
      <c r="J2336" t="s">
        <v>86</v>
      </c>
      <c r="K2336" t="s">
        <v>94</v>
      </c>
      <c r="L2336" s="16" t="s">
        <v>10</v>
      </c>
    </row>
    <row r="2337" spans="1:12" x14ac:dyDescent="0.35">
      <c r="A2337" t="s">
        <v>8</v>
      </c>
      <c r="B2337" t="s">
        <v>100</v>
      </c>
      <c r="C2337" t="s">
        <v>95</v>
      </c>
      <c r="D2337" t="s">
        <v>10</v>
      </c>
      <c r="E2337" t="s">
        <v>10</v>
      </c>
      <c r="F2337" s="7">
        <v>45815</v>
      </c>
      <c r="G2337" s="1">
        <v>45658</v>
      </c>
      <c r="H2337" s="14">
        <v>12943.740000000005</v>
      </c>
      <c r="I2337">
        <v>1867668</v>
      </c>
      <c r="J2337" t="s">
        <v>86</v>
      </c>
      <c r="K2337" t="s">
        <v>96</v>
      </c>
      <c r="L2337" s="16" t="s">
        <v>10</v>
      </c>
    </row>
    <row r="2338" spans="1:12" x14ac:dyDescent="0.35">
      <c r="A2338" t="s">
        <v>8</v>
      </c>
      <c r="B2338" t="s">
        <v>21</v>
      </c>
      <c r="C2338" t="s">
        <v>93</v>
      </c>
      <c r="D2338" t="s">
        <v>10</v>
      </c>
      <c r="E2338" t="s">
        <v>10</v>
      </c>
      <c r="F2338" s="7">
        <v>45815</v>
      </c>
      <c r="G2338" s="1">
        <v>45658</v>
      </c>
      <c r="H2338" s="14">
        <v>7503.4612999999972</v>
      </c>
      <c r="I2338">
        <v>3165898</v>
      </c>
      <c r="J2338" t="s">
        <v>86</v>
      </c>
      <c r="K2338" t="s">
        <v>94</v>
      </c>
      <c r="L2338" s="16" t="s">
        <v>10</v>
      </c>
    </row>
    <row r="2339" spans="1:12" x14ac:dyDescent="0.35">
      <c r="A2339" t="s">
        <v>8</v>
      </c>
      <c r="B2339" t="s">
        <v>21</v>
      </c>
      <c r="C2339" t="s">
        <v>95</v>
      </c>
      <c r="D2339" t="s">
        <v>10</v>
      </c>
      <c r="E2339" t="s">
        <v>10</v>
      </c>
      <c r="F2339" s="7">
        <v>45815</v>
      </c>
      <c r="G2339" s="1">
        <v>45658</v>
      </c>
      <c r="H2339" s="14">
        <v>6263.8899999999994</v>
      </c>
      <c r="I2339">
        <v>581785</v>
      </c>
      <c r="J2339" t="s">
        <v>86</v>
      </c>
      <c r="K2339" t="s">
        <v>96</v>
      </c>
      <c r="L2339" s="16" t="s">
        <v>10</v>
      </c>
    </row>
    <row r="2340" spans="1:12" x14ac:dyDescent="0.35">
      <c r="A2340" t="s">
        <v>8</v>
      </c>
      <c r="B2340" t="s">
        <v>18</v>
      </c>
      <c r="C2340" t="s">
        <v>107</v>
      </c>
      <c r="D2340" t="s">
        <v>108</v>
      </c>
      <c r="E2340" t="s">
        <v>10</v>
      </c>
      <c r="F2340" s="7">
        <v>45815</v>
      </c>
      <c r="G2340" s="1">
        <v>45658</v>
      </c>
      <c r="H2340" s="14">
        <v>18951.04</v>
      </c>
      <c r="I2340">
        <v>1036757</v>
      </c>
      <c r="J2340" t="s">
        <v>86</v>
      </c>
      <c r="K2340" t="s">
        <v>109</v>
      </c>
      <c r="L2340" s="16" t="s">
        <v>133</v>
      </c>
    </row>
    <row r="2341" spans="1:12" x14ac:dyDescent="0.35">
      <c r="A2341" t="s">
        <v>8</v>
      </c>
      <c r="B2341" t="s">
        <v>84</v>
      </c>
      <c r="C2341" t="s">
        <v>85</v>
      </c>
      <c r="D2341" t="s">
        <v>9</v>
      </c>
      <c r="E2341" t="s">
        <v>10</v>
      </c>
      <c r="F2341" s="7">
        <v>45822</v>
      </c>
      <c r="G2341" s="1">
        <v>45658</v>
      </c>
      <c r="H2341" s="14">
        <v>12282.270001999999</v>
      </c>
      <c r="I2341">
        <v>1482114</v>
      </c>
      <c r="J2341" t="s">
        <v>86</v>
      </c>
      <c r="K2341" t="s">
        <v>87</v>
      </c>
      <c r="L2341" s="16" t="s">
        <v>9</v>
      </c>
    </row>
    <row r="2342" spans="1:12" x14ac:dyDescent="0.35">
      <c r="A2342" t="s">
        <v>8</v>
      </c>
      <c r="B2342" t="s">
        <v>84</v>
      </c>
      <c r="C2342" t="s">
        <v>85</v>
      </c>
      <c r="D2342" t="s">
        <v>14</v>
      </c>
      <c r="E2342" t="s">
        <v>10</v>
      </c>
      <c r="F2342" s="7">
        <v>45822</v>
      </c>
      <c r="G2342" s="1">
        <v>45658</v>
      </c>
      <c r="H2342" s="14">
        <v>0.41000000000000003</v>
      </c>
      <c r="I2342">
        <v>39</v>
      </c>
      <c r="J2342" t="s">
        <v>86</v>
      </c>
      <c r="K2342" t="s">
        <v>91</v>
      </c>
      <c r="L2342" s="16" t="s">
        <v>14</v>
      </c>
    </row>
    <row r="2343" spans="1:12" x14ac:dyDescent="0.35">
      <c r="A2343" t="s">
        <v>8</v>
      </c>
      <c r="B2343" t="s">
        <v>84</v>
      </c>
      <c r="C2343" t="s">
        <v>85</v>
      </c>
      <c r="D2343" t="s">
        <v>14</v>
      </c>
      <c r="E2343" t="s">
        <v>12</v>
      </c>
      <c r="F2343" s="7">
        <v>45822</v>
      </c>
      <c r="G2343" s="1">
        <v>45658</v>
      </c>
      <c r="H2343" s="14">
        <v>12040.789999999999</v>
      </c>
      <c r="I2343">
        <v>2367185</v>
      </c>
      <c r="J2343" t="s">
        <v>86</v>
      </c>
      <c r="K2343" t="s">
        <v>91</v>
      </c>
      <c r="L2343" s="16" t="s">
        <v>12</v>
      </c>
    </row>
    <row r="2344" spans="1:12" x14ac:dyDescent="0.35">
      <c r="A2344" t="s">
        <v>8</v>
      </c>
      <c r="B2344" t="s">
        <v>18</v>
      </c>
      <c r="C2344" t="s">
        <v>85</v>
      </c>
      <c r="D2344" t="s">
        <v>9</v>
      </c>
      <c r="E2344" t="s">
        <v>10</v>
      </c>
      <c r="F2344" s="7">
        <v>45822</v>
      </c>
      <c r="G2344" s="1">
        <v>45658</v>
      </c>
      <c r="H2344" s="14">
        <v>11489.900003999999</v>
      </c>
      <c r="I2344">
        <v>1623404</v>
      </c>
      <c r="J2344" t="s">
        <v>86</v>
      </c>
      <c r="K2344" t="s">
        <v>87</v>
      </c>
      <c r="L2344" s="16" t="s">
        <v>9</v>
      </c>
    </row>
    <row r="2345" spans="1:12" x14ac:dyDescent="0.35">
      <c r="A2345" t="s">
        <v>8</v>
      </c>
      <c r="B2345" t="s">
        <v>18</v>
      </c>
      <c r="C2345" t="s">
        <v>85</v>
      </c>
      <c r="D2345" t="s">
        <v>9</v>
      </c>
      <c r="E2345" t="s">
        <v>12</v>
      </c>
      <c r="F2345" s="7">
        <v>45822</v>
      </c>
      <c r="G2345" s="1">
        <v>45658</v>
      </c>
      <c r="H2345" s="14">
        <v>18628.280005000001</v>
      </c>
      <c r="I2345">
        <v>1957157</v>
      </c>
      <c r="J2345" t="s">
        <v>86</v>
      </c>
      <c r="K2345" t="s">
        <v>87</v>
      </c>
      <c r="L2345" s="16" t="s">
        <v>12</v>
      </c>
    </row>
    <row r="2346" spans="1:12" x14ac:dyDescent="0.35">
      <c r="A2346" t="s">
        <v>8</v>
      </c>
      <c r="B2346" t="s">
        <v>18</v>
      </c>
      <c r="C2346" t="s">
        <v>85</v>
      </c>
      <c r="D2346" t="s">
        <v>13</v>
      </c>
      <c r="E2346" t="s">
        <v>10</v>
      </c>
      <c r="F2346" s="7">
        <v>45822</v>
      </c>
      <c r="G2346" s="1">
        <v>45658</v>
      </c>
      <c r="H2346" s="14">
        <v>3011.8828819999999</v>
      </c>
      <c r="I2346">
        <v>1380515</v>
      </c>
      <c r="J2346" t="s">
        <v>86</v>
      </c>
      <c r="K2346" t="s">
        <v>90</v>
      </c>
      <c r="L2346" s="16" t="s">
        <v>13</v>
      </c>
    </row>
    <row r="2347" spans="1:12" x14ac:dyDescent="0.35">
      <c r="A2347" t="s">
        <v>8</v>
      </c>
      <c r="B2347" t="s">
        <v>18</v>
      </c>
      <c r="C2347" t="s">
        <v>85</v>
      </c>
      <c r="D2347" t="s">
        <v>13</v>
      </c>
      <c r="E2347" t="s">
        <v>12</v>
      </c>
      <c r="F2347" s="7">
        <v>45822</v>
      </c>
      <c r="G2347" s="1">
        <v>45658</v>
      </c>
      <c r="H2347" s="14">
        <v>9172.1963170000017</v>
      </c>
      <c r="I2347">
        <v>4164564</v>
      </c>
      <c r="J2347" t="s">
        <v>86</v>
      </c>
      <c r="K2347" t="s">
        <v>90</v>
      </c>
      <c r="L2347" s="16" t="s">
        <v>12</v>
      </c>
    </row>
    <row r="2348" spans="1:12" x14ac:dyDescent="0.35">
      <c r="A2348" t="s">
        <v>8</v>
      </c>
      <c r="B2348" t="s">
        <v>18</v>
      </c>
      <c r="C2348" t="s">
        <v>85</v>
      </c>
      <c r="D2348" t="s">
        <v>14</v>
      </c>
      <c r="E2348" t="s">
        <v>10</v>
      </c>
      <c r="F2348" s="7">
        <v>45822</v>
      </c>
      <c r="G2348" s="1">
        <v>45658</v>
      </c>
      <c r="H2348" s="14">
        <v>30096.099999999995</v>
      </c>
      <c r="I2348">
        <v>3559856</v>
      </c>
      <c r="J2348" t="s">
        <v>86</v>
      </c>
      <c r="K2348" t="s">
        <v>91</v>
      </c>
      <c r="L2348" s="16" t="s">
        <v>14</v>
      </c>
    </row>
    <row r="2349" spans="1:12" x14ac:dyDescent="0.35">
      <c r="A2349" t="s">
        <v>8</v>
      </c>
      <c r="B2349" t="s">
        <v>18</v>
      </c>
      <c r="C2349" t="s">
        <v>85</v>
      </c>
      <c r="D2349" t="s">
        <v>14</v>
      </c>
      <c r="E2349" t="s">
        <v>12</v>
      </c>
      <c r="F2349" s="7">
        <v>45822</v>
      </c>
      <c r="G2349" s="1">
        <v>45658</v>
      </c>
      <c r="H2349" s="14">
        <v>46002.03</v>
      </c>
      <c r="I2349">
        <v>8675368</v>
      </c>
      <c r="J2349" t="s">
        <v>86</v>
      </c>
      <c r="K2349" t="s">
        <v>91</v>
      </c>
      <c r="L2349" s="16" t="s">
        <v>12</v>
      </c>
    </row>
    <row r="2350" spans="1:12" x14ac:dyDescent="0.35">
      <c r="A2350" t="s">
        <v>8</v>
      </c>
      <c r="B2350" t="s">
        <v>92</v>
      </c>
      <c r="C2350" t="s">
        <v>93</v>
      </c>
      <c r="D2350" t="s">
        <v>10</v>
      </c>
      <c r="E2350" t="s">
        <v>10</v>
      </c>
      <c r="F2350" s="7">
        <v>45822</v>
      </c>
      <c r="G2350" s="1">
        <v>45658</v>
      </c>
      <c r="H2350" s="14">
        <v>12410.726399999998</v>
      </c>
      <c r="I2350">
        <v>6239219</v>
      </c>
      <c r="J2350" t="s">
        <v>86</v>
      </c>
      <c r="K2350" t="s">
        <v>94</v>
      </c>
      <c r="L2350" s="16" t="s">
        <v>10</v>
      </c>
    </row>
    <row r="2351" spans="1:12" x14ac:dyDescent="0.35">
      <c r="A2351" t="s">
        <v>8</v>
      </c>
      <c r="B2351" t="s">
        <v>92</v>
      </c>
      <c r="C2351" t="s">
        <v>95</v>
      </c>
      <c r="D2351" t="s">
        <v>10</v>
      </c>
      <c r="E2351" t="s">
        <v>10</v>
      </c>
      <c r="F2351" s="7">
        <v>45822</v>
      </c>
      <c r="G2351" s="1">
        <v>45658</v>
      </c>
      <c r="H2351" s="14">
        <v>20418.84999999998</v>
      </c>
      <c r="I2351">
        <v>2156609</v>
      </c>
      <c r="J2351" t="s">
        <v>86</v>
      </c>
      <c r="K2351" t="s">
        <v>96</v>
      </c>
      <c r="L2351" s="16" t="s">
        <v>10</v>
      </c>
    </row>
    <row r="2352" spans="1:12" x14ac:dyDescent="0.35">
      <c r="A2352" t="s">
        <v>8</v>
      </c>
      <c r="B2352" t="s">
        <v>84</v>
      </c>
      <c r="C2352" t="s">
        <v>93</v>
      </c>
      <c r="D2352" t="s">
        <v>10</v>
      </c>
      <c r="E2352" t="s">
        <v>10</v>
      </c>
      <c r="F2352" s="7">
        <v>45822</v>
      </c>
      <c r="G2352" s="1">
        <v>45658</v>
      </c>
      <c r="H2352" s="14">
        <v>9786.4768999999997</v>
      </c>
      <c r="I2352">
        <v>5996019</v>
      </c>
      <c r="J2352" t="s">
        <v>86</v>
      </c>
      <c r="K2352" t="s">
        <v>94</v>
      </c>
      <c r="L2352" s="16" t="s">
        <v>10</v>
      </c>
    </row>
    <row r="2353" spans="1:12" x14ac:dyDescent="0.35">
      <c r="A2353" t="s">
        <v>8</v>
      </c>
      <c r="B2353" t="s">
        <v>84</v>
      </c>
      <c r="C2353" t="s">
        <v>97</v>
      </c>
      <c r="D2353" t="s">
        <v>10</v>
      </c>
      <c r="E2353" t="s">
        <v>10</v>
      </c>
      <c r="F2353" s="7">
        <v>45822</v>
      </c>
      <c r="G2353" s="1">
        <v>45658</v>
      </c>
      <c r="H2353" s="14">
        <v>32770.593000000023</v>
      </c>
      <c r="I2353">
        <v>2809293</v>
      </c>
      <c r="J2353" t="s">
        <v>86</v>
      </c>
      <c r="K2353" t="s">
        <v>98</v>
      </c>
      <c r="L2353" s="16" t="s">
        <v>10</v>
      </c>
    </row>
    <row r="2354" spans="1:12" x14ac:dyDescent="0.35">
      <c r="A2354" t="s">
        <v>8</v>
      </c>
      <c r="B2354" t="s">
        <v>84</v>
      </c>
      <c r="C2354" t="s">
        <v>95</v>
      </c>
      <c r="D2354" t="s">
        <v>10</v>
      </c>
      <c r="E2354" t="s">
        <v>10</v>
      </c>
      <c r="F2354" s="7">
        <v>45822</v>
      </c>
      <c r="G2354" s="1">
        <v>45658</v>
      </c>
      <c r="H2354" s="14">
        <v>15685.35</v>
      </c>
      <c r="I2354">
        <v>1010296</v>
      </c>
      <c r="J2354" t="s">
        <v>86</v>
      </c>
      <c r="K2354" t="s">
        <v>96</v>
      </c>
      <c r="L2354" s="16" t="s">
        <v>10</v>
      </c>
    </row>
    <row r="2355" spans="1:12" x14ac:dyDescent="0.35">
      <c r="A2355" t="s">
        <v>8</v>
      </c>
      <c r="B2355" t="s">
        <v>17</v>
      </c>
      <c r="C2355" t="s">
        <v>93</v>
      </c>
      <c r="D2355" t="s">
        <v>10</v>
      </c>
      <c r="E2355" t="s">
        <v>10</v>
      </c>
      <c r="F2355" s="7">
        <v>45822</v>
      </c>
      <c r="G2355" s="1">
        <v>45658</v>
      </c>
      <c r="H2355" s="14">
        <v>12668.522499999997</v>
      </c>
      <c r="I2355">
        <v>6180854</v>
      </c>
      <c r="J2355" t="s">
        <v>86</v>
      </c>
      <c r="K2355" t="s">
        <v>94</v>
      </c>
      <c r="L2355" s="16" t="s">
        <v>10</v>
      </c>
    </row>
    <row r="2356" spans="1:12" x14ac:dyDescent="0.35">
      <c r="A2356" t="s">
        <v>8</v>
      </c>
      <c r="B2356" t="s">
        <v>17</v>
      </c>
      <c r="C2356" t="s">
        <v>95</v>
      </c>
      <c r="D2356" t="s">
        <v>10</v>
      </c>
      <c r="E2356" t="s">
        <v>10</v>
      </c>
      <c r="F2356" s="7">
        <v>45822</v>
      </c>
      <c r="G2356" s="1">
        <v>45658</v>
      </c>
      <c r="H2356" s="14">
        <v>19847.09</v>
      </c>
      <c r="I2356">
        <v>2236322</v>
      </c>
      <c r="J2356" t="s">
        <v>86</v>
      </c>
      <c r="K2356" t="s">
        <v>96</v>
      </c>
      <c r="L2356" s="16" t="s">
        <v>10</v>
      </c>
    </row>
    <row r="2357" spans="1:12" x14ac:dyDescent="0.35">
      <c r="A2357" t="s">
        <v>8</v>
      </c>
      <c r="B2357" t="s">
        <v>99</v>
      </c>
      <c r="C2357" t="s">
        <v>93</v>
      </c>
      <c r="D2357" t="s">
        <v>10</v>
      </c>
      <c r="E2357" t="s">
        <v>10</v>
      </c>
      <c r="F2357" s="7">
        <v>45822</v>
      </c>
      <c r="G2357" s="1">
        <v>45658</v>
      </c>
      <c r="H2357" s="14">
        <v>9818.1250999999975</v>
      </c>
      <c r="I2357">
        <v>3081455</v>
      </c>
      <c r="J2357" t="s">
        <v>86</v>
      </c>
      <c r="K2357" t="s">
        <v>94</v>
      </c>
      <c r="L2357" s="16" t="s">
        <v>10</v>
      </c>
    </row>
    <row r="2358" spans="1:12" x14ac:dyDescent="0.35">
      <c r="A2358" t="s">
        <v>8</v>
      </c>
      <c r="B2358" t="s">
        <v>99</v>
      </c>
      <c r="C2358" t="s">
        <v>95</v>
      </c>
      <c r="D2358" t="s">
        <v>10</v>
      </c>
      <c r="E2358" t="s">
        <v>10</v>
      </c>
      <c r="F2358" s="7">
        <v>45822</v>
      </c>
      <c r="G2358" s="1">
        <v>45658</v>
      </c>
      <c r="H2358" s="14">
        <v>6930.8500000000022</v>
      </c>
      <c r="I2358">
        <v>1414174</v>
      </c>
      <c r="J2358" t="s">
        <v>86</v>
      </c>
      <c r="K2358" t="s">
        <v>96</v>
      </c>
      <c r="L2358" s="16" t="s">
        <v>10</v>
      </c>
    </row>
    <row r="2359" spans="1:12" x14ac:dyDescent="0.35">
      <c r="A2359" t="s">
        <v>8</v>
      </c>
      <c r="B2359" t="s">
        <v>100</v>
      </c>
      <c r="C2359" t="s">
        <v>93</v>
      </c>
      <c r="D2359" t="s">
        <v>10</v>
      </c>
      <c r="E2359" t="s">
        <v>10</v>
      </c>
      <c r="F2359" s="7">
        <v>45822</v>
      </c>
      <c r="G2359" s="1">
        <v>45658</v>
      </c>
      <c r="H2359" s="14">
        <v>9116.9534999999978</v>
      </c>
      <c r="I2359">
        <v>3437513</v>
      </c>
      <c r="J2359" t="s">
        <v>86</v>
      </c>
      <c r="K2359" t="s">
        <v>94</v>
      </c>
      <c r="L2359" s="16" t="s">
        <v>10</v>
      </c>
    </row>
    <row r="2360" spans="1:12" x14ac:dyDescent="0.35">
      <c r="A2360" t="s">
        <v>8</v>
      </c>
      <c r="B2360" t="s">
        <v>100</v>
      </c>
      <c r="C2360" t="s">
        <v>95</v>
      </c>
      <c r="D2360" t="s">
        <v>10</v>
      </c>
      <c r="E2360" t="s">
        <v>10</v>
      </c>
      <c r="F2360" s="7">
        <v>45822</v>
      </c>
      <c r="G2360" s="1">
        <v>45658</v>
      </c>
      <c r="H2360" s="14">
        <v>12279.090000000002</v>
      </c>
      <c r="I2360">
        <v>1457182</v>
      </c>
      <c r="J2360" t="s">
        <v>86</v>
      </c>
      <c r="K2360" t="s">
        <v>96</v>
      </c>
      <c r="L2360" s="16" t="s">
        <v>10</v>
      </c>
    </row>
    <row r="2361" spans="1:12" x14ac:dyDescent="0.35">
      <c r="A2361" t="s">
        <v>8</v>
      </c>
      <c r="B2361" t="s">
        <v>21</v>
      </c>
      <c r="C2361" t="s">
        <v>93</v>
      </c>
      <c r="D2361" t="s">
        <v>10</v>
      </c>
      <c r="E2361" t="s">
        <v>10</v>
      </c>
      <c r="F2361" s="7">
        <v>45822</v>
      </c>
      <c r="G2361" s="1">
        <v>45658</v>
      </c>
      <c r="H2361" s="14">
        <v>8188.6156000000019</v>
      </c>
      <c r="I2361">
        <v>3162570</v>
      </c>
      <c r="J2361" t="s">
        <v>86</v>
      </c>
      <c r="K2361" t="s">
        <v>94</v>
      </c>
      <c r="L2361" s="16" t="s">
        <v>10</v>
      </c>
    </row>
    <row r="2362" spans="1:12" x14ac:dyDescent="0.35">
      <c r="A2362" t="s">
        <v>8</v>
      </c>
      <c r="B2362" t="s">
        <v>21</v>
      </c>
      <c r="C2362" t="s">
        <v>95</v>
      </c>
      <c r="D2362" t="s">
        <v>10</v>
      </c>
      <c r="E2362" t="s">
        <v>10</v>
      </c>
      <c r="F2362" s="7">
        <v>45822</v>
      </c>
      <c r="G2362" s="1">
        <v>45658</v>
      </c>
      <c r="H2362" s="14">
        <v>7316.0799999999972</v>
      </c>
      <c r="I2362">
        <v>601357</v>
      </c>
      <c r="J2362" t="s">
        <v>86</v>
      </c>
      <c r="K2362" t="s">
        <v>96</v>
      </c>
      <c r="L2362" s="16" t="s">
        <v>10</v>
      </c>
    </row>
    <row r="2363" spans="1:12" x14ac:dyDescent="0.35">
      <c r="A2363" t="s">
        <v>8</v>
      </c>
      <c r="B2363" t="s">
        <v>102</v>
      </c>
      <c r="C2363" t="s">
        <v>95</v>
      </c>
      <c r="D2363" t="s">
        <v>10</v>
      </c>
      <c r="E2363" t="s">
        <v>10</v>
      </c>
      <c r="F2363" s="7">
        <v>45822</v>
      </c>
      <c r="G2363" s="1">
        <v>45658</v>
      </c>
      <c r="H2363" s="14">
        <v>9.91</v>
      </c>
      <c r="I2363">
        <v>8085</v>
      </c>
      <c r="J2363" t="s">
        <v>86</v>
      </c>
      <c r="K2363" t="s">
        <v>96</v>
      </c>
      <c r="L2363" s="16" t="s">
        <v>10</v>
      </c>
    </row>
    <row r="2364" spans="1:12" x14ac:dyDescent="0.35">
      <c r="A2364" t="s">
        <v>8</v>
      </c>
      <c r="B2364" t="s">
        <v>18</v>
      </c>
      <c r="C2364" t="s">
        <v>107</v>
      </c>
      <c r="D2364" t="s">
        <v>108</v>
      </c>
      <c r="E2364" t="s">
        <v>10</v>
      </c>
      <c r="F2364" s="7">
        <v>45822</v>
      </c>
      <c r="G2364" s="1">
        <v>45658</v>
      </c>
      <c r="H2364" s="14">
        <v>24468.21</v>
      </c>
      <c r="I2364">
        <v>1415163</v>
      </c>
      <c r="J2364" t="s">
        <v>86</v>
      </c>
      <c r="K2364" t="s">
        <v>109</v>
      </c>
      <c r="L2364" s="16" t="s">
        <v>133</v>
      </c>
    </row>
    <row r="2365" spans="1:12" x14ac:dyDescent="0.35">
      <c r="A2365" t="s">
        <v>8</v>
      </c>
      <c r="B2365" t="s">
        <v>84</v>
      </c>
      <c r="C2365" t="s">
        <v>85</v>
      </c>
      <c r="D2365" t="s">
        <v>9</v>
      </c>
      <c r="E2365" t="s">
        <v>10</v>
      </c>
      <c r="F2365" s="7">
        <v>45829</v>
      </c>
      <c r="G2365" s="1">
        <v>45658</v>
      </c>
      <c r="H2365" s="14">
        <v>7078.0999970000003</v>
      </c>
      <c r="I2365">
        <v>886913</v>
      </c>
      <c r="J2365" t="s">
        <v>86</v>
      </c>
      <c r="K2365" t="s">
        <v>87</v>
      </c>
      <c r="L2365" s="16" t="s">
        <v>9</v>
      </c>
    </row>
    <row r="2366" spans="1:12" x14ac:dyDescent="0.35">
      <c r="A2366" t="s">
        <v>8</v>
      </c>
      <c r="B2366" t="s">
        <v>84</v>
      </c>
      <c r="C2366" t="s">
        <v>85</v>
      </c>
      <c r="D2366" t="s">
        <v>14</v>
      </c>
      <c r="E2366" t="s">
        <v>10</v>
      </c>
      <c r="F2366" s="7">
        <v>45829</v>
      </c>
      <c r="G2366" s="1">
        <v>45658</v>
      </c>
      <c r="H2366" s="14">
        <v>0.11</v>
      </c>
      <c r="I2366">
        <v>14</v>
      </c>
      <c r="J2366" t="s">
        <v>86</v>
      </c>
      <c r="K2366" t="s">
        <v>91</v>
      </c>
      <c r="L2366" s="16" t="s">
        <v>14</v>
      </c>
    </row>
    <row r="2367" spans="1:12" x14ac:dyDescent="0.35">
      <c r="A2367" t="s">
        <v>8</v>
      </c>
      <c r="B2367" t="s">
        <v>84</v>
      </c>
      <c r="C2367" t="s">
        <v>85</v>
      </c>
      <c r="D2367" t="s">
        <v>14</v>
      </c>
      <c r="E2367" t="s">
        <v>12</v>
      </c>
      <c r="F2367" s="7">
        <v>45829</v>
      </c>
      <c r="G2367" s="1">
        <v>45658</v>
      </c>
      <c r="H2367" s="14">
        <v>6790.08</v>
      </c>
      <c r="I2367">
        <v>1232039</v>
      </c>
      <c r="J2367" t="s">
        <v>86</v>
      </c>
      <c r="K2367" t="s">
        <v>91</v>
      </c>
      <c r="L2367" s="16" t="s">
        <v>12</v>
      </c>
    </row>
    <row r="2368" spans="1:12" x14ac:dyDescent="0.35">
      <c r="A2368" t="s">
        <v>8</v>
      </c>
      <c r="B2368" t="s">
        <v>18</v>
      </c>
      <c r="C2368" t="s">
        <v>85</v>
      </c>
      <c r="D2368" t="s">
        <v>9</v>
      </c>
      <c r="E2368" t="s">
        <v>10</v>
      </c>
      <c r="F2368" s="7">
        <v>45829</v>
      </c>
      <c r="G2368" s="1">
        <v>45658</v>
      </c>
      <c r="H2368" s="14">
        <v>8325.4899990000013</v>
      </c>
      <c r="I2368">
        <v>1427702</v>
      </c>
      <c r="J2368" t="s">
        <v>86</v>
      </c>
      <c r="K2368" t="s">
        <v>87</v>
      </c>
      <c r="L2368" s="16" t="s">
        <v>9</v>
      </c>
    </row>
    <row r="2369" spans="1:12" x14ac:dyDescent="0.35">
      <c r="A2369" t="s">
        <v>8</v>
      </c>
      <c r="B2369" t="s">
        <v>18</v>
      </c>
      <c r="C2369" t="s">
        <v>85</v>
      </c>
      <c r="D2369" t="s">
        <v>9</v>
      </c>
      <c r="E2369" t="s">
        <v>12</v>
      </c>
      <c r="F2369" s="7">
        <v>45829</v>
      </c>
      <c r="G2369" s="1">
        <v>45658</v>
      </c>
      <c r="H2369" s="14">
        <v>22135.769990000001</v>
      </c>
      <c r="I2369">
        <v>2641544</v>
      </c>
      <c r="J2369" t="s">
        <v>86</v>
      </c>
      <c r="K2369" t="s">
        <v>87</v>
      </c>
      <c r="L2369" s="16" t="s">
        <v>12</v>
      </c>
    </row>
    <row r="2370" spans="1:12" x14ac:dyDescent="0.35">
      <c r="A2370" t="s">
        <v>8</v>
      </c>
      <c r="B2370" t="s">
        <v>18</v>
      </c>
      <c r="C2370" t="s">
        <v>85</v>
      </c>
      <c r="D2370" t="s">
        <v>13</v>
      </c>
      <c r="E2370" t="s">
        <v>10</v>
      </c>
      <c r="F2370" s="7">
        <v>45829</v>
      </c>
      <c r="G2370" s="1">
        <v>45658</v>
      </c>
      <c r="H2370" s="14">
        <v>2216.2211049999996</v>
      </c>
      <c r="I2370">
        <v>1036744</v>
      </c>
      <c r="J2370" t="s">
        <v>86</v>
      </c>
      <c r="K2370" t="s">
        <v>90</v>
      </c>
      <c r="L2370" s="16" t="s">
        <v>13</v>
      </c>
    </row>
    <row r="2371" spans="1:12" x14ac:dyDescent="0.35">
      <c r="A2371" t="s">
        <v>8</v>
      </c>
      <c r="B2371" t="s">
        <v>18</v>
      </c>
      <c r="C2371" t="s">
        <v>85</v>
      </c>
      <c r="D2371" t="s">
        <v>13</v>
      </c>
      <c r="E2371" t="s">
        <v>12</v>
      </c>
      <c r="F2371" s="7">
        <v>45829</v>
      </c>
      <c r="G2371" s="1">
        <v>45658</v>
      </c>
      <c r="H2371" s="14">
        <v>9919.7558059999992</v>
      </c>
      <c r="I2371">
        <v>4593160</v>
      </c>
      <c r="J2371" t="s">
        <v>86</v>
      </c>
      <c r="K2371" t="s">
        <v>90</v>
      </c>
      <c r="L2371" s="16" t="s">
        <v>12</v>
      </c>
    </row>
    <row r="2372" spans="1:12" x14ac:dyDescent="0.35">
      <c r="A2372" t="s">
        <v>8</v>
      </c>
      <c r="B2372" t="s">
        <v>18</v>
      </c>
      <c r="C2372" t="s">
        <v>85</v>
      </c>
      <c r="D2372" t="s">
        <v>14</v>
      </c>
      <c r="E2372" t="s">
        <v>10</v>
      </c>
      <c r="F2372" s="7">
        <v>45829</v>
      </c>
      <c r="G2372" s="1">
        <v>45658</v>
      </c>
      <c r="H2372" s="14">
        <v>21537.98</v>
      </c>
      <c r="I2372">
        <v>3733581</v>
      </c>
      <c r="J2372" t="s">
        <v>86</v>
      </c>
      <c r="K2372" t="s">
        <v>91</v>
      </c>
      <c r="L2372" s="16" t="s">
        <v>14</v>
      </c>
    </row>
    <row r="2373" spans="1:12" x14ac:dyDescent="0.35">
      <c r="A2373" t="s">
        <v>8</v>
      </c>
      <c r="B2373" t="s">
        <v>18</v>
      </c>
      <c r="C2373" t="s">
        <v>85</v>
      </c>
      <c r="D2373" t="s">
        <v>14</v>
      </c>
      <c r="E2373" t="s">
        <v>12</v>
      </c>
      <c r="F2373" s="7">
        <v>45829</v>
      </c>
      <c r="G2373" s="1">
        <v>45658</v>
      </c>
      <c r="H2373" s="14">
        <v>33288.71</v>
      </c>
      <c r="I2373">
        <v>6190838</v>
      </c>
      <c r="J2373" t="s">
        <v>86</v>
      </c>
      <c r="K2373" t="s">
        <v>91</v>
      </c>
      <c r="L2373" s="16" t="s">
        <v>12</v>
      </c>
    </row>
    <row r="2374" spans="1:12" x14ac:dyDescent="0.35">
      <c r="A2374" t="s">
        <v>8</v>
      </c>
      <c r="B2374" t="s">
        <v>92</v>
      </c>
      <c r="C2374" t="s">
        <v>93</v>
      </c>
      <c r="D2374" t="s">
        <v>10</v>
      </c>
      <c r="E2374" t="s">
        <v>10</v>
      </c>
      <c r="F2374" s="7">
        <v>45829</v>
      </c>
      <c r="G2374" s="1">
        <v>45658</v>
      </c>
      <c r="H2374" s="14">
        <v>12479.397799999999</v>
      </c>
      <c r="I2374">
        <v>5142942</v>
      </c>
      <c r="J2374" t="s">
        <v>86</v>
      </c>
      <c r="K2374" t="s">
        <v>94</v>
      </c>
      <c r="L2374" s="16" t="s">
        <v>10</v>
      </c>
    </row>
    <row r="2375" spans="1:12" x14ac:dyDescent="0.35">
      <c r="A2375" t="s">
        <v>8</v>
      </c>
      <c r="B2375" t="s">
        <v>92</v>
      </c>
      <c r="C2375" t="s">
        <v>95</v>
      </c>
      <c r="D2375" t="s">
        <v>10</v>
      </c>
      <c r="E2375" t="s">
        <v>10</v>
      </c>
      <c r="F2375" s="7">
        <v>45829</v>
      </c>
      <c r="G2375" s="1">
        <v>45658</v>
      </c>
      <c r="H2375" s="14">
        <v>19277.21000000001</v>
      </c>
      <c r="I2375">
        <v>2062113</v>
      </c>
      <c r="J2375" t="s">
        <v>86</v>
      </c>
      <c r="K2375" t="s">
        <v>96</v>
      </c>
      <c r="L2375" s="16" t="s">
        <v>10</v>
      </c>
    </row>
    <row r="2376" spans="1:12" x14ac:dyDescent="0.35">
      <c r="A2376" t="s">
        <v>8</v>
      </c>
      <c r="B2376" t="s">
        <v>84</v>
      </c>
      <c r="C2376" t="s">
        <v>93</v>
      </c>
      <c r="D2376" t="s">
        <v>10</v>
      </c>
      <c r="E2376" t="s">
        <v>10</v>
      </c>
      <c r="F2376" s="7">
        <v>45829</v>
      </c>
      <c r="G2376" s="1">
        <v>45658</v>
      </c>
      <c r="H2376" s="14">
        <v>9828.9657999999999</v>
      </c>
      <c r="I2376">
        <v>5346268</v>
      </c>
      <c r="J2376" t="s">
        <v>86</v>
      </c>
      <c r="K2376" t="s">
        <v>94</v>
      </c>
      <c r="L2376" s="16" t="s">
        <v>10</v>
      </c>
    </row>
    <row r="2377" spans="1:12" x14ac:dyDescent="0.35">
      <c r="A2377" t="s">
        <v>8</v>
      </c>
      <c r="B2377" t="s">
        <v>84</v>
      </c>
      <c r="C2377" t="s">
        <v>97</v>
      </c>
      <c r="D2377" t="s">
        <v>10</v>
      </c>
      <c r="E2377" t="s">
        <v>10</v>
      </c>
      <c r="F2377" s="7">
        <v>45829</v>
      </c>
      <c r="G2377" s="1">
        <v>45658</v>
      </c>
      <c r="H2377" s="14">
        <v>25464.323799999987</v>
      </c>
      <c r="I2377">
        <v>2070293</v>
      </c>
      <c r="J2377" t="s">
        <v>86</v>
      </c>
      <c r="K2377" t="s">
        <v>98</v>
      </c>
      <c r="L2377" s="16" t="s">
        <v>10</v>
      </c>
    </row>
    <row r="2378" spans="1:12" x14ac:dyDescent="0.35">
      <c r="A2378" t="s">
        <v>8</v>
      </c>
      <c r="B2378" t="s">
        <v>84</v>
      </c>
      <c r="C2378" t="s">
        <v>95</v>
      </c>
      <c r="D2378" t="s">
        <v>10</v>
      </c>
      <c r="E2378" t="s">
        <v>10</v>
      </c>
      <c r="F2378" s="7">
        <v>45829</v>
      </c>
      <c r="G2378" s="1">
        <v>45658</v>
      </c>
      <c r="H2378" s="14">
        <v>15722.250000000007</v>
      </c>
      <c r="I2378">
        <v>1762988</v>
      </c>
      <c r="J2378" t="s">
        <v>86</v>
      </c>
      <c r="K2378" t="s">
        <v>96</v>
      </c>
      <c r="L2378" s="16" t="s">
        <v>10</v>
      </c>
    </row>
    <row r="2379" spans="1:12" x14ac:dyDescent="0.35">
      <c r="A2379" t="s">
        <v>8</v>
      </c>
      <c r="B2379" t="s">
        <v>17</v>
      </c>
      <c r="C2379" t="s">
        <v>93</v>
      </c>
      <c r="D2379" t="s">
        <v>10</v>
      </c>
      <c r="E2379" t="s">
        <v>10</v>
      </c>
      <c r="F2379" s="7">
        <v>45829</v>
      </c>
      <c r="G2379" s="1">
        <v>45658</v>
      </c>
      <c r="H2379" s="14">
        <v>12548.576799999999</v>
      </c>
      <c r="I2379">
        <v>5930461</v>
      </c>
      <c r="J2379" t="s">
        <v>86</v>
      </c>
      <c r="K2379" t="s">
        <v>94</v>
      </c>
      <c r="L2379" s="16" t="s">
        <v>10</v>
      </c>
    </row>
    <row r="2380" spans="1:12" x14ac:dyDescent="0.35">
      <c r="A2380" t="s">
        <v>8</v>
      </c>
      <c r="B2380" t="s">
        <v>17</v>
      </c>
      <c r="C2380" t="s">
        <v>95</v>
      </c>
      <c r="D2380" t="s">
        <v>10</v>
      </c>
      <c r="E2380" t="s">
        <v>10</v>
      </c>
      <c r="F2380" s="7">
        <v>45829</v>
      </c>
      <c r="G2380" s="1">
        <v>45658</v>
      </c>
      <c r="H2380" s="14">
        <v>12027.609999999993</v>
      </c>
      <c r="I2380">
        <v>1183701</v>
      </c>
      <c r="J2380" t="s">
        <v>86</v>
      </c>
      <c r="K2380" t="s">
        <v>96</v>
      </c>
      <c r="L2380" s="16" t="s">
        <v>10</v>
      </c>
    </row>
    <row r="2381" spans="1:12" x14ac:dyDescent="0.35">
      <c r="A2381" t="s">
        <v>8</v>
      </c>
      <c r="B2381" t="s">
        <v>99</v>
      </c>
      <c r="C2381" t="s">
        <v>93</v>
      </c>
      <c r="D2381" t="s">
        <v>10</v>
      </c>
      <c r="E2381" t="s">
        <v>10</v>
      </c>
      <c r="F2381" s="7">
        <v>45829</v>
      </c>
      <c r="G2381" s="1">
        <v>45658</v>
      </c>
      <c r="H2381" s="14">
        <v>9619.2668999999987</v>
      </c>
      <c r="I2381">
        <v>3345326</v>
      </c>
      <c r="J2381" t="s">
        <v>86</v>
      </c>
      <c r="K2381" t="s">
        <v>94</v>
      </c>
      <c r="L2381" s="16" t="s">
        <v>10</v>
      </c>
    </row>
    <row r="2382" spans="1:12" x14ac:dyDescent="0.35">
      <c r="A2382" t="s">
        <v>8</v>
      </c>
      <c r="B2382" t="s">
        <v>99</v>
      </c>
      <c r="C2382" t="s">
        <v>95</v>
      </c>
      <c r="D2382" t="s">
        <v>10</v>
      </c>
      <c r="E2382" t="s">
        <v>10</v>
      </c>
      <c r="F2382" s="7">
        <v>45829</v>
      </c>
      <c r="G2382" s="1">
        <v>45658</v>
      </c>
      <c r="H2382" s="14">
        <v>12009.069999999998</v>
      </c>
      <c r="I2382">
        <v>1599490</v>
      </c>
      <c r="J2382" t="s">
        <v>86</v>
      </c>
      <c r="K2382" t="s">
        <v>96</v>
      </c>
      <c r="L2382" s="16" t="s">
        <v>10</v>
      </c>
    </row>
    <row r="2383" spans="1:12" x14ac:dyDescent="0.35">
      <c r="A2383" t="s">
        <v>8</v>
      </c>
      <c r="B2383" t="s">
        <v>100</v>
      </c>
      <c r="C2383" t="s">
        <v>93</v>
      </c>
      <c r="D2383" t="s">
        <v>10</v>
      </c>
      <c r="E2383" t="s">
        <v>10</v>
      </c>
      <c r="F2383" s="7">
        <v>45829</v>
      </c>
      <c r="G2383" s="1">
        <v>45658</v>
      </c>
      <c r="H2383" s="14">
        <v>9158.1856000000007</v>
      </c>
      <c r="I2383">
        <v>3290186</v>
      </c>
      <c r="J2383" t="s">
        <v>86</v>
      </c>
      <c r="K2383" t="s">
        <v>94</v>
      </c>
      <c r="L2383" s="16" t="s">
        <v>10</v>
      </c>
    </row>
    <row r="2384" spans="1:12" x14ac:dyDescent="0.35">
      <c r="A2384" t="s">
        <v>8</v>
      </c>
      <c r="B2384" t="s">
        <v>100</v>
      </c>
      <c r="C2384" t="s">
        <v>95</v>
      </c>
      <c r="D2384" t="s">
        <v>10</v>
      </c>
      <c r="E2384" t="s">
        <v>10</v>
      </c>
      <c r="F2384" s="7">
        <v>45829</v>
      </c>
      <c r="G2384" s="1">
        <v>45658</v>
      </c>
      <c r="H2384" s="14">
        <v>10397.57</v>
      </c>
      <c r="I2384">
        <v>1087899</v>
      </c>
      <c r="J2384" t="s">
        <v>86</v>
      </c>
      <c r="K2384" t="s">
        <v>96</v>
      </c>
      <c r="L2384" s="16" t="s">
        <v>10</v>
      </c>
    </row>
    <row r="2385" spans="1:12" x14ac:dyDescent="0.35">
      <c r="A2385" t="s">
        <v>8</v>
      </c>
      <c r="B2385" t="s">
        <v>21</v>
      </c>
      <c r="C2385" t="s">
        <v>93</v>
      </c>
      <c r="D2385" t="s">
        <v>10</v>
      </c>
      <c r="E2385" t="s">
        <v>10</v>
      </c>
      <c r="F2385" s="7">
        <v>45829</v>
      </c>
      <c r="G2385" s="1">
        <v>45658</v>
      </c>
      <c r="H2385" s="14">
        <v>8045.3532999999989</v>
      </c>
      <c r="I2385">
        <v>3034864</v>
      </c>
      <c r="J2385" t="s">
        <v>86</v>
      </c>
      <c r="K2385" t="s">
        <v>94</v>
      </c>
      <c r="L2385" s="16" t="s">
        <v>10</v>
      </c>
    </row>
    <row r="2386" spans="1:12" x14ac:dyDescent="0.35">
      <c r="A2386" t="s">
        <v>8</v>
      </c>
      <c r="B2386" t="s">
        <v>21</v>
      </c>
      <c r="C2386" t="s">
        <v>95</v>
      </c>
      <c r="D2386" t="s">
        <v>10</v>
      </c>
      <c r="E2386" t="s">
        <v>10</v>
      </c>
      <c r="F2386" s="7">
        <v>45829</v>
      </c>
      <c r="G2386" s="1">
        <v>45658</v>
      </c>
      <c r="H2386" s="14">
        <v>6248.5999999999976</v>
      </c>
      <c r="I2386">
        <v>437105</v>
      </c>
      <c r="J2386" t="s">
        <v>86</v>
      </c>
      <c r="K2386" t="s">
        <v>96</v>
      </c>
      <c r="L2386" s="16" t="s">
        <v>10</v>
      </c>
    </row>
    <row r="2387" spans="1:12" x14ac:dyDescent="0.35">
      <c r="A2387" t="s">
        <v>8</v>
      </c>
      <c r="B2387" t="s">
        <v>102</v>
      </c>
      <c r="C2387" t="s">
        <v>95</v>
      </c>
      <c r="D2387" t="s">
        <v>10</v>
      </c>
      <c r="E2387" t="s">
        <v>10</v>
      </c>
      <c r="F2387" s="7">
        <v>45829</v>
      </c>
      <c r="G2387" s="1">
        <v>45658</v>
      </c>
      <c r="H2387" s="14">
        <v>2.99</v>
      </c>
      <c r="I2387">
        <v>5268</v>
      </c>
      <c r="J2387" t="s">
        <v>86</v>
      </c>
      <c r="K2387" t="s">
        <v>96</v>
      </c>
      <c r="L2387" s="16" t="s">
        <v>10</v>
      </c>
    </row>
    <row r="2388" spans="1:12" x14ac:dyDescent="0.35">
      <c r="A2388" t="s">
        <v>8</v>
      </c>
      <c r="B2388" t="s">
        <v>18</v>
      </c>
      <c r="C2388" t="s">
        <v>107</v>
      </c>
      <c r="D2388" t="s">
        <v>108</v>
      </c>
      <c r="E2388" t="s">
        <v>10</v>
      </c>
      <c r="F2388" s="7">
        <v>45829</v>
      </c>
      <c r="G2388" s="1">
        <v>45658</v>
      </c>
      <c r="H2388" s="14">
        <v>25189.440000000002</v>
      </c>
      <c r="I2388">
        <v>1904704</v>
      </c>
      <c r="J2388" t="s">
        <v>86</v>
      </c>
      <c r="K2388" t="s">
        <v>109</v>
      </c>
      <c r="L2388" s="16" t="s">
        <v>133</v>
      </c>
    </row>
    <row r="2389" spans="1:12" x14ac:dyDescent="0.35">
      <c r="A2389" t="s">
        <v>8</v>
      </c>
      <c r="B2389" t="s">
        <v>18</v>
      </c>
      <c r="C2389" t="s">
        <v>85</v>
      </c>
      <c r="D2389" t="s">
        <v>9</v>
      </c>
      <c r="E2389" t="s">
        <v>10</v>
      </c>
      <c r="F2389" s="7">
        <v>45836</v>
      </c>
      <c r="G2389" s="1">
        <v>45658</v>
      </c>
      <c r="H2389" s="14">
        <v>11031.789997</v>
      </c>
      <c r="I2389">
        <v>1748720</v>
      </c>
      <c r="J2389" t="s">
        <v>86</v>
      </c>
      <c r="K2389" t="s">
        <v>87</v>
      </c>
      <c r="L2389" s="16" t="s">
        <v>9</v>
      </c>
    </row>
    <row r="2390" spans="1:12" x14ac:dyDescent="0.35">
      <c r="A2390" t="s">
        <v>8</v>
      </c>
      <c r="B2390" t="s">
        <v>18</v>
      </c>
      <c r="C2390" t="s">
        <v>85</v>
      </c>
      <c r="D2390" t="s">
        <v>9</v>
      </c>
      <c r="E2390" t="s">
        <v>12</v>
      </c>
      <c r="F2390" s="7">
        <v>45836</v>
      </c>
      <c r="G2390" s="1">
        <v>45658</v>
      </c>
      <c r="H2390" s="14">
        <v>19292.110008</v>
      </c>
      <c r="I2390">
        <v>2273732</v>
      </c>
      <c r="J2390" t="s">
        <v>86</v>
      </c>
      <c r="K2390" t="s">
        <v>87</v>
      </c>
      <c r="L2390" s="16" t="s">
        <v>12</v>
      </c>
    </row>
    <row r="2391" spans="1:12" x14ac:dyDescent="0.35">
      <c r="A2391" t="s">
        <v>8</v>
      </c>
      <c r="B2391" t="s">
        <v>18</v>
      </c>
      <c r="C2391" t="s">
        <v>85</v>
      </c>
      <c r="D2391" t="s">
        <v>13</v>
      </c>
      <c r="E2391" t="s">
        <v>10</v>
      </c>
      <c r="F2391" s="7">
        <v>45836</v>
      </c>
      <c r="G2391" s="1">
        <v>45658</v>
      </c>
      <c r="H2391" s="14">
        <v>2380.7796990000002</v>
      </c>
      <c r="I2391">
        <v>1087890</v>
      </c>
      <c r="J2391" t="s">
        <v>86</v>
      </c>
      <c r="K2391" t="s">
        <v>90</v>
      </c>
      <c r="L2391" s="16" t="s">
        <v>13</v>
      </c>
    </row>
    <row r="2392" spans="1:12" x14ac:dyDescent="0.35">
      <c r="A2392" t="s">
        <v>8</v>
      </c>
      <c r="B2392" t="s">
        <v>18</v>
      </c>
      <c r="C2392" t="s">
        <v>85</v>
      </c>
      <c r="D2392" t="s">
        <v>13</v>
      </c>
      <c r="E2392" t="s">
        <v>12</v>
      </c>
      <c r="F2392" s="7">
        <v>45836</v>
      </c>
      <c r="G2392" s="1">
        <v>45658</v>
      </c>
      <c r="H2392" s="14">
        <v>9780.5517020000007</v>
      </c>
      <c r="I2392">
        <v>4416137</v>
      </c>
      <c r="J2392" t="s">
        <v>86</v>
      </c>
      <c r="K2392" t="s">
        <v>90</v>
      </c>
      <c r="L2392" s="16" t="s">
        <v>12</v>
      </c>
    </row>
    <row r="2393" spans="1:12" x14ac:dyDescent="0.35">
      <c r="A2393" t="s">
        <v>8</v>
      </c>
      <c r="B2393" t="s">
        <v>18</v>
      </c>
      <c r="C2393" t="s">
        <v>85</v>
      </c>
      <c r="D2393" t="s">
        <v>14</v>
      </c>
      <c r="E2393" t="s">
        <v>10</v>
      </c>
      <c r="F2393" s="7">
        <v>45836</v>
      </c>
      <c r="G2393" s="1">
        <v>45658</v>
      </c>
      <c r="H2393" s="14">
        <v>40513.660000000003</v>
      </c>
      <c r="I2393">
        <v>6523409</v>
      </c>
      <c r="J2393" t="s">
        <v>86</v>
      </c>
      <c r="K2393" t="s">
        <v>91</v>
      </c>
      <c r="L2393" s="16" t="s">
        <v>14</v>
      </c>
    </row>
    <row r="2394" spans="1:12" x14ac:dyDescent="0.35">
      <c r="A2394" t="s">
        <v>8</v>
      </c>
      <c r="B2394" t="s">
        <v>18</v>
      </c>
      <c r="C2394" t="s">
        <v>85</v>
      </c>
      <c r="D2394" t="s">
        <v>14</v>
      </c>
      <c r="E2394" t="s">
        <v>12</v>
      </c>
      <c r="F2394" s="7">
        <v>45836</v>
      </c>
      <c r="G2394" s="1">
        <v>45658</v>
      </c>
      <c r="H2394" s="14">
        <v>14697.989999999996</v>
      </c>
      <c r="I2394">
        <v>2624177</v>
      </c>
      <c r="J2394" t="s">
        <v>86</v>
      </c>
      <c r="K2394" t="s">
        <v>91</v>
      </c>
      <c r="L2394" s="16" t="s">
        <v>12</v>
      </c>
    </row>
    <row r="2395" spans="1:12" x14ac:dyDescent="0.35">
      <c r="A2395" t="s">
        <v>8</v>
      </c>
      <c r="B2395" t="s">
        <v>92</v>
      </c>
      <c r="C2395" t="s">
        <v>93</v>
      </c>
      <c r="D2395" t="s">
        <v>10</v>
      </c>
      <c r="E2395" t="s">
        <v>10</v>
      </c>
      <c r="F2395" s="7">
        <v>45836</v>
      </c>
      <c r="G2395" s="1">
        <v>45658</v>
      </c>
      <c r="H2395" s="14">
        <v>10634.857799999998</v>
      </c>
      <c r="I2395">
        <v>3783582</v>
      </c>
      <c r="J2395" t="s">
        <v>86</v>
      </c>
      <c r="K2395" t="s">
        <v>94</v>
      </c>
      <c r="L2395" s="16" t="s">
        <v>10</v>
      </c>
    </row>
    <row r="2396" spans="1:12" x14ac:dyDescent="0.35">
      <c r="A2396" t="s">
        <v>8</v>
      </c>
      <c r="B2396" t="s">
        <v>92</v>
      </c>
      <c r="C2396" t="s">
        <v>95</v>
      </c>
      <c r="D2396" t="s">
        <v>10</v>
      </c>
      <c r="E2396" t="s">
        <v>10</v>
      </c>
      <c r="F2396" s="7">
        <v>45836</v>
      </c>
      <c r="G2396" s="1">
        <v>45658</v>
      </c>
      <c r="H2396" s="14">
        <v>12223.480000000001</v>
      </c>
      <c r="I2396">
        <v>1159472</v>
      </c>
      <c r="J2396" t="s">
        <v>86</v>
      </c>
      <c r="K2396" t="s">
        <v>96</v>
      </c>
      <c r="L2396" s="16" t="s">
        <v>10</v>
      </c>
    </row>
    <row r="2397" spans="1:12" x14ac:dyDescent="0.35">
      <c r="A2397" t="s">
        <v>8</v>
      </c>
      <c r="B2397" t="s">
        <v>84</v>
      </c>
      <c r="C2397" t="s">
        <v>93</v>
      </c>
      <c r="D2397" t="s">
        <v>10</v>
      </c>
      <c r="E2397" t="s">
        <v>10</v>
      </c>
      <c r="F2397" s="7">
        <v>45836</v>
      </c>
      <c r="G2397" s="1">
        <v>45658</v>
      </c>
      <c r="H2397" s="14">
        <v>8438.7793999999994</v>
      </c>
      <c r="I2397">
        <v>3191834</v>
      </c>
      <c r="J2397" t="s">
        <v>86</v>
      </c>
      <c r="K2397" t="s">
        <v>94</v>
      </c>
      <c r="L2397" s="16" t="s">
        <v>10</v>
      </c>
    </row>
    <row r="2398" spans="1:12" x14ac:dyDescent="0.35">
      <c r="A2398" t="s">
        <v>8</v>
      </c>
      <c r="B2398" t="s">
        <v>84</v>
      </c>
      <c r="C2398" t="s">
        <v>97</v>
      </c>
      <c r="D2398" t="s">
        <v>10</v>
      </c>
      <c r="E2398" t="s">
        <v>10</v>
      </c>
      <c r="F2398" s="7">
        <v>45836</v>
      </c>
      <c r="G2398" s="1">
        <v>45658</v>
      </c>
      <c r="H2398" s="14">
        <v>18826.381600000001</v>
      </c>
      <c r="I2398">
        <v>1483029</v>
      </c>
      <c r="J2398" t="s">
        <v>86</v>
      </c>
      <c r="K2398" t="s">
        <v>98</v>
      </c>
      <c r="L2398" s="16" t="s">
        <v>10</v>
      </c>
    </row>
    <row r="2399" spans="1:12" x14ac:dyDescent="0.35">
      <c r="A2399" t="s">
        <v>8</v>
      </c>
      <c r="B2399" t="s">
        <v>84</v>
      </c>
      <c r="C2399" t="s">
        <v>95</v>
      </c>
      <c r="D2399" t="s">
        <v>10</v>
      </c>
      <c r="E2399" t="s">
        <v>10</v>
      </c>
      <c r="F2399" s="7">
        <v>45836</v>
      </c>
      <c r="G2399" s="1">
        <v>45658</v>
      </c>
      <c r="H2399" s="14">
        <v>11872.499999999996</v>
      </c>
      <c r="I2399">
        <v>1574755</v>
      </c>
      <c r="J2399" t="s">
        <v>86</v>
      </c>
      <c r="K2399" t="s">
        <v>96</v>
      </c>
      <c r="L2399" s="16" t="s">
        <v>10</v>
      </c>
    </row>
    <row r="2400" spans="1:12" x14ac:dyDescent="0.35">
      <c r="A2400" t="s">
        <v>8</v>
      </c>
      <c r="B2400" t="s">
        <v>17</v>
      </c>
      <c r="C2400" t="s">
        <v>93</v>
      </c>
      <c r="D2400" t="s">
        <v>10</v>
      </c>
      <c r="E2400" t="s">
        <v>10</v>
      </c>
      <c r="F2400" s="7">
        <v>45836</v>
      </c>
      <c r="G2400" s="1">
        <v>45658</v>
      </c>
      <c r="H2400" s="14">
        <v>11322.4141</v>
      </c>
      <c r="I2400">
        <v>3932780</v>
      </c>
      <c r="J2400" t="s">
        <v>86</v>
      </c>
      <c r="K2400" t="s">
        <v>94</v>
      </c>
      <c r="L2400" s="16" t="s">
        <v>10</v>
      </c>
    </row>
    <row r="2401" spans="1:12" x14ac:dyDescent="0.35">
      <c r="A2401" t="s">
        <v>8</v>
      </c>
      <c r="B2401" t="s">
        <v>17</v>
      </c>
      <c r="C2401" t="s">
        <v>95</v>
      </c>
      <c r="D2401" t="s">
        <v>10</v>
      </c>
      <c r="E2401" t="s">
        <v>10</v>
      </c>
      <c r="F2401" s="7">
        <v>45836</v>
      </c>
      <c r="G2401" s="1">
        <v>45658</v>
      </c>
      <c r="H2401" s="14">
        <v>3918.61</v>
      </c>
      <c r="I2401">
        <v>471233</v>
      </c>
      <c r="J2401" t="s">
        <v>86</v>
      </c>
      <c r="K2401" t="s">
        <v>96</v>
      </c>
      <c r="L2401" s="16" t="s">
        <v>10</v>
      </c>
    </row>
    <row r="2402" spans="1:12" x14ac:dyDescent="0.35">
      <c r="A2402" t="s">
        <v>8</v>
      </c>
      <c r="B2402" t="s">
        <v>99</v>
      </c>
      <c r="C2402" t="s">
        <v>93</v>
      </c>
      <c r="D2402" t="s">
        <v>10</v>
      </c>
      <c r="E2402" t="s">
        <v>10</v>
      </c>
      <c r="F2402" s="7">
        <v>45836</v>
      </c>
      <c r="G2402" s="1">
        <v>45658</v>
      </c>
      <c r="H2402" s="14">
        <v>9685.1985999999961</v>
      </c>
      <c r="I2402">
        <v>1831650</v>
      </c>
      <c r="J2402" t="s">
        <v>86</v>
      </c>
      <c r="K2402" t="s">
        <v>94</v>
      </c>
      <c r="L2402" s="16" t="s">
        <v>10</v>
      </c>
    </row>
    <row r="2403" spans="1:12" x14ac:dyDescent="0.35">
      <c r="A2403" t="s">
        <v>8</v>
      </c>
      <c r="B2403" t="s">
        <v>99</v>
      </c>
      <c r="C2403" t="s">
        <v>95</v>
      </c>
      <c r="D2403" t="s">
        <v>10</v>
      </c>
      <c r="E2403" t="s">
        <v>10</v>
      </c>
      <c r="F2403" s="7">
        <v>45836</v>
      </c>
      <c r="G2403" s="1">
        <v>45658</v>
      </c>
      <c r="H2403" s="14">
        <v>11668.01999999999</v>
      </c>
      <c r="I2403">
        <v>1484478</v>
      </c>
      <c r="J2403" t="s">
        <v>86</v>
      </c>
      <c r="K2403" t="s">
        <v>96</v>
      </c>
      <c r="L2403" s="16" t="s">
        <v>10</v>
      </c>
    </row>
    <row r="2404" spans="1:12" x14ac:dyDescent="0.35">
      <c r="A2404" t="s">
        <v>8</v>
      </c>
      <c r="B2404" t="s">
        <v>100</v>
      </c>
      <c r="C2404" t="s">
        <v>93</v>
      </c>
      <c r="D2404" t="s">
        <v>10</v>
      </c>
      <c r="E2404" t="s">
        <v>10</v>
      </c>
      <c r="F2404" s="7">
        <v>45836</v>
      </c>
      <c r="G2404" s="1">
        <v>45658</v>
      </c>
      <c r="H2404" s="14">
        <v>7839.1786999999995</v>
      </c>
      <c r="I2404">
        <v>2938080</v>
      </c>
      <c r="J2404" t="s">
        <v>86</v>
      </c>
      <c r="K2404" t="s">
        <v>94</v>
      </c>
      <c r="L2404" s="16" t="s">
        <v>10</v>
      </c>
    </row>
    <row r="2405" spans="1:12" x14ac:dyDescent="0.35">
      <c r="A2405" t="s">
        <v>8</v>
      </c>
      <c r="B2405" t="s">
        <v>100</v>
      </c>
      <c r="C2405" t="s">
        <v>95</v>
      </c>
      <c r="D2405" t="s">
        <v>10</v>
      </c>
      <c r="E2405" t="s">
        <v>10</v>
      </c>
      <c r="F2405" s="7">
        <v>45836</v>
      </c>
      <c r="G2405" s="1">
        <v>45658</v>
      </c>
      <c r="H2405" s="14">
        <v>6088.409999999998</v>
      </c>
      <c r="I2405">
        <v>623050</v>
      </c>
      <c r="J2405" t="s">
        <v>86</v>
      </c>
      <c r="K2405" t="s">
        <v>96</v>
      </c>
      <c r="L2405" s="16" t="s">
        <v>10</v>
      </c>
    </row>
    <row r="2406" spans="1:12" x14ac:dyDescent="0.35">
      <c r="A2406" t="s">
        <v>8</v>
      </c>
      <c r="B2406" t="s">
        <v>21</v>
      </c>
      <c r="C2406" t="s">
        <v>93</v>
      </c>
      <c r="D2406" t="s">
        <v>10</v>
      </c>
      <c r="E2406" t="s">
        <v>10</v>
      </c>
      <c r="F2406" s="7">
        <v>45836</v>
      </c>
      <c r="G2406" s="1">
        <v>45658</v>
      </c>
      <c r="H2406" s="14">
        <v>6786.2874999999985</v>
      </c>
      <c r="I2406">
        <v>2609058</v>
      </c>
      <c r="J2406" t="s">
        <v>86</v>
      </c>
      <c r="K2406" t="s">
        <v>94</v>
      </c>
      <c r="L2406" s="16" t="s">
        <v>10</v>
      </c>
    </row>
    <row r="2407" spans="1:12" x14ac:dyDescent="0.35">
      <c r="A2407" t="s">
        <v>8</v>
      </c>
      <c r="B2407" t="s">
        <v>21</v>
      </c>
      <c r="C2407" t="s">
        <v>95</v>
      </c>
      <c r="D2407" t="s">
        <v>10</v>
      </c>
      <c r="E2407" t="s">
        <v>10</v>
      </c>
      <c r="F2407" s="7">
        <v>45836</v>
      </c>
      <c r="G2407" s="1">
        <v>45658</v>
      </c>
      <c r="H2407" s="14">
        <v>2274</v>
      </c>
      <c r="I2407">
        <v>135518</v>
      </c>
      <c r="J2407" t="s">
        <v>86</v>
      </c>
      <c r="K2407" t="s">
        <v>96</v>
      </c>
      <c r="L2407" s="16" t="s">
        <v>10</v>
      </c>
    </row>
    <row r="2408" spans="1:12" x14ac:dyDescent="0.35">
      <c r="A2408" t="s">
        <v>8</v>
      </c>
      <c r="B2408" t="s">
        <v>102</v>
      </c>
      <c r="C2408" t="s">
        <v>95</v>
      </c>
      <c r="D2408" t="s">
        <v>10</v>
      </c>
      <c r="E2408" t="s">
        <v>10</v>
      </c>
      <c r="F2408" s="7">
        <v>45836</v>
      </c>
      <c r="G2408" s="1">
        <v>45658</v>
      </c>
      <c r="H2408" s="14">
        <v>2.16</v>
      </c>
      <c r="I2408">
        <v>3389</v>
      </c>
      <c r="J2408" t="s">
        <v>86</v>
      </c>
      <c r="K2408" t="s">
        <v>96</v>
      </c>
      <c r="L2408" s="16" t="s">
        <v>10</v>
      </c>
    </row>
    <row r="2409" spans="1:12" x14ac:dyDescent="0.35">
      <c r="A2409" t="s">
        <v>8</v>
      </c>
      <c r="B2409" t="s">
        <v>18</v>
      </c>
      <c r="C2409" t="s">
        <v>107</v>
      </c>
      <c r="D2409" t="s">
        <v>108</v>
      </c>
      <c r="E2409" t="s">
        <v>10</v>
      </c>
      <c r="F2409" s="7">
        <v>45836</v>
      </c>
      <c r="G2409" s="1">
        <v>45658</v>
      </c>
      <c r="H2409" s="14">
        <v>24270.75</v>
      </c>
      <c r="I2409">
        <v>1438910</v>
      </c>
      <c r="J2409" t="s">
        <v>86</v>
      </c>
      <c r="K2409" t="s">
        <v>109</v>
      </c>
      <c r="L2409" s="16" t="s">
        <v>133</v>
      </c>
    </row>
    <row r="2410" spans="1:12" x14ac:dyDescent="0.35">
      <c r="A2410" t="s">
        <v>8</v>
      </c>
      <c r="B2410" t="s">
        <v>18</v>
      </c>
      <c r="C2410" t="s">
        <v>85</v>
      </c>
      <c r="D2410" t="s">
        <v>9</v>
      </c>
      <c r="E2410" t="s">
        <v>10</v>
      </c>
      <c r="F2410" s="7">
        <v>45843</v>
      </c>
      <c r="G2410" s="1">
        <v>45658</v>
      </c>
      <c r="H2410" s="14">
        <v>2842.2807999999995</v>
      </c>
      <c r="I2410">
        <v>367387</v>
      </c>
      <c r="J2410" t="s">
        <v>86</v>
      </c>
      <c r="K2410" t="s">
        <v>87</v>
      </c>
      <c r="L2410" s="16" t="s">
        <v>9</v>
      </c>
    </row>
    <row r="2411" spans="1:12" x14ac:dyDescent="0.35">
      <c r="A2411" t="s">
        <v>8</v>
      </c>
      <c r="B2411" t="s">
        <v>18</v>
      </c>
      <c r="C2411" t="s">
        <v>85</v>
      </c>
      <c r="D2411" t="s">
        <v>9</v>
      </c>
      <c r="E2411" t="s">
        <v>12</v>
      </c>
      <c r="F2411" s="7">
        <v>45843</v>
      </c>
      <c r="G2411" s="1">
        <v>45658</v>
      </c>
      <c r="H2411" s="14">
        <v>7547.1574310000015</v>
      </c>
      <c r="I2411">
        <v>965006</v>
      </c>
      <c r="J2411" t="s">
        <v>86</v>
      </c>
      <c r="K2411" t="s">
        <v>87</v>
      </c>
      <c r="L2411" s="16" t="s">
        <v>12</v>
      </c>
    </row>
    <row r="2412" spans="1:12" x14ac:dyDescent="0.35">
      <c r="A2412" t="s">
        <v>8</v>
      </c>
      <c r="B2412" t="s">
        <v>18</v>
      </c>
      <c r="C2412" t="s">
        <v>85</v>
      </c>
      <c r="D2412" t="s">
        <v>13</v>
      </c>
      <c r="E2412" t="s">
        <v>10</v>
      </c>
      <c r="F2412" s="7">
        <v>45843</v>
      </c>
      <c r="G2412" s="1">
        <v>45658</v>
      </c>
      <c r="H2412" s="14">
        <v>748.67284599999994</v>
      </c>
      <c r="I2412">
        <v>371071</v>
      </c>
      <c r="J2412" t="s">
        <v>86</v>
      </c>
      <c r="K2412" t="s">
        <v>90</v>
      </c>
      <c r="L2412" s="16" t="s">
        <v>13</v>
      </c>
    </row>
    <row r="2413" spans="1:12" x14ac:dyDescent="0.35">
      <c r="A2413" t="s">
        <v>8</v>
      </c>
      <c r="B2413" t="s">
        <v>18</v>
      </c>
      <c r="C2413" t="s">
        <v>85</v>
      </c>
      <c r="D2413" t="s">
        <v>13</v>
      </c>
      <c r="E2413" t="s">
        <v>12</v>
      </c>
      <c r="F2413" s="7">
        <v>45843</v>
      </c>
      <c r="G2413" s="1">
        <v>45658</v>
      </c>
      <c r="H2413" s="14">
        <v>2739.6087280000002</v>
      </c>
      <c r="I2413">
        <v>1331946</v>
      </c>
      <c r="J2413" t="s">
        <v>86</v>
      </c>
      <c r="K2413" t="s">
        <v>90</v>
      </c>
      <c r="L2413" s="16" t="s">
        <v>12</v>
      </c>
    </row>
    <row r="2414" spans="1:12" x14ac:dyDescent="0.35">
      <c r="A2414" t="s">
        <v>8</v>
      </c>
      <c r="B2414" t="s">
        <v>18</v>
      </c>
      <c r="C2414" t="s">
        <v>85</v>
      </c>
      <c r="D2414" t="s">
        <v>14</v>
      </c>
      <c r="E2414" t="s">
        <v>10</v>
      </c>
      <c r="F2414" s="7">
        <v>45843</v>
      </c>
      <c r="G2414" s="1">
        <v>45658</v>
      </c>
      <c r="H2414" s="14">
        <v>14155.99</v>
      </c>
      <c r="I2414">
        <v>2289191</v>
      </c>
      <c r="J2414" t="s">
        <v>86</v>
      </c>
      <c r="K2414" t="s">
        <v>91</v>
      </c>
      <c r="L2414" s="16" t="s">
        <v>14</v>
      </c>
    </row>
    <row r="2415" spans="1:12" x14ac:dyDescent="0.35">
      <c r="A2415" t="s">
        <v>8</v>
      </c>
      <c r="B2415" t="s">
        <v>18</v>
      </c>
      <c r="C2415" t="s">
        <v>85</v>
      </c>
      <c r="D2415" t="s">
        <v>14</v>
      </c>
      <c r="E2415" t="s">
        <v>12</v>
      </c>
      <c r="F2415" s="7">
        <v>45843</v>
      </c>
      <c r="G2415" s="1">
        <v>45658</v>
      </c>
      <c r="H2415" s="14">
        <v>1151.33</v>
      </c>
      <c r="I2415">
        <v>210299</v>
      </c>
      <c r="J2415" t="s">
        <v>86</v>
      </c>
      <c r="K2415" t="s">
        <v>91</v>
      </c>
      <c r="L2415" s="16" t="s">
        <v>12</v>
      </c>
    </row>
    <row r="2416" spans="1:12" x14ac:dyDescent="0.35">
      <c r="A2416" t="s">
        <v>8</v>
      </c>
      <c r="B2416" t="s">
        <v>92</v>
      </c>
      <c r="C2416" t="s">
        <v>85</v>
      </c>
      <c r="D2416" t="s">
        <v>14</v>
      </c>
      <c r="E2416" t="s">
        <v>10</v>
      </c>
      <c r="F2416" s="7">
        <v>45843</v>
      </c>
      <c r="G2416" s="1">
        <v>45658</v>
      </c>
      <c r="H2416" s="14">
        <v>3284.99</v>
      </c>
      <c r="I2416">
        <v>239521</v>
      </c>
      <c r="J2416" t="s">
        <v>86</v>
      </c>
      <c r="K2416" t="s">
        <v>91</v>
      </c>
      <c r="L2416" s="16" t="s">
        <v>14</v>
      </c>
    </row>
    <row r="2417" spans="1:12" x14ac:dyDescent="0.35">
      <c r="A2417" t="s">
        <v>8</v>
      </c>
      <c r="B2417" t="s">
        <v>18</v>
      </c>
      <c r="C2417" t="s">
        <v>107</v>
      </c>
      <c r="D2417" t="s">
        <v>108</v>
      </c>
      <c r="E2417" t="s">
        <v>10</v>
      </c>
      <c r="F2417" s="7">
        <v>45843</v>
      </c>
      <c r="G2417" s="1">
        <v>45658</v>
      </c>
      <c r="H2417" s="14">
        <v>1795.91</v>
      </c>
      <c r="I2417">
        <v>124320</v>
      </c>
      <c r="J2417" t="s">
        <v>86</v>
      </c>
      <c r="K2417" t="s">
        <v>109</v>
      </c>
      <c r="L2417" s="16" t="s">
        <v>133</v>
      </c>
    </row>
    <row r="2418" spans="1:12" x14ac:dyDescent="0.35">
      <c r="F2418" s="7"/>
      <c r="G2418" s="1"/>
    </row>
  </sheetData>
  <autoFilter ref="A1:L2417" xr:uid="{168AEDA5-FE63-41AA-9E2A-C0EC425C55DE}">
    <sortState xmlns:xlrd2="http://schemas.microsoft.com/office/spreadsheetml/2017/richdata2" ref="A2:L2417">
      <sortCondition ref="F1:F2417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1D651-DA54-472B-8709-292FA336F29E}">
  <dimension ref="A3:P34"/>
  <sheetViews>
    <sheetView workbookViewId="0">
      <selection activeCell="G44" sqref="G44"/>
    </sheetView>
  </sheetViews>
  <sheetFormatPr defaultRowHeight="14.5" x14ac:dyDescent="0.35"/>
  <cols>
    <col min="1" max="1" width="15.1796875" bestFit="1" customWidth="1"/>
    <col min="2" max="2" width="17.7265625" bestFit="1" customWidth="1"/>
    <col min="3" max="3" width="14.7265625" bestFit="1" customWidth="1"/>
    <col min="4" max="4" width="13.26953125" bestFit="1" customWidth="1"/>
    <col min="5" max="5" width="10.7265625" bestFit="1" customWidth="1"/>
    <col min="6" max="6" width="11.54296875" bestFit="1" customWidth="1"/>
    <col min="7" max="7" width="11.453125" bestFit="1" customWidth="1"/>
    <col min="8" max="8" width="13" bestFit="1" customWidth="1"/>
    <col min="9" max="9" width="10.1796875" bestFit="1" customWidth="1"/>
    <col min="10" max="10" width="15.81640625" customWidth="1"/>
    <col min="11" max="11" width="13.26953125" bestFit="1" customWidth="1"/>
    <col min="12" max="12" width="17.54296875" bestFit="1" customWidth="1"/>
    <col min="13" max="13" width="7.1796875" bestFit="1" customWidth="1"/>
    <col min="14" max="14" width="14.1796875" bestFit="1" customWidth="1"/>
    <col min="15" max="15" width="14.54296875" bestFit="1" customWidth="1"/>
    <col min="16" max="17" width="11.7265625" bestFit="1" customWidth="1"/>
    <col min="18" max="18" width="11.1796875" bestFit="1" customWidth="1"/>
  </cols>
  <sheetData>
    <row r="3" spans="1:10" x14ac:dyDescent="0.35">
      <c r="A3" s="5" t="s">
        <v>6</v>
      </c>
      <c r="B3" s="5" t="s">
        <v>110</v>
      </c>
    </row>
    <row r="4" spans="1:10" x14ac:dyDescent="0.35">
      <c r="A4" s="5" t="s">
        <v>111</v>
      </c>
      <c r="B4" t="s">
        <v>109</v>
      </c>
      <c r="C4" t="s">
        <v>94</v>
      </c>
      <c r="D4" t="s">
        <v>98</v>
      </c>
      <c r="E4" t="s">
        <v>96</v>
      </c>
      <c r="F4" t="s">
        <v>105</v>
      </c>
      <c r="G4" t="s">
        <v>87</v>
      </c>
      <c r="H4" t="s">
        <v>90</v>
      </c>
      <c r="I4" t="s">
        <v>91</v>
      </c>
      <c r="J4" t="s">
        <v>112</v>
      </c>
    </row>
    <row r="5" spans="1:10" x14ac:dyDescent="0.35">
      <c r="A5" s="6" t="s">
        <v>103</v>
      </c>
      <c r="B5" s="15"/>
      <c r="C5" s="15"/>
      <c r="D5" s="15"/>
      <c r="E5" s="15"/>
      <c r="F5" s="15">
        <v>5286.7017569999998</v>
      </c>
      <c r="G5" s="15"/>
      <c r="H5" s="15"/>
      <c r="I5" s="15"/>
      <c r="J5" s="15">
        <v>5286.7017569999998</v>
      </c>
    </row>
    <row r="6" spans="1:10" x14ac:dyDescent="0.35">
      <c r="A6" s="6" t="s">
        <v>15</v>
      </c>
      <c r="B6" s="15"/>
      <c r="C6" s="15"/>
      <c r="D6" s="15"/>
      <c r="E6" s="15"/>
      <c r="F6" s="15"/>
      <c r="G6" s="15">
        <v>23633.000001</v>
      </c>
      <c r="H6" s="15"/>
      <c r="I6" s="15"/>
      <c r="J6" s="15">
        <v>23633.000001</v>
      </c>
    </row>
    <row r="7" spans="1:10" x14ac:dyDescent="0.35">
      <c r="A7" s="6" t="s">
        <v>16</v>
      </c>
      <c r="B7" s="15"/>
      <c r="C7" s="15">
        <v>21587.367300000002</v>
      </c>
      <c r="D7" s="15"/>
      <c r="E7" s="15">
        <v>29032.500000000004</v>
      </c>
      <c r="F7" s="15">
        <v>5419.1289419999994</v>
      </c>
      <c r="G7" s="15">
        <v>323624.28059200005</v>
      </c>
      <c r="H7" s="15"/>
      <c r="I7" s="15"/>
      <c r="J7" s="15">
        <v>379663.27683400008</v>
      </c>
    </row>
    <row r="8" spans="1:10" x14ac:dyDescent="0.35">
      <c r="A8" s="6" t="s">
        <v>17</v>
      </c>
      <c r="B8" s="15"/>
      <c r="C8" s="15">
        <v>799038.83140000014</v>
      </c>
      <c r="D8" s="15"/>
      <c r="E8" s="15">
        <v>1295363.2699999998</v>
      </c>
      <c r="F8" s="15">
        <v>8222.2715610000014</v>
      </c>
      <c r="G8" s="15">
        <v>199995.85000800001</v>
      </c>
      <c r="H8" s="15"/>
      <c r="I8" s="15"/>
      <c r="J8" s="15">
        <v>2302620.2229690002</v>
      </c>
    </row>
    <row r="9" spans="1:10" x14ac:dyDescent="0.35">
      <c r="A9" s="6" t="s">
        <v>106</v>
      </c>
      <c r="B9" s="15"/>
      <c r="C9" s="15"/>
      <c r="D9" s="15"/>
      <c r="E9" s="15"/>
      <c r="F9" s="15">
        <v>9220.1370170000009</v>
      </c>
      <c r="G9" s="15"/>
      <c r="H9" s="15"/>
      <c r="I9" s="15"/>
      <c r="J9" s="15">
        <v>9220.1370170000009</v>
      </c>
    </row>
    <row r="10" spans="1:10" x14ac:dyDescent="0.35">
      <c r="A10" s="6" t="s">
        <v>18</v>
      </c>
      <c r="B10" s="15">
        <v>94675.35</v>
      </c>
      <c r="C10" s="15"/>
      <c r="D10" s="15"/>
      <c r="E10" s="15"/>
      <c r="F10" s="15"/>
      <c r="G10" s="15">
        <v>262918.32822200004</v>
      </c>
      <c r="H10" s="15">
        <v>50000.000000000007</v>
      </c>
      <c r="I10" s="15">
        <v>374960.28</v>
      </c>
      <c r="J10" s="15">
        <v>782553.95822200004</v>
      </c>
    </row>
    <row r="11" spans="1:10" x14ac:dyDescent="0.35">
      <c r="A11" s="6" t="s">
        <v>92</v>
      </c>
      <c r="B11" s="15"/>
      <c r="C11" s="15">
        <v>797609.71720000019</v>
      </c>
      <c r="D11" s="15"/>
      <c r="E11" s="15">
        <v>1348405.9199999992</v>
      </c>
      <c r="F11" s="15">
        <v>19047.883363000004</v>
      </c>
      <c r="G11" s="15">
        <v>718990.15024300013</v>
      </c>
      <c r="H11" s="15"/>
      <c r="I11" s="15">
        <v>203278.61000000002</v>
      </c>
      <c r="J11" s="15">
        <v>3087332.2808059994</v>
      </c>
    </row>
    <row r="12" spans="1:10" x14ac:dyDescent="0.35">
      <c r="A12" s="6" t="s">
        <v>20</v>
      </c>
      <c r="B12" s="15"/>
      <c r="C12" s="15"/>
      <c r="D12" s="15"/>
      <c r="E12" s="15"/>
      <c r="F12" s="15"/>
      <c r="G12" s="15">
        <v>247669.29008000001</v>
      </c>
      <c r="H12" s="15"/>
      <c r="I12" s="15"/>
      <c r="J12" s="15">
        <v>247669.29008000001</v>
      </c>
    </row>
    <row r="13" spans="1:10" x14ac:dyDescent="0.35">
      <c r="A13" s="6" t="s">
        <v>21</v>
      </c>
      <c r="B13" s="15"/>
      <c r="C13" s="15">
        <v>321010.54640000005</v>
      </c>
      <c r="D13" s="15">
        <v>58116.752500000002</v>
      </c>
      <c r="E13" s="15">
        <v>579534.61999999976</v>
      </c>
      <c r="F13" s="15">
        <v>18049.254115999996</v>
      </c>
      <c r="G13" s="15">
        <v>224498.40009899999</v>
      </c>
      <c r="H13" s="15">
        <v>224499.60000000003</v>
      </c>
      <c r="I13" s="15"/>
      <c r="J13" s="15">
        <v>1425709.1731149999</v>
      </c>
    </row>
    <row r="14" spans="1:10" x14ac:dyDescent="0.35">
      <c r="A14" s="6" t="s">
        <v>101</v>
      </c>
      <c r="B14" s="15"/>
      <c r="C14" s="15">
        <v>229502.65460000004</v>
      </c>
      <c r="D14" s="15"/>
      <c r="E14" s="15">
        <v>200995.36999999997</v>
      </c>
      <c r="F14" s="15">
        <v>6194.0993660000004</v>
      </c>
      <c r="G14" s="15"/>
      <c r="H14" s="15"/>
      <c r="I14" s="15"/>
      <c r="J14" s="15">
        <v>436692.12396599998</v>
      </c>
    </row>
    <row r="15" spans="1:10" x14ac:dyDescent="0.35">
      <c r="A15" s="6" t="s">
        <v>99</v>
      </c>
      <c r="B15" s="15"/>
      <c r="C15" s="15">
        <v>569300.97019999998</v>
      </c>
      <c r="D15" s="15"/>
      <c r="E15" s="15">
        <v>962450.54999999981</v>
      </c>
      <c r="F15" s="15">
        <v>7168.934782999997</v>
      </c>
      <c r="G15" s="15"/>
      <c r="H15" s="15"/>
      <c r="I15" s="15"/>
      <c r="J15" s="15">
        <v>1538920.4549829997</v>
      </c>
    </row>
    <row r="16" spans="1:10" x14ac:dyDescent="0.35">
      <c r="A16" s="6" t="s">
        <v>102</v>
      </c>
      <c r="B16" s="15"/>
      <c r="C16" s="15"/>
      <c r="D16" s="15"/>
      <c r="E16" s="15">
        <v>364.57000000000028</v>
      </c>
      <c r="F16" s="15">
        <v>5570.8464100000001</v>
      </c>
      <c r="G16" s="15"/>
      <c r="H16" s="15"/>
      <c r="I16" s="15"/>
      <c r="J16" s="15">
        <v>5935.4164100000007</v>
      </c>
    </row>
    <row r="17" spans="1:16" x14ac:dyDescent="0.35">
      <c r="A17" s="6" t="s">
        <v>100</v>
      </c>
      <c r="B17" s="15"/>
      <c r="C17" s="15">
        <v>607385.88209999993</v>
      </c>
      <c r="D17" s="15"/>
      <c r="E17" s="15">
        <v>778229.78000000014</v>
      </c>
      <c r="F17" s="15">
        <v>11366.215977999997</v>
      </c>
      <c r="G17" s="15"/>
      <c r="H17" s="15"/>
      <c r="I17" s="15"/>
      <c r="J17" s="15">
        <v>1396981.8780780002</v>
      </c>
    </row>
    <row r="18" spans="1:16" x14ac:dyDescent="0.35">
      <c r="A18" s="6" t="s">
        <v>84</v>
      </c>
      <c r="B18" s="15"/>
      <c r="C18" s="15">
        <v>951135.74970000004</v>
      </c>
      <c r="D18" s="15">
        <v>254300.28939999998</v>
      </c>
      <c r="E18" s="15">
        <v>931550.71999999986</v>
      </c>
      <c r="F18" s="15">
        <v>727210.62486299977</v>
      </c>
      <c r="G18" s="15">
        <v>536423.17004899995</v>
      </c>
      <c r="H18" s="15">
        <v>135617.74034799999</v>
      </c>
      <c r="I18" s="15">
        <v>109999.99999999997</v>
      </c>
      <c r="J18" s="15">
        <v>3646238.2943599997</v>
      </c>
    </row>
    <row r="19" spans="1:16" x14ac:dyDescent="0.35">
      <c r="A19" s="6" t="s">
        <v>112</v>
      </c>
      <c r="B19" s="15">
        <v>94675.35</v>
      </c>
      <c r="C19" s="15">
        <v>4296571.7189000007</v>
      </c>
      <c r="D19" s="15">
        <v>312417.04189999995</v>
      </c>
      <c r="E19" s="15">
        <v>6125927.2999999989</v>
      </c>
      <c r="F19" s="15">
        <v>822756.09815599979</v>
      </c>
      <c r="G19" s="15">
        <v>2537752.469294</v>
      </c>
      <c r="H19" s="15">
        <v>410117.34034800006</v>
      </c>
      <c r="I19" s="15">
        <v>688238.89</v>
      </c>
      <c r="J19" s="15">
        <v>15288456.208597999</v>
      </c>
    </row>
    <row r="24" spans="1:16" x14ac:dyDescent="0.35">
      <c r="A24" s="5" t="s">
        <v>6</v>
      </c>
      <c r="B24" s="5" t="s">
        <v>110</v>
      </c>
    </row>
    <row r="25" spans="1:16" x14ac:dyDescent="0.35">
      <c r="A25" s="5" t="s">
        <v>111</v>
      </c>
      <c r="B25" t="s">
        <v>103</v>
      </c>
      <c r="C25" t="s">
        <v>15</v>
      </c>
      <c r="D25" t="s">
        <v>16</v>
      </c>
      <c r="E25" t="s">
        <v>17</v>
      </c>
      <c r="F25" t="s">
        <v>106</v>
      </c>
      <c r="G25" t="s">
        <v>18</v>
      </c>
      <c r="H25" t="s">
        <v>92</v>
      </c>
      <c r="I25" t="s">
        <v>20</v>
      </c>
      <c r="J25" t="s">
        <v>21</v>
      </c>
      <c r="K25" t="s">
        <v>101</v>
      </c>
      <c r="L25" t="s">
        <v>99</v>
      </c>
      <c r="M25" t="s">
        <v>102</v>
      </c>
      <c r="N25" t="s">
        <v>100</v>
      </c>
      <c r="O25" t="s">
        <v>84</v>
      </c>
      <c r="P25" t="s">
        <v>112</v>
      </c>
    </row>
    <row r="26" spans="1:16" x14ac:dyDescent="0.35">
      <c r="A26" s="6" t="s">
        <v>109</v>
      </c>
      <c r="B26" s="15"/>
      <c r="C26" s="15"/>
      <c r="D26" s="15"/>
      <c r="E26" s="15"/>
      <c r="F26" s="15"/>
      <c r="G26" s="15">
        <v>94675.35</v>
      </c>
      <c r="H26" s="15"/>
      <c r="I26" s="15"/>
      <c r="J26" s="15"/>
      <c r="K26" s="15"/>
      <c r="L26" s="15"/>
      <c r="M26" s="15"/>
      <c r="N26" s="15"/>
      <c r="O26" s="15"/>
      <c r="P26" s="15">
        <v>94675.35</v>
      </c>
    </row>
    <row r="27" spans="1:16" x14ac:dyDescent="0.35">
      <c r="A27" s="6" t="s">
        <v>94</v>
      </c>
      <c r="B27" s="15"/>
      <c r="C27" s="15"/>
      <c r="D27" s="15">
        <v>21587.367300000002</v>
      </c>
      <c r="E27" s="15">
        <v>799038.83140000014</v>
      </c>
      <c r="F27" s="15"/>
      <c r="G27" s="15"/>
      <c r="H27" s="15">
        <v>797609.71720000019</v>
      </c>
      <c r="I27" s="15"/>
      <c r="J27" s="15">
        <v>321010.54640000005</v>
      </c>
      <c r="K27" s="15">
        <v>229502.65460000004</v>
      </c>
      <c r="L27" s="15">
        <v>569300.97019999998</v>
      </c>
      <c r="M27" s="15"/>
      <c r="N27" s="15">
        <v>607385.88209999993</v>
      </c>
      <c r="O27" s="15">
        <v>951135.74970000004</v>
      </c>
      <c r="P27" s="15">
        <v>4296571.7189000007</v>
      </c>
    </row>
    <row r="28" spans="1:16" x14ac:dyDescent="0.35">
      <c r="A28" s="6" t="s">
        <v>98</v>
      </c>
      <c r="B28" s="15"/>
      <c r="C28" s="15"/>
      <c r="D28" s="15"/>
      <c r="E28" s="15"/>
      <c r="F28" s="15"/>
      <c r="G28" s="15"/>
      <c r="H28" s="15"/>
      <c r="I28" s="15"/>
      <c r="J28" s="15">
        <v>58116.752500000002</v>
      </c>
      <c r="K28" s="15"/>
      <c r="L28" s="15"/>
      <c r="M28" s="15"/>
      <c r="N28" s="15"/>
      <c r="O28" s="15">
        <v>254300.28939999998</v>
      </c>
      <c r="P28" s="15">
        <v>312417.04189999995</v>
      </c>
    </row>
    <row r="29" spans="1:16" x14ac:dyDescent="0.35">
      <c r="A29" s="6" t="s">
        <v>96</v>
      </c>
      <c r="B29" s="15"/>
      <c r="C29" s="15"/>
      <c r="D29" s="15">
        <v>29032.500000000004</v>
      </c>
      <c r="E29" s="15">
        <v>1295363.2699999998</v>
      </c>
      <c r="F29" s="15"/>
      <c r="G29" s="15"/>
      <c r="H29" s="15">
        <v>1348405.9199999992</v>
      </c>
      <c r="I29" s="15"/>
      <c r="J29" s="15">
        <v>579534.61999999976</v>
      </c>
      <c r="K29" s="15">
        <v>200995.36999999997</v>
      </c>
      <c r="L29" s="15">
        <v>962450.54999999981</v>
      </c>
      <c r="M29" s="15">
        <v>364.57000000000028</v>
      </c>
      <c r="N29" s="15">
        <v>778229.78000000014</v>
      </c>
      <c r="O29" s="15">
        <v>931550.71999999986</v>
      </c>
      <c r="P29" s="15">
        <v>6125927.2999999989</v>
      </c>
    </row>
    <row r="30" spans="1:16" x14ac:dyDescent="0.35">
      <c r="A30" s="6" t="s">
        <v>105</v>
      </c>
      <c r="B30" s="15">
        <v>5286.7017569999998</v>
      </c>
      <c r="C30" s="15"/>
      <c r="D30" s="15">
        <v>5419.1289419999994</v>
      </c>
      <c r="E30" s="15">
        <v>8222.2715610000014</v>
      </c>
      <c r="F30" s="15">
        <v>9220.1370170000009</v>
      </c>
      <c r="G30" s="15"/>
      <c r="H30" s="15">
        <v>19047.883363000004</v>
      </c>
      <c r="I30" s="15"/>
      <c r="J30" s="15">
        <v>18049.254115999996</v>
      </c>
      <c r="K30" s="15">
        <v>6194.0993660000004</v>
      </c>
      <c r="L30" s="15">
        <v>7168.934782999997</v>
      </c>
      <c r="M30" s="15">
        <v>5570.8464100000001</v>
      </c>
      <c r="N30" s="15">
        <v>11366.215977999997</v>
      </c>
      <c r="O30" s="15">
        <v>727210.62486299977</v>
      </c>
      <c r="P30" s="15">
        <v>822756.09815599979</v>
      </c>
    </row>
    <row r="31" spans="1:16" x14ac:dyDescent="0.35">
      <c r="A31" s="6" t="s">
        <v>87</v>
      </c>
      <c r="B31" s="15"/>
      <c r="C31" s="15">
        <v>23633.000001</v>
      </c>
      <c r="D31" s="15">
        <v>323624.28059200005</v>
      </c>
      <c r="E31" s="15">
        <v>199995.85000800001</v>
      </c>
      <c r="F31" s="15"/>
      <c r="G31" s="15">
        <v>262918.32822200004</v>
      </c>
      <c r="H31" s="15">
        <v>718990.15024300013</v>
      </c>
      <c r="I31" s="15">
        <v>247669.29008000001</v>
      </c>
      <c r="J31" s="15">
        <v>224498.40009899999</v>
      </c>
      <c r="K31" s="15"/>
      <c r="L31" s="15"/>
      <c r="M31" s="15"/>
      <c r="N31" s="15"/>
      <c r="O31" s="15">
        <v>536423.17004899995</v>
      </c>
      <c r="P31" s="15">
        <v>2537752.469294</v>
      </c>
    </row>
    <row r="32" spans="1:16" x14ac:dyDescent="0.35">
      <c r="A32" s="6" t="s">
        <v>90</v>
      </c>
      <c r="B32" s="15"/>
      <c r="C32" s="15"/>
      <c r="D32" s="15"/>
      <c r="E32" s="15"/>
      <c r="F32" s="15"/>
      <c r="G32" s="15">
        <v>50000.000000000007</v>
      </c>
      <c r="H32" s="15"/>
      <c r="I32" s="15"/>
      <c r="J32" s="15">
        <v>224499.60000000003</v>
      </c>
      <c r="K32" s="15"/>
      <c r="L32" s="15"/>
      <c r="M32" s="15"/>
      <c r="N32" s="15"/>
      <c r="O32" s="15">
        <v>135617.74034799999</v>
      </c>
      <c r="P32" s="15">
        <v>410117.34034800006</v>
      </c>
    </row>
    <row r="33" spans="1:16" x14ac:dyDescent="0.35">
      <c r="A33" s="6" t="s">
        <v>91</v>
      </c>
      <c r="B33" s="15"/>
      <c r="C33" s="15"/>
      <c r="D33" s="15"/>
      <c r="E33" s="15"/>
      <c r="F33" s="15"/>
      <c r="G33" s="15">
        <v>374960.28</v>
      </c>
      <c r="H33" s="15">
        <v>203278.61000000002</v>
      </c>
      <c r="I33" s="15"/>
      <c r="J33" s="15"/>
      <c r="K33" s="15"/>
      <c r="L33" s="15"/>
      <c r="M33" s="15"/>
      <c r="N33" s="15"/>
      <c r="O33" s="15">
        <v>109999.99999999997</v>
      </c>
      <c r="P33" s="15">
        <v>688238.89</v>
      </c>
    </row>
    <row r="34" spans="1:16" x14ac:dyDescent="0.35">
      <c r="A34" s="6" t="s">
        <v>112</v>
      </c>
      <c r="B34" s="15">
        <v>5286.7017569999998</v>
      </c>
      <c r="C34" s="15">
        <v>23633.000001</v>
      </c>
      <c r="D34" s="15">
        <v>379663.27683400008</v>
      </c>
      <c r="E34" s="15">
        <v>2302620.2229690002</v>
      </c>
      <c r="F34" s="15">
        <v>9220.1370170000009</v>
      </c>
      <c r="G34" s="15">
        <v>782553.95822200004</v>
      </c>
      <c r="H34" s="15">
        <v>3087332.2808059994</v>
      </c>
      <c r="I34" s="15">
        <v>247669.29008000001</v>
      </c>
      <c r="J34" s="15">
        <v>1425709.1731149999</v>
      </c>
      <c r="K34" s="15">
        <v>436692.12396599998</v>
      </c>
      <c r="L34" s="15">
        <v>1538920.4549829997</v>
      </c>
      <c r="M34" s="15">
        <v>5935.4164100000007</v>
      </c>
      <c r="N34" s="15">
        <v>1396981.8780780002</v>
      </c>
      <c r="O34" s="15">
        <v>3646238.2943599997</v>
      </c>
      <c r="P34" s="15">
        <v>15288456.208597999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6EAF2-1CF9-4A9E-9A82-361789B2488A}">
  <dimension ref="A1:B107"/>
  <sheetViews>
    <sheetView topLeftCell="A22" workbookViewId="0">
      <selection activeCell="A106" sqref="A106:B107"/>
    </sheetView>
  </sheetViews>
  <sheetFormatPr defaultRowHeight="14.5" x14ac:dyDescent="0.35"/>
  <cols>
    <col min="1" max="1" width="10.1796875" bestFit="1" customWidth="1"/>
    <col min="2" max="2" width="12.1796875" bestFit="1" customWidth="1"/>
  </cols>
  <sheetData>
    <row r="1" spans="1:2" x14ac:dyDescent="0.35">
      <c r="A1" t="s">
        <v>113</v>
      </c>
      <c r="B1" t="s">
        <v>82</v>
      </c>
    </row>
    <row r="2" spans="1:2" x14ac:dyDescent="0.35">
      <c r="A2" s="7">
        <v>45843</v>
      </c>
      <c r="B2" t="s">
        <v>86</v>
      </c>
    </row>
    <row r="3" spans="1:2" x14ac:dyDescent="0.35">
      <c r="A3" s="7">
        <v>45836</v>
      </c>
      <c r="B3" t="s">
        <v>86</v>
      </c>
    </row>
    <row r="4" spans="1:2" x14ac:dyDescent="0.35">
      <c r="A4" s="7">
        <v>45829</v>
      </c>
      <c r="B4" t="s">
        <v>86</v>
      </c>
    </row>
    <row r="5" spans="1:2" x14ac:dyDescent="0.35">
      <c r="A5" s="7">
        <v>45822</v>
      </c>
      <c r="B5" t="s">
        <v>86</v>
      </c>
    </row>
    <row r="6" spans="1:2" x14ac:dyDescent="0.35">
      <c r="A6" s="7">
        <v>45815</v>
      </c>
      <c r="B6" t="s">
        <v>86</v>
      </c>
    </row>
    <row r="7" spans="1:2" x14ac:dyDescent="0.35">
      <c r="A7" s="7">
        <v>45808</v>
      </c>
      <c r="B7" t="s">
        <v>86</v>
      </c>
    </row>
    <row r="8" spans="1:2" x14ac:dyDescent="0.35">
      <c r="A8" s="7">
        <v>45801</v>
      </c>
      <c r="B8" t="s">
        <v>86</v>
      </c>
    </row>
    <row r="9" spans="1:2" x14ac:dyDescent="0.35">
      <c r="A9" s="7">
        <v>45794</v>
      </c>
      <c r="B9" t="s">
        <v>86</v>
      </c>
    </row>
    <row r="10" spans="1:2" x14ac:dyDescent="0.35">
      <c r="A10" s="7">
        <v>45787</v>
      </c>
      <c r="B10" t="s">
        <v>86</v>
      </c>
    </row>
    <row r="11" spans="1:2" x14ac:dyDescent="0.35">
      <c r="A11" s="7">
        <v>45780</v>
      </c>
      <c r="B11" t="s">
        <v>86</v>
      </c>
    </row>
    <row r="12" spans="1:2" x14ac:dyDescent="0.35">
      <c r="A12" s="7">
        <v>45773</v>
      </c>
      <c r="B12" t="s">
        <v>86</v>
      </c>
    </row>
    <row r="13" spans="1:2" x14ac:dyDescent="0.35">
      <c r="A13" s="7">
        <v>45766</v>
      </c>
      <c r="B13" t="s">
        <v>86</v>
      </c>
    </row>
    <row r="14" spans="1:2" x14ac:dyDescent="0.35">
      <c r="A14" s="7">
        <v>45759</v>
      </c>
      <c r="B14" t="s">
        <v>86</v>
      </c>
    </row>
    <row r="15" spans="1:2" x14ac:dyDescent="0.35">
      <c r="A15" s="7">
        <v>45752</v>
      </c>
      <c r="B15" t="s">
        <v>86</v>
      </c>
    </row>
    <row r="16" spans="1:2" x14ac:dyDescent="0.35">
      <c r="A16" s="7">
        <v>45745</v>
      </c>
      <c r="B16" t="s">
        <v>86</v>
      </c>
    </row>
    <row r="17" spans="1:2" x14ac:dyDescent="0.35">
      <c r="A17" s="7">
        <v>45738</v>
      </c>
      <c r="B17" t="s">
        <v>86</v>
      </c>
    </row>
    <row r="18" spans="1:2" x14ac:dyDescent="0.35">
      <c r="A18" s="7">
        <v>45731</v>
      </c>
      <c r="B18" t="s">
        <v>86</v>
      </c>
    </row>
    <row r="19" spans="1:2" x14ac:dyDescent="0.35">
      <c r="A19" s="7">
        <v>45724</v>
      </c>
      <c r="B19" t="s">
        <v>86</v>
      </c>
    </row>
    <row r="20" spans="1:2" x14ac:dyDescent="0.35">
      <c r="A20" s="7">
        <v>45717</v>
      </c>
      <c r="B20" t="s">
        <v>86</v>
      </c>
    </row>
    <row r="21" spans="1:2" x14ac:dyDescent="0.35">
      <c r="A21" s="7">
        <v>45710</v>
      </c>
      <c r="B21" t="s">
        <v>86</v>
      </c>
    </row>
    <row r="22" spans="1:2" x14ac:dyDescent="0.35">
      <c r="A22" s="7">
        <v>45703</v>
      </c>
      <c r="B22" t="s">
        <v>86</v>
      </c>
    </row>
    <row r="23" spans="1:2" x14ac:dyDescent="0.35">
      <c r="A23" s="7">
        <v>45696</v>
      </c>
      <c r="B23" t="s">
        <v>86</v>
      </c>
    </row>
    <row r="24" spans="1:2" x14ac:dyDescent="0.35">
      <c r="A24" s="7">
        <v>45689</v>
      </c>
      <c r="B24" t="s">
        <v>86</v>
      </c>
    </row>
    <row r="25" spans="1:2" x14ac:dyDescent="0.35">
      <c r="A25" s="7">
        <v>45682</v>
      </c>
      <c r="B25" t="s">
        <v>86</v>
      </c>
    </row>
    <row r="26" spans="1:2" x14ac:dyDescent="0.35">
      <c r="A26" s="7">
        <v>45675</v>
      </c>
      <c r="B26" t="s">
        <v>86</v>
      </c>
    </row>
    <row r="27" spans="1:2" x14ac:dyDescent="0.35">
      <c r="A27" s="7">
        <v>45668</v>
      </c>
      <c r="B27" t="s">
        <v>86</v>
      </c>
    </row>
    <row r="28" spans="1:2" x14ac:dyDescent="0.35">
      <c r="A28" s="7">
        <v>45661</v>
      </c>
      <c r="B28" t="s">
        <v>86</v>
      </c>
    </row>
    <row r="29" spans="1:2" x14ac:dyDescent="0.35">
      <c r="A29" s="7">
        <v>45654</v>
      </c>
      <c r="B29" t="s">
        <v>86</v>
      </c>
    </row>
    <row r="30" spans="1:2" x14ac:dyDescent="0.35">
      <c r="A30" s="7">
        <v>45647</v>
      </c>
      <c r="B30" t="s">
        <v>86</v>
      </c>
    </row>
    <row r="31" spans="1:2" x14ac:dyDescent="0.35">
      <c r="A31" s="7">
        <v>45640</v>
      </c>
      <c r="B31" t="s">
        <v>86</v>
      </c>
    </row>
    <row r="32" spans="1:2" x14ac:dyDescent="0.35">
      <c r="A32" s="7">
        <v>45633</v>
      </c>
      <c r="B32" t="s">
        <v>86</v>
      </c>
    </row>
    <row r="33" spans="1:2" x14ac:dyDescent="0.35">
      <c r="A33" s="7">
        <v>45626</v>
      </c>
      <c r="B33" t="s">
        <v>86</v>
      </c>
    </row>
    <row r="34" spans="1:2" x14ac:dyDescent="0.35">
      <c r="A34" s="7">
        <v>45619</v>
      </c>
      <c r="B34" t="s">
        <v>86</v>
      </c>
    </row>
    <row r="35" spans="1:2" x14ac:dyDescent="0.35">
      <c r="A35" s="7">
        <v>45612</v>
      </c>
      <c r="B35" t="s">
        <v>86</v>
      </c>
    </row>
    <row r="36" spans="1:2" x14ac:dyDescent="0.35">
      <c r="A36" s="7">
        <v>45605</v>
      </c>
      <c r="B36" t="s">
        <v>86</v>
      </c>
    </row>
    <row r="37" spans="1:2" x14ac:dyDescent="0.35">
      <c r="A37" s="7">
        <v>45598</v>
      </c>
      <c r="B37" t="s">
        <v>86</v>
      </c>
    </row>
    <row r="38" spans="1:2" x14ac:dyDescent="0.35">
      <c r="A38" s="7">
        <v>45591</v>
      </c>
      <c r="B38" t="s">
        <v>86</v>
      </c>
    </row>
    <row r="39" spans="1:2" x14ac:dyDescent="0.35">
      <c r="A39" s="7">
        <v>45584</v>
      </c>
      <c r="B39" t="s">
        <v>86</v>
      </c>
    </row>
    <row r="40" spans="1:2" x14ac:dyDescent="0.35">
      <c r="A40" s="7">
        <v>45577</v>
      </c>
      <c r="B40" t="s">
        <v>86</v>
      </c>
    </row>
    <row r="41" spans="1:2" x14ac:dyDescent="0.35">
      <c r="A41" s="7">
        <v>45570</v>
      </c>
      <c r="B41" t="s">
        <v>86</v>
      </c>
    </row>
    <row r="42" spans="1:2" x14ac:dyDescent="0.35">
      <c r="A42" s="7">
        <v>45563</v>
      </c>
      <c r="B42" t="s">
        <v>86</v>
      </c>
    </row>
    <row r="43" spans="1:2" x14ac:dyDescent="0.35">
      <c r="A43" s="7">
        <v>45556</v>
      </c>
      <c r="B43" t="s">
        <v>86</v>
      </c>
    </row>
    <row r="44" spans="1:2" x14ac:dyDescent="0.35">
      <c r="A44" s="7">
        <v>45549</v>
      </c>
      <c r="B44" t="s">
        <v>86</v>
      </c>
    </row>
    <row r="45" spans="1:2" x14ac:dyDescent="0.35">
      <c r="A45" s="7">
        <v>45542</v>
      </c>
      <c r="B45" t="s">
        <v>86</v>
      </c>
    </row>
    <row r="46" spans="1:2" x14ac:dyDescent="0.35">
      <c r="A46" s="7">
        <v>45535</v>
      </c>
      <c r="B46" t="s">
        <v>86</v>
      </c>
    </row>
    <row r="47" spans="1:2" x14ac:dyDescent="0.35">
      <c r="A47" s="7">
        <v>45528</v>
      </c>
      <c r="B47" t="s">
        <v>86</v>
      </c>
    </row>
    <row r="48" spans="1:2" x14ac:dyDescent="0.35">
      <c r="A48" s="7">
        <v>45521</v>
      </c>
      <c r="B48" t="s">
        <v>86</v>
      </c>
    </row>
    <row r="49" spans="1:2" x14ac:dyDescent="0.35">
      <c r="A49" s="7">
        <v>45514</v>
      </c>
      <c r="B49" t="s">
        <v>86</v>
      </c>
    </row>
    <row r="50" spans="1:2" x14ac:dyDescent="0.35">
      <c r="A50" s="7">
        <v>45507</v>
      </c>
      <c r="B50" t="s">
        <v>86</v>
      </c>
    </row>
    <row r="51" spans="1:2" x14ac:dyDescent="0.35">
      <c r="A51" s="7">
        <v>45500</v>
      </c>
      <c r="B51" t="s">
        <v>86</v>
      </c>
    </row>
    <row r="52" spans="1:2" x14ac:dyDescent="0.35">
      <c r="A52" s="7">
        <v>45493</v>
      </c>
      <c r="B52" t="s">
        <v>86</v>
      </c>
    </row>
    <row r="53" spans="1:2" x14ac:dyDescent="0.35">
      <c r="A53" s="7">
        <v>45486</v>
      </c>
      <c r="B53" t="s">
        <v>86</v>
      </c>
    </row>
    <row r="54" spans="1:2" x14ac:dyDescent="0.35">
      <c r="A54" s="7">
        <v>45479</v>
      </c>
      <c r="B54" t="s">
        <v>88</v>
      </c>
    </row>
    <row r="55" spans="1:2" x14ac:dyDescent="0.35">
      <c r="A55" s="7">
        <v>45472</v>
      </c>
      <c r="B55" t="s">
        <v>88</v>
      </c>
    </row>
    <row r="56" spans="1:2" x14ac:dyDescent="0.35">
      <c r="A56" s="7">
        <v>45465</v>
      </c>
      <c r="B56" t="s">
        <v>88</v>
      </c>
    </row>
    <row r="57" spans="1:2" x14ac:dyDescent="0.35">
      <c r="A57" s="7">
        <v>45458</v>
      </c>
      <c r="B57" t="s">
        <v>88</v>
      </c>
    </row>
    <row r="58" spans="1:2" x14ac:dyDescent="0.35">
      <c r="A58" s="7">
        <v>45451</v>
      </c>
      <c r="B58" t="s">
        <v>88</v>
      </c>
    </row>
    <row r="59" spans="1:2" x14ac:dyDescent="0.35">
      <c r="A59" s="7">
        <v>45444</v>
      </c>
      <c r="B59" t="s">
        <v>88</v>
      </c>
    </row>
    <row r="60" spans="1:2" x14ac:dyDescent="0.35">
      <c r="A60" s="7">
        <v>45437</v>
      </c>
      <c r="B60" t="s">
        <v>88</v>
      </c>
    </row>
    <row r="61" spans="1:2" x14ac:dyDescent="0.35">
      <c r="A61" s="7">
        <v>45430</v>
      </c>
      <c r="B61" t="s">
        <v>88</v>
      </c>
    </row>
    <row r="62" spans="1:2" x14ac:dyDescent="0.35">
      <c r="A62" s="7">
        <v>45423</v>
      </c>
      <c r="B62" t="s">
        <v>88</v>
      </c>
    </row>
    <row r="63" spans="1:2" x14ac:dyDescent="0.35">
      <c r="A63" s="7">
        <v>45416</v>
      </c>
      <c r="B63" t="s">
        <v>88</v>
      </c>
    </row>
    <row r="64" spans="1:2" x14ac:dyDescent="0.35">
      <c r="A64" s="7">
        <v>45409</v>
      </c>
      <c r="B64" t="s">
        <v>88</v>
      </c>
    </row>
    <row r="65" spans="1:2" x14ac:dyDescent="0.35">
      <c r="A65" s="7">
        <v>45402</v>
      </c>
      <c r="B65" t="s">
        <v>88</v>
      </c>
    </row>
    <row r="66" spans="1:2" x14ac:dyDescent="0.35">
      <c r="A66" s="7">
        <v>45395</v>
      </c>
      <c r="B66" t="s">
        <v>88</v>
      </c>
    </row>
    <row r="67" spans="1:2" x14ac:dyDescent="0.35">
      <c r="A67" s="7">
        <v>45388</v>
      </c>
      <c r="B67" t="s">
        <v>88</v>
      </c>
    </row>
    <row r="68" spans="1:2" x14ac:dyDescent="0.35">
      <c r="A68" s="7">
        <v>45381</v>
      </c>
      <c r="B68" t="s">
        <v>88</v>
      </c>
    </row>
    <row r="69" spans="1:2" x14ac:dyDescent="0.35">
      <c r="A69" s="7">
        <v>45374</v>
      </c>
      <c r="B69" t="s">
        <v>88</v>
      </c>
    </row>
    <row r="70" spans="1:2" x14ac:dyDescent="0.35">
      <c r="A70" s="7">
        <v>45367</v>
      </c>
      <c r="B70" t="s">
        <v>88</v>
      </c>
    </row>
    <row r="71" spans="1:2" x14ac:dyDescent="0.35">
      <c r="A71" s="7">
        <v>45360</v>
      </c>
      <c r="B71" t="s">
        <v>88</v>
      </c>
    </row>
    <row r="72" spans="1:2" x14ac:dyDescent="0.35">
      <c r="A72" s="7">
        <v>45353</v>
      </c>
      <c r="B72" t="s">
        <v>88</v>
      </c>
    </row>
    <row r="73" spans="1:2" x14ac:dyDescent="0.35">
      <c r="A73" s="7">
        <v>45346</v>
      </c>
      <c r="B73" t="s">
        <v>88</v>
      </c>
    </row>
    <row r="74" spans="1:2" x14ac:dyDescent="0.35">
      <c r="A74" s="7">
        <v>45339</v>
      </c>
      <c r="B74" t="s">
        <v>88</v>
      </c>
    </row>
    <row r="75" spans="1:2" x14ac:dyDescent="0.35">
      <c r="A75" s="7">
        <v>45332</v>
      </c>
      <c r="B75" t="s">
        <v>88</v>
      </c>
    </row>
    <row r="76" spans="1:2" x14ac:dyDescent="0.35">
      <c r="A76" s="7">
        <v>45325</v>
      </c>
      <c r="B76" t="s">
        <v>88</v>
      </c>
    </row>
    <row r="77" spans="1:2" x14ac:dyDescent="0.35">
      <c r="A77" s="7">
        <v>45318</v>
      </c>
      <c r="B77" t="s">
        <v>88</v>
      </c>
    </row>
    <row r="78" spans="1:2" x14ac:dyDescent="0.35">
      <c r="A78" s="7">
        <v>45311</v>
      </c>
      <c r="B78" t="s">
        <v>88</v>
      </c>
    </row>
    <row r="79" spans="1:2" x14ac:dyDescent="0.35">
      <c r="A79" s="7">
        <v>45304</v>
      </c>
      <c r="B79" t="s">
        <v>88</v>
      </c>
    </row>
    <row r="80" spans="1:2" x14ac:dyDescent="0.35">
      <c r="A80" s="7">
        <v>45297</v>
      </c>
      <c r="B80" t="s">
        <v>88</v>
      </c>
    </row>
    <row r="81" spans="1:2" x14ac:dyDescent="0.35">
      <c r="A81" s="7">
        <v>45290</v>
      </c>
      <c r="B81" t="s">
        <v>88</v>
      </c>
    </row>
    <row r="82" spans="1:2" x14ac:dyDescent="0.35">
      <c r="A82" s="7">
        <v>45283</v>
      </c>
      <c r="B82" t="s">
        <v>88</v>
      </c>
    </row>
    <row r="83" spans="1:2" x14ac:dyDescent="0.35">
      <c r="A83" s="7">
        <v>45276</v>
      </c>
      <c r="B83" t="s">
        <v>88</v>
      </c>
    </row>
    <row r="84" spans="1:2" x14ac:dyDescent="0.35">
      <c r="A84" s="7">
        <v>45269</v>
      </c>
      <c r="B84" t="s">
        <v>88</v>
      </c>
    </row>
    <row r="85" spans="1:2" x14ac:dyDescent="0.35">
      <c r="A85" s="7">
        <v>45262</v>
      </c>
      <c r="B85" t="s">
        <v>88</v>
      </c>
    </row>
    <row r="86" spans="1:2" x14ac:dyDescent="0.35">
      <c r="A86" s="7">
        <v>45255</v>
      </c>
      <c r="B86" t="s">
        <v>88</v>
      </c>
    </row>
    <row r="87" spans="1:2" x14ac:dyDescent="0.35">
      <c r="A87" s="7">
        <v>45248</v>
      </c>
      <c r="B87" t="s">
        <v>88</v>
      </c>
    </row>
    <row r="88" spans="1:2" x14ac:dyDescent="0.35">
      <c r="A88" s="7">
        <v>45241</v>
      </c>
      <c r="B88" t="s">
        <v>88</v>
      </c>
    </row>
    <row r="89" spans="1:2" x14ac:dyDescent="0.35">
      <c r="A89" s="7">
        <v>45234</v>
      </c>
      <c r="B89" t="s">
        <v>88</v>
      </c>
    </row>
    <row r="90" spans="1:2" x14ac:dyDescent="0.35">
      <c r="A90" s="7">
        <v>45227</v>
      </c>
      <c r="B90" t="s">
        <v>88</v>
      </c>
    </row>
    <row r="91" spans="1:2" x14ac:dyDescent="0.35">
      <c r="A91" s="7">
        <v>45220</v>
      </c>
      <c r="B91" t="s">
        <v>88</v>
      </c>
    </row>
    <row r="92" spans="1:2" x14ac:dyDescent="0.35">
      <c r="A92" s="7">
        <v>45213</v>
      </c>
      <c r="B92" t="s">
        <v>88</v>
      </c>
    </row>
    <row r="93" spans="1:2" x14ac:dyDescent="0.35">
      <c r="A93" s="7">
        <v>45206</v>
      </c>
      <c r="B93" t="s">
        <v>88</v>
      </c>
    </row>
    <row r="94" spans="1:2" x14ac:dyDescent="0.35">
      <c r="A94" s="7">
        <v>45199</v>
      </c>
      <c r="B94" t="s">
        <v>88</v>
      </c>
    </row>
    <row r="95" spans="1:2" x14ac:dyDescent="0.35">
      <c r="A95" s="7">
        <v>45192</v>
      </c>
      <c r="B95" t="s">
        <v>88</v>
      </c>
    </row>
    <row r="96" spans="1:2" x14ac:dyDescent="0.35">
      <c r="A96" s="7">
        <v>45185</v>
      </c>
      <c r="B96" t="s">
        <v>88</v>
      </c>
    </row>
    <row r="97" spans="1:2" x14ac:dyDescent="0.35">
      <c r="A97" s="7">
        <v>45178</v>
      </c>
      <c r="B97" t="s">
        <v>88</v>
      </c>
    </row>
    <row r="98" spans="1:2" x14ac:dyDescent="0.35">
      <c r="A98" s="7">
        <v>45171</v>
      </c>
      <c r="B98" t="s">
        <v>88</v>
      </c>
    </row>
    <row r="99" spans="1:2" x14ac:dyDescent="0.35">
      <c r="A99" s="7">
        <v>45164</v>
      </c>
      <c r="B99" t="s">
        <v>88</v>
      </c>
    </row>
    <row r="100" spans="1:2" x14ac:dyDescent="0.35">
      <c r="A100" s="7">
        <v>45157</v>
      </c>
      <c r="B100" t="s">
        <v>88</v>
      </c>
    </row>
    <row r="101" spans="1:2" x14ac:dyDescent="0.35">
      <c r="A101" s="7">
        <v>45150</v>
      </c>
      <c r="B101" t="s">
        <v>88</v>
      </c>
    </row>
    <row r="102" spans="1:2" x14ac:dyDescent="0.35">
      <c r="A102" s="7">
        <v>45143</v>
      </c>
      <c r="B102" t="s">
        <v>88</v>
      </c>
    </row>
    <row r="103" spans="1:2" x14ac:dyDescent="0.35">
      <c r="A103" s="7">
        <v>45136</v>
      </c>
      <c r="B103" t="s">
        <v>88</v>
      </c>
    </row>
    <row r="104" spans="1:2" x14ac:dyDescent="0.35">
      <c r="A104" s="7">
        <v>45129</v>
      </c>
      <c r="B104" t="s">
        <v>88</v>
      </c>
    </row>
    <row r="105" spans="1:2" x14ac:dyDescent="0.35">
      <c r="A105" s="7">
        <v>45122</v>
      </c>
      <c r="B105" t="s">
        <v>88</v>
      </c>
    </row>
    <row r="106" spans="1:2" x14ac:dyDescent="0.35">
      <c r="A106" s="7">
        <v>45115</v>
      </c>
      <c r="B106" t="s">
        <v>89</v>
      </c>
    </row>
    <row r="107" spans="1:2" x14ac:dyDescent="0.35">
      <c r="A107" s="7">
        <v>45108</v>
      </c>
      <c r="B107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2924-9493-4A8D-90A2-A83FFDAE88CA}">
  <dimension ref="A3:E22"/>
  <sheetViews>
    <sheetView workbookViewId="0">
      <selection activeCell="A10" sqref="A10"/>
    </sheetView>
  </sheetViews>
  <sheetFormatPr defaultRowHeight="14.5" x14ac:dyDescent="0.35"/>
  <cols>
    <col min="1" max="1" width="14.26953125" bestFit="1" customWidth="1"/>
    <col min="2" max="2" width="18.453125" customWidth="1"/>
    <col min="3" max="3" width="20" customWidth="1"/>
    <col min="4" max="4" width="15.453125" bestFit="1" customWidth="1"/>
  </cols>
  <sheetData>
    <row r="3" spans="1:3" x14ac:dyDescent="0.35">
      <c r="A3" s="5" t="s">
        <v>111</v>
      </c>
      <c r="B3" t="s">
        <v>6</v>
      </c>
    </row>
    <row r="4" spans="1:3" x14ac:dyDescent="0.35">
      <c r="A4" s="6" t="s">
        <v>10</v>
      </c>
      <c r="B4" s="9">
        <v>10734916.060800003</v>
      </c>
    </row>
    <row r="5" spans="1:3" x14ac:dyDescent="0.35">
      <c r="A5" s="8">
        <v>44927</v>
      </c>
      <c r="B5" s="9">
        <v>2597292.7206999976</v>
      </c>
      <c r="C5" s="10">
        <v>2500000</v>
      </c>
    </row>
    <row r="6" spans="1:3" x14ac:dyDescent="0.35">
      <c r="A6" s="8">
        <v>45292</v>
      </c>
      <c r="B6" s="9">
        <v>5399196.0677000033</v>
      </c>
      <c r="C6" s="10">
        <v>5258000</v>
      </c>
    </row>
    <row r="7" spans="1:3" x14ac:dyDescent="0.35">
      <c r="A7" s="8">
        <v>45658</v>
      </c>
      <c r="B7" s="9">
        <v>2738427.2724000015</v>
      </c>
      <c r="C7" s="10">
        <v>2764900</v>
      </c>
    </row>
    <row r="8" spans="1:3" x14ac:dyDescent="0.35">
      <c r="A8" s="6" t="s">
        <v>9</v>
      </c>
      <c r="B8" s="9">
        <v>2537752.469294</v>
      </c>
      <c r="C8" s="10"/>
    </row>
    <row r="9" spans="1:3" x14ac:dyDescent="0.35">
      <c r="A9" s="8">
        <v>44927</v>
      </c>
      <c r="B9" s="9">
        <v>552252.70060500002</v>
      </c>
      <c r="C9" s="10">
        <v>593600</v>
      </c>
    </row>
    <row r="10" spans="1:3" x14ac:dyDescent="0.35">
      <c r="A10" s="8">
        <v>45292</v>
      </c>
      <c r="B10" s="9">
        <v>1262583.450438</v>
      </c>
      <c r="C10" s="10">
        <v>1200000</v>
      </c>
    </row>
    <row r="11" spans="1:3" x14ac:dyDescent="0.35">
      <c r="A11" s="8">
        <v>45658</v>
      </c>
      <c r="B11" s="9">
        <v>722916.31825099979</v>
      </c>
      <c r="C11" s="10">
        <v>760000</v>
      </c>
    </row>
    <row r="12" spans="1:3" x14ac:dyDescent="0.35">
      <c r="A12" s="6" t="s">
        <v>13</v>
      </c>
      <c r="B12" s="9">
        <v>410117.34034800006</v>
      </c>
      <c r="C12" s="10"/>
    </row>
    <row r="13" spans="1:3" x14ac:dyDescent="0.35">
      <c r="A13" s="8">
        <v>44927</v>
      </c>
      <c r="B13" s="9">
        <v>135617.74034799999</v>
      </c>
      <c r="C13" s="10">
        <v>138500</v>
      </c>
    </row>
    <row r="14" spans="1:3" x14ac:dyDescent="0.35">
      <c r="A14" s="8">
        <v>45292</v>
      </c>
      <c r="B14" s="9">
        <v>224499.60000000003</v>
      </c>
      <c r="C14" s="10">
        <v>224000</v>
      </c>
    </row>
    <row r="15" spans="1:3" x14ac:dyDescent="0.35">
      <c r="A15" s="8">
        <v>45658</v>
      </c>
      <c r="B15" s="9">
        <v>50000.000000000007</v>
      </c>
      <c r="C15" s="10">
        <v>0</v>
      </c>
    </row>
    <row r="16" spans="1:3" x14ac:dyDescent="0.35">
      <c r="A16" s="6" t="s">
        <v>14</v>
      </c>
      <c r="B16" s="9">
        <v>688238.89</v>
      </c>
      <c r="C16" s="10"/>
    </row>
    <row r="17" spans="1:5" x14ac:dyDescent="0.35">
      <c r="A17" s="8">
        <v>45658</v>
      </c>
      <c r="B17" s="9">
        <v>688238.89</v>
      </c>
      <c r="C17" s="10">
        <v>590000</v>
      </c>
      <c r="D17" s="11"/>
      <c r="E17" s="12"/>
    </row>
    <row r="18" spans="1:5" x14ac:dyDescent="0.35">
      <c r="A18" s="6" t="s">
        <v>104</v>
      </c>
      <c r="B18" s="9">
        <v>822756.09815600014</v>
      </c>
    </row>
    <row r="19" spans="1:5" x14ac:dyDescent="0.35">
      <c r="A19" s="8">
        <v>44927</v>
      </c>
      <c r="B19" s="9">
        <v>340892.88000000018</v>
      </c>
      <c r="C19" s="10">
        <v>339000</v>
      </c>
    </row>
    <row r="20" spans="1:5" x14ac:dyDescent="0.35">
      <c r="A20" s="8">
        <v>45292</v>
      </c>
      <c r="B20" s="9">
        <v>481862.20819599991</v>
      </c>
      <c r="C20">
        <v>481600</v>
      </c>
    </row>
    <row r="21" spans="1:5" x14ac:dyDescent="0.35">
      <c r="A21" s="8">
        <v>45658</v>
      </c>
      <c r="B21" s="9">
        <v>1.00996</v>
      </c>
      <c r="C21">
        <v>0</v>
      </c>
    </row>
    <row r="22" spans="1:5" x14ac:dyDescent="0.35">
      <c r="A22" s="6" t="s">
        <v>112</v>
      </c>
      <c r="B22" s="9">
        <v>15193780.858598001</v>
      </c>
      <c r="C22" s="10">
        <f>SUM(C5:C21)</f>
        <v>14849600</v>
      </c>
      <c r="D22" s="11">
        <f>GETPIVOTDATA("Spend",$A$3)-C22</f>
        <v>344180.8585980013</v>
      </c>
      <c r="E22" s="12">
        <f>D22/GETPIVOTDATA("Spend",$A$3)</f>
        <v>2.265274600187701E-2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50AC-464D-4861-919A-E93375DF85D2}">
  <dimension ref="A3:I8"/>
  <sheetViews>
    <sheetView workbookViewId="0">
      <selection activeCell="A4" sqref="A4:I8"/>
    </sheetView>
  </sheetViews>
  <sheetFormatPr defaultRowHeight="14.5" x14ac:dyDescent="0.35"/>
  <cols>
    <col min="1" max="1" width="21.7265625" bestFit="1" customWidth="1"/>
    <col min="2" max="2" width="12.81640625" bestFit="1" customWidth="1"/>
    <col min="3" max="3" width="18.26953125" bestFit="1" customWidth="1"/>
    <col min="6" max="6" width="11.81640625" bestFit="1" customWidth="1"/>
    <col min="7" max="7" width="7.1796875" bestFit="1" customWidth="1"/>
    <col min="8" max="8" width="12.81640625" bestFit="1" customWidth="1"/>
    <col min="9" max="9" width="18.26953125" bestFit="1" customWidth="1"/>
  </cols>
  <sheetData>
    <row r="3" spans="1:9" x14ac:dyDescent="0.35">
      <c r="A3" s="5" t="s">
        <v>0</v>
      </c>
      <c r="B3" s="5" t="s">
        <v>1</v>
      </c>
      <c r="C3" s="5" t="s">
        <v>79</v>
      </c>
      <c r="D3" s="5" t="s">
        <v>80</v>
      </c>
      <c r="E3" s="5" t="s">
        <v>3</v>
      </c>
      <c r="F3" s="5" t="s">
        <v>4</v>
      </c>
      <c r="G3" s="5" t="s">
        <v>5</v>
      </c>
      <c r="H3" t="s">
        <v>6</v>
      </c>
      <c r="I3" t="s">
        <v>7</v>
      </c>
    </row>
    <row r="4" spans="1:9" x14ac:dyDescent="0.35">
      <c r="A4" t="s">
        <v>8</v>
      </c>
      <c r="B4" t="s">
        <v>18</v>
      </c>
      <c r="C4" t="s">
        <v>107</v>
      </c>
      <c r="D4" t="s">
        <v>108</v>
      </c>
      <c r="E4" t="s">
        <v>10</v>
      </c>
      <c r="F4" s="7">
        <v>45815</v>
      </c>
      <c r="G4" s="13">
        <v>2025</v>
      </c>
      <c r="H4">
        <v>18951.04</v>
      </c>
      <c r="I4">
        <v>1036757</v>
      </c>
    </row>
    <row r="5" spans="1:9" x14ac:dyDescent="0.35">
      <c r="A5" t="s">
        <v>8</v>
      </c>
      <c r="B5" t="s">
        <v>18</v>
      </c>
      <c r="C5" t="s">
        <v>107</v>
      </c>
      <c r="D5" t="s">
        <v>108</v>
      </c>
      <c r="E5" t="s">
        <v>10</v>
      </c>
      <c r="F5" s="7">
        <v>45822</v>
      </c>
      <c r="G5" s="13">
        <v>2025</v>
      </c>
      <c r="H5">
        <v>24468.21</v>
      </c>
      <c r="I5">
        <v>1415163</v>
      </c>
    </row>
    <row r="6" spans="1:9" x14ac:dyDescent="0.35">
      <c r="A6" t="s">
        <v>8</v>
      </c>
      <c r="B6" t="s">
        <v>18</v>
      </c>
      <c r="C6" t="s">
        <v>107</v>
      </c>
      <c r="D6" t="s">
        <v>108</v>
      </c>
      <c r="E6" t="s">
        <v>10</v>
      </c>
      <c r="F6" s="7">
        <v>45829</v>
      </c>
      <c r="G6" s="13">
        <v>2025</v>
      </c>
      <c r="H6">
        <v>25189.440000000002</v>
      </c>
      <c r="I6">
        <v>1904704</v>
      </c>
    </row>
    <row r="7" spans="1:9" x14ac:dyDescent="0.35">
      <c r="A7" t="s">
        <v>8</v>
      </c>
      <c r="B7" t="s">
        <v>18</v>
      </c>
      <c r="C7" t="s">
        <v>107</v>
      </c>
      <c r="D7" t="s">
        <v>108</v>
      </c>
      <c r="E7" t="s">
        <v>10</v>
      </c>
      <c r="F7" s="7">
        <v>45836</v>
      </c>
      <c r="G7" s="13">
        <v>2025</v>
      </c>
      <c r="H7">
        <v>24270.75</v>
      </c>
      <c r="I7">
        <v>1438910</v>
      </c>
    </row>
    <row r="8" spans="1:9" x14ac:dyDescent="0.35">
      <c r="A8" t="s">
        <v>8</v>
      </c>
      <c r="B8" t="s">
        <v>18</v>
      </c>
      <c r="C8" t="s">
        <v>107</v>
      </c>
      <c r="D8" t="s">
        <v>108</v>
      </c>
      <c r="E8" t="s">
        <v>10</v>
      </c>
      <c r="F8" s="7">
        <v>45843</v>
      </c>
      <c r="G8" s="13">
        <v>2025</v>
      </c>
      <c r="H8">
        <v>1795.91</v>
      </c>
      <c r="I8">
        <v>124320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DB7F-DB0A-4A15-97F3-8204F06FBFD9}">
  <dimension ref="A1:N230"/>
  <sheetViews>
    <sheetView workbookViewId="0">
      <selection sqref="A1:N230"/>
    </sheetView>
  </sheetViews>
  <sheetFormatPr defaultRowHeight="14.5" x14ac:dyDescent="0.35"/>
  <cols>
    <col min="5" max="5" width="9.1796875" bestFit="1" customWidth="1"/>
    <col min="6" max="8" width="9.1796875" customWidth="1"/>
  </cols>
  <sheetData>
    <row r="1" spans="1:14" x14ac:dyDescent="0.35">
      <c r="A1" t="s">
        <v>79</v>
      </c>
      <c r="B1" t="s">
        <v>80</v>
      </c>
      <c r="C1" t="s">
        <v>0</v>
      </c>
      <c r="D1" t="s">
        <v>1</v>
      </c>
      <c r="E1" t="s">
        <v>25</v>
      </c>
      <c r="F1" t="s">
        <v>4</v>
      </c>
      <c r="G1" t="s">
        <v>5</v>
      </c>
      <c r="H1" t="s">
        <v>3</v>
      </c>
      <c r="I1" t="s">
        <v>114</v>
      </c>
      <c r="J1" t="s">
        <v>115</v>
      </c>
      <c r="K1" t="s">
        <v>116</v>
      </c>
      <c r="L1" t="s">
        <v>117</v>
      </c>
      <c r="M1" t="s">
        <v>26</v>
      </c>
      <c r="N1" t="s">
        <v>27</v>
      </c>
    </row>
    <row r="2" spans="1:14" x14ac:dyDescent="0.35">
      <c r="A2" t="s">
        <v>107</v>
      </c>
      <c r="B2" t="s">
        <v>108</v>
      </c>
      <c r="C2" t="s">
        <v>8</v>
      </c>
      <c r="D2" t="s">
        <v>18</v>
      </c>
      <c r="E2" s="7">
        <v>45810</v>
      </c>
      <c r="F2" s="7">
        <f>E2 + (7 - WEEKDAY(E2, 1))</f>
        <v>45815</v>
      </c>
      <c r="G2" s="13">
        <v>2025</v>
      </c>
      <c r="H2" s="13" t="s">
        <v>10</v>
      </c>
      <c r="I2" t="s">
        <v>118</v>
      </c>
      <c r="J2" t="s">
        <v>119</v>
      </c>
      <c r="K2" t="s">
        <v>120</v>
      </c>
      <c r="L2" t="s">
        <v>121</v>
      </c>
      <c r="M2">
        <v>994.54</v>
      </c>
      <c r="N2">
        <v>49727</v>
      </c>
    </row>
    <row r="3" spans="1:14" x14ac:dyDescent="0.35">
      <c r="A3" t="s">
        <v>107</v>
      </c>
      <c r="B3" t="s">
        <v>108</v>
      </c>
      <c r="C3" t="s">
        <v>8</v>
      </c>
      <c r="D3" t="s">
        <v>18</v>
      </c>
      <c r="E3" s="7">
        <v>45810</v>
      </c>
      <c r="F3" s="7">
        <f t="shared" ref="F3:F66" si="0">E3 + (7 - WEEKDAY(E3, 1))</f>
        <v>45815</v>
      </c>
      <c r="G3" s="13">
        <v>2025</v>
      </c>
      <c r="H3" s="13" t="s">
        <v>10</v>
      </c>
      <c r="I3" t="s">
        <v>118</v>
      </c>
      <c r="J3" t="s">
        <v>119</v>
      </c>
      <c r="K3" t="s">
        <v>122</v>
      </c>
      <c r="L3" t="s">
        <v>123</v>
      </c>
      <c r="M3">
        <v>57.94</v>
      </c>
      <c r="N3">
        <v>2897</v>
      </c>
    </row>
    <row r="4" spans="1:14" x14ac:dyDescent="0.35">
      <c r="A4" t="s">
        <v>107</v>
      </c>
      <c r="B4" t="s">
        <v>108</v>
      </c>
      <c r="C4" t="s">
        <v>8</v>
      </c>
      <c r="D4" t="s">
        <v>18</v>
      </c>
      <c r="E4" s="7">
        <v>45810</v>
      </c>
      <c r="F4" s="7">
        <f t="shared" si="0"/>
        <v>45815</v>
      </c>
      <c r="G4" s="13">
        <v>2025</v>
      </c>
      <c r="H4" s="13" t="s">
        <v>10</v>
      </c>
      <c r="I4" t="s">
        <v>118</v>
      </c>
      <c r="J4" t="s">
        <v>119</v>
      </c>
      <c r="K4" t="s">
        <v>124</v>
      </c>
      <c r="L4" t="s">
        <v>125</v>
      </c>
      <c r="M4">
        <v>4.8</v>
      </c>
      <c r="N4">
        <v>240</v>
      </c>
    </row>
    <row r="5" spans="1:14" x14ac:dyDescent="0.35">
      <c r="A5" t="s">
        <v>107</v>
      </c>
      <c r="B5" t="s">
        <v>108</v>
      </c>
      <c r="C5" t="s">
        <v>8</v>
      </c>
      <c r="D5" t="s">
        <v>18</v>
      </c>
      <c r="E5" s="7">
        <v>45810</v>
      </c>
      <c r="F5" s="7">
        <f t="shared" si="0"/>
        <v>45815</v>
      </c>
      <c r="G5" s="13">
        <v>2025</v>
      </c>
      <c r="H5" s="13" t="s">
        <v>10</v>
      </c>
      <c r="I5" t="s">
        <v>118</v>
      </c>
      <c r="J5" t="s">
        <v>126</v>
      </c>
      <c r="K5" t="s">
        <v>127</v>
      </c>
      <c r="L5" t="s">
        <v>121</v>
      </c>
      <c r="M5">
        <v>0</v>
      </c>
      <c r="N5">
        <v>21317</v>
      </c>
    </row>
    <row r="6" spans="1:14" x14ac:dyDescent="0.35">
      <c r="A6" t="s">
        <v>107</v>
      </c>
      <c r="B6" t="s">
        <v>108</v>
      </c>
      <c r="C6" t="s">
        <v>8</v>
      </c>
      <c r="D6" t="s">
        <v>18</v>
      </c>
      <c r="E6" s="7">
        <v>45810</v>
      </c>
      <c r="F6" s="7">
        <f t="shared" si="0"/>
        <v>45815</v>
      </c>
      <c r="G6" s="13">
        <v>2025</v>
      </c>
      <c r="H6" s="13" t="s">
        <v>10</v>
      </c>
      <c r="I6" t="s">
        <v>118</v>
      </c>
      <c r="J6" t="s">
        <v>126</v>
      </c>
      <c r="K6" t="s">
        <v>128</v>
      </c>
      <c r="L6" t="s">
        <v>123</v>
      </c>
      <c r="M6">
        <v>0</v>
      </c>
      <c r="N6">
        <v>4602</v>
      </c>
    </row>
    <row r="7" spans="1:14" x14ac:dyDescent="0.35">
      <c r="A7" t="s">
        <v>107</v>
      </c>
      <c r="B7" t="s">
        <v>108</v>
      </c>
      <c r="C7" t="s">
        <v>8</v>
      </c>
      <c r="D7" t="s">
        <v>18</v>
      </c>
      <c r="E7" s="7">
        <v>45811</v>
      </c>
      <c r="F7" s="7">
        <f t="shared" si="0"/>
        <v>45815</v>
      </c>
      <c r="G7" s="13">
        <v>2025</v>
      </c>
      <c r="H7" s="13" t="s">
        <v>10</v>
      </c>
      <c r="I7" t="s">
        <v>118</v>
      </c>
      <c r="J7" t="s">
        <v>119</v>
      </c>
      <c r="K7" t="s">
        <v>120</v>
      </c>
      <c r="L7" t="s">
        <v>121</v>
      </c>
      <c r="M7">
        <v>2411.8200000000002</v>
      </c>
      <c r="N7">
        <v>120591</v>
      </c>
    </row>
    <row r="8" spans="1:14" x14ac:dyDescent="0.35">
      <c r="A8" t="s">
        <v>107</v>
      </c>
      <c r="B8" t="s">
        <v>108</v>
      </c>
      <c r="C8" t="s">
        <v>8</v>
      </c>
      <c r="D8" t="s">
        <v>18</v>
      </c>
      <c r="E8" s="7">
        <v>45811</v>
      </c>
      <c r="F8" s="7">
        <f t="shared" si="0"/>
        <v>45815</v>
      </c>
      <c r="G8" s="13">
        <v>2025</v>
      </c>
      <c r="H8" s="13" t="s">
        <v>10</v>
      </c>
      <c r="I8" t="s">
        <v>118</v>
      </c>
      <c r="J8" t="s">
        <v>119</v>
      </c>
      <c r="K8" t="s">
        <v>122</v>
      </c>
      <c r="L8" t="s">
        <v>123</v>
      </c>
      <c r="M8">
        <v>186.62</v>
      </c>
      <c r="N8">
        <v>9331</v>
      </c>
    </row>
    <row r="9" spans="1:14" x14ac:dyDescent="0.35">
      <c r="A9" t="s">
        <v>107</v>
      </c>
      <c r="B9" t="s">
        <v>108</v>
      </c>
      <c r="C9" t="s">
        <v>8</v>
      </c>
      <c r="D9" t="s">
        <v>18</v>
      </c>
      <c r="E9" s="7">
        <v>45811</v>
      </c>
      <c r="F9" s="7">
        <f t="shared" si="0"/>
        <v>45815</v>
      </c>
      <c r="G9" s="13">
        <v>2025</v>
      </c>
      <c r="H9" s="13" t="s">
        <v>10</v>
      </c>
      <c r="I9" t="s">
        <v>118</v>
      </c>
      <c r="J9" t="s">
        <v>119</v>
      </c>
      <c r="K9" t="s">
        <v>124</v>
      </c>
      <c r="L9" t="s">
        <v>125</v>
      </c>
      <c r="M9">
        <v>11.8</v>
      </c>
      <c r="N9">
        <v>590</v>
      </c>
    </row>
    <row r="10" spans="1:14" x14ac:dyDescent="0.35">
      <c r="A10" t="s">
        <v>107</v>
      </c>
      <c r="B10" t="s">
        <v>108</v>
      </c>
      <c r="C10" t="s">
        <v>8</v>
      </c>
      <c r="D10" t="s">
        <v>18</v>
      </c>
      <c r="E10" s="7">
        <v>45811</v>
      </c>
      <c r="F10" s="7">
        <f t="shared" si="0"/>
        <v>45815</v>
      </c>
      <c r="G10" s="13">
        <v>2025</v>
      </c>
      <c r="H10" s="13" t="s">
        <v>10</v>
      </c>
      <c r="I10" t="s">
        <v>118</v>
      </c>
      <c r="J10" t="s">
        <v>126</v>
      </c>
      <c r="K10" t="s">
        <v>127</v>
      </c>
      <c r="L10" t="s">
        <v>121</v>
      </c>
      <c r="M10">
        <v>0</v>
      </c>
      <c r="N10">
        <v>69097</v>
      </c>
    </row>
    <row r="11" spans="1:14" x14ac:dyDescent="0.35">
      <c r="A11" t="s">
        <v>107</v>
      </c>
      <c r="B11" t="s">
        <v>108</v>
      </c>
      <c r="C11" t="s">
        <v>8</v>
      </c>
      <c r="D11" t="s">
        <v>18</v>
      </c>
      <c r="E11" s="7">
        <v>45811</v>
      </c>
      <c r="F11" s="7">
        <f t="shared" si="0"/>
        <v>45815</v>
      </c>
      <c r="G11" s="13">
        <v>2025</v>
      </c>
      <c r="H11" s="13" t="s">
        <v>10</v>
      </c>
      <c r="I11" t="s">
        <v>118</v>
      </c>
      <c r="J11" t="s">
        <v>126</v>
      </c>
      <c r="K11" t="s">
        <v>128</v>
      </c>
      <c r="L11" t="s">
        <v>123</v>
      </c>
      <c r="M11">
        <v>0</v>
      </c>
      <c r="N11">
        <v>4525</v>
      </c>
    </row>
    <row r="12" spans="1:14" x14ac:dyDescent="0.35">
      <c r="A12" t="s">
        <v>107</v>
      </c>
      <c r="B12" t="s">
        <v>108</v>
      </c>
      <c r="C12" t="s">
        <v>8</v>
      </c>
      <c r="D12" t="s">
        <v>18</v>
      </c>
      <c r="E12" s="7">
        <v>45812</v>
      </c>
      <c r="F12" s="7">
        <f t="shared" si="0"/>
        <v>45815</v>
      </c>
      <c r="G12" s="13">
        <v>2025</v>
      </c>
      <c r="H12" s="13" t="s">
        <v>10</v>
      </c>
      <c r="I12" t="s">
        <v>118</v>
      </c>
      <c r="J12" t="s">
        <v>119</v>
      </c>
      <c r="K12" t="s">
        <v>120</v>
      </c>
      <c r="L12" t="s">
        <v>121</v>
      </c>
      <c r="M12">
        <v>2508.52</v>
      </c>
      <c r="N12">
        <v>125426</v>
      </c>
    </row>
    <row r="13" spans="1:14" x14ac:dyDescent="0.35">
      <c r="A13" t="s">
        <v>107</v>
      </c>
      <c r="B13" t="s">
        <v>108</v>
      </c>
      <c r="C13" t="s">
        <v>8</v>
      </c>
      <c r="D13" t="s">
        <v>18</v>
      </c>
      <c r="E13" s="7">
        <v>45812</v>
      </c>
      <c r="F13" s="7">
        <f t="shared" si="0"/>
        <v>45815</v>
      </c>
      <c r="G13" s="13">
        <v>2025</v>
      </c>
      <c r="H13" s="13" t="s">
        <v>10</v>
      </c>
      <c r="I13" t="s">
        <v>118</v>
      </c>
      <c r="J13" t="s">
        <v>119</v>
      </c>
      <c r="K13" t="s">
        <v>122</v>
      </c>
      <c r="L13" t="s">
        <v>123</v>
      </c>
      <c r="M13">
        <v>187.66</v>
      </c>
      <c r="N13">
        <v>9383</v>
      </c>
    </row>
    <row r="14" spans="1:14" x14ac:dyDescent="0.35">
      <c r="A14" t="s">
        <v>107</v>
      </c>
      <c r="B14" t="s">
        <v>108</v>
      </c>
      <c r="C14" t="s">
        <v>8</v>
      </c>
      <c r="D14" t="s">
        <v>18</v>
      </c>
      <c r="E14" s="7">
        <v>45812</v>
      </c>
      <c r="F14" s="7">
        <f t="shared" si="0"/>
        <v>45815</v>
      </c>
      <c r="G14" s="13">
        <v>2025</v>
      </c>
      <c r="H14" s="13" t="s">
        <v>10</v>
      </c>
      <c r="I14" t="s">
        <v>118</v>
      </c>
      <c r="J14" t="s">
        <v>119</v>
      </c>
      <c r="K14" t="s">
        <v>124</v>
      </c>
      <c r="L14" t="s">
        <v>125</v>
      </c>
      <c r="M14">
        <v>9.5399999999999991</v>
      </c>
      <c r="N14">
        <v>477</v>
      </c>
    </row>
    <row r="15" spans="1:14" x14ac:dyDescent="0.35">
      <c r="A15" t="s">
        <v>107</v>
      </c>
      <c r="B15" t="s">
        <v>108</v>
      </c>
      <c r="C15" t="s">
        <v>8</v>
      </c>
      <c r="D15" t="s">
        <v>18</v>
      </c>
      <c r="E15" s="7">
        <v>45812</v>
      </c>
      <c r="F15" s="7">
        <f t="shared" si="0"/>
        <v>45815</v>
      </c>
      <c r="G15" s="13">
        <v>2025</v>
      </c>
      <c r="H15" s="13" t="s">
        <v>10</v>
      </c>
      <c r="I15" t="s">
        <v>118</v>
      </c>
      <c r="J15" t="s">
        <v>126</v>
      </c>
      <c r="K15" t="s">
        <v>127</v>
      </c>
      <c r="L15" t="s">
        <v>121</v>
      </c>
      <c r="M15">
        <v>0</v>
      </c>
      <c r="N15">
        <v>67138</v>
      </c>
    </row>
    <row r="16" spans="1:14" x14ac:dyDescent="0.35">
      <c r="A16" t="s">
        <v>107</v>
      </c>
      <c r="B16" t="s">
        <v>108</v>
      </c>
      <c r="C16" t="s">
        <v>8</v>
      </c>
      <c r="D16" t="s">
        <v>18</v>
      </c>
      <c r="E16" s="7">
        <v>45812</v>
      </c>
      <c r="F16" s="7">
        <f t="shared" si="0"/>
        <v>45815</v>
      </c>
      <c r="G16" s="13">
        <v>2025</v>
      </c>
      <c r="H16" s="13" t="s">
        <v>10</v>
      </c>
      <c r="I16" t="s">
        <v>118</v>
      </c>
      <c r="J16" t="s">
        <v>126</v>
      </c>
      <c r="K16" t="s">
        <v>128</v>
      </c>
      <c r="L16" t="s">
        <v>123</v>
      </c>
      <c r="M16">
        <v>0</v>
      </c>
      <c r="N16">
        <v>5167</v>
      </c>
    </row>
    <row r="17" spans="1:14" x14ac:dyDescent="0.35">
      <c r="A17" t="s">
        <v>107</v>
      </c>
      <c r="B17" t="s">
        <v>108</v>
      </c>
      <c r="C17" t="s">
        <v>8</v>
      </c>
      <c r="D17" t="s">
        <v>18</v>
      </c>
      <c r="E17" s="7">
        <v>45813</v>
      </c>
      <c r="F17" s="7">
        <f t="shared" si="0"/>
        <v>45815</v>
      </c>
      <c r="G17" s="13">
        <v>2025</v>
      </c>
      <c r="H17" s="13" t="s">
        <v>10</v>
      </c>
      <c r="I17" t="s">
        <v>118</v>
      </c>
      <c r="J17" t="s">
        <v>119</v>
      </c>
      <c r="K17" t="s">
        <v>120</v>
      </c>
      <c r="L17" t="s">
        <v>121</v>
      </c>
      <c r="M17">
        <v>2428.52</v>
      </c>
      <c r="N17">
        <v>121426</v>
      </c>
    </row>
    <row r="18" spans="1:14" x14ac:dyDescent="0.35">
      <c r="A18" t="s">
        <v>107</v>
      </c>
      <c r="B18" t="s">
        <v>108</v>
      </c>
      <c r="C18" t="s">
        <v>8</v>
      </c>
      <c r="D18" t="s">
        <v>18</v>
      </c>
      <c r="E18" s="7">
        <v>45813</v>
      </c>
      <c r="F18" s="7">
        <f t="shared" si="0"/>
        <v>45815</v>
      </c>
      <c r="G18" s="13">
        <v>2025</v>
      </c>
      <c r="H18" s="13" t="s">
        <v>10</v>
      </c>
      <c r="I18" t="s">
        <v>118</v>
      </c>
      <c r="J18" t="s">
        <v>119</v>
      </c>
      <c r="K18" t="s">
        <v>122</v>
      </c>
      <c r="L18" t="s">
        <v>123</v>
      </c>
      <c r="M18">
        <v>164.72</v>
      </c>
      <c r="N18">
        <v>8236</v>
      </c>
    </row>
    <row r="19" spans="1:14" x14ac:dyDescent="0.35">
      <c r="A19" t="s">
        <v>107</v>
      </c>
      <c r="B19" t="s">
        <v>108</v>
      </c>
      <c r="C19" t="s">
        <v>8</v>
      </c>
      <c r="D19" t="s">
        <v>18</v>
      </c>
      <c r="E19" s="7">
        <v>45813</v>
      </c>
      <c r="F19" s="7">
        <f t="shared" si="0"/>
        <v>45815</v>
      </c>
      <c r="G19" s="13">
        <v>2025</v>
      </c>
      <c r="H19" s="13" t="s">
        <v>10</v>
      </c>
      <c r="I19" t="s">
        <v>118</v>
      </c>
      <c r="J19" t="s">
        <v>119</v>
      </c>
      <c r="K19" t="s">
        <v>124</v>
      </c>
      <c r="L19" t="s">
        <v>125</v>
      </c>
      <c r="M19">
        <v>10.64</v>
      </c>
      <c r="N19">
        <v>532</v>
      </c>
    </row>
    <row r="20" spans="1:14" x14ac:dyDescent="0.35">
      <c r="A20" t="s">
        <v>107</v>
      </c>
      <c r="B20" t="s">
        <v>108</v>
      </c>
      <c r="C20" t="s">
        <v>8</v>
      </c>
      <c r="D20" t="s">
        <v>18</v>
      </c>
      <c r="E20" s="7">
        <v>45813</v>
      </c>
      <c r="F20" s="7">
        <f t="shared" si="0"/>
        <v>45815</v>
      </c>
      <c r="G20" s="13">
        <v>2025</v>
      </c>
      <c r="H20" s="13" t="s">
        <v>10</v>
      </c>
      <c r="I20" t="s">
        <v>118</v>
      </c>
      <c r="J20" t="s">
        <v>126</v>
      </c>
      <c r="K20" t="s">
        <v>127</v>
      </c>
      <c r="L20" t="s">
        <v>121</v>
      </c>
      <c r="M20">
        <v>0</v>
      </c>
      <c r="N20">
        <v>62250</v>
      </c>
    </row>
    <row r="21" spans="1:14" x14ac:dyDescent="0.35">
      <c r="A21" t="s">
        <v>107</v>
      </c>
      <c r="B21" t="s">
        <v>108</v>
      </c>
      <c r="C21" t="s">
        <v>8</v>
      </c>
      <c r="D21" t="s">
        <v>18</v>
      </c>
      <c r="E21" s="7">
        <v>45813</v>
      </c>
      <c r="F21" s="7">
        <f t="shared" si="0"/>
        <v>45815</v>
      </c>
      <c r="G21" s="13">
        <v>2025</v>
      </c>
      <c r="H21" s="13" t="s">
        <v>10</v>
      </c>
      <c r="I21" t="s">
        <v>118</v>
      </c>
      <c r="J21" t="s">
        <v>126</v>
      </c>
      <c r="K21" t="s">
        <v>128</v>
      </c>
      <c r="L21" t="s">
        <v>123</v>
      </c>
      <c r="M21">
        <v>0</v>
      </c>
      <c r="N21">
        <v>3855</v>
      </c>
    </row>
    <row r="22" spans="1:14" x14ac:dyDescent="0.35">
      <c r="A22" t="s">
        <v>107</v>
      </c>
      <c r="B22" t="s">
        <v>108</v>
      </c>
      <c r="C22" t="s">
        <v>8</v>
      </c>
      <c r="D22" t="s">
        <v>18</v>
      </c>
      <c r="E22" s="7">
        <v>45814</v>
      </c>
      <c r="F22" s="7">
        <f t="shared" si="0"/>
        <v>45815</v>
      </c>
      <c r="G22" s="13">
        <v>2025</v>
      </c>
      <c r="H22" s="13" t="s">
        <v>10</v>
      </c>
      <c r="I22" t="s">
        <v>118</v>
      </c>
      <c r="J22" t="s">
        <v>119</v>
      </c>
      <c r="K22" t="s">
        <v>120</v>
      </c>
      <c r="L22" t="s">
        <v>121</v>
      </c>
      <c r="M22">
        <v>2381.12</v>
      </c>
      <c r="N22">
        <v>119056</v>
      </c>
    </row>
    <row r="23" spans="1:14" x14ac:dyDescent="0.35">
      <c r="A23" t="s">
        <v>107</v>
      </c>
      <c r="B23" t="s">
        <v>108</v>
      </c>
      <c r="C23" t="s">
        <v>8</v>
      </c>
      <c r="D23" t="s">
        <v>18</v>
      </c>
      <c r="E23" s="7">
        <v>45814</v>
      </c>
      <c r="F23" s="7">
        <f t="shared" si="0"/>
        <v>45815</v>
      </c>
      <c r="G23" s="13">
        <v>2025</v>
      </c>
      <c r="H23" s="13" t="s">
        <v>10</v>
      </c>
      <c r="I23" t="s">
        <v>118</v>
      </c>
      <c r="J23" t="s">
        <v>119</v>
      </c>
      <c r="K23" t="s">
        <v>122</v>
      </c>
      <c r="L23" t="s">
        <v>123</v>
      </c>
      <c r="M23">
        <v>206.04</v>
      </c>
      <c r="N23">
        <v>10302</v>
      </c>
    </row>
    <row r="24" spans="1:14" x14ac:dyDescent="0.35">
      <c r="A24" t="s">
        <v>107</v>
      </c>
      <c r="B24" t="s">
        <v>108</v>
      </c>
      <c r="C24" t="s">
        <v>8</v>
      </c>
      <c r="D24" t="s">
        <v>18</v>
      </c>
      <c r="E24" s="7">
        <v>45814</v>
      </c>
      <c r="F24" s="7">
        <f t="shared" si="0"/>
        <v>45815</v>
      </c>
      <c r="G24" s="13">
        <v>2025</v>
      </c>
      <c r="H24" s="13" t="s">
        <v>10</v>
      </c>
      <c r="I24" t="s">
        <v>118</v>
      </c>
      <c r="J24" t="s">
        <v>119</v>
      </c>
      <c r="K24" t="s">
        <v>124</v>
      </c>
      <c r="L24" t="s">
        <v>125</v>
      </c>
      <c r="M24">
        <v>9.4600000000000009</v>
      </c>
      <c r="N24">
        <v>473</v>
      </c>
    </row>
    <row r="25" spans="1:14" x14ac:dyDescent="0.35">
      <c r="A25" t="s">
        <v>107</v>
      </c>
      <c r="B25" t="s">
        <v>108</v>
      </c>
      <c r="C25" t="s">
        <v>8</v>
      </c>
      <c r="D25" t="s">
        <v>18</v>
      </c>
      <c r="E25" s="7">
        <v>45814</v>
      </c>
      <c r="F25" s="7">
        <f t="shared" si="0"/>
        <v>45815</v>
      </c>
      <c r="G25" s="13">
        <v>2025</v>
      </c>
      <c r="H25" s="13" t="s">
        <v>10</v>
      </c>
      <c r="I25" t="s">
        <v>118</v>
      </c>
      <c r="J25" t="s">
        <v>126</v>
      </c>
      <c r="K25" t="s">
        <v>127</v>
      </c>
      <c r="L25" t="s">
        <v>121</v>
      </c>
      <c r="M25">
        <v>0</v>
      </c>
      <c r="N25">
        <v>27615</v>
      </c>
    </row>
    <row r="26" spans="1:14" x14ac:dyDescent="0.35">
      <c r="A26" t="s">
        <v>107</v>
      </c>
      <c r="B26" t="s">
        <v>108</v>
      </c>
      <c r="C26" t="s">
        <v>8</v>
      </c>
      <c r="D26" t="s">
        <v>18</v>
      </c>
      <c r="E26" s="7">
        <v>45814</v>
      </c>
      <c r="F26" s="7">
        <f t="shared" si="0"/>
        <v>45815</v>
      </c>
      <c r="G26" s="13">
        <v>2025</v>
      </c>
      <c r="H26" s="13" t="s">
        <v>10</v>
      </c>
      <c r="I26" t="s">
        <v>118</v>
      </c>
      <c r="J26" t="s">
        <v>126</v>
      </c>
      <c r="K26" t="s">
        <v>128</v>
      </c>
      <c r="L26" t="s">
        <v>123</v>
      </c>
      <c r="M26">
        <v>0</v>
      </c>
      <c r="N26">
        <v>420</v>
      </c>
    </row>
    <row r="27" spans="1:14" x14ac:dyDescent="0.35">
      <c r="A27" t="s">
        <v>107</v>
      </c>
      <c r="B27" t="s">
        <v>108</v>
      </c>
      <c r="C27" t="s">
        <v>8</v>
      </c>
      <c r="D27" t="s">
        <v>18</v>
      </c>
      <c r="E27" s="7">
        <v>45815</v>
      </c>
      <c r="F27" s="7">
        <f t="shared" si="0"/>
        <v>45815</v>
      </c>
      <c r="G27" s="13">
        <v>2025</v>
      </c>
      <c r="H27" s="13" t="s">
        <v>10</v>
      </c>
      <c r="I27" t="s">
        <v>118</v>
      </c>
      <c r="J27" t="s">
        <v>119</v>
      </c>
      <c r="K27" t="s">
        <v>120</v>
      </c>
      <c r="L27" t="s">
        <v>121</v>
      </c>
      <c r="M27">
        <v>2352.1999999999998</v>
      </c>
      <c r="N27">
        <v>117610</v>
      </c>
    </row>
    <row r="28" spans="1:14" x14ac:dyDescent="0.35">
      <c r="A28" t="s">
        <v>107</v>
      </c>
      <c r="B28" t="s">
        <v>108</v>
      </c>
      <c r="C28" t="s">
        <v>8</v>
      </c>
      <c r="D28" t="s">
        <v>18</v>
      </c>
      <c r="E28" s="7">
        <v>45815</v>
      </c>
      <c r="F28" s="7">
        <f t="shared" si="0"/>
        <v>45815</v>
      </c>
      <c r="G28" s="13">
        <v>2025</v>
      </c>
      <c r="H28" s="13" t="s">
        <v>10</v>
      </c>
      <c r="I28" t="s">
        <v>118</v>
      </c>
      <c r="J28" t="s">
        <v>119</v>
      </c>
      <c r="K28" t="s">
        <v>122</v>
      </c>
      <c r="L28" t="s">
        <v>123</v>
      </c>
      <c r="M28">
        <v>162.58000000000001</v>
      </c>
      <c r="N28">
        <v>8129</v>
      </c>
    </row>
    <row r="29" spans="1:14" x14ac:dyDescent="0.35">
      <c r="A29" t="s">
        <v>107</v>
      </c>
      <c r="B29" t="s">
        <v>108</v>
      </c>
      <c r="C29" t="s">
        <v>8</v>
      </c>
      <c r="D29" t="s">
        <v>18</v>
      </c>
      <c r="E29" s="7">
        <v>45815</v>
      </c>
      <c r="F29" s="7">
        <f t="shared" si="0"/>
        <v>45815</v>
      </c>
      <c r="G29" s="13">
        <v>2025</v>
      </c>
      <c r="H29" s="13" t="s">
        <v>10</v>
      </c>
      <c r="I29" t="s">
        <v>118</v>
      </c>
      <c r="J29" t="s">
        <v>119</v>
      </c>
      <c r="K29" t="s">
        <v>124</v>
      </c>
      <c r="L29" t="s">
        <v>125</v>
      </c>
      <c r="M29">
        <v>5.0199999999999996</v>
      </c>
      <c r="N29">
        <v>251</v>
      </c>
    </row>
    <row r="30" spans="1:14" x14ac:dyDescent="0.35">
      <c r="A30" t="s">
        <v>107</v>
      </c>
      <c r="B30" t="s">
        <v>108</v>
      </c>
      <c r="C30" t="s">
        <v>8</v>
      </c>
      <c r="D30" t="s">
        <v>18</v>
      </c>
      <c r="E30" s="7">
        <v>45815</v>
      </c>
      <c r="F30" s="7">
        <f t="shared" si="0"/>
        <v>45815</v>
      </c>
      <c r="G30" s="13">
        <v>2025</v>
      </c>
      <c r="H30" s="13" t="s">
        <v>10</v>
      </c>
      <c r="I30" t="s">
        <v>118</v>
      </c>
      <c r="J30" t="s">
        <v>126</v>
      </c>
      <c r="K30" t="s">
        <v>127</v>
      </c>
      <c r="L30" t="s">
        <v>121</v>
      </c>
      <c r="M30">
        <v>0</v>
      </c>
      <c r="N30">
        <v>39580</v>
      </c>
    </row>
    <row r="31" spans="1:14" x14ac:dyDescent="0.35">
      <c r="A31" t="s">
        <v>107</v>
      </c>
      <c r="B31" t="s">
        <v>108</v>
      </c>
      <c r="C31" t="s">
        <v>8</v>
      </c>
      <c r="D31" t="s">
        <v>18</v>
      </c>
      <c r="E31" s="7">
        <v>45815</v>
      </c>
      <c r="F31" s="7">
        <f t="shared" si="0"/>
        <v>45815</v>
      </c>
      <c r="G31" s="13">
        <v>2025</v>
      </c>
      <c r="H31" s="13" t="s">
        <v>10</v>
      </c>
      <c r="I31" t="s">
        <v>118</v>
      </c>
      <c r="J31" t="s">
        <v>126</v>
      </c>
      <c r="K31" t="s">
        <v>128</v>
      </c>
      <c r="L31" t="s">
        <v>123</v>
      </c>
      <c r="M31">
        <v>0</v>
      </c>
      <c r="N31">
        <v>1273</v>
      </c>
    </row>
    <row r="32" spans="1:14" x14ac:dyDescent="0.35">
      <c r="A32" t="s">
        <v>107</v>
      </c>
      <c r="B32" t="s">
        <v>108</v>
      </c>
      <c r="C32" t="s">
        <v>8</v>
      </c>
      <c r="D32" t="s">
        <v>18</v>
      </c>
      <c r="E32" s="7">
        <v>45816</v>
      </c>
      <c r="F32" s="7">
        <f t="shared" si="0"/>
        <v>45822</v>
      </c>
      <c r="G32" s="13">
        <v>2025</v>
      </c>
      <c r="H32" s="13" t="s">
        <v>10</v>
      </c>
      <c r="I32" t="s">
        <v>118</v>
      </c>
      <c r="J32" t="s">
        <v>119</v>
      </c>
      <c r="K32" t="s">
        <v>120</v>
      </c>
      <c r="L32" t="s">
        <v>121</v>
      </c>
      <c r="M32">
        <v>2445.44</v>
      </c>
      <c r="N32">
        <v>122272</v>
      </c>
    </row>
    <row r="33" spans="1:14" x14ac:dyDescent="0.35">
      <c r="A33" t="s">
        <v>107</v>
      </c>
      <c r="B33" t="s">
        <v>108</v>
      </c>
      <c r="C33" t="s">
        <v>8</v>
      </c>
      <c r="D33" t="s">
        <v>18</v>
      </c>
      <c r="E33" s="7">
        <v>45816</v>
      </c>
      <c r="F33" s="7">
        <f t="shared" si="0"/>
        <v>45822</v>
      </c>
      <c r="G33" s="13">
        <v>2025</v>
      </c>
      <c r="H33" s="13" t="s">
        <v>10</v>
      </c>
      <c r="I33" t="s">
        <v>118</v>
      </c>
      <c r="J33" t="s">
        <v>119</v>
      </c>
      <c r="K33" t="s">
        <v>122</v>
      </c>
      <c r="L33" t="s">
        <v>123</v>
      </c>
      <c r="M33">
        <v>139.02000000000001</v>
      </c>
      <c r="N33">
        <v>6951</v>
      </c>
    </row>
    <row r="34" spans="1:14" x14ac:dyDescent="0.35">
      <c r="A34" t="s">
        <v>107</v>
      </c>
      <c r="B34" t="s">
        <v>108</v>
      </c>
      <c r="C34" t="s">
        <v>8</v>
      </c>
      <c r="D34" t="s">
        <v>18</v>
      </c>
      <c r="E34" s="7">
        <v>45816</v>
      </c>
      <c r="F34" s="7">
        <f t="shared" si="0"/>
        <v>45822</v>
      </c>
      <c r="G34" s="13">
        <v>2025</v>
      </c>
      <c r="H34" s="13" t="s">
        <v>10</v>
      </c>
      <c r="I34" t="s">
        <v>118</v>
      </c>
      <c r="J34" t="s">
        <v>119</v>
      </c>
      <c r="K34" t="s">
        <v>124</v>
      </c>
      <c r="L34" t="s">
        <v>125</v>
      </c>
      <c r="M34">
        <v>4.58</v>
      </c>
      <c r="N34">
        <v>229</v>
      </c>
    </row>
    <row r="35" spans="1:14" x14ac:dyDescent="0.35">
      <c r="A35" t="s">
        <v>107</v>
      </c>
      <c r="B35" t="s">
        <v>108</v>
      </c>
      <c r="C35" t="s">
        <v>8</v>
      </c>
      <c r="D35" t="s">
        <v>18</v>
      </c>
      <c r="E35" s="7">
        <v>45816</v>
      </c>
      <c r="F35" s="7">
        <f t="shared" si="0"/>
        <v>45822</v>
      </c>
      <c r="G35" s="13">
        <v>2025</v>
      </c>
      <c r="H35" s="13" t="s">
        <v>10</v>
      </c>
      <c r="I35" t="s">
        <v>118</v>
      </c>
      <c r="J35" t="s">
        <v>126</v>
      </c>
      <c r="K35" t="s">
        <v>127</v>
      </c>
      <c r="L35" t="s">
        <v>121</v>
      </c>
      <c r="M35">
        <v>0</v>
      </c>
      <c r="N35">
        <v>43054</v>
      </c>
    </row>
    <row r="36" spans="1:14" x14ac:dyDescent="0.35">
      <c r="A36" t="s">
        <v>107</v>
      </c>
      <c r="B36" t="s">
        <v>108</v>
      </c>
      <c r="C36" t="s">
        <v>8</v>
      </c>
      <c r="D36" t="s">
        <v>18</v>
      </c>
      <c r="E36" s="7">
        <v>45816</v>
      </c>
      <c r="F36" s="7">
        <f t="shared" si="0"/>
        <v>45822</v>
      </c>
      <c r="G36" s="13">
        <v>2025</v>
      </c>
      <c r="H36" s="13" t="s">
        <v>10</v>
      </c>
      <c r="I36" t="s">
        <v>118</v>
      </c>
      <c r="J36" t="s">
        <v>126</v>
      </c>
      <c r="K36" t="s">
        <v>128</v>
      </c>
      <c r="L36" t="s">
        <v>123</v>
      </c>
      <c r="M36">
        <v>0</v>
      </c>
      <c r="N36">
        <v>2081</v>
      </c>
    </row>
    <row r="37" spans="1:14" x14ac:dyDescent="0.35">
      <c r="A37" t="s">
        <v>107</v>
      </c>
      <c r="B37" t="s">
        <v>108</v>
      </c>
      <c r="C37" t="s">
        <v>8</v>
      </c>
      <c r="D37" t="s">
        <v>18</v>
      </c>
      <c r="E37" s="7">
        <v>45811</v>
      </c>
      <c r="F37" s="7">
        <f t="shared" si="0"/>
        <v>45815</v>
      </c>
      <c r="G37" s="13">
        <v>2025</v>
      </c>
      <c r="H37" s="13" t="s">
        <v>10</v>
      </c>
      <c r="I37" t="s">
        <v>118</v>
      </c>
      <c r="J37" t="s">
        <v>129</v>
      </c>
      <c r="K37" t="s">
        <v>129</v>
      </c>
      <c r="L37" t="s">
        <v>130</v>
      </c>
      <c r="M37">
        <v>357.5</v>
      </c>
      <c r="N37">
        <v>1292</v>
      </c>
    </row>
    <row r="38" spans="1:14" x14ac:dyDescent="0.35">
      <c r="A38" t="s">
        <v>107</v>
      </c>
      <c r="B38" t="s">
        <v>108</v>
      </c>
      <c r="C38" t="s">
        <v>8</v>
      </c>
      <c r="D38" t="s">
        <v>18</v>
      </c>
      <c r="E38" s="7">
        <v>45811</v>
      </c>
      <c r="F38" s="7">
        <f t="shared" si="0"/>
        <v>45815</v>
      </c>
      <c r="G38" s="13">
        <v>2025</v>
      </c>
      <c r="H38" s="13" t="s">
        <v>10</v>
      </c>
      <c r="I38" t="s">
        <v>118</v>
      </c>
      <c r="J38" t="s">
        <v>129</v>
      </c>
      <c r="K38" t="s">
        <v>129</v>
      </c>
      <c r="L38" t="s">
        <v>130</v>
      </c>
      <c r="M38">
        <v>22.5</v>
      </c>
      <c r="N38">
        <v>315</v>
      </c>
    </row>
    <row r="39" spans="1:14" x14ac:dyDescent="0.35">
      <c r="A39" t="s">
        <v>107</v>
      </c>
      <c r="B39" t="s">
        <v>108</v>
      </c>
      <c r="C39" t="s">
        <v>8</v>
      </c>
      <c r="D39" t="s">
        <v>18</v>
      </c>
      <c r="E39" s="7">
        <v>45811</v>
      </c>
      <c r="F39" s="7">
        <f t="shared" si="0"/>
        <v>45815</v>
      </c>
      <c r="G39" s="13">
        <v>2025</v>
      </c>
      <c r="H39" s="13" t="s">
        <v>10</v>
      </c>
      <c r="I39" t="s">
        <v>118</v>
      </c>
      <c r="J39" t="s">
        <v>129</v>
      </c>
      <c r="K39" t="s">
        <v>129</v>
      </c>
      <c r="L39" t="s">
        <v>131</v>
      </c>
      <c r="M39">
        <v>462.5</v>
      </c>
      <c r="N39">
        <v>1693</v>
      </c>
    </row>
    <row r="40" spans="1:14" x14ac:dyDescent="0.35">
      <c r="A40" t="s">
        <v>107</v>
      </c>
      <c r="B40" t="s">
        <v>108</v>
      </c>
      <c r="C40" t="s">
        <v>8</v>
      </c>
      <c r="D40" t="s">
        <v>18</v>
      </c>
      <c r="E40" s="7">
        <v>45812</v>
      </c>
      <c r="F40" s="7">
        <f t="shared" si="0"/>
        <v>45815</v>
      </c>
      <c r="G40" s="13">
        <v>2025</v>
      </c>
      <c r="H40" s="13" t="s">
        <v>10</v>
      </c>
      <c r="I40" t="s">
        <v>118</v>
      </c>
      <c r="J40" t="s">
        <v>129</v>
      </c>
      <c r="K40" t="s">
        <v>129</v>
      </c>
      <c r="L40" t="s">
        <v>130</v>
      </c>
      <c r="M40">
        <v>43.75</v>
      </c>
      <c r="N40">
        <v>624</v>
      </c>
    </row>
    <row r="41" spans="1:14" x14ac:dyDescent="0.35">
      <c r="A41" t="s">
        <v>107</v>
      </c>
      <c r="B41" t="s">
        <v>108</v>
      </c>
      <c r="C41" t="s">
        <v>8</v>
      </c>
      <c r="D41" t="s">
        <v>18</v>
      </c>
      <c r="E41" s="7">
        <v>45812</v>
      </c>
      <c r="F41" s="7">
        <f t="shared" si="0"/>
        <v>45815</v>
      </c>
      <c r="G41" s="13">
        <v>2025</v>
      </c>
      <c r="H41" s="13" t="s">
        <v>10</v>
      </c>
      <c r="I41" t="s">
        <v>118</v>
      </c>
      <c r="J41" t="s">
        <v>129</v>
      </c>
      <c r="K41" t="s">
        <v>129</v>
      </c>
      <c r="L41" t="s">
        <v>131</v>
      </c>
      <c r="M41">
        <v>568.75</v>
      </c>
      <c r="N41">
        <v>2972</v>
      </c>
    </row>
    <row r="42" spans="1:14" x14ac:dyDescent="0.35">
      <c r="A42" t="s">
        <v>107</v>
      </c>
      <c r="B42" t="s">
        <v>108</v>
      </c>
      <c r="C42" t="s">
        <v>8</v>
      </c>
      <c r="D42" t="s">
        <v>18</v>
      </c>
      <c r="E42" s="7">
        <v>45812</v>
      </c>
      <c r="F42" s="7">
        <f t="shared" si="0"/>
        <v>45815</v>
      </c>
      <c r="G42" s="13">
        <v>2025</v>
      </c>
      <c r="H42" s="13" t="s">
        <v>10</v>
      </c>
      <c r="I42" t="s">
        <v>118</v>
      </c>
      <c r="J42" t="s">
        <v>129</v>
      </c>
      <c r="K42" t="s">
        <v>129</v>
      </c>
      <c r="L42" t="s">
        <v>130</v>
      </c>
      <c r="M42">
        <v>455</v>
      </c>
      <c r="N42">
        <v>1821</v>
      </c>
    </row>
    <row r="43" spans="1:14" x14ac:dyDescent="0.35">
      <c r="A43" t="s">
        <v>107</v>
      </c>
      <c r="B43" t="s">
        <v>108</v>
      </c>
      <c r="C43" t="s">
        <v>8</v>
      </c>
      <c r="D43" t="s">
        <v>18</v>
      </c>
      <c r="E43" s="7">
        <v>45813</v>
      </c>
      <c r="F43" s="7">
        <f t="shared" si="0"/>
        <v>45815</v>
      </c>
      <c r="G43" s="13">
        <v>2025</v>
      </c>
      <c r="H43" s="13" t="s">
        <v>10</v>
      </c>
      <c r="I43" t="s">
        <v>118</v>
      </c>
      <c r="J43" t="s">
        <v>129</v>
      </c>
      <c r="K43" t="s">
        <v>129</v>
      </c>
      <c r="L43" t="s">
        <v>131</v>
      </c>
      <c r="M43">
        <v>520</v>
      </c>
      <c r="N43">
        <v>2908</v>
      </c>
    </row>
    <row r="44" spans="1:14" x14ac:dyDescent="0.35">
      <c r="A44" t="s">
        <v>107</v>
      </c>
      <c r="B44" t="s">
        <v>108</v>
      </c>
      <c r="C44" t="s">
        <v>8</v>
      </c>
      <c r="D44" t="s">
        <v>18</v>
      </c>
      <c r="E44" s="7">
        <v>45813</v>
      </c>
      <c r="F44" s="7">
        <f t="shared" si="0"/>
        <v>45815</v>
      </c>
      <c r="G44" s="13">
        <v>2025</v>
      </c>
      <c r="H44" s="13" t="s">
        <v>10</v>
      </c>
      <c r="I44" t="s">
        <v>118</v>
      </c>
      <c r="J44" t="s">
        <v>129</v>
      </c>
      <c r="K44" t="s">
        <v>129</v>
      </c>
      <c r="L44" t="s">
        <v>130</v>
      </c>
      <c r="M44">
        <v>425</v>
      </c>
      <c r="N44">
        <v>1888</v>
      </c>
    </row>
    <row r="45" spans="1:14" x14ac:dyDescent="0.35">
      <c r="A45" t="s">
        <v>107</v>
      </c>
      <c r="B45" t="s">
        <v>108</v>
      </c>
      <c r="C45" t="s">
        <v>8</v>
      </c>
      <c r="D45" t="s">
        <v>18</v>
      </c>
      <c r="E45" s="7">
        <v>45813</v>
      </c>
      <c r="F45" s="7">
        <f t="shared" si="0"/>
        <v>45815</v>
      </c>
      <c r="G45" s="13">
        <v>2025</v>
      </c>
      <c r="H45" s="13" t="s">
        <v>10</v>
      </c>
      <c r="I45" t="s">
        <v>118</v>
      </c>
      <c r="J45" t="s">
        <v>129</v>
      </c>
      <c r="K45" t="s">
        <v>129</v>
      </c>
      <c r="L45" t="s">
        <v>130</v>
      </c>
      <c r="M45">
        <v>115</v>
      </c>
      <c r="N45">
        <v>1086</v>
      </c>
    </row>
    <row r="46" spans="1:14" x14ac:dyDescent="0.35">
      <c r="A46" t="s">
        <v>107</v>
      </c>
      <c r="B46" t="s">
        <v>108</v>
      </c>
      <c r="C46" t="s">
        <v>8</v>
      </c>
      <c r="D46" t="s">
        <v>18</v>
      </c>
      <c r="E46" s="7">
        <v>45814</v>
      </c>
      <c r="F46" s="7">
        <f t="shared" si="0"/>
        <v>45815</v>
      </c>
      <c r="G46" s="13">
        <v>2025</v>
      </c>
      <c r="H46" s="13" t="s">
        <v>10</v>
      </c>
      <c r="I46" t="s">
        <v>118</v>
      </c>
      <c r="J46" t="s">
        <v>129</v>
      </c>
      <c r="K46" t="s">
        <v>129</v>
      </c>
      <c r="L46" t="s">
        <v>130</v>
      </c>
      <c r="M46">
        <v>420</v>
      </c>
      <c r="N46">
        <v>1828</v>
      </c>
    </row>
    <row r="47" spans="1:14" x14ac:dyDescent="0.35">
      <c r="A47" t="s">
        <v>107</v>
      </c>
      <c r="B47" t="s">
        <v>108</v>
      </c>
      <c r="C47" t="s">
        <v>8</v>
      </c>
      <c r="D47" t="s">
        <v>18</v>
      </c>
      <c r="E47" s="7">
        <v>45814</v>
      </c>
      <c r="F47" s="7">
        <f t="shared" si="0"/>
        <v>45815</v>
      </c>
      <c r="G47" s="13">
        <v>2025</v>
      </c>
      <c r="H47" s="13" t="s">
        <v>10</v>
      </c>
      <c r="I47" t="s">
        <v>118</v>
      </c>
      <c r="J47" t="s">
        <v>129</v>
      </c>
      <c r="K47" t="s">
        <v>129</v>
      </c>
      <c r="L47" t="s">
        <v>131</v>
      </c>
      <c r="M47">
        <v>437.5</v>
      </c>
      <c r="N47">
        <v>2439</v>
      </c>
    </row>
    <row r="48" spans="1:14" x14ac:dyDescent="0.35">
      <c r="A48" t="s">
        <v>107</v>
      </c>
      <c r="B48" t="s">
        <v>108</v>
      </c>
      <c r="C48" t="s">
        <v>8</v>
      </c>
      <c r="D48" t="s">
        <v>18</v>
      </c>
      <c r="E48" s="7">
        <v>45814</v>
      </c>
      <c r="F48" s="7">
        <f t="shared" si="0"/>
        <v>45815</v>
      </c>
      <c r="G48" s="13">
        <v>2025</v>
      </c>
      <c r="H48" s="13" t="s">
        <v>10</v>
      </c>
      <c r="I48" t="s">
        <v>118</v>
      </c>
      <c r="J48" t="s">
        <v>129</v>
      </c>
      <c r="K48" t="s">
        <v>129</v>
      </c>
      <c r="L48" t="s">
        <v>130</v>
      </c>
      <c r="M48">
        <v>60</v>
      </c>
      <c r="N48">
        <v>571</v>
      </c>
    </row>
    <row r="49" spans="1:14" x14ac:dyDescent="0.35">
      <c r="A49" t="s">
        <v>107</v>
      </c>
      <c r="B49" t="s">
        <v>108</v>
      </c>
      <c r="C49" t="s">
        <v>8</v>
      </c>
      <c r="D49" t="s">
        <v>18</v>
      </c>
      <c r="E49" s="7">
        <v>45815</v>
      </c>
      <c r="F49" s="7">
        <f t="shared" si="0"/>
        <v>45815</v>
      </c>
      <c r="G49" s="13">
        <v>2025</v>
      </c>
      <c r="H49" s="13" t="s">
        <v>10</v>
      </c>
      <c r="I49" t="s">
        <v>118</v>
      </c>
      <c r="J49" t="s">
        <v>129</v>
      </c>
      <c r="K49" t="s">
        <v>129</v>
      </c>
      <c r="L49" t="s">
        <v>131</v>
      </c>
      <c r="M49">
        <v>483.75</v>
      </c>
      <c r="N49">
        <v>3274</v>
      </c>
    </row>
    <row r="50" spans="1:14" x14ac:dyDescent="0.35">
      <c r="A50" t="s">
        <v>107</v>
      </c>
      <c r="B50" t="s">
        <v>108</v>
      </c>
      <c r="C50" t="s">
        <v>8</v>
      </c>
      <c r="D50" t="s">
        <v>18</v>
      </c>
      <c r="E50" s="7">
        <v>45815</v>
      </c>
      <c r="F50" s="7">
        <f t="shared" si="0"/>
        <v>45815</v>
      </c>
      <c r="G50" s="13">
        <v>2025</v>
      </c>
      <c r="H50" s="13" t="s">
        <v>10</v>
      </c>
      <c r="I50" t="s">
        <v>118</v>
      </c>
      <c r="J50" t="s">
        <v>129</v>
      </c>
      <c r="K50" t="s">
        <v>129</v>
      </c>
      <c r="L50" t="s">
        <v>130</v>
      </c>
      <c r="M50">
        <v>66.25</v>
      </c>
      <c r="N50">
        <v>649</v>
      </c>
    </row>
    <row r="51" spans="1:14" x14ac:dyDescent="0.35">
      <c r="A51" t="s">
        <v>107</v>
      </c>
      <c r="B51" t="s">
        <v>108</v>
      </c>
      <c r="C51" t="s">
        <v>8</v>
      </c>
      <c r="D51" t="s">
        <v>18</v>
      </c>
      <c r="E51" s="7">
        <v>45815</v>
      </c>
      <c r="F51" s="7">
        <f t="shared" si="0"/>
        <v>45815</v>
      </c>
      <c r="G51" s="13">
        <v>2025</v>
      </c>
      <c r="H51" s="13" t="s">
        <v>10</v>
      </c>
      <c r="I51" t="s">
        <v>118</v>
      </c>
      <c r="J51" t="s">
        <v>129</v>
      </c>
      <c r="K51" t="s">
        <v>129</v>
      </c>
      <c r="L51" t="s">
        <v>130</v>
      </c>
      <c r="M51">
        <v>420</v>
      </c>
      <c r="N51">
        <v>1881</v>
      </c>
    </row>
    <row r="52" spans="1:14" x14ac:dyDescent="0.35">
      <c r="A52" t="s">
        <v>107</v>
      </c>
      <c r="B52" t="s">
        <v>108</v>
      </c>
      <c r="C52" t="s">
        <v>8</v>
      </c>
      <c r="D52" t="s">
        <v>18</v>
      </c>
      <c r="E52" s="7">
        <v>45817</v>
      </c>
      <c r="F52" s="7">
        <f t="shared" si="0"/>
        <v>45822</v>
      </c>
      <c r="G52" s="13">
        <v>2025</v>
      </c>
      <c r="H52" s="13" t="s">
        <v>10</v>
      </c>
      <c r="I52" t="s">
        <v>118</v>
      </c>
      <c r="J52" t="s">
        <v>119</v>
      </c>
      <c r="K52" t="s">
        <v>120</v>
      </c>
      <c r="L52" t="s">
        <v>121</v>
      </c>
      <c r="M52">
        <v>2422.1999999999998</v>
      </c>
      <c r="N52">
        <v>121110</v>
      </c>
    </row>
    <row r="53" spans="1:14" x14ac:dyDescent="0.35">
      <c r="A53" t="s">
        <v>107</v>
      </c>
      <c r="B53" t="s">
        <v>108</v>
      </c>
      <c r="C53" t="s">
        <v>8</v>
      </c>
      <c r="D53" t="s">
        <v>18</v>
      </c>
      <c r="E53" s="7">
        <v>45817</v>
      </c>
      <c r="F53" s="7">
        <f t="shared" si="0"/>
        <v>45822</v>
      </c>
      <c r="G53" s="13">
        <v>2025</v>
      </c>
      <c r="H53" s="13" t="s">
        <v>10</v>
      </c>
      <c r="I53" t="s">
        <v>118</v>
      </c>
      <c r="J53" t="s">
        <v>119</v>
      </c>
      <c r="K53" t="s">
        <v>122</v>
      </c>
      <c r="L53" t="s">
        <v>123</v>
      </c>
      <c r="M53">
        <v>167.18</v>
      </c>
      <c r="N53">
        <v>8359</v>
      </c>
    </row>
    <row r="54" spans="1:14" x14ac:dyDescent="0.35">
      <c r="A54" t="s">
        <v>107</v>
      </c>
      <c r="B54" t="s">
        <v>108</v>
      </c>
      <c r="C54" t="s">
        <v>8</v>
      </c>
      <c r="D54" t="s">
        <v>18</v>
      </c>
      <c r="E54" s="7">
        <v>45817</v>
      </c>
      <c r="F54" s="7">
        <f t="shared" si="0"/>
        <v>45822</v>
      </c>
      <c r="G54" s="13">
        <v>2025</v>
      </c>
      <c r="H54" s="13" t="s">
        <v>10</v>
      </c>
      <c r="I54" t="s">
        <v>118</v>
      </c>
      <c r="J54" t="s">
        <v>119</v>
      </c>
      <c r="K54" t="s">
        <v>124</v>
      </c>
      <c r="L54" t="s">
        <v>125</v>
      </c>
      <c r="M54">
        <v>3.36</v>
      </c>
      <c r="N54">
        <v>168</v>
      </c>
    </row>
    <row r="55" spans="1:14" x14ac:dyDescent="0.35">
      <c r="A55" t="s">
        <v>107</v>
      </c>
      <c r="B55" t="s">
        <v>108</v>
      </c>
      <c r="C55" t="s">
        <v>8</v>
      </c>
      <c r="D55" t="s">
        <v>18</v>
      </c>
      <c r="E55" s="7">
        <v>45817</v>
      </c>
      <c r="F55" s="7">
        <f t="shared" si="0"/>
        <v>45822</v>
      </c>
      <c r="G55" s="13">
        <v>2025</v>
      </c>
      <c r="H55" s="13" t="s">
        <v>10</v>
      </c>
      <c r="I55" t="s">
        <v>118</v>
      </c>
      <c r="J55" t="s">
        <v>126</v>
      </c>
      <c r="K55" t="s">
        <v>127</v>
      </c>
      <c r="L55" t="s">
        <v>121</v>
      </c>
      <c r="M55">
        <v>0</v>
      </c>
      <c r="N55">
        <v>64150</v>
      </c>
    </row>
    <row r="56" spans="1:14" x14ac:dyDescent="0.35">
      <c r="A56" t="s">
        <v>107</v>
      </c>
      <c r="B56" t="s">
        <v>108</v>
      </c>
      <c r="C56" t="s">
        <v>8</v>
      </c>
      <c r="D56" t="s">
        <v>18</v>
      </c>
      <c r="E56" s="7">
        <v>45817</v>
      </c>
      <c r="F56" s="7">
        <f t="shared" si="0"/>
        <v>45822</v>
      </c>
      <c r="G56" s="13">
        <v>2025</v>
      </c>
      <c r="H56" s="13" t="s">
        <v>10</v>
      </c>
      <c r="I56" t="s">
        <v>118</v>
      </c>
      <c r="J56" t="s">
        <v>126</v>
      </c>
      <c r="K56" t="s">
        <v>128</v>
      </c>
      <c r="L56" t="s">
        <v>123</v>
      </c>
      <c r="M56">
        <v>0</v>
      </c>
      <c r="N56">
        <v>3080</v>
      </c>
    </row>
    <row r="57" spans="1:14" x14ac:dyDescent="0.35">
      <c r="A57" t="s">
        <v>107</v>
      </c>
      <c r="B57" t="s">
        <v>108</v>
      </c>
      <c r="C57" t="s">
        <v>8</v>
      </c>
      <c r="D57" t="s">
        <v>18</v>
      </c>
      <c r="E57" s="7">
        <v>45818</v>
      </c>
      <c r="F57" s="7">
        <f t="shared" si="0"/>
        <v>45822</v>
      </c>
      <c r="G57" s="13">
        <v>2025</v>
      </c>
      <c r="H57" s="13" t="s">
        <v>10</v>
      </c>
      <c r="I57" t="s">
        <v>118</v>
      </c>
      <c r="J57" t="s">
        <v>119</v>
      </c>
      <c r="K57" t="s">
        <v>120</v>
      </c>
      <c r="L57" t="s">
        <v>121</v>
      </c>
      <c r="M57">
        <v>2497</v>
      </c>
      <c r="N57">
        <v>124850</v>
      </c>
    </row>
    <row r="58" spans="1:14" x14ac:dyDescent="0.35">
      <c r="A58" t="s">
        <v>107</v>
      </c>
      <c r="B58" t="s">
        <v>108</v>
      </c>
      <c r="C58" t="s">
        <v>8</v>
      </c>
      <c r="D58" t="s">
        <v>18</v>
      </c>
      <c r="E58" s="7">
        <v>45818</v>
      </c>
      <c r="F58" s="7">
        <f t="shared" si="0"/>
        <v>45822</v>
      </c>
      <c r="G58" s="13">
        <v>2025</v>
      </c>
      <c r="H58" s="13" t="s">
        <v>10</v>
      </c>
      <c r="I58" t="s">
        <v>118</v>
      </c>
      <c r="J58" t="s">
        <v>119</v>
      </c>
      <c r="K58" t="s">
        <v>122</v>
      </c>
      <c r="L58" t="s">
        <v>123</v>
      </c>
      <c r="M58">
        <v>172.94</v>
      </c>
      <c r="N58">
        <v>8647</v>
      </c>
    </row>
    <row r="59" spans="1:14" x14ac:dyDescent="0.35">
      <c r="A59" t="s">
        <v>107</v>
      </c>
      <c r="B59" t="s">
        <v>108</v>
      </c>
      <c r="C59" t="s">
        <v>8</v>
      </c>
      <c r="D59" t="s">
        <v>18</v>
      </c>
      <c r="E59" s="7">
        <v>45818</v>
      </c>
      <c r="F59" s="7">
        <f t="shared" si="0"/>
        <v>45822</v>
      </c>
      <c r="G59" s="13">
        <v>2025</v>
      </c>
      <c r="H59" s="13" t="s">
        <v>10</v>
      </c>
      <c r="I59" t="s">
        <v>118</v>
      </c>
      <c r="J59" t="s">
        <v>119</v>
      </c>
      <c r="K59" t="s">
        <v>124</v>
      </c>
      <c r="L59" t="s">
        <v>125</v>
      </c>
      <c r="M59">
        <v>10.96</v>
      </c>
      <c r="N59">
        <v>548</v>
      </c>
    </row>
    <row r="60" spans="1:14" x14ac:dyDescent="0.35">
      <c r="A60" t="s">
        <v>107</v>
      </c>
      <c r="B60" t="s">
        <v>108</v>
      </c>
      <c r="C60" t="s">
        <v>8</v>
      </c>
      <c r="D60" t="s">
        <v>18</v>
      </c>
      <c r="E60" s="7">
        <v>45818</v>
      </c>
      <c r="F60" s="7">
        <f t="shared" si="0"/>
        <v>45822</v>
      </c>
      <c r="G60" s="13">
        <v>2025</v>
      </c>
      <c r="H60" s="13" t="s">
        <v>10</v>
      </c>
      <c r="I60" t="s">
        <v>118</v>
      </c>
      <c r="J60" t="s">
        <v>126</v>
      </c>
      <c r="K60" t="s">
        <v>127</v>
      </c>
      <c r="L60" t="s">
        <v>121</v>
      </c>
      <c r="M60">
        <v>0</v>
      </c>
      <c r="N60">
        <v>71957</v>
      </c>
    </row>
    <row r="61" spans="1:14" x14ac:dyDescent="0.35">
      <c r="A61" t="s">
        <v>107</v>
      </c>
      <c r="B61" t="s">
        <v>108</v>
      </c>
      <c r="C61" t="s">
        <v>8</v>
      </c>
      <c r="D61" t="s">
        <v>18</v>
      </c>
      <c r="E61" s="7">
        <v>45818</v>
      </c>
      <c r="F61" s="7">
        <f t="shared" si="0"/>
        <v>45822</v>
      </c>
      <c r="G61" s="13">
        <v>2025</v>
      </c>
      <c r="H61" s="13" t="s">
        <v>10</v>
      </c>
      <c r="I61" t="s">
        <v>118</v>
      </c>
      <c r="J61" t="s">
        <v>126</v>
      </c>
      <c r="K61" t="s">
        <v>128</v>
      </c>
      <c r="L61" t="s">
        <v>123</v>
      </c>
      <c r="M61">
        <v>0</v>
      </c>
      <c r="N61">
        <v>3842</v>
      </c>
    </row>
    <row r="62" spans="1:14" x14ac:dyDescent="0.35">
      <c r="A62" t="s">
        <v>107</v>
      </c>
      <c r="B62" t="s">
        <v>108</v>
      </c>
      <c r="C62" t="s">
        <v>8</v>
      </c>
      <c r="D62" t="s">
        <v>18</v>
      </c>
      <c r="E62" s="7">
        <v>45819</v>
      </c>
      <c r="F62" s="7">
        <f t="shared" si="0"/>
        <v>45822</v>
      </c>
      <c r="G62" s="13">
        <v>2025</v>
      </c>
      <c r="H62" s="13" t="s">
        <v>10</v>
      </c>
      <c r="I62" t="s">
        <v>118</v>
      </c>
      <c r="J62" t="s">
        <v>119</v>
      </c>
      <c r="K62" t="s">
        <v>120</v>
      </c>
      <c r="L62" t="s">
        <v>121</v>
      </c>
      <c r="M62">
        <v>2257.88</v>
      </c>
      <c r="N62">
        <v>112894</v>
      </c>
    </row>
    <row r="63" spans="1:14" x14ac:dyDescent="0.35">
      <c r="A63" t="s">
        <v>107</v>
      </c>
      <c r="B63" t="s">
        <v>108</v>
      </c>
      <c r="C63" t="s">
        <v>8</v>
      </c>
      <c r="D63" t="s">
        <v>18</v>
      </c>
      <c r="E63" s="7">
        <v>45819</v>
      </c>
      <c r="F63" s="7">
        <f t="shared" si="0"/>
        <v>45822</v>
      </c>
      <c r="G63" s="13">
        <v>2025</v>
      </c>
      <c r="H63" s="13" t="s">
        <v>10</v>
      </c>
      <c r="I63" t="s">
        <v>118</v>
      </c>
      <c r="J63" t="s">
        <v>119</v>
      </c>
      <c r="K63" t="s">
        <v>122</v>
      </c>
      <c r="L63" t="s">
        <v>123</v>
      </c>
      <c r="M63">
        <v>238.7</v>
      </c>
      <c r="N63">
        <v>11935</v>
      </c>
    </row>
    <row r="64" spans="1:14" x14ac:dyDescent="0.35">
      <c r="A64" t="s">
        <v>107</v>
      </c>
      <c r="B64" t="s">
        <v>108</v>
      </c>
      <c r="C64" t="s">
        <v>8</v>
      </c>
      <c r="D64" t="s">
        <v>18</v>
      </c>
      <c r="E64" s="7">
        <v>45819</v>
      </c>
      <c r="F64" s="7">
        <f t="shared" si="0"/>
        <v>45822</v>
      </c>
      <c r="G64" s="13">
        <v>2025</v>
      </c>
      <c r="H64" s="13" t="s">
        <v>10</v>
      </c>
      <c r="I64" t="s">
        <v>118</v>
      </c>
      <c r="J64" t="s">
        <v>119</v>
      </c>
      <c r="K64" t="s">
        <v>124</v>
      </c>
      <c r="L64" t="s">
        <v>125</v>
      </c>
      <c r="M64">
        <v>3.96</v>
      </c>
      <c r="N64">
        <v>198</v>
      </c>
    </row>
    <row r="65" spans="1:14" x14ac:dyDescent="0.35">
      <c r="A65" t="s">
        <v>107</v>
      </c>
      <c r="B65" t="s">
        <v>108</v>
      </c>
      <c r="C65" t="s">
        <v>8</v>
      </c>
      <c r="D65" t="s">
        <v>18</v>
      </c>
      <c r="E65" s="7">
        <v>45819</v>
      </c>
      <c r="F65" s="7">
        <f t="shared" si="0"/>
        <v>45822</v>
      </c>
      <c r="G65" s="13">
        <v>2025</v>
      </c>
      <c r="H65" s="13" t="s">
        <v>10</v>
      </c>
      <c r="I65" t="s">
        <v>118</v>
      </c>
      <c r="J65" t="s">
        <v>126</v>
      </c>
      <c r="K65" t="s">
        <v>127</v>
      </c>
      <c r="L65" t="s">
        <v>121</v>
      </c>
      <c r="M65">
        <v>0</v>
      </c>
      <c r="N65">
        <v>47052</v>
      </c>
    </row>
    <row r="66" spans="1:14" x14ac:dyDescent="0.35">
      <c r="A66" t="s">
        <v>107</v>
      </c>
      <c r="B66" t="s">
        <v>108</v>
      </c>
      <c r="C66" t="s">
        <v>8</v>
      </c>
      <c r="D66" t="s">
        <v>18</v>
      </c>
      <c r="E66" s="7">
        <v>45819</v>
      </c>
      <c r="F66" s="7">
        <f t="shared" si="0"/>
        <v>45822</v>
      </c>
      <c r="G66" s="13">
        <v>2025</v>
      </c>
      <c r="H66" s="13" t="s">
        <v>10</v>
      </c>
      <c r="I66" t="s">
        <v>118</v>
      </c>
      <c r="J66" t="s">
        <v>126</v>
      </c>
      <c r="K66" t="s">
        <v>128</v>
      </c>
      <c r="L66" t="s">
        <v>123</v>
      </c>
      <c r="M66">
        <v>0</v>
      </c>
      <c r="N66">
        <v>1952</v>
      </c>
    </row>
    <row r="67" spans="1:14" x14ac:dyDescent="0.35">
      <c r="A67" t="s">
        <v>107</v>
      </c>
      <c r="B67" t="s">
        <v>108</v>
      </c>
      <c r="C67" t="s">
        <v>8</v>
      </c>
      <c r="D67" t="s">
        <v>18</v>
      </c>
      <c r="E67" s="7">
        <v>45820</v>
      </c>
      <c r="F67" s="7">
        <f t="shared" ref="F67:F130" si="1">E67 + (7 - WEEKDAY(E67, 1))</f>
        <v>45822</v>
      </c>
      <c r="G67" s="13">
        <v>2025</v>
      </c>
      <c r="H67" s="13" t="s">
        <v>10</v>
      </c>
      <c r="I67" t="s">
        <v>118</v>
      </c>
      <c r="J67" t="s">
        <v>119</v>
      </c>
      <c r="K67" t="s">
        <v>120</v>
      </c>
      <c r="L67" t="s">
        <v>121</v>
      </c>
      <c r="M67">
        <v>2461.7199999999998</v>
      </c>
      <c r="N67">
        <v>123086</v>
      </c>
    </row>
    <row r="68" spans="1:14" x14ac:dyDescent="0.35">
      <c r="A68" t="s">
        <v>107</v>
      </c>
      <c r="B68" t="s">
        <v>108</v>
      </c>
      <c r="C68" t="s">
        <v>8</v>
      </c>
      <c r="D68" t="s">
        <v>18</v>
      </c>
      <c r="E68" s="7">
        <v>45820</v>
      </c>
      <c r="F68" s="7">
        <f t="shared" si="1"/>
        <v>45822</v>
      </c>
      <c r="G68" s="13">
        <v>2025</v>
      </c>
      <c r="H68" s="13" t="s">
        <v>10</v>
      </c>
      <c r="I68" t="s">
        <v>118</v>
      </c>
      <c r="J68" t="s">
        <v>119</v>
      </c>
      <c r="K68" t="s">
        <v>122</v>
      </c>
      <c r="L68" t="s">
        <v>123</v>
      </c>
      <c r="M68">
        <v>213.78</v>
      </c>
      <c r="N68">
        <v>10689</v>
      </c>
    </row>
    <row r="69" spans="1:14" x14ac:dyDescent="0.35">
      <c r="A69" t="s">
        <v>107</v>
      </c>
      <c r="B69" t="s">
        <v>108</v>
      </c>
      <c r="C69" t="s">
        <v>8</v>
      </c>
      <c r="D69" t="s">
        <v>18</v>
      </c>
      <c r="E69" s="7">
        <v>45820</v>
      </c>
      <c r="F69" s="7">
        <f t="shared" si="1"/>
        <v>45822</v>
      </c>
      <c r="G69" s="13">
        <v>2025</v>
      </c>
      <c r="H69" s="13" t="s">
        <v>10</v>
      </c>
      <c r="I69" t="s">
        <v>118</v>
      </c>
      <c r="J69" t="s">
        <v>119</v>
      </c>
      <c r="K69" t="s">
        <v>124</v>
      </c>
      <c r="L69" t="s">
        <v>125</v>
      </c>
      <c r="M69">
        <v>3.38</v>
      </c>
      <c r="N69">
        <v>169</v>
      </c>
    </row>
    <row r="70" spans="1:14" x14ac:dyDescent="0.35">
      <c r="A70" t="s">
        <v>107</v>
      </c>
      <c r="B70" t="s">
        <v>108</v>
      </c>
      <c r="C70" t="s">
        <v>8</v>
      </c>
      <c r="D70" t="s">
        <v>18</v>
      </c>
      <c r="E70" s="7">
        <v>45820</v>
      </c>
      <c r="F70" s="7">
        <f t="shared" si="1"/>
        <v>45822</v>
      </c>
      <c r="G70" s="13">
        <v>2025</v>
      </c>
      <c r="H70" s="13" t="s">
        <v>10</v>
      </c>
      <c r="I70" t="s">
        <v>118</v>
      </c>
      <c r="J70" t="s">
        <v>126</v>
      </c>
      <c r="K70" t="s">
        <v>127</v>
      </c>
      <c r="L70" t="s">
        <v>121</v>
      </c>
      <c r="M70">
        <v>0</v>
      </c>
      <c r="N70">
        <v>48078</v>
      </c>
    </row>
    <row r="71" spans="1:14" x14ac:dyDescent="0.35">
      <c r="A71" t="s">
        <v>107</v>
      </c>
      <c r="B71" t="s">
        <v>108</v>
      </c>
      <c r="C71" t="s">
        <v>8</v>
      </c>
      <c r="D71" t="s">
        <v>18</v>
      </c>
      <c r="E71" s="7">
        <v>45820</v>
      </c>
      <c r="F71" s="7">
        <f t="shared" si="1"/>
        <v>45822</v>
      </c>
      <c r="G71" s="13">
        <v>2025</v>
      </c>
      <c r="H71" s="13" t="s">
        <v>10</v>
      </c>
      <c r="I71" t="s">
        <v>118</v>
      </c>
      <c r="J71" t="s">
        <v>126</v>
      </c>
      <c r="K71" t="s">
        <v>128</v>
      </c>
      <c r="L71" t="s">
        <v>123</v>
      </c>
      <c r="M71">
        <v>0</v>
      </c>
      <c r="N71">
        <v>1683</v>
      </c>
    </row>
    <row r="72" spans="1:14" x14ac:dyDescent="0.35">
      <c r="A72" t="s">
        <v>107</v>
      </c>
      <c r="B72" t="s">
        <v>108</v>
      </c>
      <c r="C72" t="s">
        <v>8</v>
      </c>
      <c r="D72" t="s">
        <v>18</v>
      </c>
      <c r="E72" s="7">
        <v>45821</v>
      </c>
      <c r="F72" s="7">
        <f t="shared" si="1"/>
        <v>45822</v>
      </c>
      <c r="G72" s="13">
        <v>2025</v>
      </c>
      <c r="H72" s="13" t="s">
        <v>10</v>
      </c>
      <c r="I72" t="s">
        <v>118</v>
      </c>
      <c r="J72" t="s">
        <v>119</v>
      </c>
      <c r="K72" t="s">
        <v>120</v>
      </c>
      <c r="L72" t="s">
        <v>121</v>
      </c>
      <c r="M72">
        <v>3502.2</v>
      </c>
      <c r="N72">
        <v>175110</v>
      </c>
    </row>
    <row r="73" spans="1:14" x14ac:dyDescent="0.35">
      <c r="A73" t="s">
        <v>107</v>
      </c>
      <c r="B73" t="s">
        <v>108</v>
      </c>
      <c r="C73" t="s">
        <v>8</v>
      </c>
      <c r="D73" t="s">
        <v>18</v>
      </c>
      <c r="E73" s="7">
        <v>45821</v>
      </c>
      <c r="F73" s="7">
        <f t="shared" si="1"/>
        <v>45822</v>
      </c>
      <c r="G73" s="13">
        <v>2025</v>
      </c>
      <c r="H73" s="13" t="s">
        <v>10</v>
      </c>
      <c r="I73" t="s">
        <v>118</v>
      </c>
      <c r="J73" t="s">
        <v>119</v>
      </c>
      <c r="K73" t="s">
        <v>122</v>
      </c>
      <c r="L73" t="s">
        <v>123</v>
      </c>
      <c r="M73">
        <v>364.16</v>
      </c>
      <c r="N73">
        <v>18208</v>
      </c>
    </row>
    <row r="74" spans="1:14" x14ac:dyDescent="0.35">
      <c r="A74" t="s">
        <v>107</v>
      </c>
      <c r="B74" t="s">
        <v>108</v>
      </c>
      <c r="C74" t="s">
        <v>8</v>
      </c>
      <c r="D74" t="s">
        <v>18</v>
      </c>
      <c r="E74" s="7">
        <v>45821</v>
      </c>
      <c r="F74" s="7">
        <f t="shared" si="1"/>
        <v>45822</v>
      </c>
      <c r="G74" s="13">
        <v>2025</v>
      </c>
      <c r="H74" s="13" t="s">
        <v>10</v>
      </c>
      <c r="I74" t="s">
        <v>118</v>
      </c>
      <c r="J74" t="s">
        <v>119</v>
      </c>
      <c r="K74" t="s">
        <v>124</v>
      </c>
      <c r="L74" t="s">
        <v>125</v>
      </c>
      <c r="M74">
        <v>1.96</v>
      </c>
      <c r="N74">
        <v>98</v>
      </c>
    </row>
    <row r="75" spans="1:14" x14ac:dyDescent="0.35">
      <c r="A75" t="s">
        <v>107</v>
      </c>
      <c r="B75" t="s">
        <v>108</v>
      </c>
      <c r="C75" t="s">
        <v>8</v>
      </c>
      <c r="D75" t="s">
        <v>18</v>
      </c>
      <c r="E75" s="7">
        <v>45821</v>
      </c>
      <c r="F75" s="7">
        <f t="shared" si="1"/>
        <v>45822</v>
      </c>
      <c r="G75" s="13">
        <v>2025</v>
      </c>
      <c r="H75" s="13" t="s">
        <v>10</v>
      </c>
      <c r="I75" t="s">
        <v>118</v>
      </c>
      <c r="J75" t="s">
        <v>126</v>
      </c>
      <c r="K75" t="s">
        <v>127</v>
      </c>
      <c r="L75" t="s">
        <v>121</v>
      </c>
      <c r="M75">
        <v>0</v>
      </c>
      <c r="N75">
        <v>55026</v>
      </c>
    </row>
    <row r="76" spans="1:14" x14ac:dyDescent="0.35">
      <c r="A76" t="s">
        <v>107</v>
      </c>
      <c r="B76" t="s">
        <v>108</v>
      </c>
      <c r="C76" t="s">
        <v>8</v>
      </c>
      <c r="D76" t="s">
        <v>18</v>
      </c>
      <c r="E76" s="7">
        <v>45821</v>
      </c>
      <c r="F76" s="7">
        <f t="shared" si="1"/>
        <v>45822</v>
      </c>
      <c r="G76" s="13">
        <v>2025</v>
      </c>
      <c r="H76" s="13" t="s">
        <v>10</v>
      </c>
      <c r="I76" t="s">
        <v>118</v>
      </c>
      <c r="J76" t="s">
        <v>126</v>
      </c>
      <c r="K76" t="s">
        <v>128</v>
      </c>
      <c r="L76" t="s">
        <v>123</v>
      </c>
      <c r="M76">
        <v>0</v>
      </c>
      <c r="N76">
        <v>989</v>
      </c>
    </row>
    <row r="77" spans="1:14" x14ac:dyDescent="0.35">
      <c r="A77" t="s">
        <v>107</v>
      </c>
      <c r="B77" t="s">
        <v>108</v>
      </c>
      <c r="C77" t="s">
        <v>8</v>
      </c>
      <c r="D77" t="s">
        <v>18</v>
      </c>
      <c r="E77" s="7">
        <v>45822</v>
      </c>
      <c r="F77" s="7">
        <f t="shared" si="1"/>
        <v>45822</v>
      </c>
      <c r="G77" s="13">
        <v>2025</v>
      </c>
      <c r="H77" s="13" t="s">
        <v>10</v>
      </c>
      <c r="I77" t="s">
        <v>118</v>
      </c>
      <c r="J77" t="s">
        <v>119</v>
      </c>
      <c r="K77" t="s">
        <v>120</v>
      </c>
      <c r="L77" t="s">
        <v>121</v>
      </c>
      <c r="M77">
        <v>2866.88</v>
      </c>
      <c r="N77">
        <v>143344</v>
      </c>
    </row>
    <row r="78" spans="1:14" x14ac:dyDescent="0.35">
      <c r="A78" t="s">
        <v>107</v>
      </c>
      <c r="B78" t="s">
        <v>108</v>
      </c>
      <c r="C78" t="s">
        <v>8</v>
      </c>
      <c r="D78" t="s">
        <v>18</v>
      </c>
      <c r="E78" s="7">
        <v>45822</v>
      </c>
      <c r="F78" s="7">
        <f t="shared" si="1"/>
        <v>45822</v>
      </c>
      <c r="G78" s="13">
        <v>2025</v>
      </c>
      <c r="H78" s="13" t="s">
        <v>10</v>
      </c>
      <c r="I78" t="s">
        <v>118</v>
      </c>
      <c r="J78" t="s">
        <v>119</v>
      </c>
      <c r="K78" t="s">
        <v>122</v>
      </c>
      <c r="L78" t="s">
        <v>123</v>
      </c>
      <c r="M78">
        <v>167.4</v>
      </c>
      <c r="N78">
        <v>8370</v>
      </c>
    </row>
    <row r="79" spans="1:14" x14ac:dyDescent="0.35">
      <c r="A79" t="s">
        <v>107</v>
      </c>
      <c r="B79" t="s">
        <v>108</v>
      </c>
      <c r="C79" t="s">
        <v>8</v>
      </c>
      <c r="D79" t="s">
        <v>18</v>
      </c>
      <c r="E79" s="7">
        <v>45822</v>
      </c>
      <c r="F79" s="7">
        <f t="shared" si="1"/>
        <v>45822</v>
      </c>
      <c r="G79" s="13">
        <v>2025</v>
      </c>
      <c r="H79" s="13" t="s">
        <v>10</v>
      </c>
      <c r="I79" t="s">
        <v>118</v>
      </c>
      <c r="J79" t="s">
        <v>119</v>
      </c>
      <c r="K79" t="s">
        <v>124</v>
      </c>
      <c r="L79" t="s">
        <v>125</v>
      </c>
      <c r="M79">
        <v>2.2599999999999998</v>
      </c>
      <c r="N79">
        <v>113</v>
      </c>
    </row>
    <row r="80" spans="1:14" x14ac:dyDescent="0.35">
      <c r="A80" t="s">
        <v>107</v>
      </c>
      <c r="B80" t="s">
        <v>108</v>
      </c>
      <c r="C80" t="s">
        <v>8</v>
      </c>
      <c r="D80" t="s">
        <v>18</v>
      </c>
      <c r="E80" s="7">
        <v>45822</v>
      </c>
      <c r="F80" s="7">
        <f t="shared" si="1"/>
        <v>45822</v>
      </c>
      <c r="G80" s="13">
        <v>2025</v>
      </c>
      <c r="H80" s="13" t="s">
        <v>10</v>
      </c>
      <c r="I80" t="s">
        <v>118</v>
      </c>
      <c r="J80" t="s">
        <v>126</v>
      </c>
      <c r="K80" t="s">
        <v>127</v>
      </c>
      <c r="L80" t="s">
        <v>121</v>
      </c>
      <c r="M80">
        <v>0</v>
      </c>
      <c r="N80">
        <v>47795</v>
      </c>
    </row>
    <row r="81" spans="1:14" x14ac:dyDescent="0.35">
      <c r="A81" t="s">
        <v>107</v>
      </c>
      <c r="B81" t="s">
        <v>108</v>
      </c>
      <c r="C81" t="s">
        <v>8</v>
      </c>
      <c r="D81" t="s">
        <v>18</v>
      </c>
      <c r="E81" s="7">
        <v>45822</v>
      </c>
      <c r="F81" s="7">
        <f t="shared" si="1"/>
        <v>45822</v>
      </c>
      <c r="G81" s="13">
        <v>2025</v>
      </c>
      <c r="H81" s="13" t="s">
        <v>10</v>
      </c>
      <c r="I81" t="s">
        <v>118</v>
      </c>
      <c r="J81" t="s">
        <v>126</v>
      </c>
      <c r="K81" t="s">
        <v>128</v>
      </c>
      <c r="L81" t="s">
        <v>123</v>
      </c>
      <c r="M81">
        <v>0</v>
      </c>
      <c r="N81">
        <v>1058</v>
      </c>
    </row>
    <row r="82" spans="1:14" x14ac:dyDescent="0.35">
      <c r="A82" t="s">
        <v>107</v>
      </c>
      <c r="B82" t="s">
        <v>108</v>
      </c>
      <c r="C82" t="s">
        <v>8</v>
      </c>
      <c r="D82" t="s">
        <v>18</v>
      </c>
      <c r="E82" s="7">
        <v>45823</v>
      </c>
      <c r="F82" s="7">
        <f t="shared" si="1"/>
        <v>45829</v>
      </c>
      <c r="G82" s="13">
        <v>2025</v>
      </c>
      <c r="H82" s="13" t="s">
        <v>10</v>
      </c>
      <c r="I82" t="s">
        <v>118</v>
      </c>
      <c r="J82" t="s">
        <v>119</v>
      </c>
      <c r="K82" t="s">
        <v>120</v>
      </c>
      <c r="L82" t="s">
        <v>121</v>
      </c>
      <c r="M82">
        <v>2336.56</v>
      </c>
      <c r="N82">
        <v>116828</v>
      </c>
    </row>
    <row r="83" spans="1:14" x14ac:dyDescent="0.35">
      <c r="A83" t="s">
        <v>107</v>
      </c>
      <c r="B83" t="s">
        <v>108</v>
      </c>
      <c r="C83" t="s">
        <v>8</v>
      </c>
      <c r="D83" t="s">
        <v>18</v>
      </c>
      <c r="E83" s="7">
        <v>45823</v>
      </c>
      <c r="F83" s="7">
        <f t="shared" si="1"/>
        <v>45829</v>
      </c>
      <c r="G83" s="13">
        <v>2025</v>
      </c>
      <c r="H83" s="13" t="s">
        <v>10</v>
      </c>
      <c r="I83" t="s">
        <v>118</v>
      </c>
      <c r="J83" t="s">
        <v>119</v>
      </c>
      <c r="K83" t="s">
        <v>122</v>
      </c>
      <c r="L83" t="s">
        <v>123</v>
      </c>
      <c r="M83">
        <v>205.88</v>
      </c>
      <c r="N83">
        <v>10294</v>
      </c>
    </row>
    <row r="84" spans="1:14" x14ac:dyDescent="0.35">
      <c r="A84" t="s">
        <v>107</v>
      </c>
      <c r="B84" t="s">
        <v>108</v>
      </c>
      <c r="C84" t="s">
        <v>8</v>
      </c>
      <c r="D84" t="s">
        <v>18</v>
      </c>
      <c r="E84" s="7">
        <v>45823</v>
      </c>
      <c r="F84" s="7">
        <f t="shared" si="1"/>
        <v>45829</v>
      </c>
      <c r="G84" s="13">
        <v>2025</v>
      </c>
      <c r="H84" s="13" t="s">
        <v>10</v>
      </c>
      <c r="I84" t="s">
        <v>118</v>
      </c>
      <c r="J84" t="s">
        <v>119</v>
      </c>
      <c r="K84" t="s">
        <v>124</v>
      </c>
      <c r="L84" t="s">
        <v>125</v>
      </c>
      <c r="M84">
        <v>2.2799999999999998</v>
      </c>
      <c r="N84">
        <v>114</v>
      </c>
    </row>
    <row r="85" spans="1:14" x14ac:dyDescent="0.35">
      <c r="A85" t="s">
        <v>107</v>
      </c>
      <c r="B85" t="s">
        <v>108</v>
      </c>
      <c r="C85" t="s">
        <v>8</v>
      </c>
      <c r="D85" t="s">
        <v>18</v>
      </c>
      <c r="E85" s="7">
        <v>45823</v>
      </c>
      <c r="F85" s="7">
        <f t="shared" si="1"/>
        <v>45829</v>
      </c>
      <c r="G85" s="13">
        <v>2025</v>
      </c>
      <c r="H85" s="13" t="s">
        <v>10</v>
      </c>
      <c r="I85" t="s">
        <v>118</v>
      </c>
      <c r="J85" t="s">
        <v>126</v>
      </c>
      <c r="K85" t="s">
        <v>127</v>
      </c>
      <c r="L85" t="s">
        <v>121</v>
      </c>
      <c r="M85">
        <v>0</v>
      </c>
      <c r="N85">
        <v>49003</v>
      </c>
    </row>
    <row r="86" spans="1:14" x14ac:dyDescent="0.35">
      <c r="A86" t="s">
        <v>107</v>
      </c>
      <c r="B86" t="s">
        <v>108</v>
      </c>
      <c r="C86" t="s">
        <v>8</v>
      </c>
      <c r="D86" t="s">
        <v>18</v>
      </c>
      <c r="E86" s="7">
        <v>45823</v>
      </c>
      <c r="F86" s="7">
        <f t="shared" si="1"/>
        <v>45829</v>
      </c>
      <c r="G86" s="13">
        <v>2025</v>
      </c>
      <c r="H86" s="13" t="s">
        <v>10</v>
      </c>
      <c r="I86" t="s">
        <v>118</v>
      </c>
      <c r="J86" t="s">
        <v>126</v>
      </c>
      <c r="K86" t="s">
        <v>128</v>
      </c>
      <c r="L86" t="s">
        <v>123</v>
      </c>
      <c r="M86">
        <v>0</v>
      </c>
      <c r="N86">
        <v>2097</v>
      </c>
    </row>
    <row r="87" spans="1:14" x14ac:dyDescent="0.35">
      <c r="A87" t="s">
        <v>107</v>
      </c>
      <c r="B87" t="s">
        <v>108</v>
      </c>
      <c r="C87" t="s">
        <v>8</v>
      </c>
      <c r="D87" t="s">
        <v>18</v>
      </c>
      <c r="E87" s="7">
        <v>45816</v>
      </c>
      <c r="F87" s="7">
        <f t="shared" si="1"/>
        <v>45822</v>
      </c>
      <c r="G87" s="13">
        <v>2025</v>
      </c>
      <c r="H87" s="13" t="s">
        <v>10</v>
      </c>
      <c r="I87" t="s">
        <v>118</v>
      </c>
      <c r="J87" t="s">
        <v>129</v>
      </c>
      <c r="K87" t="s">
        <v>129</v>
      </c>
      <c r="L87" t="s">
        <v>130</v>
      </c>
      <c r="M87">
        <v>36.25</v>
      </c>
      <c r="N87">
        <v>179</v>
      </c>
    </row>
    <row r="88" spans="1:14" x14ac:dyDescent="0.35">
      <c r="A88" t="s">
        <v>107</v>
      </c>
      <c r="B88" t="s">
        <v>108</v>
      </c>
      <c r="C88" t="s">
        <v>8</v>
      </c>
      <c r="D88" t="s">
        <v>18</v>
      </c>
      <c r="E88" s="7">
        <v>45816</v>
      </c>
      <c r="F88" s="7">
        <f t="shared" si="1"/>
        <v>45822</v>
      </c>
      <c r="G88" s="13">
        <v>2025</v>
      </c>
      <c r="H88" s="13" t="s">
        <v>10</v>
      </c>
      <c r="I88" t="s">
        <v>118</v>
      </c>
      <c r="J88" t="s">
        <v>129</v>
      </c>
      <c r="K88" t="s">
        <v>129</v>
      </c>
      <c r="L88" t="s">
        <v>131</v>
      </c>
      <c r="M88">
        <v>66.25</v>
      </c>
      <c r="N88">
        <v>521</v>
      </c>
    </row>
    <row r="89" spans="1:14" x14ac:dyDescent="0.35">
      <c r="A89" t="s">
        <v>107</v>
      </c>
      <c r="B89" t="s">
        <v>108</v>
      </c>
      <c r="C89" t="s">
        <v>8</v>
      </c>
      <c r="D89" t="s">
        <v>18</v>
      </c>
      <c r="E89" s="7">
        <v>45816</v>
      </c>
      <c r="F89" s="7">
        <f t="shared" si="1"/>
        <v>45822</v>
      </c>
      <c r="G89" s="13">
        <v>2025</v>
      </c>
      <c r="H89" s="13" t="s">
        <v>10</v>
      </c>
      <c r="I89" t="s">
        <v>118</v>
      </c>
      <c r="J89" t="s">
        <v>129</v>
      </c>
      <c r="K89" t="s">
        <v>129</v>
      </c>
      <c r="L89" t="s">
        <v>130</v>
      </c>
      <c r="M89">
        <v>16.25</v>
      </c>
      <c r="N89">
        <v>116</v>
      </c>
    </row>
    <row r="90" spans="1:14" x14ac:dyDescent="0.35">
      <c r="A90" t="s">
        <v>107</v>
      </c>
      <c r="B90" t="s">
        <v>108</v>
      </c>
      <c r="C90" t="s">
        <v>8</v>
      </c>
      <c r="D90" t="s">
        <v>18</v>
      </c>
      <c r="E90" s="7">
        <v>45817</v>
      </c>
      <c r="F90" s="7">
        <f t="shared" si="1"/>
        <v>45822</v>
      </c>
      <c r="G90" s="13">
        <v>2025</v>
      </c>
      <c r="H90" s="13" t="s">
        <v>10</v>
      </c>
      <c r="I90" t="s">
        <v>118</v>
      </c>
      <c r="J90" t="s">
        <v>129</v>
      </c>
      <c r="K90" t="s">
        <v>129</v>
      </c>
      <c r="L90" t="s">
        <v>130</v>
      </c>
      <c r="M90">
        <v>311.25</v>
      </c>
      <c r="N90">
        <v>1653</v>
      </c>
    </row>
    <row r="91" spans="1:14" x14ac:dyDescent="0.35">
      <c r="A91" t="s">
        <v>107</v>
      </c>
      <c r="B91" t="s">
        <v>108</v>
      </c>
      <c r="C91" t="s">
        <v>8</v>
      </c>
      <c r="D91" t="s">
        <v>18</v>
      </c>
      <c r="E91" s="7">
        <v>45817</v>
      </c>
      <c r="F91" s="7">
        <f t="shared" si="1"/>
        <v>45822</v>
      </c>
      <c r="G91" s="13">
        <v>2025</v>
      </c>
      <c r="H91" s="13" t="s">
        <v>10</v>
      </c>
      <c r="I91" t="s">
        <v>118</v>
      </c>
      <c r="J91" t="s">
        <v>129</v>
      </c>
      <c r="K91" t="s">
        <v>129</v>
      </c>
      <c r="L91" t="s">
        <v>130</v>
      </c>
      <c r="M91">
        <v>83.75</v>
      </c>
      <c r="N91">
        <v>746</v>
      </c>
    </row>
    <row r="92" spans="1:14" x14ac:dyDescent="0.35">
      <c r="A92" t="s">
        <v>107</v>
      </c>
      <c r="B92" t="s">
        <v>108</v>
      </c>
      <c r="C92" t="s">
        <v>8</v>
      </c>
      <c r="D92" t="s">
        <v>18</v>
      </c>
      <c r="E92" s="7">
        <v>45817</v>
      </c>
      <c r="F92" s="7">
        <f t="shared" si="1"/>
        <v>45822</v>
      </c>
      <c r="G92" s="13">
        <v>2025</v>
      </c>
      <c r="H92" s="13" t="s">
        <v>10</v>
      </c>
      <c r="I92" t="s">
        <v>118</v>
      </c>
      <c r="J92" t="s">
        <v>129</v>
      </c>
      <c r="K92" t="s">
        <v>129</v>
      </c>
      <c r="L92" t="s">
        <v>131</v>
      </c>
      <c r="M92">
        <v>436.25</v>
      </c>
      <c r="N92">
        <v>2683</v>
      </c>
    </row>
    <row r="93" spans="1:14" x14ac:dyDescent="0.35">
      <c r="A93" t="s">
        <v>107</v>
      </c>
      <c r="B93" t="s">
        <v>108</v>
      </c>
      <c r="C93" t="s">
        <v>8</v>
      </c>
      <c r="D93" t="s">
        <v>18</v>
      </c>
      <c r="E93" s="7">
        <v>45818</v>
      </c>
      <c r="F93" s="7">
        <f t="shared" si="1"/>
        <v>45822</v>
      </c>
      <c r="G93" s="13">
        <v>2025</v>
      </c>
      <c r="H93" s="13" t="s">
        <v>10</v>
      </c>
      <c r="I93" t="s">
        <v>118</v>
      </c>
      <c r="J93" t="s">
        <v>129</v>
      </c>
      <c r="K93" t="s">
        <v>129</v>
      </c>
      <c r="L93" t="s">
        <v>130</v>
      </c>
      <c r="M93">
        <v>338.75</v>
      </c>
      <c r="N93">
        <v>1557</v>
      </c>
    </row>
    <row r="94" spans="1:14" x14ac:dyDescent="0.35">
      <c r="A94" t="s">
        <v>107</v>
      </c>
      <c r="B94" t="s">
        <v>108</v>
      </c>
      <c r="C94" t="s">
        <v>8</v>
      </c>
      <c r="D94" t="s">
        <v>18</v>
      </c>
      <c r="E94" s="7">
        <v>45818</v>
      </c>
      <c r="F94" s="7">
        <f t="shared" si="1"/>
        <v>45822</v>
      </c>
      <c r="G94" s="13">
        <v>2025</v>
      </c>
      <c r="H94" s="13" t="s">
        <v>10</v>
      </c>
      <c r="I94" t="s">
        <v>118</v>
      </c>
      <c r="J94" t="s">
        <v>129</v>
      </c>
      <c r="K94" t="s">
        <v>129</v>
      </c>
      <c r="L94" t="s">
        <v>130</v>
      </c>
      <c r="M94">
        <v>67.5</v>
      </c>
      <c r="N94">
        <v>778</v>
      </c>
    </row>
    <row r="95" spans="1:14" x14ac:dyDescent="0.35">
      <c r="A95" t="s">
        <v>107</v>
      </c>
      <c r="B95" t="s">
        <v>108</v>
      </c>
      <c r="C95" t="s">
        <v>8</v>
      </c>
      <c r="D95" t="s">
        <v>18</v>
      </c>
      <c r="E95" s="7">
        <v>45818</v>
      </c>
      <c r="F95" s="7">
        <f t="shared" si="1"/>
        <v>45822</v>
      </c>
      <c r="G95" s="13">
        <v>2025</v>
      </c>
      <c r="H95" s="13" t="s">
        <v>10</v>
      </c>
      <c r="I95" t="s">
        <v>118</v>
      </c>
      <c r="J95" t="s">
        <v>129</v>
      </c>
      <c r="K95" t="s">
        <v>129</v>
      </c>
      <c r="L95" t="s">
        <v>131</v>
      </c>
      <c r="M95">
        <v>347.5</v>
      </c>
      <c r="N95">
        <v>1700</v>
      </c>
    </row>
    <row r="96" spans="1:14" x14ac:dyDescent="0.35">
      <c r="A96" t="s">
        <v>107</v>
      </c>
      <c r="B96" t="s">
        <v>108</v>
      </c>
      <c r="C96" t="s">
        <v>8</v>
      </c>
      <c r="D96" t="s">
        <v>18</v>
      </c>
      <c r="E96" s="7">
        <v>45819</v>
      </c>
      <c r="F96" s="7">
        <f t="shared" si="1"/>
        <v>45822</v>
      </c>
      <c r="G96" s="13">
        <v>2025</v>
      </c>
      <c r="H96" s="13" t="s">
        <v>10</v>
      </c>
      <c r="I96" t="s">
        <v>118</v>
      </c>
      <c r="J96" t="s">
        <v>129</v>
      </c>
      <c r="K96" t="s">
        <v>129</v>
      </c>
      <c r="L96" t="s">
        <v>130</v>
      </c>
      <c r="M96">
        <v>61.25</v>
      </c>
      <c r="N96">
        <v>640</v>
      </c>
    </row>
    <row r="97" spans="1:14" x14ac:dyDescent="0.35">
      <c r="A97" t="s">
        <v>107</v>
      </c>
      <c r="B97" t="s">
        <v>108</v>
      </c>
      <c r="C97" t="s">
        <v>8</v>
      </c>
      <c r="D97" t="s">
        <v>18</v>
      </c>
      <c r="E97" s="7">
        <v>45819</v>
      </c>
      <c r="F97" s="7">
        <f t="shared" si="1"/>
        <v>45822</v>
      </c>
      <c r="G97" s="13">
        <v>2025</v>
      </c>
      <c r="H97" s="13" t="s">
        <v>10</v>
      </c>
      <c r="I97" t="s">
        <v>118</v>
      </c>
      <c r="J97" t="s">
        <v>129</v>
      </c>
      <c r="K97" t="s">
        <v>129</v>
      </c>
      <c r="L97" t="s">
        <v>131</v>
      </c>
      <c r="M97">
        <v>328.75</v>
      </c>
      <c r="N97">
        <v>1727</v>
      </c>
    </row>
    <row r="98" spans="1:14" x14ac:dyDescent="0.35">
      <c r="A98" t="s">
        <v>107</v>
      </c>
      <c r="B98" t="s">
        <v>108</v>
      </c>
      <c r="C98" t="s">
        <v>8</v>
      </c>
      <c r="D98" t="s">
        <v>18</v>
      </c>
      <c r="E98" s="7">
        <v>45819</v>
      </c>
      <c r="F98" s="7">
        <f t="shared" si="1"/>
        <v>45822</v>
      </c>
      <c r="G98" s="13">
        <v>2025</v>
      </c>
      <c r="H98" s="13" t="s">
        <v>10</v>
      </c>
      <c r="I98" t="s">
        <v>118</v>
      </c>
      <c r="J98" t="s">
        <v>129</v>
      </c>
      <c r="K98" t="s">
        <v>129</v>
      </c>
      <c r="L98" t="s">
        <v>130</v>
      </c>
      <c r="M98">
        <v>345</v>
      </c>
      <c r="N98">
        <v>1740</v>
      </c>
    </row>
    <row r="99" spans="1:14" x14ac:dyDescent="0.35">
      <c r="A99" t="s">
        <v>107</v>
      </c>
      <c r="B99" t="s">
        <v>108</v>
      </c>
      <c r="C99" t="s">
        <v>8</v>
      </c>
      <c r="D99" t="s">
        <v>18</v>
      </c>
      <c r="E99" s="7">
        <v>45820</v>
      </c>
      <c r="F99" s="7">
        <f t="shared" si="1"/>
        <v>45822</v>
      </c>
      <c r="G99" s="13">
        <v>2025</v>
      </c>
      <c r="H99" s="13" t="s">
        <v>10</v>
      </c>
      <c r="I99" t="s">
        <v>118</v>
      </c>
      <c r="J99" t="s">
        <v>129</v>
      </c>
      <c r="K99" t="s">
        <v>129</v>
      </c>
      <c r="L99" t="s">
        <v>130</v>
      </c>
      <c r="M99">
        <v>300</v>
      </c>
      <c r="N99">
        <v>1589</v>
      </c>
    </row>
    <row r="100" spans="1:14" x14ac:dyDescent="0.35">
      <c r="A100" t="s">
        <v>107</v>
      </c>
      <c r="B100" t="s">
        <v>108</v>
      </c>
      <c r="C100" t="s">
        <v>8</v>
      </c>
      <c r="D100" t="s">
        <v>18</v>
      </c>
      <c r="E100" s="7">
        <v>45820</v>
      </c>
      <c r="F100" s="7">
        <f t="shared" si="1"/>
        <v>45822</v>
      </c>
      <c r="G100" s="13">
        <v>2025</v>
      </c>
      <c r="H100" s="13" t="s">
        <v>10</v>
      </c>
      <c r="I100" t="s">
        <v>118</v>
      </c>
      <c r="J100" t="s">
        <v>129</v>
      </c>
      <c r="K100" t="s">
        <v>129</v>
      </c>
      <c r="L100" t="s">
        <v>131</v>
      </c>
      <c r="M100">
        <v>350</v>
      </c>
      <c r="N100">
        <v>1844</v>
      </c>
    </row>
    <row r="101" spans="1:14" x14ac:dyDescent="0.35">
      <c r="A101" t="s">
        <v>107</v>
      </c>
      <c r="B101" t="s">
        <v>108</v>
      </c>
      <c r="C101" t="s">
        <v>8</v>
      </c>
      <c r="D101" t="s">
        <v>18</v>
      </c>
      <c r="E101" s="7">
        <v>45820</v>
      </c>
      <c r="F101" s="7">
        <f t="shared" si="1"/>
        <v>45822</v>
      </c>
      <c r="G101" s="13">
        <v>2025</v>
      </c>
      <c r="H101" s="13" t="s">
        <v>10</v>
      </c>
      <c r="I101" t="s">
        <v>118</v>
      </c>
      <c r="J101" t="s">
        <v>129</v>
      </c>
      <c r="K101" t="s">
        <v>129</v>
      </c>
      <c r="L101" t="s">
        <v>130</v>
      </c>
      <c r="M101">
        <v>66.25</v>
      </c>
      <c r="N101">
        <v>683</v>
      </c>
    </row>
    <row r="102" spans="1:14" x14ac:dyDescent="0.35">
      <c r="A102" t="s">
        <v>107</v>
      </c>
      <c r="B102" t="s">
        <v>108</v>
      </c>
      <c r="C102" t="s">
        <v>8</v>
      </c>
      <c r="D102" t="s">
        <v>18</v>
      </c>
      <c r="E102" s="7">
        <v>45821</v>
      </c>
      <c r="F102" s="7">
        <f t="shared" si="1"/>
        <v>45822</v>
      </c>
      <c r="G102" s="13">
        <v>2025</v>
      </c>
      <c r="H102" s="13" t="s">
        <v>10</v>
      </c>
      <c r="I102" t="s">
        <v>118</v>
      </c>
      <c r="J102" t="s">
        <v>129</v>
      </c>
      <c r="K102" t="s">
        <v>129</v>
      </c>
      <c r="L102" t="s">
        <v>130</v>
      </c>
      <c r="M102">
        <v>56.25</v>
      </c>
      <c r="N102">
        <v>434</v>
      </c>
    </row>
    <row r="103" spans="1:14" x14ac:dyDescent="0.35">
      <c r="A103" t="s">
        <v>107</v>
      </c>
      <c r="B103" t="s">
        <v>108</v>
      </c>
      <c r="C103" t="s">
        <v>8</v>
      </c>
      <c r="D103" t="s">
        <v>18</v>
      </c>
      <c r="E103" s="7">
        <v>45821</v>
      </c>
      <c r="F103" s="7">
        <f t="shared" si="1"/>
        <v>45822</v>
      </c>
      <c r="G103" s="13">
        <v>2025</v>
      </c>
      <c r="H103" s="13" t="s">
        <v>10</v>
      </c>
      <c r="I103" t="s">
        <v>118</v>
      </c>
      <c r="J103" t="s">
        <v>129</v>
      </c>
      <c r="K103" t="s">
        <v>129</v>
      </c>
      <c r="L103" t="s">
        <v>130</v>
      </c>
      <c r="M103">
        <v>275</v>
      </c>
      <c r="N103">
        <v>1582</v>
      </c>
    </row>
    <row r="104" spans="1:14" x14ac:dyDescent="0.35">
      <c r="A104" t="s">
        <v>107</v>
      </c>
      <c r="B104" t="s">
        <v>108</v>
      </c>
      <c r="C104" t="s">
        <v>8</v>
      </c>
      <c r="D104" t="s">
        <v>18</v>
      </c>
      <c r="E104" s="7">
        <v>45821</v>
      </c>
      <c r="F104" s="7">
        <f t="shared" si="1"/>
        <v>45822</v>
      </c>
      <c r="G104" s="13">
        <v>2025</v>
      </c>
      <c r="H104" s="13" t="s">
        <v>10</v>
      </c>
      <c r="I104" t="s">
        <v>118</v>
      </c>
      <c r="J104" t="s">
        <v>129</v>
      </c>
      <c r="K104" t="s">
        <v>129</v>
      </c>
      <c r="L104" t="s">
        <v>131</v>
      </c>
      <c r="M104">
        <v>335</v>
      </c>
      <c r="N104">
        <v>1921</v>
      </c>
    </row>
    <row r="105" spans="1:14" x14ac:dyDescent="0.35">
      <c r="A105" t="s">
        <v>107</v>
      </c>
      <c r="B105" t="s">
        <v>108</v>
      </c>
      <c r="C105" t="s">
        <v>8</v>
      </c>
      <c r="D105" t="s">
        <v>18</v>
      </c>
      <c r="E105" s="7">
        <v>45822</v>
      </c>
      <c r="F105" s="7">
        <f t="shared" si="1"/>
        <v>45822</v>
      </c>
      <c r="G105" s="13">
        <v>2025</v>
      </c>
      <c r="H105" s="13" t="s">
        <v>10</v>
      </c>
      <c r="I105" t="s">
        <v>118</v>
      </c>
      <c r="J105" t="s">
        <v>129</v>
      </c>
      <c r="K105" t="s">
        <v>129</v>
      </c>
      <c r="L105" t="s">
        <v>130</v>
      </c>
      <c r="M105">
        <v>86.25</v>
      </c>
      <c r="N105">
        <v>689</v>
      </c>
    </row>
    <row r="106" spans="1:14" x14ac:dyDescent="0.35">
      <c r="A106" t="s">
        <v>107</v>
      </c>
      <c r="B106" t="s">
        <v>108</v>
      </c>
      <c r="C106" t="s">
        <v>8</v>
      </c>
      <c r="D106" t="s">
        <v>18</v>
      </c>
      <c r="E106" s="7">
        <v>45822</v>
      </c>
      <c r="F106" s="7">
        <f t="shared" si="1"/>
        <v>45822</v>
      </c>
      <c r="G106" s="13">
        <v>2025</v>
      </c>
      <c r="H106" s="13" t="s">
        <v>10</v>
      </c>
      <c r="I106" t="s">
        <v>118</v>
      </c>
      <c r="J106" t="s">
        <v>129</v>
      </c>
      <c r="K106" t="s">
        <v>129</v>
      </c>
      <c r="L106" t="s">
        <v>131</v>
      </c>
      <c r="M106">
        <v>303.75</v>
      </c>
      <c r="N106">
        <v>1583</v>
      </c>
    </row>
    <row r="107" spans="1:14" x14ac:dyDescent="0.35">
      <c r="A107" t="s">
        <v>107</v>
      </c>
      <c r="B107" t="s">
        <v>108</v>
      </c>
      <c r="C107" t="s">
        <v>8</v>
      </c>
      <c r="D107" t="s">
        <v>18</v>
      </c>
      <c r="E107" s="7">
        <v>45822</v>
      </c>
      <c r="F107" s="7">
        <f t="shared" si="1"/>
        <v>45822</v>
      </c>
      <c r="G107" s="13">
        <v>2025</v>
      </c>
      <c r="H107" s="13" t="s">
        <v>10</v>
      </c>
      <c r="I107" t="s">
        <v>118</v>
      </c>
      <c r="J107" t="s">
        <v>129</v>
      </c>
      <c r="K107" t="s">
        <v>129</v>
      </c>
      <c r="L107" t="s">
        <v>130</v>
      </c>
      <c r="M107">
        <v>310</v>
      </c>
      <c r="N107">
        <v>1653</v>
      </c>
    </row>
    <row r="108" spans="1:14" x14ac:dyDescent="0.35">
      <c r="A108" t="s">
        <v>107</v>
      </c>
      <c r="B108" t="s">
        <v>108</v>
      </c>
      <c r="C108" t="s">
        <v>8</v>
      </c>
      <c r="D108" t="s">
        <v>18</v>
      </c>
      <c r="E108" s="7">
        <v>45824</v>
      </c>
      <c r="F108" s="7">
        <f t="shared" si="1"/>
        <v>45829</v>
      </c>
      <c r="G108" s="13">
        <v>2025</v>
      </c>
      <c r="H108" s="13" t="s">
        <v>10</v>
      </c>
      <c r="I108" t="s">
        <v>118</v>
      </c>
      <c r="J108" t="s">
        <v>119</v>
      </c>
      <c r="K108" t="s">
        <v>120</v>
      </c>
      <c r="L108" t="s">
        <v>121</v>
      </c>
      <c r="M108">
        <v>2469.3200000000002</v>
      </c>
      <c r="N108">
        <v>123466</v>
      </c>
    </row>
    <row r="109" spans="1:14" x14ac:dyDescent="0.35">
      <c r="A109" t="s">
        <v>107</v>
      </c>
      <c r="B109" t="s">
        <v>108</v>
      </c>
      <c r="C109" t="s">
        <v>8</v>
      </c>
      <c r="D109" t="s">
        <v>18</v>
      </c>
      <c r="E109" s="7">
        <v>45824</v>
      </c>
      <c r="F109" s="7">
        <f t="shared" si="1"/>
        <v>45829</v>
      </c>
      <c r="G109" s="13">
        <v>2025</v>
      </c>
      <c r="H109" s="13" t="s">
        <v>10</v>
      </c>
      <c r="I109" t="s">
        <v>118</v>
      </c>
      <c r="J109" t="s">
        <v>119</v>
      </c>
      <c r="K109" t="s">
        <v>122</v>
      </c>
      <c r="L109" t="s">
        <v>123</v>
      </c>
      <c r="M109">
        <v>178.78</v>
      </c>
      <c r="N109">
        <v>8939</v>
      </c>
    </row>
    <row r="110" spans="1:14" x14ac:dyDescent="0.35">
      <c r="A110" t="s">
        <v>107</v>
      </c>
      <c r="B110" t="s">
        <v>108</v>
      </c>
      <c r="C110" t="s">
        <v>8</v>
      </c>
      <c r="D110" t="s">
        <v>18</v>
      </c>
      <c r="E110" s="7">
        <v>45824</v>
      </c>
      <c r="F110" s="7">
        <f t="shared" si="1"/>
        <v>45829</v>
      </c>
      <c r="G110" s="13">
        <v>2025</v>
      </c>
      <c r="H110" s="13" t="s">
        <v>10</v>
      </c>
      <c r="I110" t="s">
        <v>118</v>
      </c>
      <c r="J110" t="s">
        <v>119</v>
      </c>
      <c r="K110" t="s">
        <v>124</v>
      </c>
      <c r="L110" t="s">
        <v>125</v>
      </c>
      <c r="M110">
        <v>4</v>
      </c>
      <c r="N110">
        <v>200</v>
      </c>
    </row>
    <row r="111" spans="1:14" x14ac:dyDescent="0.35">
      <c r="A111" t="s">
        <v>107</v>
      </c>
      <c r="B111" t="s">
        <v>108</v>
      </c>
      <c r="C111" t="s">
        <v>8</v>
      </c>
      <c r="D111" t="s">
        <v>18</v>
      </c>
      <c r="E111" s="7">
        <v>45824</v>
      </c>
      <c r="F111" s="7">
        <f t="shared" si="1"/>
        <v>45829</v>
      </c>
      <c r="G111" s="13">
        <v>2025</v>
      </c>
      <c r="H111" s="13" t="s">
        <v>10</v>
      </c>
      <c r="I111" t="s">
        <v>118</v>
      </c>
      <c r="J111" t="s">
        <v>126</v>
      </c>
      <c r="K111" t="s">
        <v>127</v>
      </c>
      <c r="L111" t="s">
        <v>121</v>
      </c>
      <c r="M111">
        <v>0</v>
      </c>
      <c r="N111">
        <v>124320</v>
      </c>
    </row>
    <row r="112" spans="1:14" x14ac:dyDescent="0.35">
      <c r="A112" t="s">
        <v>107</v>
      </c>
      <c r="B112" t="s">
        <v>108</v>
      </c>
      <c r="C112" t="s">
        <v>8</v>
      </c>
      <c r="D112" t="s">
        <v>18</v>
      </c>
      <c r="E112" s="7">
        <v>45824</v>
      </c>
      <c r="F112" s="7">
        <f t="shared" si="1"/>
        <v>45829</v>
      </c>
      <c r="G112" s="13">
        <v>2025</v>
      </c>
      <c r="H112" s="13" t="s">
        <v>10</v>
      </c>
      <c r="I112" t="s">
        <v>118</v>
      </c>
      <c r="J112" t="s">
        <v>126</v>
      </c>
      <c r="K112" t="s">
        <v>128</v>
      </c>
      <c r="L112" t="s">
        <v>123</v>
      </c>
      <c r="M112">
        <v>0</v>
      </c>
      <c r="N112">
        <v>10145</v>
      </c>
    </row>
    <row r="113" spans="1:14" x14ac:dyDescent="0.35">
      <c r="A113" t="s">
        <v>107</v>
      </c>
      <c r="B113" t="s">
        <v>108</v>
      </c>
      <c r="C113" t="s">
        <v>8</v>
      </c>
      <c r="D113" t="s">
        <v>18</v>
      </c>
      <c r="E113" s="7">
        <v>45825</v>
      </c>
      <c r="F113" s="7">
        <f t="shared" si="1"/>
        <v>45829</v>
      </c>
      <c r="G113" s="13">
        <v>2025</v>
      </c>
      <c r="H113" s="13" t="s">
        <v>10</v>
      </c>
      <c r="I113" t="s">
        <v>118</v>
      </c>
      <c r="J113" t="s">
        <v>119</v>
      </c>
      <c r="K113" t="s">
        <v>120</v>
      </c>
      <c r="L113" t="s">
        <v>121</v>
      </c>
      <c r="M113">
        <v>2400.1799999999998</v>
      </c>
      <c r="N113">
        <v>120009</v>
      </c>
    </row>
    <row r="114" spans="1:14" x14ac:dyDescent="0.35">
      <c r="A114" t="s">
        <v>107</v>
      </c>
      <c r="B114" t="s">
        <v>108</v>
      </c>
      <c r="C114" t="s">
        <v>8</v>
      </c>
      <c r="D114" t="s">
        <v>18</v>
      </c>
      <c r="E114" s="7">
        <v>45825</v>
      </c>
      <c r="F114" s="7">
        <f t="shared" si="1"/>
        <v>45829</v>
      </c>
      <c r="G114" s="13">
        <v>2025</v>
      </c>
      <c r="H114" s="13" t="s">
        <v>10</v>
      </c>
      <c r="I114" t="s">
        <v>118</v>
      </c>
      <c r="J114" t="s">
        <v>119</v>
      </c>
      <c r="K114" t="s">
        <v>122</v>
      </c>
      <c r="L114" t="s">
        <v>123</v>
      </c>
      <c r="M114">
        <v>217.5</v>
      </c>
      <c r="N114">
        <v>10875</v>
      </c>
    </row>
    <row r="115" spans="1:14" x14ac:dyDescent="0.35">
      <c r="A115" t="s">
        <v>107</v>
      </c>
      <c r="B115" t="s">
        <v>108</v>
      </c>
      <c r="C115" t="s">
        <v>8</v>
      </c>
      <c r="D115" t="s">
        <v>18</v>
      </c>
      <c r="E115" s="7">
        <v>45825</v>
      </c>
      <c r="F115" s="7">
        <f t="shared" si="1"/>
        <v>45829</v>
      </c>
      <c r="G115" s="13">
        <v>2025</v>
      </c>
      <c r="H115" s="13" t="s">
        <v>10</v>
      </c>
      <c r="I115" t="s">
        <v>118</v>
      </c>
      <c r="J115" t="s">
        <v>119</v>
      </c>
      <c r="K115" t="s">
        <v>124</v>
      </c>
      <c r="L115" t="s">
        <v>125</v>
      </c>
      <c r="M115">
        <v>3.92</v>
      </c>
      <c r="N115">
        <v>196</v>
      </c>
    </row>
    <row r="116" spans="1:14" x14ac:dyDescent="0.35">
      <c r="A116" t="s">
        <v>107</v>
      </c>
      <c r="B116" t="s">
        <v>108</v>
      </c>
      <c r="C116" t="s">
        <v>8</v>
      </c>
      <c r="D116" t="s">
        <v>18</v>
      </c>
      <c r="E116" s="7">
        <v>45825</v>
      </c>
      <c r="F116" s="7">
        <f t="shared" si="1"/>
        <v>45829</v>
      </c>
      <c r="G116" s="13">
        <v>2025</v>
      </c>
      <c r="H116" s="13" t="s">
        <v>10</v>
      </c>
      <c r="I116" t="s">
        <v>118</v>
      </c>
      <c r="J116" t="s">
        <v>126</v>
      </c>
      <c r="K116" t="s">
        <v>127</v>
      </c>
      <c r="L116" t="s">
        <v>121</v>
      </c>
      <c r="M116">
        <v>0</v>
      </c>
      <c r="N116">
        <v>395793</v>
      </c>
    </row>
    <row r="117" spans="1:14" x14ac:dyDescent="0.35">
      <c r="A117" t="s">
        <v>107</v>
      </c>
      <c r="B117" t="s">
        <v>108</v>
      </c>
      <c r="C117" t="s">
        <v>8</v>
      </c>
      <c r="D117" t="s">
        <v>18</v>
      </c>
      <c r="E117" s="7">
        <v>45825</v>
      </c>
      <c r="F117" s="7">
        <f t="shared" si="1"/>
        <v>45829</v>
      </c>
      <c r="G117" s="13">
        <v>2025</v>
      </c>
      <c r="H117" s="13" t="s">
        <v>10</v>
      </c>
      <c r="I117" t="s">
        <v>118</v>
      </c>
      <c r="J117" t="s">
        <v>126</v>
      </c>
      <c r="K117" t="s">
        <v>128</v>
      </c>
      <c r="L117" t="s">
        <v>123</v>
      </c>
      <c r="M117">
        <v>0</v>
      </c>
      <c r="N117">
        <v>36295</v>
      </c>
    </row>
    <row r="118" spans="1:14" x14ac:dyDescent="0.35">
      <c r="A118" t="s">
        <v>107</v>
      </c>
      <c r="B118" t="s">
        <v>108</v>
      </c>
      <c r="C118" t="s">
        <v>8</v>
      </c>
      <c r="D118" t="s">
        <v>18</v>
      </c>
      <c r="E118" s="7">
        <v>45826</v>
      </c>
      <c r="F118" s="7">
        <f t="shared" si="1"/>
        <v>45829</v>
      </c>
      <c r="G118" s="13">
        <v>2025</v>
      </c>
      <c r="H118" s="13" t="s">
        <v>10</v>
      </c>
      <c r="I118" t="s">
        <v>118</v>
      </c>
      <c r="J118" t="s">
        <v>119</v>
      </c>
      <c r="K118" t="s">
        <v>120</v>
      </c>
      <c r="L118" t="s">
        <v>121</v>
      </c>
      <c r="M118">
        <v>2691.28</v>
      </c>
      <c r="N118">
        <v>134564</v>
      </c>
    </row>
    <row r="119" spans="1:14" x14ac:dyDescent="0.35">
      <c r="A119" t="s">
        <v>107</v>
      </c>
      <c r="B119" t="s">
        <v>108</v>
      </c>
      <c r="C119" t="s">
        <v>8</v>
      </c>
      <c r="D119" t="s">
        <v>18</v>
      </c>
      <c r="E119" s="7">
        <v>45826</v>
      </c>
      <c r="F119" s="7">
        <f t="shared" si="1"/>
        <v>45829</v>
      </c>
      <c r="G119" s="13">
        <v>2025</v>
      </c>
      <c r="H119" s="13" t="s">
        <v>10</v>
      </c>
      <c r="I119" t="s">
        <v>118</v>
      </c>
      <c r="J119" t="s">
        <v>119</v>
      </c>
      <c r="K119" t="s">
        <v>122</v>
      </c>
      <c r="L119" t="s">
        <v>123</v>
      </c>
      <c r="M119">
        <v>212.5</v>
      </c>
      <c r="N119">
        <v>10625</v>
      </c>
    </row>
    <row r="120" spans="1:14" x14ac:dyDescent="0.35">
      <c r="A120" t="s">
        <v>107</v>
      </c>
      <c r="B120" t="s">
        <v>108</v>
      </c>
      <c r="C120" t="s">
        <v>8</v>
      </c>
      <c r="D120" t="s">
        <v>18</v>
      </c>
      <c r="E120" s="7">
        <v>45826</v>
      </c>
      <c r="F120" s="7">
        <f t="shared" si="1"/>
        <v>45829</v>
      </c>
      <c r="G120" s="13">
        <v>2025</v>
      </c>
      <c r="H120" s="13" t="s">
        <v>10</v>
      </c>
      <c r="I120" t="s">
        <v>118</v>
      </c>
      <c r="J120" t="s">
        <v>119</v>
      </c>
      <c r="K120" t="s">
        <v>124</v>
      </c>
      <c r="L120" t="s">
        <v>125</v>
      </c>
      <c r="M120">
        <v>1.36</v>
      </c>
      <c r="N120">
        <v>68</v>
      </c>
    </row>
    <row r="121" spans="1:14" x14ac:dyDescent="0.35">
      <c r="A121" t="s">
        <v>107</v>
      </c>
      <c r="B121" t="s">
        <v>108</v>
      </c>
      <c r="C121" t="s">
        <v>8</v>
      </c>
      <c r="D121" t="s">
        <v>18</v>
      </c>
      <c r="E121" s="7">
        <v>45826</v>
      </c>
      <c r="F121" s="7">
        <f t="shared" si="1"/>
        <v>45829</v>
      </c>
      <c r="G121" s="13">
        <v>2025</v>
      </c>
      <c r="H121" s="13" t="s">
        <v>10</v>
      </c>
      <c r="I121" t="s">
        <v>118</v>
      </c>
      <c r="J121" t="s">
        <v>126</v>
      </c>
      <c r="K121" t="s">
        <v>127</v>
      </c>
      <c r="L121" t="s">
        <v>121</v>
      </c>
      <c r="M121">
        <v>0</v>
      </c>
      <c r="N121">
        <v>198453</v>
      </c>
    </row>
    <row r="122" spans="1:14" x14ac:dyDescent="0.35">
      <c r="A122" t="s">
        <v>107</v>
      </c>
      <c r="B122" t="s">
        <v>108</v>
      </c>
      <c r="C122" t="s">
        <v>8</v>
      </c>
      <c r="D122" t="s">
        <v>18</v>
      </c>
      <c r="E122" s="7">
        <v>45826</v>
      </c>
      <c r="F122" s="7">
        <f t="shared" si="1"/>
        <v>45829</v>
      </c>
      <c r="G122" s="13">
        <v>2025</v>
      </c>
      <c r="H122" s="13" t="s">
        <v>10</v>
      </c>
      <c r="I122" t="s">
        <v>118</v>
      </c>
      <c r="J122" t="s">
        <v>126</v>
      </c>
      <c r="K122" t="s">
        <v>128</v>
      </c>
      <c r="L122" t="s">
        <v>123</v>
      </c>
      <c r="M122">
        <v>0</v>
      </c>
      <c r="N122">
        <v>13788</v>
      </c>
    </row>
    <row r="123" spans="1:14" x14ac:dyDescent="0.35">
      <c r="A123" t="s">
        <v>107</v>
      </c>
      <c r="B123" t="s">
        <v>108</v>
      </c>
      <c r="C123" t="s">
        <v>8</v>
      </c>
      <c r="D123" t="s">
        <v>18</v>
      </c>
      <c r="E123" s="7">
        <v>45827</v>
      </c>
      <c r="F123" s="7">
        <f t="shared" si="1"/>
        <v>45829</v>
      </c>
      <c r="G123" s="13">
        <v>2025</v>
      </c>
      <c r="H123" s="13" t="s">
        <v>10</v>
      </c>
      <c r="I123" t="s">
        <v>118</v>
      </c>
      <c r="J123" t="s">
        <v>119</v>
      </c>
      <c r="K123" t="s">
        <v>120</v>
      </c>
      <c r="L123" t="s">
        <v>121</v>
      </c>
      <c r="M123">
        <v>2126.16</v>
      </c>
      <c r="N123">
        <v>106308</v>
      </c>
    </row>
    <row r="124" spans="1:14" x14ac:dyDescent="0.35">
      <c r="A124" t="s">
        <v>107</v>
      </c>
      <c r="B124" t="s">
        <v>108</v>
      </c>
      <c r="C124" t="s">
        <v>8</v>
      </c>
      <c r="D124" t="s">
        <v>18</v>
      </c>
      <c r="E124" s="7">
        <v>45827</v>
      </c>
      <c r="F124" s="7">
        <f t="shared" si="1"/>
        <v>45829</v>
      </c>
      <c r="G124" s="13">
        <v>2025</v>
      </c>
      <c r="H124" s="13" t="s">
        <v>10</v>
      </c>
      <c r="I124" t="s">
        <v>118</v>
      </c>
      <c r="J124" t="s">
        <v>119</v>
      </c>
      <c r="K124" t="s">
        <v>122</v>
      </c>
      <c r="L124" t="s">
        <v>123</v>
      </c>
      <c r="M124">
        <v>252.96</v>
      </c>
      <c r="N124">
        <v>12648</v>
      </c>
    </row>
    <row r="125" spans="1:14" x14ac:dyDescent="0.35">
      <c r="A125" t="s">
        <v>107</v>
      </c>
      <c r="B125" t="s">
        <v>108</v>
      </c>
      <c r="C125" t="s">
        <v>8</v>
      </c>
      <c r="D125" t="s">
        <v>18</v>
      </c>
      <c r="E125" s="7">
        <v>45827</v>
      </c>
      <c r="F125" s="7">
        <f t="shared" si="1"/>
        <v>45829</v>
      </c>
      <c r="G125" s="13">
        <v>2025</v>
      </c>
      <c r="H125" s="13" t="s">
        <v>10</v>
      </c>
      <c r="I125" t="s">
        <v>118</v>
      </c>
      <c r="J125" t="s">
        <v>119</v>
      </c>
      <c r="K125" t="s">
        <v>124</v>
      </c>
      <c r="L125" t="s">
        <v>125</v>
      </c>
      <c r="M125">
        <v>1.64</v>
      </c>
      <c r="N125">
        <v>82</v>
      </c>
    </row>
    <row r="126" spans="1:14" x14ac:dyDescent="0.35">
      <c r="A126" t="s">
        <v>107</v>
      </c>
      <c r="B126" t="s">
        <v>108</v>
      </c>
      <c r="C126" t="s">
        <v>8</v>
      </c>
      <c r="D126" t="s">
        <v>18</v>
      </c>
      <c r="E126" s="7">
        <v>45827</v>
      </c>
      <c r="F126" s="7">
        <f t="shared" si="1"/>
        <v>45829</v>
      </c>
      <c r="G126" s="13">
        <v>2025</v>
      </c>
      <c r="H126" s="13" t="s">
        <v>10</v>
      </c>
      <c r="I126" t="s">
        <v>118</v>
      </c>
      <c r="J126" t="s">
        <v>126</v>
      </c>
      <c r="K126" t="s">
        <v>127</v>
      </c>
      <c r="L126" t="s">
        <v>121</v>
      </c>
      <c r="M126">
        <v>0</v>
      </c>
      <c r="N126">
        <v>53033</v>
      </c>
    </row>
    <row r="127" spans="1:14" x14ac:dyDescent="0.35">
      <c r="A127" t="s">
        <v>107</v>
      </c>
      <c r="B127" t="s">
        <v>108</v>
      </c>
      <c r="C127" t="s">
        <v>8</v>
      </c>
      <c r="D127" t="s">
        <v>18</v>
      </c>
      <c r="E127" s="7">
        <v>45827</v>
      </c>
      <c r="F127" s="7">
        <f t="shared" si="1"/>
        <v>45829</v>
      </c>
      <c r="G127" s="13">
        <v>2025</v>
      </c>
      <c r="H127" s="13" t="s">
        <v>10</v>
      </c>
      <c r="I127" t="s">
        <v>118</v>
      </c>
      <c r="J127" t="s">
        <v>126</v>
      </c>
      <c r="K127" t="s">
        <v>128</v>
      </c>
      <c r="L127" t="s">
        <v>123</v>
      </c>
      <c r="M127">
        <v>0</v>
      </c>
      <c r="N127">
        <v>3407</v>
      </c>
    </row>
    <row r="128" spans="1:14" x14ac:dyDescent="0.35">
      <c r="A128" t="s">
        <v>107</v>
      </c>
      <c r="B128" t="s">
        <v>108</v>
      </c>
      <c r="C128" t="s">
        <v>8</v>
      </c>
      <c r="D128" t="s">
        <v>18</v>
      </c>
      <c r="E128" s="7">
        <v>45828</v>
      </c>
      <c r="F128" s="7">
        <f t="shared" si="1"/>
        <v>45829</v>
      </c>
      <c r="G128" s="13">
        <v>2025</v>
      </c>
      <c r="H128" s="13" t="s">
        <v>10</v>
      </c>
      <c r="I128" t="s">
        <v>118</v>
      </c>
      <c r="J128" t="s">
        <v>119</v>
      </c>
      <c r="K128" t="s">
        <v>120</v>
      </c>
      <c r="L128" t="s">
        <v>121</v>
      </c>
      <c r="M128">
        <v>2267.6</v>
      </c>
      <c r="N128">
        <v>113380</v>
      </c>
    </row>
    <row r="129" spans="1:14" x14ac:dyDescent="0.35">
      <c r="A129" t="s">
        <v>107</v>
      </c>
      <c r="B129" t="s">
        <v>108</v>
      </c>
      <c r="C129" t="s">
        <v>8</v>
      </c>
      <c r="D129" t="s">
        <v>18</v>
      </c>
      <c r="E129" s="7">
        <v>45828</v>
      </c>
      <c r="F129" s="7">
        <f t="shared" si="1"/>
        <v>45829</v>
      </c>
      <c r="G129" s="13">
        <v>2025</v>
      </c>
      <c r="H129" s="13" t="s">
        <v>10</v>
      </c>
      <c r="I129" t="s">
        <v>118</v>
      </c>
      <c r="J129" t="s">
        <v>119</v>
      </c>
      <c r="K129" t="s">
        <v>122</v>
      </c>
      <c r="L129" t="s">
        <v>123</v>
      </c>
      <c r="M129">
        <v>227.5</v>
      </c>
      <c r="N129">
        <v>11375</v>
      </c>
    </row>
    <row r="130" spans="1:14" x14ac:dyDescent="0.35">
      <c r="A130" t="s">
        <v>107</v>
      </c>
      <c r="B130" t="s">
        <v>108</v>
      </c>
      <c r="C130" t="s">
        <v>8</v>
      </c>
      <c r="D130" t="s">
        <v>18</v>
      </c>
      <c r="E130" s="7">
        <v>45828</v>
      </c>
      <c r="F130" s="7">
        <f t="shared" si="1"/>
        <v>45829</v>
      </c>
      <c r="G130" s="13">
        <v>2025</v>
      </c>
      <c r="H130" s="13" t="s">
        <v>10</v>
      </c>
      <c r="I130" t="s">
        <v>118</v>
      </c>
      <c r="J130" t="s">
        <v>119</v>
      </c>
      <c r="K130" t="s">
        <v>124</v>
      </c>
      <c r="L130" t="s">
        <v>125</v>
      </c>
      <c r="M130">
        <v>1.34</v>
      </c>
      <c r="N130">
        <v>67</v>
      </c>
    </row>
    <row r="131" spans="1:14" x14ac:dyDescent="0.35">
      <c r="A131" t="s">
        <v>107</v>
      </c>
      <c r="B131" t="s">
        <v>108</v>
      </c>
      <c r="C131" t="s">
        <v>8</v>
      </c>
      <c r="D131" t="s">
        <v>18</v>
      </c>
      <c r="E131" s="7">
        <v>45828</v>
      </c>
      <c r="F131" s="7">
        <f t="shared" ref="F131:F194" si="2">E131 + (7 - WEEKDAY(E131, 1))</f>
        <v>45829</v>
      </c>
      <c r="G131" s="13">
        <v>2025</v>
      </c>
      <c r="H131" s="13" t="s">
        <v>10</v>
      </c>
      <c r="I131" t="s">
        <v>118</v>
      </c>
      <c r="J131" t="s">
        <v>126</v>
      </c>
      <c r="K131" t="s">
        <v>127</v>
      </c>
      <c r="L131" t="s">
        <v>121</v>
      </c>
      <c r="M131">
        <v>0</v>
      </c>
      <c r="N131">
        <v>33224</v>
      </c>
    </row>
    <row r="132" spans="1:14" x14ac:dyDescent="0.35">
      <c r="A132" t="s">
        <v>107</v>
      </c>
      <c r="B132" t="s">
        <v>108</v>
      </c>
      <c r="C132" t="s">
        <v>8</v>
      </c>
      <c r="D132" t="s">
        <v>18</v>
      </c>
      <c r="E132" s="7">
        <v>45828</v>
      </c>
      <c r="F132" s="7">
        <f t="shared" si="2"/>
        <v>45829</v>
      </c>
      <c r="G132" s="13">
        <v>2025</v>
      </c>
      <c r="H132" s="13" t="s">
        <v>10</v>
      </c>
      <c r="I132" t="s">
        <v>118</v>
      </c>
      <c r="J132" t="s">
        <v>126</v>
      </c>
      <c r="K132" t="s">
        <v>128</v>
      </c>
      <c r="L132" t="s">
        <v>123</v>
      </c>
      <c r="M132">
        <v>0</v>
      </c>
      <c r="N132">
        <v>966</v>
      </c>
    </row>
    <row r="133" spans="1:14" x14ac:dyDescent="0.35">
      <c r="A133" t="s">
        <v>107</v>
      </c>
      <c r="B133" t="s">
        <v>108</v>
      </c>
      <c r="C133" t="s">
        <v>8</v>
      </c>
      <c r="D133" t="s">
        <v>18</v>
      </c>
      <c r="E133" s="7">
        <v>45829</v>
      </c>
      <c r="F133" s="7">
        <f t="shared" si="2"/>
        <v>45829</v>
      </c>
      <c r="G133" s="13">
        <v>2025</v>
      </c>
      <c r="H133" s="13" t="s">
        <v>10</v>
      </c>
      <c r="I133" t="s">
        <v>118</v>
      </c>
      <c r="J133" t="s">
        <v>119</v>
      </c>
      <c r="K133" t="s">
        <v>120</v>
      </c>
      <c r="L133" t="s">
        <v>121</v>
      </c>
      <c r="M133">
        <v>2324.04</v>
      </c>
      <c r="N133">
        <v>116202</v>
      </c>
    </row>
    <row r="134" spans="1:14" x14ac:dyDescent="0.35">
      <c r="A134" t="s">
        <v>107</v>
      </c>
      <c r="B134" t="s">
        <v>108</v>
      </c>
      <c r="C134" t="s">
        <v>8</v>
      </c>
      <c r="D134" t="s">
        <v>18</v>
      </c>
      <c r="E134" s="7">
        <v>45829</v>
      </c>
      <c r="F134" s="7">
        <f t="shared" si="2"/>
        <v>45829</v>
      </c>
      <c r="G134" s="13">
        <v>2025</v>
      </c>
      <c r="H134" s="13" t="s">
        <v>10</v>
      </c>
      <c r="I134" t="s">
        <v>118</v>
      </c>
      <c r="J134" t="s">
        <v>119</v>
      </c>
      <c r="K134" t="s">
        <v>122</v>
      </c>
      <c r="L134" t="s">
        <v>123</v>
      </c>
      <c r="M134">
        <v>210.58</v>
      </c>
      <c r="N134">
        <v>10529</v>
      </c>
    </row>
    <row r="135" spans="1:14" x14ac:dyDescent="0.35">
      <c r="A135" t="s">
        <v>107</v>
      </c>
      <c r="B135" t="s">
        <v>108</v>
      </c>
      <c r="C135" t="s">
        <v>8</v>
      </c>
      <c r="D135" t="s">
        <v>18</v>
      </c>
      <c r="E135" s="7">
        <v>45829</v>
      </c>
      <c r="F135" s="7">
        <f t="shared" si="2"/>
        <v>45829</v>
      </c>
      <c r="G135" s="13">
        <v>2025</v>
      </c>
      <c r="H135" s="13" t="s">
        <v>10</v>
      </c>
      <c r="I135" t="s">
        <v>118</v>
      </c>
      <c r="J135" t="s">
        <v>119</v>
      </c>
      <c r="K135" t="s">
        <v>124</v>
      </c>
      <c r="L135" t="s">
        <v>125</v>
      </c>
      <c r="M135">
        <v>1.56</v>
      </c>
      <c r="N135">
        <v>78</v>
      </c>
    </row>
    <row r="136" spans="1:14" x14ac:dyDescent="0.35">
      <c r="A136" t="s">
        <v>107</v>
      </c>
      <c r="B136" t="s">
        <v>108</v>
      </c>
      <c r="C136" t="s">
        <v>8</v>
      </c>
      <c r="D136" t="s">
        <v>18</v>
      </c>
      <c r="E136" s="7">
        <v>45829</v>
      </c>
      <c r="F136" s="7">
        <f t="shared" si="2"/>
        <v>45829</v>
      </c>
      <c r="G136" s="13">
        <v>2025</v>
      </c>
      <c r="H136" s="13" t="s">
        <v>10</v>
      </c>
      <c r="I136" t="s">
        <v>118</v>
      </c>
      <c r="J136" t="s">
        <v>126</v>
      </c>
      <c r="K136" t="s">
        <v>127</v>
      </c>
      <c r="L136" t="s">
        <v>121</v>
      </c>
      <c r="M136">
        <v>0</v>
      </c>
      <c r="N136">
        <v>35436</v>
      </c>
    </row>
    <row r="137" spans="1:14" x14ac:dyDescent="0.35">
      <c r="A137" t="s">
        <v>107</v>
      </c>
      <c r="B137" t="s">
        <v>108</v>
      </c>
      <c r="C137" t="s">
        <v>8</v>
      </c>
      <c r="D137" t="s">
        <v>18</v>
      </c>
      <c r="E137" s="7">
        <v>45829</v>
      </c>
      <c r="F137" s="7">
        <f t="shared" si="2"/>
        <v>45829</v>
      </c>
      <c r="G137" s="13">
        <v>2025</v>
      </c>
      <c r="H137" s="13" t="s">
        <v>10</v>
      </c>
      <c r="I137" t="s">
        <v>118</v>
      </c>
      <c r="J137" t="s">
        <v>126</v>
      </c>
      <c r="K137" t="s">
        <v>128</v>
      </c>
      <c r="L137" t="s">
        <v>123</v>
      </c>
      <c r="M137">
        <v>0</v>
      </c>
      <c r="N137">
        <v>898</v>
      </c>
    </row>
    <row r="138" spans="1:14" x14ac:dyDescent="0.35">
      <c r="A138" t="s">
        <v>107</v>
      </c>
      <c r="B138" t="s">
        <v>108</v>
      </c>
      <c r="C138" t="s">
        <v>8</v>
      </c>
      <c r="D138" t="s">
        <v>18</v>
      </c>
      <c r="E138" s="7">
        <v>45830</v>
      </c>
      <c r="F138" s="7">
        <f t="shared" si="2"/>
        <v>45836</v>
      </c>
      <c r="G138" s="13">
        <v>2025</v>
      </c>
      <c r="H138" s="13" t="s">
        <v>10</v>
      </c>
      <c r="I138" t="s">
        <v>118</v>
      </c>
      <c r="J138" t="s">
        <v>119</v>
      </c>
      <c r="K138" t="s">
        <v>120</v>
      </c>
      <c r="L138" t="s">
        <v>121</v>
      </c>
      <c r="M138">
        <v>2431.08</v>
      </c>
      <c r="N138">
        <v>121554</v>
      </c>
    </row>
    <row r="139" spans="1:14" x14ac:dyDescent="0.35">
      <c r="A139" t="s">
        <v>107</v>
      </c>
      <c r="B139" t="s">
        <v>108</v>
      </c>
      <c r="C139" t="s">
        <v>8</v>
      </c>
      <c r="D139" t="s">
        <v>18</v>
      </c>
      <c r="E139" s="7">
        <v>45830</v>
      </c>
      <c r="F139" s="7">
        <f t="shared" si="2"/>
        <v>45836</v>
      </c>
      <c r="G139" s="13">
        <v>2025</v>
      </c>
      <c r="H139" s="13" t="s">
        <v>10</v>
      </c>
      <c r="I139" t="s">
        <v>118</v>
      </c>
      <c r="J139" t="s">
        <v>119</v>
      </c>
      <c r="K139" t="s">
        <v>122</v>
      </c>
      <c r="L139" t="s">
        <v>123</v>
      </c>
      <c r="M139">
        <v>156</v>
      </c>
      <c r="N139">
        <v>7800</v>
      </c>
    </row>
    <row r="140" spans="1:14" x14ac:dyDescent="0.35">
      <c r="A140" t="s">
        <v>107</v>
      </c>
      <c r="B140" t="s">
        <v>108</v>
      </c>
      <c r="C140" t="s">
        <v>8</v>
      </c>
      <c r="D140" t="s">
        <v>18</v>
      </c>
      <c r="E140" s="7">
        <v>45830</v>
      </c>
      <c r="F140" s="7">
        <f t="shared" si="2"/>
        <v>45836</v>
      </c>
      <c r="G140" s="13">
        <v>2025</v>
      </c>
      <c r="H140" s="13" t="s">
        <v>10</v>
      </c>
      <c r="I140" t="s">
        <v>118</v>
      </c>
      <c r="J140" t="s">
        <v>119</v>
      </c>
      <c r="K140" t="s">
        <v>124</v>
      </c>
      <c r="L140" t="s">
        <v>125</v>
      </c>
      <c r="M140">
        <v>1.24</v>
      </c>
      <c r="N140">
        <v>62</v>
      </c>
    </row>
    <row r="141" spans="1:14" x14ac:dyDescent="0.35">
      <c r="A141" t="s">
        <v>107</v>
      </c>
      <c r="B141" t="s">
        <v>108</v>
      </c>
      <c r="C141" t="s">
        <v>8</v>
      </c>
      <c r="D141" t="s">
        <v>18</v>
      </c>
      <c r="E141" s="7">
        <v>45830</v>
      </c>
      <c r="F141" s="7">
        <f t="shared" si="2"/>
        <v>45836</v>
      </c>
      <c r="G141" s="13">
        <v>2025</v>
      </c>
      <c r="H141" s="13" t="s">
        <v>10</v>
      </c>
      <c r="I141" t="s">
        <v>118</v>
      </c>
      <c r="J141" t="s">
        <v>126</v>
      </c>
      <c r="K141" t="s">
        <v>127</v>
      </c>
      <c r="L141" t="s">
        <v>121</v>
      </c>
      <c r="M141">
        <v>0</v>
      </c>
      <c r="N141">
        <v>35122</v>
      </c>
    </row>
    <row r="142" spans="1:14" x14ac:dyDescent="0.35">
      <c r="A142" t="s">
        <v>107</v>
      </c>
      <c r="B142" t="s">
        <v>108</v>
      </c>
      <c r="C142" t="s">
        <v>8</v>
      </c>
      <c r="D142" t="s">
        <v>18</v>
      </c>
      <c r="E142" s="7">
        <v>45830</v>
      </c>
      <c r="F142" s="7">
        <f t="shared" si="2"/>
        <v>45836</v>
      </c>
      <c r="G142" s="13">
        <v>2025</v>
      </c>
      <c r="H142" s="13" t="s">
        <v>10</v>
      </c>
      <c r="I142" t="s">
        <v>118</v>
      </c>
      <c r="J142" t="s">
        <v>126</v>
      </c>
      <c r="K142" t="s">
        <v>128</v>
      </c>
      <c r="L142" t="s">
        <v>123</v>
      </c>
      <c r="M142">
        <v>0</v>
      </c>
      <c r="N142">
        <v>1223</v>
      </c>
    </row>
    <row r="143" spans="1:14" x14ac:dyDescent="0.35">
      <c r="A143" t="s">
        <v>107</v>
      </c>
      <c r="B143" t="s">
        <v>108</v>
      </c>
      <c r="C143" t="s">
        <v>8</v>
      </c>
      <c r="D143" t="s">
        <v>18</v>
      </c>
      <c r="E143" s="7">
        <v>45823</v>
      </c>
      <c r="F143" s="7">
        <f t="shared" si="2"/>
        <v>45829</v>
      </c>
      <c r="G143" s="13">
        <v>2025</v>
      </c>
      <c r="H143" s="13" t="s">
        <v>10</v>
      </c>
      <c r="I143" t="s">
        <v>118</v>
      </c>
      <c r="J143" t="s">
        <v>129</v>
      </c>
      <c r="K143" t="s">
        <v>129</v>
      </c>
      <c r="L143" t="s">
        <v>130</v>
      </c>
      <c r="M143">
        <v>427.5</v>
      </c>
      <c r="N143">
        <v>2274</v>
      </c>
    </row>
    <row r="144" spans="1:14" x14ac:dyDescent="0.35">
      <c r="A144" t="s">
        <v>107</v>
      </c>
      <c r="B144" t="s">
        <v>108</v>
      </c>
      <c r="C144" t="s">
        <v>8</v>
      </c>
      <c r="D144" t="s">
        <v>18</v>
      </c>
      <c r="E144" s="7">
        <v>45823</v>
      </c>
      <c r="F144" s="7">
        <f t="shared" si="2"/>
        <v>45829</v>
      </c>
      <c r="G144" s="13">
        <v>2025</v>
      </c>
      <c r="H144" s="13" t="s">
        <v>10</v>
      </c>
      <c r="I144" t="s">
        <v>118</v>
      </c>
      <c r="J144" t="s">
        <v>129</v>
      </c>
      <c r="K144" t="s">
        <v>129</v>
      </c>
      <c r="L144" t="s">
        <v>130</v>
      </c>
      <c r="M144">
        <v>486.25</v>
      </c>
      <c r="N144">
        <v>2426</v>
      </c>
    </row>
    <row r="145" spans="1:14" x14ac:dyDescent="0.35">
      <c r="A145" t="s">
        <v>107</v>
      </c>
      <c r="B145" t="s">
        <v>108</v>
      </c>
      <c r="C145" t="s">
        <v>8</v>
      </c>
      <c r="D145" t="s">
        <v>18</v>
      </c>
      <c r="E145" s="7">
        <v>45823</v>
      </c>
      <c r="F145" s="7">
        <f t="shared" si="2"/>
        <v>45829</v>
      </c>
      <c r="G145" s="13">
        <v>2025</v>
      </c>
      <c r="H145" s="13" t="s">
        <v>10</v>
      </c>
      <c r="I145" t="s">
        <v>118</v>
      </c>
      <c r="J145" t="s">
        <v>129</v>
      </c>
      <c r="K145" t="s">
        <v>129</v>
      </c>
      <c r="L145" t="s">
        <v>130</v>
      </c>
      <c r="M145">
        <v>106.25</v>
      </c>
      <c r="N145">
        <v>889</v>
      </c>
    </row>
    <row r="146" spans="1:14" x14ac:dyDescent="0.35">
      <c r="A146" t="s">
        <v>107</v>
      </c>
      <c r="B146" t="s">
        <v>108</v>
      </c>
      <c r="C146" t="s">
        <v>8</v>
      </c>
      <c r="D146" t="s">
        <v>18</v>
      </c>
      <c r="E146" s="7">
        <v>45824</v>
      </c>
      <c r="F146" s="7">
        <f t="shared" si="2"/>
        <v>45829</v>
      </c>
      <c r="G146" s="13">
        <v>2025</v>
      </c>
      <c r="H146" s="13" t="s">
        <v>10</v>
      </c>
      <c r="I146" t="s">
        <v>118</v>
      </c>
      <c r="J146" t="s">
        <v>129</v>
      </c>
      <c r="K146" t="s">
        <v>129</v>
      </c>
      <c r="L146" t="s">
        <v>130</v>
      </c>
      <c r="M146">
        <v>467.5</v>
      </c>
      <c r="N146">
        <v>2592</v>
      </c>
    </row>
    <row r="147" spans="1:14" x14ac:dyDescent="0.35">
      <c r="A147" t="s">
        <v>107</v>
      </c>
      <c r="B147" t="s">
        <v>108</v>
      </c>
      <c r="C147" t="s">
        <v>8</v>
      </c>
      <c r="D147" t="s">
        <v>18</v>
      </c>
      <c r="E147" s="7">
        <v>45824</v>
      </c>
      <c r="F147" s="7">
        <f t="shared" si="2"/>
        <v>45829</v>
      </c>
      <c r="G147" s="13">
        <v>2025</v>
      </c>
      <c r="H147" s="13" t="s">
        <v>10</v>
      </c>
      <c r="I147" t="s">
        <v>118</v>
      </c>
      <c r="J147" t="s">
        <v>129</v>
      </c>
      <c r="K147" t="s">
        <v>129</v>
      </c>
      <c r="L147" t="s">
        <v>130</v>
      </c>
      <c r="M147">
        <v>547.5</v>
      </c>
      <c r="N147">
        <v>2786</v>
      </c>
    </row>
    <row r="148" spans="1:14" x14ac:dyDescent="0.35">
      <c r="A148" t="s">
        <v>107</v>
      </c>
      <c r="B148" t="s">
        <v>108</v>
      </c>
      <c r="C148" t="s">
        <v>8</v>
      </c>
      <c r="D148" t="s">
        <v>18</v>
      </c>
      <c r="E148" s="7">
        <v>45824</v>
      </c>
      <c r="F148" s="7">
        <f t="shared" si="2"/>
        <v>45829</v>
      </c>
      <c r="G148" s="13">
        <v>2025</v>
      </c>
      <c r="H148" s="13" t="s">
        <v>10</v>
      </c>
      <c r="I148" t="s">
        <v>118</v>
      </c>
      <c r="J148" t="s">
        <v>129</v>
      </c>
      <c r="K148" t="s">
        <v>129</v>
      </c>
      <c r="L148" t="s">
        <v>130</v>
      </c>
      <c r="M148">
        <v>83.75</v>
      </c>
      <c r="N148">
        <v>725</v>
      </c>
    </row>
    <row r="149" spans="1:14" x14ac:dyDescent="0.35">
      <c r="A149" t="s">
        <v>107</v>
      </c>
      <c r="B149" t="s">
        <v>108</v>
      </c>
      <c r="C149" t="s">
        <v>8</v>
      </c>
      <c r="D149" t="s">
        <v>18</v>
      </c>
      <c r="E149" s="7">
        <v>45825</v>
      </c>
      <c r="F149" s="7">
        <f t="shared" si="2"/>
        <v>45829</v>
      </c>
      <c r="G149" s="13">
        <v>2025</v>
      </c>
      <c r="H149" s="13" t="s">
        <v>10</v>
      </c>
      <c r="I149" t="s">
        <v>118</v>
      </c>
      <c r="J149" t="s">
        <v>129</v>
      </c>
      <c r="K149" t="s">
        <v>129</v>
      </c>
      <c r="L149" t="s">
        <v>130</v>
      </c>
      <c r="M149">
        <v>607.5</v>
      </c>
      <c r="N149">
        <v>3206</v>
      </c>
    </row>
    <row r="150" spans="1:14" x14ac:dyDescent="0.35">
      <c r="A150" t="s">
        <v>107</v>
      </c>
      <c r="B150" t="s">
        <v>108</v>
      </c>
      <c r="C150" t="s">
        <v>8</v>
      </c>
      <c r="D150" t="s">
        <v>18</v>
      </c>
      <c r="E150" s="7">
        <v>45825</v>
      </c>
      <c r="F150" s="7">
        <f t="shared" si="2"/>
        <v>45829</v>
      </c>
      <c r="G150" s="13">
        <v>2025</v>
      </c>
      <c r="H150" s="13" t="s">
        <v>10</v>
      </c>
      <c r="I150" t="s">
        <v>118</v>
      </c>
      <c r="J150" t="s">
        <v>129</v>
      </c>
      <c r="K150" t="s">
        <v>129</v>
      </c>
      <c r="L150" t="s">
        <v>130</v>
      </c>
      <c r="M150">
        <v>62.5</v>
      </c>
      <c r="N150">
        <v>671</v>
      </c>
    </row>
    <row r="151" spans="1:14" x14ac:dyDescent="0.35">
      <c r="A151" t="s">
        <v>107</v>
      </c>
      <c r="B151" t="s">
        <v>108</v>
      </c>
      <c r="C151" t="s">
        <v>8</v>
      </c>
      <c r="D151" t="s">
        <v>18</v>
      </c>
      <c r="E151" s="7">
        <v>45825</v>
      </c>
      <c r="F151" s="7">
        <f t="shared" si="2"/>
        <v>45829</v>
      </c>
      <c r="G151" s="13">
        <v>2025</v>
      </c>
      <c r="H151" s="13" t="s">
        <v>10</v>
      </c>
      <c r="I151" t="s">
        <v>118</v>
      </c>
      <c r="J151" t="s">
        <v>129</v>
      </c>
      <c r="K151" t="s">
        <v>129</v>
      </c>
      <c r="L151" t="s">
        <v>130</v>
      </c>
      <c r="M151">
        <v>467.5</v>
      </c>
      <c r="N151">
        <v>2644</v>
      </c>
    </row>
    <row r="152" spans="1:14" x14ac:dyDescent="0.35">
      <c r="A152" t="s">
        <v>107</v>
      </c>
      <c r="B152" t="s">
        <v>108</v>
      </c>
      <c r="C152" t="s">
        <v>8</v>
      </c>
      <c r="D152" t="s">
        <v>18</v>
      </c>
      <c r="E152" s="7">
        <v>45826</v>
      </c>
      <c r="F152" s="7">
        <f t="shared" si="2"/>
        <v>45829</v>
      </c>
      <c r="G152" s="13">
        <v>2025</v>
      </c>
      <c r="H152" s="13" t="s">
        <v>10</v>
      </c>
      <c r="I152" t="s">
        <v>118</v>
      </c>
      <c r="J152" t="s">
        <v>129</v>
      </c>
      <c r="K152" t="s">
        <v>129</v>
      </c>
      <c r="L152" t="s">
        <v>130</v>
      </c>
      <c r="M152">
        <v>665</v>
      </c>
      <c r="N152">
        <v>3616</v>
      </c>
    </row>
    <row r="153" spans="1:14" x14ac:dyDescent="0.35">
      <c r="A153" t="s">
        <v>107</v>
      </c>
      <c r="B153" t="s">
        <v>108</v>
      </c>
      <c r="C153" t="s">
        <v>8</v>
      </c>
      <c r="D153" t="s">
        <v>18</v>
      </c>
      <c r="E153" s="7">
        <v>45826</v>
      </c>
      <c r="F153" s="7">
        <f t="shared" si="2"/>
        <v>45829</v>
      </c>
      <c r="G153" s="13">
        <v>2025</v>
      </c>
      <c r="H153" s="13" t="s">
        <v>10</v>
      </c>
      <c r="I153" t="s">
        <v>118</v>
      </c>
      <c r="J153" t="s">
        <v>129</v>
      </c>
      <c r="K153" t="s">
        <v>129</v>
      </c>
      <c r="L153" t="s">
        <v>130</v>
      </c>
      <c r="M153">
        <v>496.25</v>
      </c>
      <c r="N153">
        <v>2626</v>
      </c>
    </row>
    <row r="154" spans="1:14" x14ac:dyDescent="0.35">
      <c r="A154" t="s">
        <v>107</v>
      </c>
      <c r="B154" t="s">
        <v>108</v>
      </c>
      <c r="C154" t="s">
        <v>8</v>
      </c>
      <c r="D154" t="s">
        <v>18</v>
      </c>
      <c r="E154" s="7">
        <v>45826</v>
      </c>
      <c r="F154" s="7">
        <f t="shared" si="2"/>
        <v>45829</v>
      </c>
      <c r="G154" s="13">
        <v>2025</v>
      </c>
      <c r="H154" s="13" t="s">
        <v>10</v>
      </c>
      <c r="I154" t="s">
        <v>118</v>
      </c>
      <c r="J154" t="s">
        <v>129</v>
      </c>
      <c r="K154" t="s">
        <v>129</v>
      </c>
      <c r="L154" t="s">
        <v>130</v>
      </c>
      <c r="M154">
        <v>62.5</v>
      </c>
      <c r="N154">
        <v>597</v>
      </c>
    </row>
    <row r="155" spans="1:14" x14ac:dyDescent="0.35">
      <c r="A155" t="s">
        <v>107</v>
      </c>
      <c r="B155" t="s">
        <v>108</v>
      </c>
      <c r="C155" t="s">
        <v>8</v>
      </c>
      <c r="D155" t="s">
        <v>18</v>
      </c>
      <c r="E155" s="7">
        <v>45827</v>
      </c>
      <c r="F155" s="7">
        <f t="shared" si="2"/>
        <v>45829</v>
      </c>
      <c r="G155" s="13">
        <v>2025</v>
      </c>
      <c r="H155" s="13" t="s">
        <v>10</v>
      </c>
      <c r="I155" t="s">
        <v>118</v>
      </c>
      <c r="J155" t="s">
        <v>129</v>
      </c>
      <c r="K155" t="s">
        <v>129</v>
      </c>
      <c r="L155" t="s">
        <v>130</v>
      </c>
      <c r="M155">
        <v>375</v>
      </c>
      <c r="N155">
        <v>2387</v>
      </c>
    </row>
    <row r="156" spans="1:14" x14ac:dyDescent="0.35">
      <c r="A156" t="s">
        <v>107</v>
      </c>
      <c r="B156" t="s">
        <v>108</v>
      </c>
      <c r="C156" t="s">
        <v>8</v>
      </c>
      <c r="D156" t="s">
        <v>18</v>
      </c>
      <c r="E156" s="7">
        <v>45827</v>
      </c>
      <c r="F156" s="7">
        <f t="shared" si="2"/>
        <v>45829</v>
      </c>
      <c r="G156" s="13">
        <v>2025</v>
      </c>
      <c r="H156" s="13" t="s">
        <v>10</v>
      </c>
      <c r="I156" t="s">
        <v>118</v>
      </c>
      <c r="J156" t="s">
        <v>129</v>
      </c>
      <c r="K156" t="s">
        <v>129</v>
      </c>
      <c r="L156" t="s">
        <v>130</v>
      </c>
      <c r="M156">
        <v>348.75</v>
      </c>
      <c r="N156">
        <v>2222</v>
      </c>
    </row>
    <row r="157" spans="1:14" x14ac:dyDescent="0.35">
      <c r="A157" t="s">
        <v>107</v>
      </c>
      <c r="B157" t="s">
        <v>108</v>
      </c>
      <c r="C157" t="s">
        <v>8</v>
      </c>
      <c r="D157" t="s">
        <v>18</v>
      </c>
      <c r="E157" s="7">
        <v>45827</v>
      </c>
      <c r="F157" s="7">
        <f t="shared" si="2"/>
        <v>45829</v>
      </c>
      <c r="G157" s="13">
        <v>2025</v>
      </c>
      <c r="H157" s="13" t="s">
        <v>10</v>
      </c>
      <c r="I157" t="s">
        <v>118</v>
      </c>
      <c r="J157" t="s">
        <v>129</v>
      </c>
      <c r="K157" t="s">
        <v>129</v>
      </c>
      <c r="L157" t="s">
        <v>130</v>
      </c>
      <c r="M157">
        <v>86.25</v>
      </c>
      <c r="N157">
        <v>652</v>
      </c>
    </row>
    <row r="158" spans="1:14" x14ac:dyDescent="0.35">
      <c r="A158" t="s">
        <v>107</v>
      </c>
      <c r="B158" t="s">
        <v>108</v>
      </c>
      <c r="C158" t="s">
        <v>8</v>
      </c>
      <c r="D158" t="s">
        <v>18</v>
      </c>
      <c r="E158" s="7">
        <v>45828</v>
      </c>
      <c r="F158" s="7">
        <f t="shared" si="2"/>
        <v>45829</v>
      </c>
      <c r="G158" s="13">
        <v>2025</v>
      </c>
      <c r="H158" s="13" t="s">
        <v>10</v>
      </c>
      <c r="I158" t="s">
        <v>118</v>
      </c>
      <c r="J158" t="s">
        <v>129</v>
      </c>
      <c r="K158" t="s">
        <v>129</v>
      </c>
      <c r="L158" t="s">
        <v>130</v>
      </c>
      <c r="M158">
        <v>415</v>
      </c>
      <c r="N158">
        <v>2248</v>
      </c>
    </row>
    <row r="159" spans="1:14" x14ac:dyDescent="0.35">
      <c r="A159" t="s">
        <v>107</v>
      </c>
      <c r="B159" t="s">
        <v>108</v>
      </c>
      <c r="C159" t="s">
        <v>8</v>
      </c>
      <c r="D159" t="s">
        <v>18</v>
      </c>
      <c r="E159" s="7">
        <v>45828</v>
      </c>
      <c r="F159" s="7">
        <f t="shared" si="2"/>
        <v>45829</v>
      </c>
      <c r="G159" s="13">
        <v>2025</v>
      </c>
      <c r="H159" s="13" t="s">
        <v>10</v>
      </c>
      <c r="I159" t="s">
        <v>118</v>
      </c>
      <c r="J159" t="s">
        <v>129</v>
      </c>
      <c r="K159" t="s">
        <v>129</v>
      </c>
      <c r="L159" t="s">
        <v>130</v>
      </c>
      <c r="M159">
        <v>87.5</v>
      </c>
      <c r="N159">
        <v>696</v>
      </c>
    </row>
    <row r="160" spans="1:14" x14ac:dyDescent="0.35">
      <c r="A160" t="s">
        <v>107</v>
      </c>
      <c r="B160" t="s">
        <v>108</v>
      </c>
      <c r="C160" t="s">
        <v>8</v>
      </c>
      <c r="D160" t="s">
        <v>18</v>
      </c>
      <c r="E160" s="7">
        <v>45828</v>
      </c>
      <c r="F160" s="7">
        <f t="shared" si="2"/>
        <v>45829</v>
      </c>
      <c r="G160" s="13">
        <v>2025</v>
      </c>
      <c r="H160" s="13" t="s">
        <v>10</v>
      </c>
      <c r="I160" t="s">
        <v>118</v>
      </c>
      <c r="J160" t="s">
        <v>129</v>
      </c>
      <c r="K160" t="s">
        <v>129</v>
      </c>
      <c r="L160" t="s">
        <v>130</v>
      </c>
      <c r="M160">
        <v>392.5</v>
      </c>
      <c r="N160">
        <v>2358</v>
      </c>
    </row>
    <row r="161" spans="1:14" x14ac:dyDescent="0.35">
      <c r="A161" t="s">
        <v>107</v>
      </c>
      <c r="B161" t="s">
        <v>108</v>
      </c>
      <c r="C161" t="s">
        <v>8</v>
      </c>
      <c r="D161" t="s">
        <v>18</v>
      </c>
      <c r="E161" s="7">
        <v>45829</v>
      </c>
      <c r="F161" s="7">
        <f t="shared" si="2"/>
        <v>45829</v>
      </c>
      <c r="G161" s="13">
        <v>2025</v>
      </c>
      <c r="H161" s="13" t="s">
        <v>10</v>
      </c>
      <c r="I161" t="s">
        <v>118</v>
      </c>
      <c r="J161" t="s">
        <v>129</v>
      </c>
      <c r="K161" t="s">
        <v>129</v>
      </c>
      <c r="L161" t="s">
        <v>130</v>
      </c>
      <c r="M161">
        <v>85</v>
      </c>
      <c r="N161">
        <v>633</v>
      </c>
    </row>
    <row r="162" spans="1:14" x14ac:dyDescent="0.35">
      <c r="A162" t="s">
        <v>107</v>
      </c>
      <c r="B162" t="s">
        <v>108</v>
      </c>
      <c r="C162" t="s">
        <v>8</v>
      </c>
      <c r="D162" t="s">
        <v>18</v>
      </c>
      <c r="E162" s="7">
        <v>45829</v>
      </c>
      <c r="F162" s="7">
        <f t="shared" si="2"/>
        <v>45829</v>
      </c>
      <c r="G162" s="13">
        <v>2025</v>
      </c>
      <c r="H162" s="13" t="s">
        <v>10</v>
      </c>
      <c r="I162" t="s">
        <v>118</v>
      </c>
      <c r="J162" t="s">
        <v>129</v>
      </c>
      <c r="K162" t="s">
        <v>129</v>
      </c>
      <c r="L162" t="s">
        <v>130</v>
      </c>
      <c r="M162">
        <v>383.75</v>
      </c>
      <c r="N162">
        <v>2179</v>
      </c>
    </row>
    <row r="163" spans="1:14" x14ac:dyDescent="0.35">
      <c r="A163" t="s">
        <v>107</v>
      </c>
      <c r="B163" t="s">
        <v>108</v>
      </c>
      <c r="C163" t="s">
        <v>8</v>
      </c>
      <c r="D163" t="s">
        <v>18</v>
      </c>
      <c r="E163" s="7">
        <v>45829</v>
      </c>
      <c r="F163" s="7">
        <f t="shared" si="2"/>
        <v>45829</v>
      </c>
      <c r="G163" s="13">
        <v>2025</v>
      </c>
      <c r="H163" s="13" t="s">
        <v>10</v>
      </c>
      <c r="I163" t="s">
        <v>118</v>
      </c>
      <c r="J163" t="s">
        <v>129</v>
      </c>
      <c r="K163" t="s">
        <v>129</v>
      </c>
      <c r="L163" t="s">
        <v>130</v>
      </c>
      <c r="M163">
        <v>398.75</v>
      </c>
      <c r="N163">
        <v>2572</v>
      </c>
    </row>
    <row r="164" spans="1:14" x14ac:dyDescent="0.35">
      <c r="A164" t="s">
        <v>107</v>
      </c>
      <c r="B164" t="s">
        <v>108</v>
      </c>
      <c r="C164" t="s">
        <v>8</v>
      </c>
      <c r="D164" t="s">
        <v>18</v>
      </c>
      <c r="E164" s="7">
        <v>45831</v>
      </c>
      <c r="F164" s="7">
        <f t="shared" si="2"/>
        <v>45836</v>
      </c>
      <c r="G164" s="13">
        <v>2025</v>
      </c>
      <c r="H164" s="13" t="s">
        <v>10</v>
      </c>
      <c r="I164" t="s">
        <v>118</v>
      </c>
      <c r="J164" t="s">
        <v>119</v>
      </c>
      <c r="K164" t="s">
        <v>120</v>
      </c>
      <c r="L164" t="s">
        <v>121</v>
      </c>
      <c r="M164">
        <v>2465.2399999999998</v>
      </c>
      <c r="N164">
        <v>123262</v>
      </c>
    </row>
    <row r="165" spans="1:14" x14ac:dyDescent="0.35">
      <c r="A165" t="s">
        <v>107</v>
      </c>
      <c r="B165" t="s">
        <v>108</v>
      </c>
      <c r="C165" t="s">
        <v>8</v>
      </c>
      <c r="D165" t="s">
        <v>18</v>
      </c>
      <c r="E165" s="7">
        <v>45831</v>
      </c>
      <c r="F165" s="7">
        <f t="shared" si="2"/>
        <v>45836</v>
      </c>
      <c r="G165" s="13">
        <v>2025</v>
      </c>
      <c r="H165" s="13" t="s">
        <v>10</v>
      </c>
      <c r="I165" t="s">
        <v>118</v>
      </c>
      <c r="J165" t="s">
        <v>119</v>
      </c>
      <c r="K165" t="s">
        <v>122</v>
      </c>
      <c r="L165" t="s">
        <v>123</v>
      </c>
      <c r="M165">
        <v>142.04</v>
      </c>
      <c r="N165">
        <v>7102</v>
      </c>
    </row>
    <row r="166" spans="1:14" x14ac:dyDescent="0.35">
      <c r="A166" t="s">
        <v>107</v>
      </c>
      <c r="B166" t="s">
        <v>108</v>
      </c>
      <c r="C166" t="s">
        <v>8</v>
      </c>
      <c r="D166" t="s">
        <v>18</v>
      </c>
      <c r="E166" s="7">
        <v>45831</v>
      </c>
      <c r="F166" s="7">
        <f t="shared" si="2"/>
        <v>45836</v>
      </c>
      <c r="G166" s="13">
        <v>2025</v>
      </c>
      <c r="H166" s="13" t="s">
        <v>10</v>
      </c>
      <c r="I166" t="s">
        <v>118</v>
      </c>
      <c r="J166" t="s">
        <v>119</v>
      </c>
      <c r="K166" t="s">
        <v>124</v>
      </c>
      <c r="L166" t="s">
        <v>125</v>
      </c>
      <c r="M166">
        <v>1.22</v>
      </c>
      <c r="N166">
        <v>61</v>
      </c>
    </row>
    <row r="167" spans="1:14" x14ac:dyDescent="0.35">
      <c r="A167" t="s">
        <v>107</v>
      </c>
      <c r="B167" t="s">
        <v>108</v>
      </c>
      <c r="C167" t="s">
        <v>8</v>
      </c>
      <c r="D167" t="s">
        <v>18</v>
      </c>
      <c r="E167" s="7">
        <v>45831</v>
      </c>
      <c r="F167" s="7">
        <f t="shared" si="2"/>
        <v>45836</v>
      </c>
      <c r="G167" s="13">
        <v>2025</v>
      </c>
      <c r="H167" s="13" t="s">
        <v>10</v>
      </c>
      <c r="I167" t="s">
        <v>118</v>
      </c>
      <c r="J167" t="s">
        <v>126</v>
      </c>
      <c r="K167" t="s">
        <v>127</v>
      </c>
      <c r="L167" t="s">
        <v>121</v>
      </c>
      <c r="M167">
        <v>0</v>
      </c>
      <c r="N167">
        <v>41965</v>
      </c>
    </row>
    <row r="168" spans="1:14" x14ac:dyDescent="0.35">
      <c r="A168" t="s">
        <v>107</v>
      </c>
      <c r="B168" t="s">
        <v>108</v>
      </c>
      <c r="C168" t="s">
        <v>8</v>
      </c>
      <c r="D168" t="s">
        <v>18</v>
      </c>
      <c r="E168" s="7">
        <v>45831</v>
      </c>
      <c r="F168" s="7">
        <f t="shared" si="2"/>
        <v>45836</v>
      </c>
      <c r="G168" s="13">
        <v>2025</v>
      </c>
      <c r="H168" s="13" t="s">
        <v>10</v>
      </c>
      <c r="I168" t="s">
        <v>118</v>
      </c>
      <c r="J168" t="s">
        <v>126</v>
      </c>
      <c r="K168" t="s">
        <v>128</v>
      </c>
      <c r="L168" t="s">
        <v>123</v>
      </c>
      <c r="M168">
        <v>0</v>
      </c>
      <c r="N168">
        <v>2043</v>
      </c>
    </row>
    <row r="169" spans="1:14" x14ac:dyDescent="0.35">
      <c r="A169" t="s">
        <v>107</v>
      </c>
      <c r="B169" t="s">
        <v>108</v>
      </c>
      <c r="C169" t="s">
        <v>8</v>
      </c>
      <c r="D169" t="s">
        <v>18</v>
      </c>
      <c r="E169" s="7">
        <v>45832</v>
      </c>
      <c r="F169" s="7">
        <f t="shared" si="2"/>
        <v>45836</v>
      </c>
      <c r="G169" s="13">
        <v>2025</v>
      </c>
      <c r="H169" s="13" t="s">
        <v>10</v>
      </c>
      <c r="I169" t="s">
        <v>118</v>
      </c>
      <c r="J169" t="s">
        <v>119</v>
      </c>
      <c r="K169" t="s">
        <v>120</v>
      </c>
      <c r="L169" t="s">
        <v>121</v>
      </c>
      <c r="M169">
        <v>2861.78</v>
      </c>
      <c r="N169">
        <v>143089</v>
      </c>
    </row>
    <row r="170" spans="1:14" x14ac:dyDescent="0.35">
      <c r="A170" t="s">
        <v>107</v>
      </c>
      <c r="B170" t="s">
        <v>108</v>
      </c>
      <c r="C170" t="s">
        <v>8</v>
      </c>
      <c r="D170" t="s">
        <v>18</v>
      </c>
      <c r="E170" s="7">
        <v>45832</v>
      </c>
      <c r="F170" s="7">
        <f t="shared" si="2"/>
        <v>45836</v>
      </c>
      <c r="G170" s="13">
        <v>2025</v>
      </c>
      <c r="H170" s="13" t="s">
        <v>10</v>
      </c>
      <c r="I170" t="s">
        <v>118</v>
      </c>
      <c r="J170" t="s">
        <v>119</v>
      </c>
      <c r="K170" t="s">
        <v>122</v>
      </c>
      <c r="L170" t="s">
        <v>123</v>
      </c>
      <c r="M170">
        <v>318.58</v>
      </c>
      <c r="N170">
        <v>15929</v>
      </c>
    </row>
    <row r="171" spans="1:14" x14ac:dyDescent="0.35">
      <c r="A171" t="s">
        <v>107</v>
      </c>
      <c r="B171" t="s">
        <v>108</v>
      </c>
      <c r="C171" t="s">
        <v>8</v>
      </c>
      <c r="D171" t="s">
        <v>18</v>
      </c>
      <c r="E171" s="7">
        <v>45832</v>
      </c>
      <c r="F171" s="7">
        <f t="shared" si="2"/>
        <v>45836</v>
      </c>
      <c r="G171" s="13">
        <v>2025</v>
      </c>
      <c r="H171" s="13" t="s">
        <v>10</v>
      </c>
      <c r="I171" t="s">
        <v>118</v>
      </c>
      <c r="J171" t="s">
        <v>119</v>
      </c>
      <c r="K171" t="s">
        <v>124</v>
      </c>
      <c r="L171" t="s">
        <v>125</v>
      </c>
      <c r="M171">
        <v>1.56</v>
      </c>
      <c r="N171">
        <v>78</v>
      </c>
    </row>
    <row r="172" spans="1:14" x14ac:dyDescent="0.35">
      <c r="A172" t="s">
        <v>107</v>
      </c>
      <c r="B172" t="s">
        <v>108</v>
      </c>
      <c r="C172" t="s">
        <v>8</v>
      </c>
      <c r="D172" t="s">
        <v>18</v>
      </c>
      <c r="E172" s="7">
        <v>45832</v>
      </c>
      <c r="F172" s="7">
        <f t="shared" si="2"/>
        <v>45836</v>
      </c>
      <c r="G172" s="13">
        <v>2025</v>
      </c>
      <c r="H172" s="13" t="s">
        <v>10</v>
      </c>
      <c r="I172" t="s">
        <v>118</v>
      </c>
      <c r="J172" t="s">
        <v>126</v>
      </c>
      <c r="K172" t="s">
        <v>127</v>
      </c>
      <c r="L172" t="s">
        <v>121</v>
      </c>
      <c r="M172">
        <v>0</v>
      </c>
      <c r="N172">
        <v>39697</v>
      </c>
    </row>
    <row r="173" spans="1:14" x14ac:dyDescent="0.35">
      <c r="A173" t="s">
        <v>107</v>
      </c>
      <c r="B173" t="s">
        <v>108</v>
      </c>
      <c r="C173" t="s">
        <v>8</v>
      </c>
      <c r="D173" t="s">
        <v>18</v>
      </c>
      <c r="E173" s="7">
        <v>45832</v>
      </c>
      <c r="F173" s="7">
        <f t="shared" si="2"/>
        <v>45836</v>
      </c>
      <c r="G173" s="13">
        <v>2025</v>
      </c>
      <c r="H173" s="13" t="s">
        <v>10</v>
      </c>
      <c r="I173" t="s">
        <v>118</v>
      </c>
      <c r="J173" t="s">
        <v>126</v>
      </c>
      <c r="K173" t="s">
        <v>128</v>
      </c>
      <c r="L173" t="s">
        <v>123</v>
      </c>
      <c r="M173">
        <v>0</v>
      </c>
      <c r="N173">
        <v>803</v>
      </c>
    </row>
    <row r="174" spans="1:14" x14ac:dyDescent="0.35">
      <c r="A174" t="s">
        <v>107</v>
      </c>
      <c r="B174" t="s">
        <v>108</v>
      </c>
      <c r="C174" t="s">
        <v>8</v>
      </c>
      <c r="D174" t="s">
        <v>18</v>
      </c>
      <c r="E174" s="7">
        <v>45833</v>
      </c>
      <c r="F174" s="7">
        <f t="shared" si="2"/>
        <v>45836</v>
      </c>
      <c r="G174" s="13">
        <v>2025</v>
      </c>
      <c r="H174" s="13" t="s">
        <v>10</v>
      </c>
      <c r="I174" t="s">
        <v>118</v>
      </c>
      <c r="J174" t="s">
        <v>119</v>
      </c>
      <c r="K174" t="s">
        <v>120</v>
      </c>
      <c r="L174" t="s">
        <v>121</v>
      </c>
      <c r="M174">
        <v>7215.6</v>
      </c>
      <c r="N174">
        <v>360780</v>
      </c>
    </row>
    <row r="175" spans="1:14" x14ac:dyDescent="0.35">
      <c r="A175" t="s">
        <v>107</v>
      </c>
      <c r="B175" t="s">
        <v>108</v>
      </c>
      <c r="C175" t="s">
        <v>8</v>
      </c>
      <c r="D175" t="s">
        <v>18</v>
      </c>
      <c r="E175" s="7">
        <v>45833</v>
      </c>
      <c r="F175" s="7">
        <f t="shared" si="2"/>
        <v>45836</v>
      </c>
      <c r="G175" s="13">
        <v>2025</v>
      </c>
      <c r="H175" s="13" t="s">
        <v>10</v>
      </c>
      <c r="I175" t="s">
        <v>118</v>
      </c>
      <c r="J175" t="s">
        <v>119</v>
      </c>
      <c r="K175" t="s">
        <v>122</v>
      </c>
      <c r="L175" t="s">
        <v>123</v>
      </c>
      <c r="M175">
        <v>1244.0999999999999</v>
      </c>
      <c r="N175">
        <v>62205</v>
      </c>
    </row>
    <row r="176" spans="1:14" x14ac:dyDescent="0.35">
      <c r="A176" t="s">
        <v>107</v>
      </c>
      <c r="B176" t="s">
        <v>108</v>
      </c>
      <c r="C176" t="s">
        <v>8</v>
      </c>
      <c r="D176" t="s">
        <v>18</v>
      </c>
      <c r="E176" s="7">
        <v>45833</v>
      </c>
      <c r="F176" s="7">
        <f t="shared" si="2"/>
        <v>45836</v>
      </c>
      <c r="G176" s="13">
        <v>2025</v>
      </c>
      <c r="H176" s="13" t="s">
        <v>10</v>
      </c>
      <c r="I176" t="s">
        <v>118</v>
      </c>
      <c r="J176" t="s">
        <v>119</v>
      </c>
      <c r="K176" t="s">
        <v>124</v>
      </c>
      <c r="L176" t="s">
        <v>125</v>
      </c>
      <c r="M176">
        <v>0.9</v>
      </c>
      <c r="N176">
        <v>45</v>
      </c>
    </row>
    <row r="177" spans="1:14" x14ac:dyDescent="0.35">
      <c r="A177" t="s">
        <v>107</v>
      </c>
      <c r="B177" t="s">
        <v>108</v>
      </c>
      <c r="C177" t="s">
        <v>8</v>
      </c>
      <c r="D177" t="s">
        <v>18</v>
      </c>
      <c r="E177" s="7">
        <v>45833</v>
      </c>
      <c r="F177" s="7">
        <f t="shared" si="2"/>
        <v>45836</v>
      </c>
      <c r="G177" s="13">
        <v>2025</v>
      </c>
      <c r="H177" s="13" t="s">
        <v>10</v>
      </c>
      <c r="I177" t="s">
        <v>118</v>
      </c>
      <c r="J177" t="s">
        <v>126</v>
      </c>
      <c r="K177" t="s">
        <v>127</v>
      </c>
      <c r="L177" t="s">
        <v>121</v>
      </c>
      <c r="M177">
        <v>0</v>
      </c>
      <c r="N177">
        <v>293875</v>
      </c>
    </row>
    <row r="178" spans="1:14" x14ac:dyDescent="0.35">
      <c r="A178" t="s">
        <v>107</v>
      </c>
      <c r="B178" t="s">
        <v>108</v>
      </c>
      <c r="C178" t="s">
        <v>8</v>
      </c>
      <c r="D178" t="s">
        <v>18</v>
      </c>
      <c r="E178" s="7">
        <v>45833</v>
      </c>
      <c r="F178" s="7">
        <f t="shared" si="2"/>
        <v>45836</v>
      </c>
      <c r="G178" s="13">
        <v>2025</v>
      </c>
      <c r="H178" s="13" t="s">
        <v>10</v>
      </c>
      <c r="I178" t="s">
        <v>118</v>
      </c>
      <c r="J178" t="s">
        <v>126</v>
      </c>
      <c r="K178" t="s">
        <v>128</v>
      </c>
      <c r="L178" t="s">
        <v>123</v>
      </c>
      <c r="M178">
        <v>0</v>
      </c>
      <c r="N178">
        <v>805</v>
      </c>
    </row>
    <row r="179" spans="1:14" x14ac:dyDescent="0.35">
      <c r="A179" t="s">
        <v>107</v>
      </c>
      <c r="B179" t="s">
        <v>108</v>
      </c>
      <c r="C179" t="s">
        <v>8</v>
      </c>
      <c r="D179" t="s">
        <v>18</v>
      </c>
      <c r="E179" s="7">
        <v>45834</v>
      </c>
      <c r="F179" s="7">
        <f t="shared" si="2"/>
        <v>45836</v>
      </c>
      <c r="G179" s="13">
        <v>2025</v>
      </c>
      <c r="H179" s="13" t="s">
        <v>10</v>
      </c>
      <c r="I179" t="s">
        <v>118</v>
      </c>
      <c r="J179" t="s">
        <v>119</v>
      </c>
      <c r="K179" t="s">
        <v>120</v>
      </c>
      <c r="L179" t="s">
        <v>121</v>
      </c>
      <c r="M179">
        <v>1563.2</v>
      </c>
      <c r="N179">
        <v>78160</v>
      </c>
    </row>
    <row r="180" spans="1:14" x14ac:dyDescent="0.35">
      <c r="A180" t="s">
        <v>107</v>
      </c>
      <c r="B180" t="s">
        <v>108</v>
      </c>
      <c r="C180" t="s">
        <v>8</v>
      </c>
      <c r="D180" t="s">
        <v>18</v>
      </c>
      <c r="E180" s="7">
        <v>45834</v>
      </c>
      <c r="F180" s="7">
        <f t="shared" si="2"/>
        <v>45836</v>
      </c>
      <c r="G180" s="13">
        <v>2025</v>
      </c>
      <c r="H180" s="13" t="s">
        <v>10</v>
      </c>
      <c r="I180" t="s">
        <v>118</v>
      </c>
      <c r="J180" t="s">
        <v>119</v>
      </c>
      <c r="K180" t="s">
        <v>122</v>
      </c>
      <c r="L180" t="s">
        <v>123</v>
      </c>
      <c r="M180">
        <v>167.92</v>
      </c>
      <c r="N180">
        <v>8396</v>
      </c>
    </row>
    <row r="181" spans="1:14" x14ac:dyDescent="0.35">
      <c r="A181" t="s">
        <v>107</v>
      </c>
      <c r="B181" t="s">
        <v>108</v>
      </c>
      <c r="C181" t="s">
        <v>8</v>
      </c>
      <c r="D181" t="s">
        <v>18</v>
      </c>
      <c r="E181" s="7">
        <v>45834</v>
      </c>
      <c r="F181" s="7">
        <f t="shared" si="2"/>
        <v>45836</v>
      </c>
      <c r="G181" s="13">
        <v>2025</v>
      </c>
      <c r="H181" s="13" t="s">
        <v>10</v>
      </c>
      <c r="I181" t="s">
        <v>118</v>
      </c>
      <c r="J181" t="s">
        <v>119</v>
      </c>
      <c r="K181" t="s">
        <v>124</v>
      </c>
      <c r="L181" t="s">
        <v>125</v>
      </c>
      <c r="M181">
        <v>1.22</v>
      </c>
      <c r="N181">
        <v>61</v>
      </c>
    </row>
    <row r="182" spans="1:14" x14ac:dyDescent="0.35">
      <c r="A182" t="s">
        <v>107</v>
      </c>
      <c r="B182" t="s">
        <v>108</v>
      </c>
      <c r="C182" t="s">
        <v>8</v>
      </c>
      <c r="D182" t="s">
        <v>18</v>
      </c>
      <c r="E182" s="7">
        <v>45834</v>
      </c>
      <c r="F182" s="7">
        <f t="shared" si="2"/>
        <v>45836</v>
      </c>
      <c r="G182" s="13">
        <v>2025</v>
      </c>
      <c r="H182" s="13" t="s">
        <v>10</v>
      </c>
      <c r="I182" t="s">
        <v>118</v>
      </c>
      <c r="J182" t="s">
        <v>126</v>
      </c>
      <c r="K182" t="s">
        <v>127</v>
      </c>
      <c r="L182" t="s">
        <v>121</v>
      </c>
      <c r="M182">
        <v>0</v>
      </c>
      <c r="N182">
        <v>29695</v>
      </c>
    </row>
    <row r="183" spans="1:14" x14ac:dyDescent="0.35">
      <c r="A183" t="s">
        <v>107</v>
      </c>
      <c r="B183" t="s">
        <v>108</v>
      </c>
      <c r="C183" t="s">
        <v>8</v>
      </c>
      <c r="D183" t="s">
        <v>18</v>
      </c>
      <c r="E183" s="7">
        <v>45834</v>
      </c>
      <c r="F183" s="7">
        <f t="shared" si="2"/>
        <v>45836</v>
      </c>
      <c r="G183" s="13">
        <v>2025</v>
      </c>
      <c r="H183" s="13" t="s">
        <v>10</v>
      </c>
      <c r="I183" t="s">
        <v>118</v>
      </c>
      <c r="J183" t="s">
        <v>126</v>
      </c>
      <c r="K183" t="s">
        <v>128</v>
      </c>
      <c r="L183" t="s">
        <v>123</v>
      </c>
      <c r="M183">
        <v>0</v>
      </c>
      <c r="N183">
        <v>1527</v>
      </c>
    </row>
    <row r="184" spans="1:14" x14ac:dyDescent="0.35">
      <c r="A184" t="s">
        <v>107</v>
      </c>
      <c r="B184" t="s">
        <v>108</v>
      </c>
      <c r="C184" t="s">
        <v>8</v>
      </c>
      <c r="D184" t="s">
        <v>18</v>
      </c>
      <c r="E184" s="7">
        <v>45835</v>
      </c>
      <c r="F184" s="7">
        <f t="shared" si="2"/>
        <v>45836</v>
      </c>
      <c r="G184" s="13">
        <v>2025</v>
      </c>
      <c r="H184" s="13" t="s">
        <v>10</v>
      </c>
      <c r="I184" t="s">
        <v>118</v>
      </c>
      <c r="J184" t="s">
        <v>119</v>
      </c>
      <c r="K184" t="s">
        <v>120</v>
      </c>
      <c r="L184" t="s">
        <v>121</v>
      </c>
      <c r="M184">
        <v>6.48</v>
      </c>
      <c r="N184">
        <v>324</v>
      </c>
    </row>
    <row r="185" spans="1:14" x14ac:dyDescent="0.35">
      <c r="A185" t="s">
        <v>107</v>
      </c>
      <c r="B185" t="s">
        <v>108</v>
      </c>
      <c r="C185" t="s">
        <v>8</v>
      </c>
      <c r="D185" t="s">
        <v>18</v>
      </c>
      <c r="E185" s="7">
        <v>45835</v>
      </c>
      <c r="F185" s="7">
        <f t="shared" si="2"/>
        <v>45836</v>
      </c>
      <c r="G185" s="13">
        <v>2025</v>
      </c>
      <c r="H185" s="13" t="s">
        <v>10</v>
      </c>
      <c r="I185" t="s">
        <v>118</v>
      </c>
      <c r="J185" t="s">
        <v>119</v>
      </c>
      <c r="K185" t="s">
        <v>122</v>
      </c>
      <c r="L185" t="s">
        <v>123</v>
      </c>
      <c r="M185">
        <v>0.24</v>
      </c>
      <c r="N185">
        <v>12</v>
      </c>
    </row>
    <row r="186" spans="1:14" x14ac:dyDescent="0.35">
      <c r="A186" t="s">
        <v>107</v>
      </c>
      <c r="B186" t="s">
        <v>108</v>
      </c>
      <c r="C186" t="s">
        <v>8</v>
      </c>
      <c r="D186" t="s">
        <v>18</v>
      </c>
      <c r="E186" s="7">
        <v>45835</v>
      </c>
      <c r="F186" s="7">
        <f t="shared" si="2"/>
        <v>45836</v>
      </c>
      <c r="G186" s="13">
        <v>2025</v>
      </c>
      <c r="H186" s="13" t="s">
        <v>10</v>
      </c>
      <c r="I186" t="s">
        <v>118</v>
      </c>
      <c r="J186" t="s">
        <v>119</v>
      </c>
      <c r="K186" t="s">
        <v>124</v>
      </c>
      <c r="L186" t="s">
        <v>125</v>
      </c>
      <c r="M186">
        <v>1.28</v>
      </c>
      <c r="N186">
        <v>64</v>
      </c>
    </row>
    <row r="187" spans="1:14" x14ac:dyDescent="0.35">
      <c r="A187" t="s">
        <v>107</v>
      </c>
      <c r="B187" t="s">
        <v>108</v>
      </c>
      <c r="C187" t="s">
        <v>8</v>
      </c>
      <c r="D187" t="s">
        <v>18</v>
      </c>
      <c r="E187" s="7">
        <v>45835</v>
      </c>
      <c r="F187" s="7">
        <f t="shared" si="2"/>
        <v>45836</v>
      </c>
      <c r="G187" s="13">
        <v>2025</v>
      </c>
      <c r="H187" s="13" t="s">
        <v>10</v>
      </c>
      <c r="I187" t="s">
        <v>118</v>
      </c>
      <c r="J187" t="s">
        <v>126</v>
      </c>
      <c r="K187" t="s">
        <v>127</v>
      </c>
      <c r="L187" t="s">
        <v>121</v>
      </c>
      <c r="M187">
        <v>0</v>
      </c>
      <c r="N187">
        <v>14500</v>
      </c>
    </row>
    <row r="188" spans="1:14" x14ac:dyDescent="0.35">
      <c r="A188" t="s">
        <v>107</v>
      </c>
      <c r="B188" t="s">
        <v>108</v>
      </c>
      <c r="C188" t="s">
        <v>8</v>
      </c>
      <c r="D188" t="s">
        <v>18</v>
      </c>
      <c r="E188" s="7">
        <v>45835</v>
      </c>
      <c r="F188" s="7">
        <f t="shared" si="2"/>
        <v>45836</v>
      </c>
      <c r="G188" s="13">
        <v>2025</v>
      </c>
      <c r="H188" s="13" t="s">
        <v>10</v>
      </c>
      <c r="I188" t="s">
        <v>118</v>
      </c>
      <c r="J188" t="s">
        <v>126</v>
      </c>
      <c r="K188" t="s">
        <v>128</v>
      </c>
      <c r="L188" t="s">
        <v>123</v>
      </c>
      <c r="M188">
        <v>0</v>
      </c>
      <c r="N188">
        <v>1594</v>
      </c>
    </row>
    <row r="189" spans="1:14" x14ac:dyDescent="0.35">
      <c r="A189" t="s">
        <v>107</v>
      </c>
      <c r="B189" t="s">
        <v>108</v>
      </c>
      <c r="C189" t="s">
        <v>8</v>
      </c>
      <c r="D189" t="s">
        <v>18</v>
      </c>
      <c r="E189" s="7">
        <v>45836</v>
      </c>
      <c r="F189" s="7">
        <f t="shared" si="2"/>
        <v>45836</v>
      </c>
      <c r="G189" s="13">
        <v>2025</v>
      </c>
      <c r="H189" s="13" t="s">
        <v>10</v>
      </c>
      <c r="I189" t="s">
        <v>118</v>
      </c>
      <c r="J189" t="s">
        <v>119</v>
      </c>
      <c r="K189" t="s">
        <v>120</v>
      </c>
      <c r="L189" t="s">
        <v>121</v>
      </c>
      <c r="M189">
        <v>8.02</v>
      </c>
      <c r="N189">
        <v>401</v>
      </c>
    </row>
    <row r="190" spans="1:14" x14ac:dyDescent="0.35">
      <c r="A190" t="s">
        <v>107</v>
      </c>
      <c r="B190" t="s">
        <v>108</v>
      </c>
      <c r="C190" t="s">
        <v>8</v>
      </c>
      <c r="D190" t="s">
        <v>18</v>
      </c>
      <c r="E190" s="7">
        <v>45836</v>
      </c>
      <c r="F190" s="7">
        <f t="shared" si="2"/>
        <v>45836</v>
      </c>
      <c r="G190" s="13">
        <v>2025</v>
      </c>
      <c r="H190" s="13" t="s">
        <v>10</v>
      </c>
      <c r="I190" t="s">
        <v>118</v>
      </c>
      <c r="J190" t="s">
        <v>119</v>
      </c>
      <c r="K190" t="s">
        <v>122</v>
      </c>
      <c r="L190" t="s">
        <v>123</v>
      </c>
      <c r="M190">
        <v>0.34</v>
      </c>
      <c r="N190">
        <v>17</v>
      </c>
    </row>
    <row r="191" spans="1:14" x14ac:dyDescent="0.35">
      <c r="A191" t="s">
        <v>107</v>
      </c>
      <c r="B191" t="s">
        <v>108</v>
      </c>
      <c r="C191" t="s">
        <v>8</v>
      </c>
      <c r="D191" t="s">
        <v>18</v>
      </c>
      <c r="E191" s="7">
        <v>45836</v>
      </c>
      <c r="F191" s="7">
        <f t="shared" si="2"/>
        <v>45836</v>
      </c>
      <c r="G191" s="13">
        <v>2025</v>
      </c>
      <c r="H191" s="13" t="s">
        <v>10</v>
      </c>
      <c r="I191" t="s">
        <v>118</v>
      </c>
      <c r="J191" t="s">
        <v>119</v>
      </c>
      <c r="K191" t="s">
        <v>124</v>
      </c>
      <c r="L191" t="s">
        <v>125</v>
      </c>
      <c r="M191">
        <v>1.46</v>
      </c>
      <c r="N191">
        <v>73</v>
      </c>
    </row>
    <row r="192" spans="1:14" x14ac:dyDescent="0.35">
      <c r="A192" t="s">
        <v>107</v>
      </c>
      <c r="B192" t="s">
        <v>108</v>
      </c>
      <c r="C192" t="s">
        <v>8</v>
      </c>
      <c r="D192" t="s">
        <v>18</v>
      </c>
      <c r="E192" s="7">
        <v>45836</v>
      </c>
      <c r="F192" s="7">
        <f t="shared" si="2"/>
        <v>45836</v>
      </c>
      <c r="G192" s="13">
        <v>2025</v>
      </c>
      <c r="H192" s="13" t="s">
        <v>10</v>
      </c>
      <c r="I192" t="s">
        <v>118</v>
      </c>
      <c r="J192" t="s">
        <v>126</v>
      </c>
      <c r="K192" t="s">
        <v>127</v>
      </c>
      <c r="L192" t="s">
        <v>121</v>
      </c>
      <c r="M192">
        <v>0</v>
      </c>
      <c r="N192">
        <v>8227</v>
      </c>
    </row>
    <row r="193" spans="1:14" x14ac:dyDescent="0.35">
      <c r="A193" t="s">
        <v>107</v>
      </c>
      <c r="B193" t="s">
        <v>108</v>
      </c>
      <c r="C193" t="s">
        <v>8</v>
      </c>
      <c r="D193" t="s">
        <v>18</v>
      </c>
      <c r="E193" s="7">
        <v>45836</v>
      </c>
      <c r="F193" s="7">
        <f t="shared" si="2"/>
        <v>45836</v>
      </c>
      <c r="G193" s="13">
        <v>2025</v>
      </c>
      <c r="H193" s="13" t="s">
        <v>10</v>
      </c>
      <c r="I193" t="s">
        <v>118</v>
      </c>
      <c r="J193" t="s">
        <v>126</v>
      </c>
      <c r="K193" t="s">
        <v>128</v>
      </c>
      <c r="L193" t="s">
        <v>123</v>
      </c>
      <c r="M193">
        <v>0</v>
      </c>
      <c r="N193">
        <v>667</v>
      </c>
    </row>
    <row r="194" spans="1:14" x14ac:dyDescent="0.35">
      <c r="A194" t="s">
        <v>107</v>
      </c>
      <c r="B194" t="s">
        <v>108</v>
      </c>
      <c r="C194" t="s">
        <v>8</v>
      </c>
      <c r="D194" t="s">
        <v>18</v>
      </c>
      <c r="E194" s="7">
        <v>45837</v>
      </c>
      <c r="F194" s="7">
        <f t="shared" si="2"/>
        <v>45843</v>
      </c>
      <c r="G194" s="13">
        <v>2025</v>
      </c>
      <c r="H194" s="13" t="s">
        <v>10</v>
      </c>
      <c r="I194" t="s">
        <v>118</v>
      </c>
      <c r="J194" t="s">
        <v>119</v>
      </c>
      <c r="K194" t="s">
        <v>120</v>
      </c>
      <c r="L194" t="s">
        <v>121</v>
      </c>
      <c r="M194">
        <v>7.32</v>
      </c>
      <c r="N194">
        <v>366</v>
      </c>
    </row>
    <row r="195" spans="1:14" x14ac:dyDescent="0.35">
      <c r="A195" t="s">
        <v>107</v>
      </c>
      <c r="B195" t="s">
        <v>108</v>
      </c>
      <c r="C195" t="s">
        <v>8</v>
      </c>
      <c r="D195" t="s">
        <v>18</v>
      </c>
      <c r="E195" s="7">
        <v>45837</v>
      </c>
      <c r="F195" s="7">
        <f t="shared" ref="F195:F230" si="3">E195 + (7 - WEEKDAY(E195, 1))</f>
        <v>45843</v>
      </c>
      <c r="G195" s="13">
        <v>2025</v>
      </c>
      <c r="H195" s="13" t="s">
        <v>10</v>
      </c>
      <c r="I195" t="s">
        <v>118</v>
      </c>
      <c r="J195" t="s">
        <v>119</v>
      </c>
      <c r="K195" t="s">
        <v>122</v>
      </c>
      <c r="L195" t="s">
        <v>123</v>
      </c>
      <c r="M195">
        <v>0.16</v>
      </c>
      <c r="N195">
        <v>8</v>
      </c>
    </row>
    <row r="196" spans="1:14" x14ac:dyDescent="0.35">
      <c r="A196" t="s">
        <v>107</v>
      </c>
      <c r="B196" t="s">
        <v>108</v>
      </c>
      <c r="C196" t="s">
        <v>8</v>
      </c>
      <c r="D196" t="s">
        <v>18</v>
      </c>
      <c r="E196" s="7">
        <v>45837</v>
      </c>
      <c r="F196" s="7">
        <f t="shared" si="3"/>
        <v>45843</v>
      </c>
      <c r="G196" s="13">
        <v>2025</v>
      </c>
      <c r="H196" s="13" t="s">
        <v>10</v>
      </c>
      <c r="I196" t="s">
        <v>118</v>
      </c>
      <c r="J196" t="s">
        <v>119</v>
      </c>
      <c r="K196" t="s">
        <v>124</v>
      </c>
      <c r="L196" t="s">
        <v>125</v>
      </c>
      <c r="M196">
        <v>1.34</v>
      </c>
      <c r="N196">
        <v>67</v>
      </c>
    </row>
    <row r="197" spans="1:14" x14ac:dyDescent="0.35">
      <c r="A197" t="s">
        <v>107</v>
      </c>
      <c r="B197" t="s">
        <v>108</v>
      </c>
      <c r="C197" t="s">
        <v>8</v>
      </c>
      <c r="D197" t="s">
        <v>18</v>
      </c>
      <c r="E197" s="7">
        <v>45837</v>
      </c>
      <c r="F197" s="7">
        <f t="shared" si="3"/>
        <v>45843</v>
      </c>
      <c r="G197" s="13">
        <v>2025</v>
      </c>
      <c r="H197" s="13" t="s">
        <v>10</v>
      </c>
      <c r="I197" t="s">
        <v>118</v>
      </c>
      <c r="J197" t="s">
        <v>126</v>
      </c>
      <c r="K197" t="s">
        <v>127</v>
      </c>
      <c r="L197" t="s">
        <v>121</v>
      </c>
      <c r="M197">
        <v>0</v>
      </c>
      <c r="N197">
        <v>33152</v>
      </c>
    </row>
    <row r="198" spans="1:14" x14ac:dyDescent="0.35">
      <c r="A198" t="s">
        <v>107</v>
      </c>
      <c r="B198" t="s">
        <v>108</v>
      </c>
      <c r="C198" t="s">
        <v>8</v>
      </c>
      <c r="D198" t="s">
        <v>18</v>
      </c>
      <c r="E198" s="7">
        <v>45837</v>
      </c>
      <c r="F198" s="7">
        <f t="shared" si="3"/>
        <v>45843</v>
      </c>
      <c r="G198" s="13">
        <v>2025</v>
      </c>
      <c r="H198" s="13" t="s">
        <v>10</v>
      </c>
      <c r="I198" t="s">
        <v>118</v>
      </c>
      <c r="J198" t="s">
        <v>126</v>
      </c>
      <c r="K198" t="s">
        <v>128</v>
      </c>
      <c r="L198" t="s">
        <v>123</v>
      </c>
      <c r="M198">
        <v>0</v>
      </c>
      <c r="N198">
        <v>3606</v>
      </c>
    </row>
    <row r="199" spans="1:14" x14ac:dyDescent="0.35">
      <c r="A199" t="s">
        <v>107</v>
      </c>
      <c r="B199" t="s">
        <v>108</v>
      </c>
      <c r="C199" t="s">
        <v>8</v>
      </c>
      <c r="D199" t="s">
        <v>18</v>
      </c>
      <c r="E199" s="7">
        <v>45838</v>
      </c>
      <c r="F199" s="7">
        <f t="shared" si="3"/>
        <v>45843</v>
      </c>
      <c r="G199" s="13">
        <v>2025</v>
      </c>
      <c r="H199" s="13" t="s">
        <v>10</v>
      </c>
      <c r="I199" t="s">
        <v>118</v>
      </c>
      <c r="J199" t="s">
        <v>119</v>
      </c>
      <c r="K199" t="s">
        <v>120</v>
      </c>
      <c r="L199" t="s">
        <v>121</v>
      </c>
      <c r="M199">
        <v>6.9</v>
      </c>
      <c r="N199">
        <v>345</v>
      </c>
    </row>
    <row r="200" spans="1:14" x14ac:dyDescent="0.35">
      <c r="A200" t="s">
        <v>107</v>
      </c>
      <c r="B200" t="s">
        <v>108</v>
      </c>
      <c r="C200" t="s">
        <v>8</v>
      </c>
      <c r="D200" t="s">
        <v>18</v>
      </c>
      <c r="E200" s="7">
        <v>45838</v>
      </c>
      <c r="F200" s="7">
        <f t="shared" si="3"/>
        <v>45843</v>
      </c>
      <c r="G200" s="13">
        <v>2025</v>
      </c>
      <c r="H200" s="13" t="s">
        <v>10</v>
      </c>
      <c r="I200" t="s">
        <v>118</v>
      </c>
      <c r="J200" t="s">
        <v>119</v>
      </c>
      <c r="K200" t="s">
        <v>122</v>
      </c>
      <c r="L200" t="s">
        <v>123</v>
      </c>
      <c r="M200">
        <v>0.2</v>
      </c>
      <c r="N200">
        <v>10</v>
      </c>
    </row>
    <row r="201" spans="1:14" x14ac:dyDescent="0.35">
      <c r="A201" t="s">
        <v>107</v>
      </c>
      <c r="B201" t="s">
        <v>108</v>
      </c>
      <c r="C201" t="s">
        <v>8</v>
      </c>
      <c r="D201" t="s">
        <v>18</v>
      </c>
      <c r="E201" s="7">
        <v>45838</v>
      </c>
      <c r="F201" s="7">
        <f t="shared" si="3"/>
        <v>45843</v>
      </c>
      <c r="G201" s="13">
        <v>2025</v>
      </c>
      <c r="H201" s="13" t="s">
        <v>10</v>
      </c>
      <c r="I201" t="s">
        <v>118</v>
      </c>
      <c r="J201" t="s">
        <v>119</v>
      </c>
      <c r="K201" t="s">
        <v>124</v>
      </c>
      <c r="L201" t="s">
        <v>125</v>
      </c>
      <c r="M201">
        <v>1.24</v>
      </c>
      <c r="N201">
        <v>62</v>
      </c>
    </row>
    <row r="202" spans="1:14" x14ac:dyDescent="0.35">
      <c r="A202" t="s">
        <v>107</v>
      </c>
      <c r="B202" t="s">
        <v>108</v>
      </c>
      <c r="C202" t="s">
        <v>8</v>
      </c>
      <c r="D202" t="s">
        <v>18</v>
      </c>
      <c r="E202" s="7">
        <v>45838</v>
      </c>
      <c r="F202" s="7">
        <f t="shared" si="3"/>
        <v>45843</v>
      </c>
      <c r="G202" s="13">
        <v>2025</v>
      </c>
      <c r="H202" s="13" t="s">
        <v>10</v>
      </c>
      <c r="I202" t="s">
        <v>118</v>
      </c>
      <c r="J202" t="s">
        <v>126</v>
      </c>
      <c r="K202" t="s">
        <v>127</v>
      </c>
      <c r="L202" t="s">
        <v>121</v>
      </c>
      <c r="M202">
        <v>0</v>
      </c>
      <c r="N202">
        <v>64036</v>
      </c>
    </row>
    <row r="203" spans="1:14" x14ac:dyDescent="0.35">
      <c r="A203" t="s">
        <v>107</v>
      </c>
      <c r="B203" t="s">
        <v>108</v>
      </c>
      <c r="C203" t="s">
        <v>8</v>
      </c>
      <c r="D203" t="s">
        <v>18</v>
      </c>
      <c r="E203" s="7">
        <v>45838</v>
      </c>
      <c r="F203" s="7">
        <f t="shared" si="3"/>
        <v>45843</v>
      </c>
      <c r="G203" s="13">
        <v>2025</v>
      </c>
      <c r="H203" s="13" t="s">
        <v>10</v>
      </c>
      <c r="I203" t="s">
        <v>118</v>
      </c>
      <c r="J203" t="s">
        <v>126</v>
      </c>
      <c r="K203" t="s">
        <v>128</v>
      </c>
      <c r="L203" t="s">
        <v>123</v>
      </c>
      <c r="M203">
        <v>0</v>
      </c>
      <c r="N203">
        <v>10000</v>
      </c>
    </row>
    <row r="204" spans="1:14" x14ac:dyDescent="0.35">
      <c r="A204" t="s">
        <v>107</v>
      </c>
      <c r="B204" t="s">
        <v>108</v>
      </c>
      <c r="C204" t="s">
        <v>8</v>
      </c>
      <c r="D204" t="s">
        <v>18</v>
      </c>
      <c r="E204" s="7">
        <v>45830</v>
      </c>
      <c r="F204" s="7">
        <f t="shared" si="3"/>
        <v>45836</v>
      </c>
      <c r="G204" s="13">
        <v>2025</v>
      </c>
      <c r="H204" s="13" t="s">
        <v>10</v>
      </c>
      <c r="I204" t="s">
        <v>118</v>
      </c>
      <c r="J204" t="s">
        <v>129</v>
      </c>
      <c r="K204" t="s">
        <v>129</v>
      </c>
      <c r="L204" t="s">
        <v>131</v>
      </c>
      <c r="M204">
        <v>472.5</v>
      </c>
      <c r="N204">
        <v>2962</v>
      </c>
    </row>
    <row r="205" spans="1:14" x14ac:dyDescent="0.35">
      <c r="A205" t="s">
        <v>107</v>
      </c>
      <c r="B205" t="s">
        <v>108</v>
      </c>
      <c r="C205" t="s">
        <v>8</v>
      </c>
      <c r="D205" t="s">
        <v>18</v>
      </c>
      <c r="E205" s="7">
        <v>45830</v>
      </c>
      <c r="F205" s="7">
        <f t="shared" si="3"/>
        <v>45836</v>
      </c>
      <c r="G205" s="13">
        <v>2025</v>
      </c>
      <c r="H205" s="13" t="s">
        <v>10</v>
      </c>
      <c r="I205" t="s">
        <v>118</v>
      </c>
      <c r="J205" t="s">
        <v>129</v>
      </c>
      <c r="K205" t="s">
        <v>129</v>
      </c>
      <c r="L205" t="s">
        <v>130</v>
      </c>
      <c r="M205">
        <v>461.25</v>
      </c>
      <c r="N205">
        <v>2869</v>
      </c>
    </row>
    <row r="206" spans="1:14" x14ac:dyDescent="0.35">
      <c r="A206" t="s">
        <v>107</v>
      </c>
      <c r="B206" t="s">
        <v>108</v>
      </c>
      <c r="C206" t="s">
        <v>8</v>
      </c>
      <c r="D206" t="s">
        <v>18</v>
      </c>
      <c r="E206" s="7">
        <v>45830</v>
      </c>
      <c r="F206" s="7">
        <f t="shared" si="3"/>
        <v>45836</v>
      </c>
      <c r="G206" s="13">
        <v>2025</v>
      </c>
      <c r="H206" s="13" t="s">
        <v>10</v>
      </c>
      <c r="I206" t="s">
        <v>118</v>
      </c>
      <c r="J206" t="s">
        <v>129</v>
      </c>
      <c r="K206" t="s">
        <v>129</v>
      </c>
      <c r="L206" t="s">
        <v>130</v>
      </c>
      <c r="M206">
        <v>91.25</v>
      </c>
      <c r="N206">
        <v>895</v>
      </c>
    </row>
    <row r="207" spans="1:14" x14ac:dyDescent="0.35">
      <c r="A207" t="s">
        <v>107</v>
      </c>
      <c r="B207" t="s">
        <v>108</v>
      </c>
      <c r="C207" t="s">
        <v>8</v>
      </c>
      <c r="D207" t="s">
        <v>18</v>
      </c>
      <c r="E207" s="7">
        <v>45831</v>
      </c>
      <c r="F207" s="7">
        <f t="shared" si="3"/>
        <v>45836</v>
      </c>
      <c r="G207" s="13">
        <v>2025</v>
      </c>
      <c r="H207" s="13" t="s">
        <v>10</v>
      </c>
      <c r="I207" t="s">
        <v>118</v>
      </c>
      <c r="J207" t="s">
        <v>129</v>
      </c>
      <c r="K207" t="s">
        <v>129</v>
      </c>
      <c r="L207" t="s">
        <v>130</v>
      </c>
      <c r="M207">
        <v>433.75</v>
      </c>
      <c r="N207">
        <v>2739</v>
      </c>
    </row>
    <row r="208" spans="1:14" x14ac:dyDescent="0.35">
      <c r="A208" t="s">
        <v>107</v>
      </c>
      <c r="B208" t="s">
        <v>108</v>
      </c>
      <c r="C208" t="s">
        <v>8</v>
      </c>
      <c r="D208" t="s">
        <v>18</v>
      </c>
      <c r="E208" s="7">
        <v>45831</v>
      </c>
      <c r="F208" s="7">
        <f t="shared" si="3"/>
        <v>45836</v>
      </c>
      <c r="G208" s="13">
        <v>2025</v>
      </c>
      <c r="H208" s="13" t="s">
        <v>10</v>
      </c>
      <c r="I208" t="s">
        <v>118</v>
      </c>
      <c r="J208" t="s">
        <v>129</v>
      </c>
      <c r="K208" t="s">
        <v>129</v>
      </c>
      <c r="L208" t="s">
        <v>130</v>
      </c>
      <c r="M208">
        <v>88.75</v>
      </c>
      <c r="N208">
        <v>775</v>
      </c>
    </row>
    <row r="209" spans="1:14" x14ac:dyDescent="0.35">
      <c r="A209" t="s">
        <v>107</v>
      </c>
      <c r="B209" t="s">
        <v>108</v>
      </c>
      <c r="C209" t="s">
        <v>8</v>
      </c>
      <c r="D209" t="s">
        <v>18</v>
      </c>
      <c r="E209" s="7">
        <v>45831</v>
      </c>
      <c r="F209" s="7">
        <f t="shared" si="3"/>
        <v>45836</v>
      </c>
      <c r="G209" s="13">
        <v>2025</v>
      </c>
      <c r="H209" s="13" t="s">
        <v>10</v>
      </c>
      <c r="I209" t="s">
        <v>118</v>
      </c>
      <c r="J209" t="s">
        <v>129</v>
      </c>
      <c r="K209" t="s">
        <v>129</v>
      </c>
      <c r="L209" t="s">
        <v>131</v>
      </c>
      <c r="M209">
        <v>486.25</v>
      </c>
      <c r="N209">
        <v>2925</v>
      </c>
    </row>
    <row r="210" spans="1:14" x14ac:dyDescent="0.35">
      <c r="A210" t="s">
        <v>107</v>
      </c>
      <c r="B210" t="s">
        <v>108</v>
      </c>
      <c r="C210" t="s">
        <v>8</v>
      </c>
      <c r="D210" t="s">
        <v>18</v>
      </c>
      <c r="E210" s="7">
        <v>45832</v>
      </c>
      <c r="F210" s="7">
        <f t="shared" si="3"/>
        <v>45836</v>
      </c>
      <c r="G210" s="13">
        <v>2025</v>
      </c>
      <c r="H210" s="13" t="s">
        <v>10</v>
      </c>
      <c r="I210" t="s">
        <v>118</v>
      </c>
      <c r="J210" t="s">
        <v>129</v>
      </c>
      <c r="K210" t="s">
        <v>129</v>
      </c>
      <c r="L210" t="s">
        <v>130</v>
      </c>
      <c r="M210">
        <v>55</v>
      </c>
      <c r="N210">
        <v>359</v>
      </c>
    </row>
    <row r="211" spans="1:14" x14ac:dyDescent="0.35">
      <c r="A211" t="s">
        <v>107</v>
      </c>
      <c r="B211" t="s">
        <v>108</v>
      </c>
      <c r="C211" t="s">
        <v>8</v>
      </c>
      <c r="D211" t="s">
        <v>18</v>
      </c>
      <c r="E211" s="7">
        <v>45832</v>
      </c>
      <c r="F211" s="7">
        <f t="shared" si="3"/>
        <v>45836</v>
      </c>
      <c r="G211" s="13">
        <v>2025</v>
      </c>
      <c r="H211" s="13" t="s">
        <v>10</v>
      </c>
      <c r="I211" t="s">
        <v>118</v>
      </c>
      <c r="J211" t="s">
        <v>129</v>
      </c>
      <c r="K211" t="s">
        <v>129</v>
      </c>
      <c r="L211" t="s">
        <v>130</v>
      </c>
      <c r="M211">
        <v>7.5</v>
      </c>
      <c r="N211">
        <v>130</v>
      </c>
    </row>
    <row r="212" spans="1:14" x14ac:dyDescent="0.35">
      <c r="A212" t="s">
        <v>107</v>
      </c>
      <c r="B212" t="s">
        <v>108</v>
      </c>
      <c r="C212" t="s">
        <v>8</v>
      </c>
      <c r="D212" t="s">
        <v>18</v>
      </c>
      <c r="E212" s="7">
        <v>45832</v>
      </c>
      <c r="F212" s="7">
        <f t="shared" si="3"/>
        <v>45836</v>
      </c>
      <c r="G212" s="13">
        <v>2025</v>
      </c>
      <c r="H212" s="13" t="s">
        <v>10</v>
      </c>
      <c r="I212" t="s">
        <v>118</v>
      </c>
      <c r="J212" t="s">
        <v>129</v>
      </c>
      <c r="K212" t="s">
        <v>129</v>
      </c>
      <c r="L212" t="s">
        <v>131</v>
      </c>
      <c r="M212">
        <v>87.5</v>
      </c>
      <c r="N212">
        <v>502</v>
      </c>
    </row>
    <row r="213" spans="1:14" x14ac:dyDescent="0.35">
      <c r="A213" t="s">
        <v>107</v>
      </c>
      <c r="B213" t="s">
        <v>108</v>
      </c>
      <c r="C213" t="s">
        <v>8</v>
      </c>
      <c r="D213" t="s">
        <v>18</v>
      </c>
      <c r="E213" s="7">
        <v>45833</v>
      </c>
      <c r="F213" s="7">
        <f t="shared" si="3"/>
        <v>45836</v>
      </c>
      <c r="G213" s="13">
        <v>2025</v>
      </c>
      <c r="H213" s="13" t="s">
        <v>10</v>
      </c>
      <c r="I213" t="s">
        <v>118</v>
      </c>
      <c r="J213" t="s">
        <v>129</v>
      </c>
      <c r="K213" t="s">
        <v>129</v>
      </c>
      <c r="L213" t="s">
        <v>130</v>
      </c>
      <c r="M213">
        <v>83.75</v>
      </c>
      <c r="N213">
        <v>808</v>
      </c>
    </row>
    <row r="214" spans="1:14" x14ac:dyDescent="0.35">
      <c r="A214" t="s">
        <v>107</v>
      </c>
      <c r="B214" t="s">
        <v>108</v>
      </c>
      <c r="C214" t="s">
        <v>8</v>
      </c>
      <c r="D214" t="s">
        <v>18</v>
      </c>
      <c r="E214" s="7">
        <v>45833</v>
      </c>
      <c r="F214" s="7">
        <f t="shared" si="3"/>
        <v>45836</v>
      </c>
      <c r="G214" s="13">
        <v>2025</v>
      </c>
      <c r="H214" s="13" t="s">
        <v>10</v>
      </c>
      <c r="I214" t="s">
        <v>118</v>
      </c>
      <c r="J214" t="s">
        <v>129</v>
      </c>
      <c r="K214" t="s">
        <v>129</v>
      </c>
      <c r="L214" t="s">
        <v>130</v>
      </c>
      <c r="M214">
        <v>356.25</v>
      </c>
      <c r="N214">
        <v>2294</v>
      </c>
    </row>
    <row r="215" spans="1:14" x14ac:dyDescent="0.35">
      <c r="A215" t="s">
        <v>107</v>
      </c>
      <c r="B215" t="s">
        <v>108</v>
      </c>
      <c r="C215" t="s">
        <v>8</v>
      </c>
      <c r="D215" t="s">
        <v>18</v>
      </c>
      <c r="E215" s="7">
        <v>45833</v>
      </c>
      <c r="F215" s="7">
        <f t="shared" si="3"/>
        <v>45836</v>
      </c>
      <c r="G215" s="13">
        <v>2025</v>
      </c>
      <c r="H215" s="13" t="s">
        <v>10</v>
      </c>
      <c r="I215" t="s">
        <v>118</v>
      </c>
      <c r="J215" t="s">
        <v>129</v>
      </c>
      <c r="K215" t="s">
        <v>129</v>
      </c>
      <c r="L215" t="s">
        <v>131</v>
      </c>
      <c r="M215">
        <v>506.25</v>
      </c>
      <c r="N215">
        <v>3113</v>
      </c>
    </row>
    <row r="216" spans="1:14" x14ac:dyDescent="0.35">
      <c r="A216" t="s">
        <v>107</v>
      </c>
      <c r="B216" t="s">
        <v>108</v>
      </c>
      <c r="C216" t="s">
        <v>8</v>
      </c>
      <c r="D216" t="s">
        <v>18</v>
      </c>
      <c r="E216" s="7">
        <v>45834</v>
      </c>
      <c r="F216" s="7">
        <f t="shared" si="3"/>
        <v>45836</v>
      </c>
      <c r="G216" s="13">
        <v>2025</v>
      </c>
      <c r="H216" s="13" t="s">
        <v>10</v>
      </c>
      <c r="I216" t="s">
        <v>118</v>
      </c>
      <c r="J216" t="s">
        <v>129</v>
      </c>
      <c r="K216" t="s">
        <v>129</v>
      </c>
      <c r="L216" t="s">
        <v>130</v>
      </c>
      <c r="M216">
        <v>67.5</v>
      </c>
      <c r="N216">
        <v>747</v>
      </c>
    </row>
    <row r="217" spans="1:14" x14ac:dyDescent="0.35">
      <c r="A217" t="s">
        <v>107</v>
      </c>
      <c r="B217" t="s">
        <v>108</v>
      </c>
      <c r="C217" t="s">
        <v>8</v>
      </c>
      <c r="D217" t="s">
        <v>18</v>
      </c>
      <c r="E217" s="7">
        <v>45834</v>
      </c>
      <c r="F217" s="7">
        <f t="shared" si="3"/>
        <v>45836</v>
      </c>
      <c r="G217" s="13">
        <v>2025</v>
      </c>
      <c r="H217" s="13" t="s">
        <v>10</v>
      </c>
      <c r="I217" t="s">
        <v>118</v>
      </c>
      <c r="J217" t="s">
        <v>129</v>
      </c>
      <c r="K217" t="s">
        <v>129</v>
      </c>
      <c r="L217" t="s">
        <v>130</v>
      </c>
      <c r="M217">
        <v>361.25</v>
      </c>
      <c r="N217">
        <v>2314</v>
      </c>
    </row>
    <row r="218" spans="1:14" x14ac:dyDescent="0.35">
      <c r="A218" t="s">
        <v>107</v>
      </c>
      <c r="B218" t="s">
        <v>108</v>
      </c>
      <c r="C218" t="s">
        <v>8</v>
      </c>
      <c r="D218" t="s">
        <v>18</v>
      </c>
      <c r="E218" s="7">
        <v>45834</v>
      </c>
      <c r="F218" s="7">
        <f t="shared" si="3"/>
        <v>45836</v>
      </c>
      <c r="G218" s="13">
        <v>2025</v>
      </c>
      <c r="H218" s="13" t="s">
        <v>10</v>
      </c>
      <c r="I218" t="s">
        <v>118</v>
      </c>
      <c r="J218" t="s">
        <v>129</v>
      </c>
      <c r="K218" t="s">
        <v>129</v>
      </c>
      <c r="L218" t="s">
        <v>131</v>
      </c>
      <c r="M218">
        <v>440</v>
      </c>
      <c r="N218">
        <v>2979</v>
      </c>
    </row>
    <row r="219" spans="1:14" x14ac:dyDescent="0.35">
      <c r="A219" t="s">
        <v>107</v>
      </c>
      <c r="B219" t="s">
        <v>108</v>
      </c>
      <c r="C219" t="s">
        <v>8</v>
      </c>
      <c r="D219" t="s">
        <v>18</v>
      </c>
      <c r="E219" s="7">
        <v>45835</v>
      </c>
      <c r="F219" s="7">
        <f t="shared" si="3"/>
        <v>45836</v>
      </c>
      <c r="G219" s="13">
        <v>2025</v>
      </c>
      <c r="H219" s="13" t="s">
        <v>10</v>
      </c>
      <c r="I219" t="s">
        <v>118</v>
      </c>
      <c r="J219" t="s">
        <v>129</v>
      </c>
      <c r="K219" t="s">
        <v>129</v>
      </c>
      <c r="L219" t="s">
        <v>130</v>
      </c>
      <c r="M219">
        <v>303.75</v>
      </c>
      <c r="N219">
        <v>2293</v>
      </c>
    </row>
    <row r="220" spans="1:14" x14ac:dyDescent="0.35">
      <c r="A220" t="s">
        <v>107</v>
      </c>
      <c r="B220" t="s">
        <v>108</v>
      </c>
      <c r="C220" t="s">
        <v>8</v>
      </c>
      <c r="D220" t="s">
        <v>18</v>
      </c>
      <c r="E220" s="7">
        <v>45835</v>
      </c>
      <c r="F220" s="7">
        <f t="shared" si="3"/>
        <v>45836</v>
      </c>
      <c r="G220" s="13">
        <v>2025</v>
      </c>
      <c r="H220" s="13" t="s">
        <v>10</v>
      </c>
      <c r="I220" t="s">
        <v>118</v>
      </c>
      <c r="J220" t="s">
        <v>129</v>
      </c>
      <c r="K220" t="s">
        <v>129</v>
      </c>
      <c r="L220" t="s">
        <v>131</v>
      </c>
      <c r="M220">
        <v>456.25</v>
      </c>
      <c r="N220">
        <v>3037</v>
      </c>
    </row>
    <row r="221" spans="1:14" x14ac:dyDescent="0.35">
      <c r="A221" t="s">
        <v>107</v>
      </c>
      <c r="B221" t="s">
        <v>108</v>
      </c>
      <c r="C221" t="s">
        <v>8</v>
      </c>
      <c r="D221" t="s">
        <v>18</v>
      </c>
      <c r="E221" s="7">
        <v>45835</v>
      </c>
      <c r="F221" s="7">
        <f t="shared" si="3"/>
        <v>45836</v>
      </c>
      <c r="G221" s="13">
        <v>2025</v>
      </c>
      <c r="H221" s="13" t="s">
        <v>10</v>
      </c>
      <c r="I221" t="s">
        <v>118</v>
      </c>
      <c r="J221" t="s">
        <v>129</v>
      </c>
      <c r="K221" t="s">
        <v>129</v>
      </c>
      <c r="L221" t="s">
        <v>130</v>
      </c>
      <c r="M221">
        <v>76.25</v>
      </c>
      <c r="N221">
        <v>647</v>
      </c>
    </row>
    <row r="222" spans="1:14" x14ac:dyDescent="0.35">
      <c r="A222" t="s">
        <v>107</v>
      </c>
      <c r="B222" t="s">
        <v>108</v>
      </c>
      <c r="C222" t="s">
        <v>8</v>
      </c>
      <c r="D222" t="s">
        <v>18</v>
      </c>
      <c r="E222" s="7">
        <v>45836</v>
      </c>
      <c r="F222" s="7">
        <f t="shared" si="3"/>
        <v>45836</v>
      </c>
      <c r="G222" s="13">
        <v>2025</v>
      </c>
      <c r="H222" s="13" t="s">
        <v>10</v>
      </c>
      <c r="I222" t="s">
        <v>118</v>
      </c>
      <c r="J222" t="s">
        <v>129</v>
      </c>
      <c r="K222" t="s">
        <v>129</v>
      </c>
      <c r="L222" t="s">
        <v>130</v>
      </c>
      <c r="M222">
        <v>280</v>
      </c>
      <c r="N222">
        <v>1808</v>
      </c>
    </row>
    <row r="223" spans="1:14" x14ac:dyDescent="0.35">
      <c r="A223" t="s">
        <v>107</v>
      </c>
      <c r="B223" t="s">
        <v>108</v>
      </c>
      <c r="C223" t="s">
        <v>8</v>
      </c>
      <c r="D223" t="s">
        <v>18</v>
      </c>
      <c r="E223" s="7">
        <v>45836</v>
      </c>
      <c r="F223" s="7">
        <f t="shared" si="3"/>
        <v>45836</v>
      </c>
      <c r="G223" s="13">
        <v>2025</v>
      </c>
      <c r="H223" s="13" t="s">
        <v>10</v>
      </c>
      <c r="I223" t="s">
        <v>118</v>
      </c>
      <c r="J223" t="s">
        <v>129</v>
      </c>
      <c r="K223" t="s">
        <v>129</v>
      </c>
      <c r="L223" t="s">
        <v>131</v>
      </c>
      <c r="M223">
        <v>483.75</v>
      </c>
      <c r="N223">
        <v>2828</v>
      </c>
    </row>
    <row r="224" spans="1:14" x14ac:dyDescent="0.35">
      <c r="A224" t="s">
        <v>107</v>
      </c>
      <c r="B224" t="s">
        <v>108</v>
      </c>
      <c r="C224" t="s">
        <v>8</v>
      </c>
      <c r="D224" t="s">
        <v>18</v>
      </c>
      <c r="E224" s="7">
        <v>45836</v>
      </c>
      <c r="F224" s="7">
        <f t="shared" si="3"/>
        <v>45836</v>
      </c>
      <c r="G224" s="13">
        <v>2025</v>
      </c>
      <c r="H224" s="13" t="s">
        <v>10</v>
      </c>
      <c r="I224" t="s">
        <v>118</v>
      </c>
      <c r="J224" t="s">
        <v>129</v>
      </c>
      <c r="K224" t="s">
        <v>129</v>
      </c>
      <c r="L224" t="s">
        <v>130</v>
      </c>
      <c r="M224">
        <v>82.5</v>
      </c>
      <c r="N224">
        <v>668</v>
      </c>
    </row>
    <row r="225" spans="1:14" x14ac:dyDescent="0.35">
      <c r="A225" t="s">
        <v>107</v>
      </c>
      <c r="B225" t="s">
        <v>108</v>
      </c>
      <c r="C225" t="s">
        <v>8</v>
      </c>
      <c r="D225" t="s">
        <v>18</v>
      </c>
      <c r="E225" s="7">
        <v>45837</v>
      </c>
      <c r="F225" s="7">
        <f t="shared" si="3"/>
        <v>45843</v>
      </c>
      <c r="G225" s="13">
        <v>2025</v>
      </c>
      <c r="H225" s="13" t="s">
        <v>10</v>
      </c>
      <c r="I225" t="s">
        <v>118</v>
      </c>
      <c r="J225" t="s">
        <v>129</v>
      </c>
      <c r="K225" t="s">
        <v>129</v>
      </c>
      <c r="L225" t="s">
        <v>131</v>
      </c>
      <c r="M225">
        <v>461.25</v>
      </c>
      <c r="N225">
        <v>3057</v>
      </c>
    </row>
    <row r="226" spans="1:14" x14ac:dyDescent="0.35">
      <c r="A226" t="s">
        <v>107</v>
      </c>
      <c r="B226" t="s">
        <v>108</v>
      </c>
      <c r="C226" t="s">
        <v>8</v>
      </c>
      <c r="D226" t="s">
        <v>18</v>
      </c>
      <c r="E226" s="7">
        <v>45837</v>
      </c>
      <c r="F226" s="7">
        <f t="shared" si="3"/>
        <v>45843</v>
      </c>
      <c r="G226" s="13">
        <v>2025</v>
      </c>
      <c r="H226" s="13" t="s">
        <v>10</v>
      </c>
      <c r="I226" t="s">
        <v>118</v>
      </c>
      <c r="J226" t="s">
        <v>129</v>
      </c>
      <c r="K226" t="s">
        <v>129</v>
      </c>
      <c r="L226" t="s">
        <v>130</v>
      </c>
      <c r="M226">
        <v>88.75</v>
      </c>
      <c r="N226">
        <v>828</v>
      </c>
    </row>
    <row r="227" spans="1:14" x14ac:dyDescent="0.35">
      <c r="A227" t="s">
        <v>107</v>
      </c>
      <c r="B227" t="s">
        <v>108</v>
      </c>
      <c r="C227" t="s">
        <v>8</v>
      </c>
      <c r="D227" t="s">
        <v>18</v>
      </c>
      <c r="E227" s="7">
        <v>45837</v>
      </c>
      <c r="F227" s="7">
        <f t="shared" si="3"/>
        <v>45843</v>
      </c>
      <c r="G227" s="13">
        <v>2025</v>
      </c>
      <c r="H227" s="13" t="s">
        <v>10</v>
      </c>
      <c r="I227" t="s">
        <v>118</v>
      </c>
      <c r="J227" t="s">
        <v>129</v>
      </c>
      <c r="K227" t="s">
        <v>129</v>
      </c>
      <c r="L227" t="s">
        <v>130</v>
      </c>
      <c r="M227">
        <v>381.25</v>
      </c>
      <c r="N227">
        <v>2642</v>
      </c>
    </row>
    <row r="228" spans="1:14" x14ac:dyDescent="0.35">
      <c r="A228" t="s">
        <v>107</v>
      </c>
      <c r="B228" t="s">
        <v>108</v>
      </c>
      <c r="C228" t="s">
        <v>8</v>
      </c>
      <c r="D228" t="s">
        <v>18</v>
      </c>
      <c r="E228" s="7">
        <v>45838</v>
      </c>
      <c r="F228" s="7">
        <f t="shared" si="3"/>
        <v>45843</v>
      </c>
      <c r="G228" s="13">
        <v>2025</v>
      </c>
      <c r="H228" s="13" t="s">
        <v>10</v>
      </c>
      <c r="I228" t="s">
        <v>118</v>
      </c>
      <c r="J228" t="s">
        <v>129</v>
      </c>
      <c r="K228" t="s">
        <v>129</v>
      </c>
      <c r="L228" t="s">
        <v>130</v>
      </c>
      <c r="M228">
        <v>318.75</v>
      </c>
      <c r="N228">
        <v>2374</v>
      </c>
    </row>
    <row r="229" spans="1:14" x14ac:dyDescent="0.35">
      <c r="A229" t="s">
        <v>107</v>
      </c>
      <c r="B229" t="s">
        <v>108</v>
      </c>
      <c r="C229" t="s">
        <v>8</v>
      </c>
      <c r="D229" t="s">
        <v>18</v>
      </c>
      <c r="E229" s="7">
        <v>45838</v>
      </c>
      <c r="F229" s="7">
        <f t="shared" si="3"/>
        <v>45843</v>
      </c>
      <c r="G229" s="13">
        <v>2025</v>
      </c>
      <c r="H229" s="13" t="s">
        <v>10</v>
      </c>
      <c r="I229" t="s">
        <v>118</v>
      </c>
      <c r="J229" t="s">
        <v>129</v>
      </c>
      <c r="K229" t="s">
        <v>129</v>
      </c>
      <c r="L229" t="s">
        <v>131</v>
      </c>
      <c r="M229">
        <v>430</v>
      </c>
      <c r="N229">
        <v>3021</v>
      </c>
    </row>
    <row r="230" spans="1:14" x14ac:dyDescent="0.35">
      <c r="A230" t="s">
        <v>107</v>
      </c>
      <c r="B230" t="s">
        <v>108</v>
      </c>
      <c r="C230" t="s">
        <v>8</v>
      </c>
      <c r="D230" t="s">
        <v>18</v>
      </c>
      <c r="E230" s="7">
        <v>45838</v>
      </c>
      <c r="F230" s="7">
        <f t="shared" si="3"/>
        <v>45843</v>
      </c>
      <c r="G230" s="13">
        <v>2025</v>
      </c>
      <c r="H230" s="13" t="s">
        <v>10</v>
      </c>
      <c r="I230" t="s">
        <v>118</v>
      </c>
      <c r="J230" t="s">
        <v>129</v>
      </c>
      <c r="K230" t="s">
        <v>129</v>
      </c>
      <c r="L230" t="s">
        <v>130</v>
      </c>
      <c r="M230">
        <v>98.75</v>
      </c>
      <c r="N230">
        <v>746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E8A5-C2C5-4CBB-99FF-8DAC0CAB6CBC}">
  <dimension ref="A1:B15"/>
  <sheetViews>
    <sheetView workbookViewId="0">
      <selection activeCell="A38" sqref="A38"/>
    </sheetView>
  </sheetViews>
  <sheetFormatPr defaultRowHeight="14.5" x14ac:dyDescent="0.35"/>
  <cols>
    <col min="1" max="1" width="18.26953125" customWidth="1"/>
    <col min="2" max="2" width="13.54296875" bestFit="1" customWidth="1"/>
  </cols>
  <sheetData>
    <row r="1" spans="1:2" x14ac:dyDescent="0.35">
      <c r="A1" t="str" cm="1">
        <f t="array" ref="A1:A15">_xlfn.UNIQUE(sheet1!D1:D1895)</f>
        <v>FranchiseExtract</v>
      </c>
      <c r="B1" t="s">
        <v>1</v>
      </c>
    </row>
    <row r="2" spans="1:2" x14ac:dyDescent="0.35">
      <c r="A2" t="str">
        <v>na</v>
      </c>
      <c r="B2" t="s">
        <v>8</v>
      </c>
    </row>
    <row r="3" spans="1:2" x14ac:dyDescent="0.35">
      <c r="A3" t="str">
        <v>bfr</v>
      </c>
      <c r="B3" t="s">
        <v>18</v>
      </c>
    </row>
    <row r="4" spans="1:2" x14ac:dyDescent="0.35">
      <c r="A4" t="str">
        <v>q3-haca-colorlast</v>
      </c>
      <c r="B4" t="s">
        <v>17</v>
      </c>
    </row>
    <row r="5" spans="1:2" x14ac:dyDescent="0.35">
      <c r="A5" t="str">
        <v>scalp</v>
      </c>
      <c r="B5" t="s">
        <v>21</v>
      </c>
    </row>
    <row r="6" spans="1:2" x14ac:dyDescent="0.35">
      <c r="A6" t="str">
        <v>hydrasource</v>
      </c>
      <c r="B6" t="s">
        <v>19</v>
      </c>
    </row>
    <row r="7" spans="1:2" x14ac:dyDescent="0.35">
      <c r="A7" t="str">
        <v>mult</v>
      </c>
      <c r="B7" t="s">
        <v>8</v>
      </c>
    </row>
    <row r="8" spans="1:2" x14ac:dyDescent="0.35">
      <c r="A8" t="str">
        <v>hys</v>
      </c>
      <c r="B8" t="s">
        <v>19</v>
      </c>
    </row>
    <row r="9" spans="1:2" x14ac:dyDescent="0.35">
      <c r="A9" t="str">
        <v>scalp-sync</v>
      </c>
      <c r="B9" t="s">
        <v>21</v>
      </c>
    </row>
    <row r="10" spans="1:2" x14ac:dyDescent="0.35">
      <c r="A10" t="str">
        <v>bond-therapy</v>
      </c>
      <c r="B10" t="s">
        <v>16</v>
      </c>
    </row>
    <row r="11" spans="1:2" x14ac:dyDescent="0.35">
      <c r="A11" t="str">
        <v>haca-colorlast-q3</v>
      </c>
      <c r="B11" t="s">
        <v>17</v>
      </c>
    </row>
    <row r="12" spans="1:2" x14ac:dyDescent="0.35">
      <c r="A12" t="str">
        <v>oct-prime-day</v>
      </c>
      <c r="B12" t="s">
        <v>20</v>
      </c>
    </row>
    <row r="13" spans="1:2" x14ac:dyDescent="0.35">
      <c r="A13" t="str">
        <v>blowdrycream</v>
      </c>
      <c r="B13" t="s">
        <v>15</v>
      </c>
    </row>
    <row r="14" spans="1:2" x14ac:dyDescent="0.35">
      <c r="A14" t="str">
        <v>prime-day</v>
      </c>
      <c r="B14" t="s">
        <v>20</v>
      </c>
    </row>
    <row r="15" spans="1:2" x14ac:dyDescent="0.35">
      <c r="A15" t="str">
        <v>bondtherapy</v>
      </c>
      <c r="B15" t="s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DDB5E639801F4A98B3D3ABAA94546D" ma:contentTypeVersion="21" ma:contentTypeDescription="Create a new document." ma:contentTypeScope="" ma:versionID="4509437af91f7a1d7fe412e51612f186">
  <xsd:schema xmlns:xsd="http://www.w3.org/2001/XMLSchema" xmlns:xs="http://www.w3.org/2001/XMLSchema" xmlns:p="http://schemas.microsoft.com/office/2006/metadata/properties" xmlns:ns1="http://schemas.microsoft.com/sharepoint/v3" xmlns:ns2="ea1301bd-bdfb-4c56-8b45-84c9d63905f8" xmlns:ns3="3456b383-3f32-4a8a-8c53-c39551766a0f" targetNamespace="http://schemas.microsoft.com/office/2006/metadata/properties" ma:root="true" ma:fieldsID="198f7f9404ae61927d314ea022f8d977" ns1:_="" ns2:_="" ns3:_="">
    <xsd:import namespace="http://schemas.microsoft.com/sharepoint/v3"/>
    <xsd:import namespace="ea1301bd-bdfb-4c56-8b45-84c9d63905f8"/>
    <xsd:import namespace="3456b383-3f32-4a8a-8c53-c39551766a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Date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301bd-bdfb-4c56-8b45-84c9d63905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4" nillable="true" ma:displayName="Date" ma:format="DateOnly" ma:internalName="Date">
      <xsd:simpleType>
        <xsd:restriction base="dms:DateTim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6b383-3f32-4a8a-8c53-c39551766a0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bacac36-04b3-4bda-83ef-c27023ba37ca}" ma:internalName="TaxCatchAll" ma:showField="CatchAllData" ma:web="3456b383-3f32-4a8a-8c53-c39551766a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 xmlns="ea1301bd-bdfb-4c56-8b45-84c9d63905f8" xsi:nil="true"/>
    <_ip_UnifiedCompliancePolicyUIAction xmlns="http://schemas.microsoft.com/sharepoint/v3" xsi:nil="true"/>
    <Notes xmlns="ea1301bd-bdfb-4c56-8b45-84c9d63905f8" xsi:nil="true"/>
    <lcf76f155ced4ddcb4097134ff3c332f xmlns="ea1301bd-bdfb-4c56-8b45-84c9d63905f8">
      <Terms xmlns="http://schemas.microsoft.com/office/infopath/2007/PartnerControls"/>
    </lcf76f155ced4ddcb4097134ff3c332f>
    <_ip_UnifiedCompliancePolicyProperties xmlns="http://schemas.microsoft.com/sharepoint/v3" xsi:nil="true"/>
    <TaxCatchAll xmlns="3456b383-3f32-4a8a-8c53-c39551766a0f" xsi:nil="true"/>
  </documentManagement>
</p:properties>
</file>

<file path=customXml/itemProps1.xml><?xml version="1.0" encoding="utf-8"?>
<ds:datastoreItem xmlns:ds="http://schemas.openxmlformats.org/officeDocument/2006/customXml" ds:itemID="{D9006822-E206-4DC7-8076-199CC29DB8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7CDABD1-41B8-4E2B-9932-F2BC2DC5E1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a1301bd-bdfb-4c56-8b45-84c9d63905f8"/>
    <ds:schemaRef ds:uri="3456b383-3f32-4a8a-8c53-c39551766a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FBDF87-5221-480C-A64E-028080BAEFAD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3456b383-3f32-4a8a-8c53-c39551766a0f"/>
    <ds:schemaRef ds:uri="ea1301bd-bdfb-4c56-8b45-84c9d63905f8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Sheet3</vt:lpstr>
      <vt:lpstr>sheet1</vt:lpstr>
      <vt:lpstr>Sheet4</vt:lpstr>
      <vt:lpstr>Consolidated Media Data</vt:lpstr>
      <vt:lpstr>Spend Pivots</vt:lpstr>
      <vt:lpstr>Week Mapping</vt:lpstr>
      <vt:lpstr>Spend by Tactic</vt:lpstr>
      <vt:lpstr>Sheet5</vt:lpstr>
      <vt:lpstr>Sheet2</vt:lpstr>
      <vt:lpstr>FranchiseMapping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James Mencel (BCL)</cp:lastModifiedBy>
  <cp:revision/>
  <dcterms:created xsi:type="dcterms:W3CDTF">2025-07-01T13:47:35Z</dcterms:created>
  <dcterms:modified xsi:type="dcterms:W3CDTF">2025-09-25T14:03:18Z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2025-07-01T14:01:17Z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bbdba09c-5df9-4a29-8d18-2f0c69d079fb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  <property fmtid="{D5CDD505-2E9C-101B-9397-08002B2CF9AE}" pid="10" name="ContentTypeId">
    <vt:lpwstr>0x0101001FDDB5E639801F4A98B3D3ABAA94546D</vt:lpwstr>
  </property>
  <property fmtid="{D5CDD505-2E9C-101B-9397-08002B2CF9AE}" pid="11" name="MediaServiceImageTags">
    <vt:lpwstr/>
  </property>
</Properties>
</file>